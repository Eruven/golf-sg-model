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sheetId="1" state="visible" r:id="rId3"/>
    <sheet name="Inputs" sheetId="2" state="visible" r:id="rId4"/>
    <sheet name="Scratch Data" sheetId="3" state="visible" r:id="rId5"/>
    <sheet name="Baseline" sheetId="4" state="visible" r:id="rId6"/>
    <sheet name="Course" sheetId="5" state="visible" r:id="rId7"/>
    <sheet name="Shot Log" sheetId="6" state="visible" r:id="rId8"/>
    <sheet name="Rounds" sheetId="7" state="visible" r:id="rId9"/>
    <sheet name="Tour Ref" sheetId="8" state="visible" r:id="rId10"/>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H1" authorId="0">
      <text>
        <r>
          <rPr>
            <sz val="10"/>
            <rFont val="Arial"/>
            <family val="2"/>
          </rPr>
          <t xml:space="preserve">Optional: 'cut corner', 'aimed away (OB)', 'flyer', 'plugged'. Useful for comparing strategies and explaining outliers.</t>
        </r>
      </text>
    </comment>
  </commentList>
</comments>
</file>

<file path=xl/sharedStrings.xml><?xml version="1.0" encoding="utf-8"?>
<sst xmlns="http://schemas.openxmlformats.org/spreadsheetml/2006/main" count="281" uniqueCount="206">
  <si>
    <t xml:space="preserve">Fox Creek Scratch Strokes Gained (data-anchored)</t>
  </si>
  <si>
    <t xml:space="preserve">Green tees, 3,802 yards, par 62. Baseline = a scratch golfer, built from published scratch statistics (Shot Scope, Arccos) rather than tour tables plus guesses. Hole expectations are calibrated so the 18 holes sum to the Course Rating + 2.4, i.e. an average scratch round (the rating itself is a good day).</t>
  </si>
  <si>
    <t xml:space="preserve">How to use</t>
  </si>
  <si>
    <t xml:space="preserve">1. Log every shot on 'Shot Log': Round ID, Hole, Start lie, Start distance, End lie, End distance, Penalty.</t>
  </si>
  <si>
    <t xml:space="preserve">2. Lies: T = tee, F = fairway/fringe, R = rough, S = sand, X = recovery (blocked, punch-out), G = green, H = holed.</t>
  </si>
  <si>
    <t xml:space="preserve">3. Distances: yards for T/F/R/S/X, FEET for G. Leave End distance blank when End lie is H. Tee shots on par 4/5 use the hole's tee-model value whatever you enter for distance; par-3 tee shots use the distance you enter.</t>
  </si>
  <si>
    <t xml:space="preserve">4. Penalty: 1 if the shot cost a penalty stroke. For OB, log the re-tee as the next shot from T with Penalty 1.</t>
  </si>
  <si>
    <t xml:space="preserve">5. Each shot's next row starts where the previous one ended. Add the Round ID on 'Rounds' for category totals. Delete the EXAMPLE rows once you have logged a real round.</t>
  </si>
  <si>
    <t xml:space="preserve">How the baseline is built (see 'Scratch Data')</t>
  </si>
  <si>
    <t xml:space="preserve">Putting: E(putts) = 2 - P(one-putt) + P(three-putt) + P(four-putt), from Shot Scope / Arccos scratch make and three-putt rates by distance.</t>
  </si>
  <si>
    <t xml:space="preserve">Approach (50-250 yds): E = 1 + GIR x E(putts from on-green proximity) + (1 - GIR) x E(after a miss), using scratch GIR, proximity and short-game data. Rough and sand use factors on the fairway inputs.</t>
  </si>
  <si>
    <t xml:space="preserve">Around the green (&lt;= 50 yds): from scratch up-and-down rates (&lt;25 yds 63%, 25-50 yds 32%, sand save 37%). From 150-250 yds the table takes the better of going for the green and laying up; beyond 250 it is 1 + a layup/advance to a fairway-rough blend.</t>
  </si>
  <si>
    <t xml:space="preserve">Tee shots on par 4/5: the tee model on 'Course' (best club for a scratch golfer given fairway width, OB/trees and club dispersion). Par 3s: the approach table from the tee.</t>
  </si>
  <si>
    <t xml:space="preserve">Course calibration: the gap between the raw 18-hole total and the target (Course Rating + 2.4, an average scratch round) is spread across holes and applied ONLY to shots that start off the green, so putting is always measured straight against the scratch putting data.</t>
  </si>
  <si>
    <t xml:space="preserve">Reading the numbers</t>
  </si>
  <si>
    <t xml:space="preserve">SG per shot = E(start) - E(end) - 1 - penalty. Positive = better than an average scratch golfer at Fox Creek. Over a full 18, total SG = (Course Rating + 2.4) - your score.</t>
  </si>
  <si>
    <t xml:space="preserve">Categories: OTT = tee shots on par 4/5; APP = shots from &gt;30 yds (incl. par-3 tee shots); ARG = &lt;=30 yds off the green; PUTT = on the green.</t>
  </si>
  <si>
    <t xml:space="preserve">Yellow cells with blue text are inputs. Every published number and every assumption is labelled on 'Inputs' and 'Scratch Data'. 'Tour Ref' shows the scratch baseline next to tour values as a sanity check.</t>
  </si>
  <si>
    <t xml:space="preserve">Assumptions and parameters</t>
  </si>
  <si>
    <t xml:space="preserve">Parameter</t>
  </si>
  <si>
    <t xml:space="preserve">Value</t>
  </si>
  <si>
    <t xml:space="preserve">Notes / source</t>
  </si>
  <si>
    <t xml:space="preserve">COURSE</t>
  </si>
  <si>
    <t xml:space="preserve">Course rating (Green tees, men)</t>
  </si>
  <si>
    <t xml:space="preserve">PUBLISHED: Golfify / 18Birdies listings for Fox Creek Golf Club, Smyrna GA (Green 3,802 yds, 59.9 / 105). Confirm in the GHIN course lookup.</t>
  </si>
  <si>
    <t xml:space="preserve">Good-day gap added to the CR target</t>
  </si>
  <si>
    <t xml:space="preserve">DERIVED. A Course Rating is a scratch golfer's good day: a Handicap Index uses the best 8 of 20 differentials, and the mean of the best 8 of 20 normal draws sits 0.93 sigma below the mean. With a scratch round-to-round sigma of ~2.6 strokes, CR + 2.4 is an AVERAGE scratch round, which is what the Shot Scope / Arccos tables describe. Set 0 to calibrate to the CR itself.</t>
  </si>
  <si>
    <t xml:space="preserve">Stroke-index weight (0 = spread evenly, 1 = fully by SI)</t>
  </si>
  <si>
    <t xml:space="preserve">How the course adjustment is spread across holes. ASSUMPTION.</t>
  </si>
  <si>
    <t xml:space="preserve">Off-green anchor E for spreading the hole adjustment</t>
  </si>
  <si>
    <t xml:space="preserve">A shot's share of the hole adjustment = (E - G0)/(E_tee - G0), 0 on the green. 1.85 ~ scratch putts per GIR (Shot Scope). ASSUMPTION.</t>
  </si>
  <si>
    <t xml:space="preserve">Teed-ball bonus on par-3 tee shots (strokes)</t>
  </si>
  <si>
    <t xml:space="preserve">Positive = a teed ball is easier than the same yardage from the fairway. Tour data actually runs the other way (par-3 tee shots ~0.1 HARDER than same-length fairway shots, because of guarded greens), so 0 is used and the course calibration absorbs Fox Creek specifics. ASSUMPTION.</t>
  </si>
  <si>
    <t xml:space="preserve">APPROACH MODEL</t>
  </si>
  <si>
    <t xml:space="preserve">Effective putt-distance factor (Jensen correction)</t>
  </si>
  <si>
    <t xml:space="preserve">Proximity varies shot to shot and E(putts) is concave, so E over the spread &lt; E at the mean. Using 0.7 x mean proximity reproduces tour fairway values from tour GIR/proximity to ~0.05. ASSUMPTION.</t>
  </si>
  <si>
    <t xml:space="preserve">Rough: GIR factor</t>
  </si>
  <si>
    <t xml:space="preserve">GIR from rough = fairway GIR x this. Shot Scope: fairway-vs-rough GIR advantage 'up to 25%'. ASSUMPTION within that.</t>
  </si>
  <si>
    <t xml:space="preserve">Rough: proximity factor</t>
  </si>
  <si>
    <t xml:space="preserve">On-green proximity from rough = fairway x this. golfity estimate: rough adds 30-40% to proximity. ASSUMPTION.</t>
  </si>
  <si>
    <t xml:space="preserve">Rough: extra strokes after a miss</t>
  </si>
  <si>
    <t xml:space="preserve">ASSUMPTION.</t>
  </si>
  <si>
    <t xml:space="preserve">Fairway bunker (&gt;50 yds): GIR factor</t>
  </si>
  <si>
    <t xml:space="preserve">Fairway bunker: proximity factor</t>
  </si>
  <si>
    <t xml:space="preserve">Fairway bunker: extra strokes after a miss</t>
  </si>
  <si>
    <t xml:space="preserve">Rough around the green: extra strokes vs fairway lie</t>
  </si>
  <si>
    <t xml:space="preserve">Chip/pitch from rough vs fairway/fringe. ASSUMPTION.</t>
  </si>
  <si>
    <t xml:space="preserve">Fairway share after a layup/advance shot</t>
  </si>
  <si>
    <t xml:space="preserve">For shots from &gt;250 yds. ASSUMPTION.</t>
  </si>
  <si>
    <t xml:space="preserve">Layup/advance distance from fairway (yds)</t>
  </si>
  <si>
    <t xml:space="preserve">Scratch 3-wood/hybrid from the fairway on a long second shot; a deliberate layup never leaves less than 30 yds. ASSUMPTION.</t>
  </si>
  <si>
    <t xml:space="preserve">Advance distance from rough (yds)</t>
  </si>
  <si>
    <t xml:space="preserve">Advance distance from a fairway bunker (yds)</t>
  </si>
  <si>
    <t xml:space="preserve">Recovery: yards gained by a punch-out</t>
  </si>
  <si>
    <t xml:space="preserve">Recovery (X) = 1 + penalty + blend of fairway/rough at (distance - this). ASSUMPTION.</t>
  </si>
  <si>
    <t xml:space="preserve">Recovery: extra strokes</t>
  </si>
  <si>
    <t xml:space="preserve">TEE MODEL</t>
  </si>
  <si>
    <t xml:space="preserve">Fairway share of in-play tee shots</t>
  </si>
  <si>
    <t xml:space="preserve">In-play tee shots blended 70% fairway / 30% rough. ASSUMPTION.</t>
  </si>
  <si>
    <t xml:space="preserve">Default fairway width (yds, tree line to tree line)</t>
  </si>
  <si>
    <t xml:space="preserve">From you: ~45 yds with trees both sides on basically every hole; hole 1 OB both sides; holes 3 and 16 OB right.</t>
  </si>
  <si>
    <t xml:space="preserve">Scratch club 1 (driver) distance</t>
  </si>
  <si>
    <t xml:space="preserve">Shot Scope P-avg for scratch is 285 (solid strikes). Plain averages run ~8-10% lower (3H avg 197 vs P-avg 219; Arccos 0-4.9 band 244 all ages). 262 = 285 x 0.92.</t>
  </si>
  <si>
    <t xml:space="preserve">Scratch club 1 (driver) sigma %</t>
  </si>
  <si>
    <t xml:space="preserve">DERIVED: Arccos (Stagner) 7% of 0-5 index drives finish &gt;40 yds from fairway centre -&gt; sigma ~22 yds; tour 65-70 yd cone -&gt; ~16-18 yds. Scratch ~20 yds = 7.5% of 262.</t>
  </si>
  <si>
    <t xml:space="preserve">Scratch club 2 (3-wood) distance</t>
  </si>
  <si>
    <t xml:space="preserve">Shot Scope P-avg 261-267 x 0.92.</t>
  </si>
  <si>
    <t xml:space="preserve">Scratch club 2 (3-wood) sigma %</t>
  </si>
  <si>
    <t xml:space="preserve">DERIVED: Shot Scope scratch 3-wood hits only ~1% more fairways than driver despite ~18 yds less, implying similar absolute spread (~20 yds) = ~8% of 245.</t>
  </si>
  <si>
    <t xml:space="preserve">Scratch club 3 (3-hybrid) distance</t>
  </si>
  <si>
    <t xml:space="preserve">Shot Scope scratch 3H: P-avg 219, plain average 197.</t>
  </si>
  <si>
    <t xml:space="preserve">Scratch club 3 (3-hybrid) sigma %</t>
  </si>
  <si>
    <t xml:space="preserve">ASSUMPTION (no published figure): ~15 yds.</t>
  </si>
  <si>
    <t xml:space="preserve">Scratch club 4 (5-iron) distance</t>
  </si>
  <si>
    <t xml:space="preserve">Shot Scope P-avg 200 x 0.92.</t>
  </si>
  <si>
    <t xml:space="preserve">Scratch club 4 (5-iron) sigma %</t>
  </si>
  <si>
    <t xml:space="preserve">ASSUMPTION (no published figure): ~13 yds.</t>
  </si>
  <si>
    <t xml:space="preserve">Your club 1 (driver) distance</t>
  </si>
  <si>
    <t xml:space="preserve">Your tee clubs for the 'Your best club' columns. Replace sigma % with sim-measured numbers (offline std dev / distance).</t>
  </si>
  <si>
    <t xml:space="preserve">Your club 1 (driver) sigma %</t>
  </si>
  <si>
    <t xml:space="preserve">PLACEHOLDER.</t>
  </si>
  <si>
    <t xml:space="preserve">Your club 2 (7-wood) distance</t>
  </si>
  <si>
    <t xml:space="preserve">Your club 2 (7-wood) sigma %</t>
  </si>
  <si>
    <t xml:space="preserve">Your club 3 (2-iron) distance</t>
  </si>
  <si>
    <t xml:space="preserve">Your club 3 (2-iron) sigma %</t>
  </si>
  <si>
    <t xml:space="preserve">Your club 4 (5-iron) distance</t>
  </si>
  <si>
    <t xml:space="preserve">Your club 4 (5-iron) sigma %</t>
  </si>
  <si>
    <t xml:space="preserve">Scratch-golfer anchor data (blue = editable). Interpolated on 'Baseline'.</t>
  </si>
  <si>
    <t xml:space="preserve">Feet</t>
  </si>
  <si>
    <t xml:space="preserve">P(1-putt)</t>
  </si>
  <si>
    <t xml:space="preserve">P(3-putt)</t>
  </si>
  <si>
    <t xml:space="preserve">P(4-putt)</t>
  </si>
  <si>
    <t xml:space="preserve">E(putts)</t>
  </si>
  <si>
    <t xml:space="preserve">Yards (fairway)</t>
  </si>
  <si>
    <t xml:space="preserve">GIR</t>
  </si>
  <si>
    <t xml:space="preserve">On-green proximity (ft)</t>
  </si>
  <si>
    <t xml:space="preserve">E after a miss</t>
  </si>
  <si>
    <t xml:space="preserve">Yards (fairway/fringe lie)</t>
  </si>
  <si>
    <t xml:space="preserve">E (strokes to hole out)</t>
  </si>
  <si>
    <t xml:space="preserve">Yards (greenside bunker)</t>
  </si>
  <si>
    <t xml:space="preserve">PUTTING - published scratch data used</t>
  </si>
  <si>
    <t xml:space="preserve">Shot Scope 0-hcp make %, fine bands (MyGolfSpy): 0-3 ft 98%, 3-6 ft 76%, 6-9 ft 49%, 9-12 ft 34%, 12-18 ft 19%, 18-24 ft 12%, 24-30 ft 7%, 30+ ft 4%.</t>
  </si>
  <si>
    <t xml:space="preserve">Shot Scope 0-hcp make %, broad bands (Shot Scope blog): 0-6 ft 92.8%, 6-12 ft 42.8%, 12-18 ft 25.1%, 18-24 ft 14.5%, 24-30 ft 8.3%, 30+ ft 4.3%. The two tables disagree at 12-18 ft (19% vs 25%); anchors use the midpoint.</t>
  </si>
  <si>
    <t xml:space="preserve">Three-putts: Arccos 1-5 index: 9.4% from 20-25 ft, 19.6% from 25+ ft; Arccos/Stagner scratch ~25% from 36-40 ft. Shot Scope scratch: 3% of holes (0.8/round), 4.6 ft left on average after a first putt from 30 ft (implies ~12-15% from 30 ft). Anchors sit between the two sources. Tour reference (PGA Tour/Broadie): 20 ft 2%, 30 ft 5%, 40 ft 10%, 60 ft 23%.</t>
  </si>
  <si>
    <t xml:space="preserve">Check: Shot Scope scratch = 29.9 putts/round, 1.85 putts per GIR. E(putts) here at 18 ft = 1.88, at 15 ft = 1.81.</t>
  </si>
  <si>
    <t xml:space="preserve">APPROACH - published scratch data used</t>
  </si>
  <si>
    <t xml:space="preserve">Shot Scope scratch proximity INCLUDING misses (Golf Monthly): 50-100 yds 26 ft, 100-150 yds 38 ft, 150-200 yds 54 ft, 200+ yds 92 ft; 17% of approaches inside 15 ft, 42% inside 30 ft. Scratch GIR overall 52-59% (two Shot Scope figures). Tour GIR by distance used for the shape of the curve.</t>
  </si>
  <si>
    <t xml:space="preserve">GIR, on-green proximity and miss distance were chosen so that GIR x on-green + (1-GIR) x miss reproduces those band averages: implied miss distances 53 / 59 / 70 / 111 ft, and overall GIR ~55% for a typical mix of approach lengths. The on-green proximity and GIR split is DERIVED, not published.</t>
  </si>
  <si>
    <t xml:space="preserve">E after a miss = short-game value for the typical miss (chip/pitch, some sand), rising with approach length.</t>
  </si>
  <si>
    <t xml:space="preserve">AROUND THE GREEN - published scratch data used</t>
  </si>
  <si>
    <t xml:space="preserve">Shot Scope scratch (MyGolfSpy short-game chart): up-and-down &lt;25 yds 63%, 25-50 yds 32%, inside 50 yds overall 54%, sand save 37%, average proximity after the shot 11 ft, shots to finish from inside 50 yds 2.45. E ~ 3 - up-and-down% + ~0.03 (double chips and three-putts minus holed shots).</t>
  </si>
  <si>
    <t xml:space="preserve">TOUR comparison on 'Tour Ref': scratch sits ~+0.05 to +0.15 behind tour on putts, ~+0.1 around the green, and ~+0.2 to +0.3 on approaches, in line with Broadie's finding that approach play is the largest scratch-to-tour gap.</t>
  </si>
  <si>
    <t xml:space="preserve">SOURCES</t>
  </si>
  <si>
    <t xml:space="preserve">https://mygolfspy.com/news-opinion/putting-make-percentage-by-handicap-full-chart-are-you-above-or-below-average/</t>
  </si>
  <si>
    <t xml:space="preserve">https://shotscope.com/blog/practice-green/stats-and-data/putting-make-percentages-by-handicap-how-do-you-compare/</t>
  </si>
  <si>
    <t xml:space="preserve">https://mygolfspy.com/news-opinion/shot-scope-case-study/  (three-putt stats by handicap)</t>
  </si>
  <si>
    <t xml:space="preserve">https://golf.com/instruction/putting/how-likely-to-three-putt-play-smart/  (Arccos / Lou Stagner three-putt by distance)</t>
  </si>
  <si>
    <t xml:space="preserve">https://eu.arccosgolf.com/blogs/community/pros-vs-joes-analyzing-3-putts</t>
  </si>
  <si>
    <t xml:space="preserve">https://www.golfmonthly.com/features/scratch-vs-10-vs-20-handicap-how-the-stats-compare  (Shot Scope: GIR, proximity, up-and-down, putting)</t>
  </si>
  <si>
    <t xml:space="preserve">https://www.golfmonthly.com/features/how-close-to-the-pin-do-amateur-golfers-hit-their-approach-shots  (Shot Scope proximity by distance band)</t>
  </si>
  <si>
    <t xml:space="preserve">https://www.golfmonthly.com/features/how-many-greens-in-regulation-does-an-average-golfer-hit  (Shot Scope GIR by handicap, tour 66.75%)</t>
  </si>
  <si>
    <t xml:space="preserve">https://mygolfspy.com/news-opinion/instruction/how-good-is-your-short-game-performance-chart-by-handicap/  (Shot Scope short game by handicap)</t>
  </si>
  <si>
    <t xml:space="preserve">https://golfingfocus.com/what-percentage-of-putts-do-pros-make-tv-does-not-tell-the-story/  (PGA Tour make and three-putt by distance)</t>
  </si>
  <si>
    <t xml:space="preserve">Scratch expected strokes to hole out, built from 'Scratch Data' and 'Inputs'. Yards for F/R/S/X, feet for G.</t>
  </si>
  <si>
    <t xml:space="preserve">Yards</t>
  </si>
  <si>
    <t xml:space="preserve">F</t>
  </si>
  <si>
    <t xml:space="preserve">R</t>
  </si>
  <si>
    <t xml:space="preserve">S</t>
  </si>
  <si>
    <t xml:space="preserve">X</t>
  </si>
  <si>
    <t xml:space="preserve">G</t>
  </si>
  <si>
    <t xml:space="preserve">Hole</t>
  </si>
  <si>
    <t xml:space="preserve">Par</t>
  </si>
  <si>
    <t xml:space="preserve">SI</t>
  </si>
  <si>
    <t xml:space="preserve">Width (yds)</t>
  </si>
  <si>
    <t xml:space="preserve">Trouble</t>
  </si>
  <si>
    <t xml:space="preserve">From-tee approach E (par 3 / generic)</t>
  </si>
  <si>
    <t xml:space="preserve">Scratch E: driver</t>
  </si>
  <si>
    <t xml:space="preserve">Scratch E: 3-wood</t>
  </si>
  <si>
    <t xml:space="preserve">Scratch E: 3-hybrid</t>
  </si>
  <si>
    <t xml:space="preserve">Scratch E: 5-iron</t>
  </si>
  <si>
    <t xml:space="preserve">Tee model E</t>
  </si>
  <si>
    <t xml:space="preserve">Scratch best club</t>
  </si>
  <si>
    <t xml:space="preserve">Raw scratch E</t>
  </si>
  <si>
    <t xml:space="preserve">SI weight</t>
  </si>
  <si>
    <t xml:space="preserve">Course adj (a_h)</t>
  </si>
  <si>
    <t xml:space="preserve">Adjusted scratch E</t>
  </si>
  <si>
    <t xml:space="preserve">Your E: driver</t>
  </si>
  <si>
    <t xml:space="preserve">Your E: 7-wood</t>
  </si>
  <si>
    <t xml:space="preserve">Your E: 2-iron</t>
  </si>
  <si>
    <t xml:space="preserve">Your E: 5-iron</t>
  </si>
  <si>
    <t xml:space="preserve">Your best club</t>
  </si>
  <si>
    <t xml:space="preserve">OB</t>
  </si>
  <si>
    <t xml:space="preserve">OBR</t>
  </si>
  <si>
    <t xml:space="preserve">Total</t>
  </si>
  <si>
    <t xml:space="preserve">Check</t>
  </si>
  <si>
    <t xml:space="preserve">Calibration target (CR + good-day gap)</t>
  </si>
  <si>
    <t xml:space="preserve">Adjusted total minus target (should be 0)</t>
  </si>
  <si>
    <t xml:space="preserve">Total course adjustment (raw scratch total vs target)</t>
  </si>
  <si>
    <t xml:space="preserve">Tee model (par 4/5): E = 1 + P(in play) x E(leave; fairway/rough blend) + P(trees) x E(recovery) [+ OB handled as stroke and distance, closed form]. P(in play) = 2*Phi(width/2 / sigma) - 1, sigma = club sigma% x club distance; misses split evenly left/right. Scratch E for the hole = best of four clubs. Par 3s: the scratch approach table from the tee minus the teed-ball bonus. The course adjustment is spread across holes (SI weight) and, within a hole, across off-green shots only.</t>
  </si>
  <si>
    <t xml:space="preserve">Holes, pars, yardages, stroke index: Golfify scorecard for Fox Creek Golf Club (Green tees). Width/trouble from you.</t>
  </si>
  <si>
    <t xml:space="preserve">Round ID</t>
  </si>
  <si>
    <t xml:space="preserve">Start lie</t>
  </si>
  <si>
    <t xml:space="preserve">Start dist</t>
  </si>
  <si>
    <t xml:space="preserve">End lie</t>
  </si>
  <si>
    <t xml:space="preserve">End dist</t>
  </si>
  <si>
    <t xml:space="preserve">Penalty</t>
  </si>
  <si>
    <t xml:space="preserve">Note</t>
  </si>
  <si>
    <t xml:space="preserve">Category</t>
  </si>
  <si>
    <t xml:space="preserve">E start</t>
  </si>
  <si>
    <t xml:space="preserve">E end</t>
  </si>
  <si>
    <t xml:space="preserve">SG vs scratch</t>
  </si>
  <si>
    <t xml:space="preserve">Raw E start</t>
  </si>
  <si>
    <t xml:space="preserve">Raw E end</t>
  </si>
  <si>
    <t xml:space="preserve">Hole raw tee E</t>
  </si>
  <si>
    <t xml:space="preserve">Hole adj</t>
  </si>
  <si>
    <t xml:space="preserve">w start</t>
  </si>
  <si>
    <t xml:space="preserve">w end</t>
  </si>
  <si>
    <t xml:space="preserve">EXAMPLE</t>
  </si>
  <si>
    <t xml:space="preserve">T</t>
  </si>
  <si>
    <t xml:space="preserve">driver</t>
  </si>
  <si>
    <t xml:space="preserve">full SW</t>
  </si>
  <si>
    <t xml:space="preserve">H</t>
  </si>
  <si>
    <t xml:space="preserve">8i</t>
  </si>
  <si>
    <t xml:space="preserve">Holes logged</t>
  </si>
  <si>
    <t xml:space="preserve">Score</t>
  </si>
  <si>
    <t xml:space="preserve">OTT</t>
  </si>
  <si>
    <t xml:space="preserve">APP</t>
  </si>
  <si>
    <t xml:space="preserve">ARG</t>
  </si>
  <si>
    <t xml:space="preserve">PUTT</t>
  </si>
  <si>
    <t xml:space="preserve">Total SG</t>
  </si>
  <si>
    <t xml:space="preserve">Target - score (18-hole check)</t>
  </si>
  <si>
    <t xml:space="preserve">Sanity check: scratch baseline (this workbook) next to approximate PGA Tour values (Broadie, Every Shot Counts). Positive difference = scratch needs more strokes.</t>
  </si>
  <si>
    <t xml:space="preserve">Situation</t>
  </si>
  <si>
    <t xml:space="preserve">Lie</t>
  </si>
  <si>
    <t xml:space="preserve">Distance</t>
  </si>
  <si>
    <t xml:space="preserve">Tour E (approx.)</t>
  </si>
  <si>
    <t xml:space="preserve">Scratch E (this workbook)</t>
  </si>
  <si>
    <t xml:space="preserve">Scratch - Tour</t>
  </si>
  <si>
    <t xml:space="preserve">Putt</t>
  </si>
  <si>
    <t xml:space="preserve">Chip/pitch</t>
  </si>
  <si>
    <t xml:space="preserve">Pitch</t>
  </si>
  <si>
    <t xml:space="preserve">Bunker</t>
  </si>
  <si>
    <t xml:space="preserve">Approach</t>
  </si>
  <si>
    <t xml:space="preserve">Long</t>
  </si>
  <si>
    <t xml:space="preserve">Recovery</t>
  </si>
  <si>
    <t xml:space="preserve">Expected pattern (Broadie): scratch loses most to tour on approach play, then driving, then short game and putting. Tour values are approximate and are NOT used in any calculation.</t>
  </si>
</sst>
</file>

<file path=xl/styles.xml><?xml version="1.0" encoding="utf-8"?>
<styleSheet xmlns="http://schemas.openxmlformats.org/spreadsheetml/2006/main">
  <numFmts count="5">
    <numFmt numFmtId="164" formatCode="General"/>
    <numFmt numFmtId="165" formatCode="0.000"/>
    <numFmt numFmtId="166" formatCode="General"/>
    <numFmt numFmtId="167" formatCode="0.00"/>
    <numFmt numFmtId="168" formatCode="\+0.00;\-0.00;0.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3"/>
      <name val="Arial"/>
      <family val="0"/>
      <charset val="1"/>
    </font>
    <font>
      <b val="true"/>
      <sz val="11"/>
      <color rgb="FFFFFFFF"/>
      <name val="Arial"/>
      <family val="0"/>
      <charset val="1"/>
    </font>
    <font>
      <sz val="11"/>
      <color rgb="FF0000FF"/>
      <name val="Arial"/>
      <family val="0"/>
      <charset val="1"/>
    </font>
    <font>
      <sz val="9"/>
      <name val="Arial"/>
      <family val="0"/>
      <charset val="1"/>
    </font>
    <font>
      <sz val="10"/>
      <name val="Arial"/>
      <family val="0"/>
      <charset val="1"/>
    </font>
    <font>
      <sz val="11"/>
      <color rgb="FF000000"/>
      <name val="Arial"/>
      <family val="0"/>
      <charset val="1"/>
    </font>
    <font>
      <sz val="11"/>
      <color rgb="FF008000"/>
      <name val="Arial"/>
      <family val="0"/>
      <charset val="1"/>
    </font>
    <font>
      <sz val="10"/>
      <name val="Arial"/>
      <family val="2"/>
    </font>
  </fonts>
  <fills count="6">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F00"/>
        <bgColor rgb="FFFFFF00"/>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center" textRotation="0" wrapText="tru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5"/>
  </cols>
  <sheetData>
    <row r="1" customFormat="false" ht="17.35" hidden="false" customHeight="false" outlineLevel="0" collapsed="false">
      <c r="A1" s="1" t="s">
        <v>0</v>
      </c>
    </row>
    <row r="2" customFormat="false" ht="39.5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26.85" hidden="false" customHeight="false" outlineLevel="0" collapsed="false">
      <c r="A7" s="2" t="s">
        <v>5</v>
      </c>
    </row>
    <row r="8" customFormat="false" ht="15" hidden="false" customHeight="false" outlineLevel="0" collapsed="false">
      <c r="A8" s="2" t="s">
        <v>6</v>
      </c>
    </row>
    <row r="9" customFormat="false" ht="26.8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26.85" hidden="false" customHeight="false" outlineLevel="0" collapsed="false">
      <c r="A12" s="2" t="s">
        <v>9</v>
      </c>
    </row>
    <row r="13" customFormat="false" ht="26.85" hidden="false" customHeight="false" outlineLevel="0" collapsed="false">
      <c r="A13" s="2" t="s">
        <v>10</v>
      </c>
    </row>
    <row r="14" customFormat="false" ht="26.85" hidden="false" customHeight="false" outlineLevel="0" collapsed="false">
      <c r="A14" s="2" t="s">
        <v>11</v>
      </c>
    </row>
    <row r="15" customFormat="false" ht="26.85" hidden="false" customHeight="false" outlineLevel="0" collapsed="false">
      <c r="A15" s="2" t="s">
        <v>12</v>
      </c>
    </row>
    <row r="16" customFormat="false" ht="39.55" hidden="false" customHeight="false" outlineLevel="0" collapsed="false">
      <c r="A16" s="2" t="s">
        <v>13</v>
      </c>
    </row>
    <row r="17" customFormat="false" ht="15" hidden="false" customHeight="false" outlineLevel="0" collapsed="false">
      <c r="A17" s="2"/>
    </row>
    <row r="18" customFormat="false" ht="15" hidden="false" customHeight="false" outlineLevel="0" collapsed="false">
      <c r="A18" s="3" t="s">
        <v>14</v>
      </c>
    </row>
    <row r="19" customFormat="false" ht="26.85" hidden="false" customHeight="false" outlineLevel="0" collapsed="false">
      <c r="A19" s="2" t="s">
        <v>15</v>
      </c>
    </row>
    <row r="20" customFormat="false" ht="26.85" hidden="false" customHeight="false" outlineLevel="0" collapsed="false">
      <c r="A20" s="2" t="s">
        <v>16</v>
      </c>
    </row>
    <row r="21" customFormat="false" ht="26.85" hidden="false" customHeight="false" outlineLevel="0" collapsed="false">
      <c r="A2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0"/>
    <col collapsed="false" customWidth="true" hidden="false" outlineLevel="0" max="3" min="3" style="0" width="120"/>
  </cols>
  <sheetData>
    <row r="1" customFormat="false" ht="16.15" hidden="false" customHeight="false" outlineLevel="0" collapsed="false">
      <c r="A1" s="4" t="s">
        <v>18</v>
      </c>
    </row>
    <row r="3" customFormat="false" ht="15" hidden="false" customHeight="false" outlineLevel="0" collapsed="false">
      <c r="A3" s="5" t="s">
        <v>19</v>
      </c>
      <c r="B3" s="5" t="s">
        <v>20</v>
      </c>
      <c r="C3" s="5" t="s">
        <v>21</v>
      </c>
    </row>
    <row r="4" customFormat="false" ht="15" hidden="false" customHeight="false" outlineLevel="0" collapsed="false">
      <c r="A4" s="6" t="s">
        <v>22</v>
      </c>
    </row>
    <row r="5" customFormat="false" ht="15" hidden="false" customHeight="false" outlineLevel="0" collapsed="false">
      <c r="A5" s="7" t="s">
        <v>23</v>
      </c>
      <c r="B5" s="8" t="n">
        <v>59.9</v>
      </c>
      <c r="C5" s="9" t="s">
        <v>24</v>
      </c>
    </row>
    <row r="6" customFormat="false" ht="15" hidden="false" customHeight="false" outlineLevel="0" collapsed="false">
      <c r="A6" s="7" t="s">
        <v>25</v>
      </c>
      <c r="B6" s="8" t="n">
        <v>2.4</v>
      </c>
      <c r="C6" s="9" t="s">
        <v>26</v>
      </c>
    </row>
    <row r="7" customFormat="false" ht="15" hidden="false" customHeight="false" outlineLevel="0" collapsed="false">
      <c r="A7" s="7" t="s">
        <v>27</v>
      </c>
      <c r="B7" s="8" t="n">
        <v>0</v>
      </c>
      <c r="C7" s="9" t="s">
        <v>28</v>
      </c>
    </row>
    <row r="8" customFormat="false" ht="15" hidden="false" customHeight="false" outlineLevel="0" collapsed="false">
      <c r="A8" s="7" t="s">
        <v>29</v>
      </c>
      <c r="B8" s="8" t="n">
        <v>1.85</v>
      </c>
      <c r="C8" s="9" t="s">
        <v>30</v>
      </c>
    </row>
    <row r="9" customFormat="false" ht="15" hidden="false" customHeight="false" outlineLevel="0" collapsed="false">
      <c r="A9" s="7" t="s">
        <v>31</v>
      </c>
      <c r="B9" s="8" t="n">
        <v>0</v>
      </c>
      <c r="C9" s="9" t="s">
        <v>32</v>
      </c>
    </row>
    <row r="10" customFormat="false" ht="15" hidden="false" customHeight="false" outlineLevel="0" collapsed="false">
      <c r="A10" s="6" t="s">
        <v>33</v>
      </c>
    </row>
    <row r="11" customFormat="false" ht="15" hidden="false" customHeight="false" outlineLevel="0" collapsed="false">
      <c r="A11" s="7" t="s">
        <v>34</v>
      </c>
      <c r="B11" s="8" t="n">
        <v>0.7</v>
      </c>
      <c r="C11" s="9" t="s">
        <v>35</v>
      </c>
    </row>
    <row r="12" customFormat="false" ht="15" hidden="false" customHeight="false" outlineLevel="0" collapsed="false">
      <c r="A12" s="7" t="s">
        <v>36</v>
      </c>
      <c r="B12" s="8" t="n">
        <v>0.8</v>
      </c>
      <c r="C12" s="9" t="s">
        <v>37</v>
      </c>
    </row>
    <row r="13" customFormat="false" ht="15" hidden="false" customHeight="false" outlineLevel="0" collapsed="false">
      <c r="A13" s="7" t="s">
        <v>38</v>
      </c>
      <c r="B13" s="8" t="n">
        <v>1.25</v>
      </c>
      <c r="C13" s="9" t="s">
        <v>39</v>
      </c>
    </row>
    <row r="14" customFormat="false" ht="15" hidden="false" customHeight="false" outlineLevel="0" collapsed="false">
      <c r="A14" s="7" t="s">
        <v>40</v>
      </c>
      <c r="B14" s="8" t="n">
        <v>0.1</v>
      </c>
      <c r="C14" s="9" t="s">
        <v>41</v>
      </c>
    </row>
    <row r="15" customFormat="false" ht="15" hidden="false" customHeight="false" outlineLevel="0" collapsed="false">
      <c r="A15" s="7" t="s">
        <v>42</v>
      </c>
      <c r="B15" s="8" t="n">
        <v>0.65</v>
      </c>
      <c r="C15" s="9" t="s">
        <v>41</v>
      </c>
    </row>
    <row r="16" customFormat="false" ht="15" hidden="false" customHeight="false" outlineLevel="0" collapsed="false">
      <c r="A16" s="7" t="s">
        <v>43</v>
      </c>
      <c r="B16" s="8" t="n">
        <v>1.3</v>
      </c>
      <c r="C16" s="9" t="s">
        <v>41</v>
      </c>
    </row>
    <row r="17" customFormat="false" ht="15" hidden="false" customHeight="false" outlineLevel="0" collapsed="false">
      <c r="A17" s="7" t="s">
        <v>44</v>
      </c>
      <c r="B17" s="8" t="n">
        <v>0.2</v>
      </c>
      <c r="C17" s="9" t="s">
        <v>41</v>
      </c>
    </row>
    <row r="18" customFormat="false" ht="15" hidden="false" customHeight="false" outlineLevel="0" collapsed="false">
      <c r="A18" s="7" t="s">
        <v>45</v>
      </c>
      <c r="B18" s="8" t="n">
        <v>0.2</v>
      </c>
      <c r="C18" s="9" t="s">
        <v>46</v>
      </c>
    </row>
    <row r="19" customFormat="false" ht="15" hidden="false" customHeight="false" outlineLevel="0" collapsed="false">
      <c r="A19" s="7" t="s">
        <v>47</v>
      </c>
      <c r="B19" s="8" t="n">
        <v>0.7</v>
      </c>
      <c r="C19" s="9" t="s">
        <v>48</v>
      </c>
    </row>
    <row r="20" customFormat="false" ht="15" hidden="false" customHeight="false" outlineLevel="0" collapsed="false">
      <c r="A20" s="7" t="s">
        <v>49</v>
      </c>
      <c r="B20" s="8" t="n">
        <v>220</v>
      </c>
      <c r="C20" s="9" t="s">
        <v>50</v>
      </c>
    </row>
    <row r="21" customFormat="false" ht="15" hidden="false" customHeight="false" outlineLevel="0" collapsed="false">
      <c r="A21" s="7" t="s">
        <v>51</v>
      </c>
      <c r="B21" s="8" t="n">
        <v>190</v>
      </c>
      <c r="C21" s="9" t="s">
        <v>41</v>
      </c>
    </row>
    <row r="22" customFormat="false" ht="15" hidden="false" customHeight="false" outlineLevel="0" collapsed="false">
      <c r="A22" s="7" t="s">
        <v>52</v>
      </c>
      <c r="B22" s="8" t="n">
        <v>170</v>
      </c>
      <c r="C22" s="9" t="s">
        <v>41</v>
      </c>
    </row>
    <row r="23" customFormat="false" ht="15" hidden="false" customHeight="false" outlineLevel="0" collapsed="false">
      <c r="A23" s="7" t="s">
        <v>53</v>
      </c>
      <c r="B23" s="8" t="n">
        <v>100</v>
      </c>
      <c r="C23" s="9" t="s">
        <v>54</v>
      </c>
    </row>
    <row r="24" customFormat="false" ht="15" hidden="false" customHeight="false" outlineLevel="0" collapsed="false">
      <c r="A24" s="7" t="s">
        <v>55</v>
      </c>
      <c r="B24" s="8" t="n">
        <v>0.1</v>
      </c>
      <c r="C24" s="9" t="s">
        <v>41</v>
      </c>
    </row>
    <row r="25" customFormat="false" ht="15" hidden="false" customHeight="false" outlineLevel="0" collapsed="false">
      <c r="A25" s="6" t="s">
        <v>56</v>
      </c>
    </row>
    <row r="26" customFormat="false" ht="15" hidden="false" customHeight="false" outlineLevel="0" collapsed="false">
      <c r="A26" s="7" t="s">
        <v>57</v>
      </c>
      <c r="B26" s="8" t="n">
        <v>0.7</v>
      </c>
      <c r="C26" s="9" t="s">
        <v>58</v>
      </c>
    </row>
    <row r="27" customFormat="false" ht="15" hidden="false" customHeight="false" outlineLevel="0" collapsed="false">
      <c r="A27" s="7" t="s">
        <v>59</v>
      </c>
      <c r="B27" s="8" t="n">
        <v>45</v>
      </c>
      <c r="C27" s="9" t="s">
        <v>60</v>
      </c>
    </row>
    <row r="28" customFormat="false" ht="15" hidden="false" customHeight="false" outlineLevel="0" collapsed="false">
      <c r="A28" s="7" t="s">
        <v>61</v>
      </c>
      <c r="B28" s="8" t="n">
        <v>262</v>
      </c>
      <c r="C28" s="9" t="s">
        <v>62</v>
      </c>
    </row>
    <row r="29" customFormat="false" ht="15" hidden="false" customHeight="false" outlineLevel="0" collapsed="false">
      <c r="A29" s="7" t="s">
        <v>63</v>
      </c>
      <c r="B29" s="8" t="n">
        <v>0.075</v>
      </c>
      <c r="C29" s="9" t="s">
        <v>64</v>
      </c>
    </row>
    <row r="30" customFormat="false" ht="15" hidden="false" customHeight="false" outlineLevel="0" collapsed="false">
      <c r="A30" s="7" t="s">
        <v>65</v>
      </c>
      <c r="B30" s="8" t="n">
        <v>245</v>
      </c>
      <c r="C30" s="9" t="s">
        <v>66</v>
      </c>
    </row>
    <row r="31" customFormat="false" ht="15" hidden="false" customHeight="false" outlineLevel="0" collapsed="false">
      <c r="A31" s="7" t="s">
        <v>67</v>
      </c>
      <c r="B31" s="8" t="n">
        <v>0.08</v>
      </c>
      <c r="C31" s="9" t="s">
        <v>68</v>
      </c>
    </row>
    <row r="32" customFormat="false" ht="15" hidden="false" customHeight="false" outlineLevel="0" collapsed="false">
      <c r="A32" s="7" t="s">
        <v>69</v>
      </c>
      <c r="B32" s="8" t="n">
        <v>203</v>
      </c>
      <c r="C32" s="9" t="s">
        <v>70</v>
      </c>
    </row>
    <row r="33" customFormat="false" ht="15" hidden="false" customHeight="false" outlineLevel="0" collapsed="false">
      <c r="A33" s="7" t="s">
        <v>71</v>
      </c>
      <c r="B33" s="8" t="n">
        <v>0.075</v>
      </c>
      <c r="C33" s="9" t="s">
        <v>72</v>
      </c>
    </row>
    <row r="34" customFormat="false" ht="15" hidden="false" customHeight="false" outlineLevel="0" collapsed="false">
      <c r="A34" s="7" t="s">
        <v>73</v>
      </c>
      <c r="B34" s="8" t="n">
        <v>185</v>
      </c>
      <c r="C34" s="9" t="s">
        <v>74</v>
      </c>
    </row>
    <row r="35" customFormat="false" ht="15" hidden="false" customHeight="false" outlineLevel="0" collapsed="false">
      <c r="A35" s="7" t="s">
        <v>75</v>
      </c>
      <c r="B35" s="8" t="n">
        <v>0.07</v>
      </c>
      <c r="C35" s="9" t="s">
        <v>76</v>
      </c>
    </row>
    <row r="36" customFormat="false" ht="15" hidden="false" customHeight="false" outlineLevel="0" collapsed="false">
      <c r="A36" s="7" t="s">
        <v>77</v>
      </c>
      <c r="B36" s="8" t="n">
        <v>290</v>
      </c>
      <c r="C36" s="9" t="s">
        <v>78</v>
      </c>
    </row>
    <row r="37" customFormat="false" ht="15" hidden="false" customHeight="false" outlineLevel="0" collapsed="false">
      <c r="A37" s="7" t="s">
        <v>79</v>
      </c>
      <c r="B37" s="8" t="n">
        <v>0.1</v>
      </c>
      <c r="C37" s="9" t="s">
        <v>80</v>
      </c>
    </row>
    <row r="38" customFormat="false" ht="15" hidden="false" customHeight="false" outlineLevel="0" collapsed="false">
      <c r="A38" s="7" t="s">
        <v>81</v>
      </c>
      <c r="B38" s="8" t="n">
        <v>215</v>
      </c>
      <c r="C38" s="9"/>
    </row>
    <row r="39" customFormat="false" ht="15" hidden="false" customHeight="false" outlineLevel="0" collapsed="false">
      <c r="A39" s="7" t="s">
        <v>82</v>
      </c>
      <c r="B39" s="8" t="n">
        <v>0.085</v>
      </c>
      <c r="C39" s="9" t="s">
        <v>80</v>
      </c>
    </row>
    <row r="40" customFormat="false" ht="15" hidden="false" customHeight="false" outlineLevel="0" collapsed="false">
      <c r="A40" s="7" t="s">
        <v>83</v>
      </c>
      <c r="B40" s="8" t="n">
        <v>240</v>
      </c>
      <c r="C40" s="9"/>
    </row>
    <row r="41" customFormat="false" ht="15" hidden="false" customHeight="false" outlineLevel="0" collapsed="false">
      <c r="A41" s="7" t="s">
        <v>84</v>
      </c>
      <c r="B41" s="8" t="n">
        <v>0.09</v>
      </c>
      <c r="C41" s="9" t="s">
        <v>80</v>
      </c>
    </row>
    <row r="42" customFormat="false" ht="15" hidden="false" customHeight="false" outlineLevel="0" collapsed="false">
      <c r="A42" s="7" t="s">
        <v>85</v>
      </c>
      <c r="B42" s="8" t="n">
        <v>186</v>
      </c>
      <c r="C42" s="9"/>
    </row>
    <row r="43" customFormat="false" ht="15" hidden="false" customHeight="false" outlineLevel="0" collapsed="false">
      <c r="A43" s="7" t="s">
        <v>86</v>
      </c>
      <c r="B43" s="8" t="n">
        <v>0.075</v>
      </c>
      <c r="C43" s="9"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3"/>
    <col collapsed="false" customWidth="true" hidden="false" outlineLevel="0" max="6" min="6" style="0" width="3"/>
    <col collapsed="false" customWidth="true" hidden="false" outlineLevel="0" max="10" min="7" style="0" width="13"/>
    <col collapsed="false" customWidth="true" hidden="false" outlineLevel="0" max="11" min="11" style="0" width="3"/>
    <col collapsed="false" customWidth="true" hidden="false" outlineLevel="0" max="13" min="12" style="0" width="13"/>
    <col collapsed="false" customWidth="true" hidden="false" outlineLevel="0" max="14" min="14" style="0" width="3"/>
    <col collapsed="false" customWidth="true" hidden="false" outlineLevel="0" max="16" min="15" style="0" width="13"/>
  </cols>
  <sheetData>
    <row r="1" customFormat="false" ht="16.15" hidden="false" customHeight="false" outlineLevel="0" collapsed="false">
      <c r="A1" s="4" t="s">
        <v>87</v>
      </c>
    </row>
    <row r="4" customFormat="false" ht="39.55" hidden="false" customHeight="false" outlineLevel="0" collapsed="false">
      <c r="A4" s="5" t="s">
        <v>88</v>
      </c>
      <c r="B4" s="5" t="s">
        <v>89</v>
      </c>
      <c r="C4" s="5" t="s">
        <v>90</v>
      </c>
      <c r="D4" s="5" t="s">
        <v>91</v>
      </c>
      <c r="E4" s="5" t="s">
        <v>92</v>
      </c>
      <c r="G4" s="5" t="s">
        <v>93</v>
      </c>
      <c r="H4" s="5" t="s">
        <v>94</v>
      </c>
      <c r="I4" s="5" t="s">
        <v>95</v>
      </c>
      <c r="J4" s="5" t="s">
        <v>96</v>
      </c>
      <c r="L4" s="5" t="s">
        <v>97</v>
      </c>
      <c r="M4" s="5" t="s">
        <v>98</v>
      </c>
      <c r="O4" s="5" t="s">
        <v>99</v>
      </c>
      <c r="P4" s="5" t="s">
        <v>98</v>
      </c>
    </row>
    <row r="5" customFormat="false" ht="15" hidden="false" customHeight="false" outlineLevel="0" collapsed="false">
      <c r="A5" s="7" t="n">
        <v>1</v>
      </c>
      <c r="B5" s="8" t="n">
        <v>1</v>
      </c>
      <c r="C5" s="8" t="n">
        <v>0</v>
      </c>
      <c r="D5" s="8" t="n">
        <v>0</v>
      </c>
      <c r="E5" s="10" t="n">
        <f aca="false">2-B5+C5+D5</f>
        <v>1</v>
      </c>
      <c r="G5" s="7" t="n">
        <v>50</v>
      </c>
      <c r="H5" s="8" t="n">
        <v>0.8</v>
      </c>
      <c r="I5" s="8" t="n">
        <v>14</v>
      </c>
      <c r="J5" s="8" t="n">
        <v>2.45</v>
      </c>
      <c r="L5" s="7" t="n">
        <v>5</v>
      </c>
      <c r="M5" s="8" t="n">
        <v>2.18</v>
      </c>
      <c r="O5" s="7" t="n">
        <v>5</v>
      </c>
      <c r="P5" s="8" t="n">
        <v>2.55</v>
      </c>
    </row>
    <row r="6" customFormat="false" ht="15" hidden="false" customHeight="false" outlineLevel="0" collapsed="false">
      <c r="A6" s="7" t="n">
        <v>2</v>
      </c>
      <c r="B6" s="8" t="n">
        <v>0.99</v>
      </c>
      <c r="C6" s="8" t="n">
        <v>0</v>
      </c>
      <c r="D6" s="8" t="n">
        <v>0</v>
      </c>
      <c r="E6" s="10" t="n">
        <f aca="false">2-B6+C6+D6</f>
        <v>1.01</v>
      </c>
      <c r="G6" s="7" t="n">
        <v>75</v>
      </c>
      <c r="H6" s="8" t="n">
        <v>0.75</v>
      </c>
      <c r="I6" s="8" t="n">
        <v>17</v>
      </c>
      <c r="J6" s="8" t="n">
        <v>2.48</v>
      </c>
      <c r="L6" s="7" t="n">
        <v>10</v>
      </c>
      <c r="M6" s="8" t="n">
        <v>2.3</v>
      </c>
      <c r="O6" s="7" t="n">
        <v>10</v>
      </c>
      <c r="P6" s="8" t="n">
        <v>2.62</v>
      </c>
    </row>
    <row r="7" customFormat="false" ht="15" hidden="false" customHeight="false" outlineLevel="0" collapsed="false">
      <c r="A7" s="7" t="n">
        <v>3</v>
      </c>
      <c r="B7" s="8" t="n">
        <v>0.94</v>
      </c>
      <c r="C7" s="8" t="n">
        <v>0</v>
      </c>
      <c r="D7" s="8" t="n">
        <v>0</v>
      </c>
      <c r="E7" s="10" t="n">
        <f aca="false">2-B7+C7+D7</f>
        <v>1.06</v>
      </c>
      <c r="G7" s="7" t="n">
        <v>100</v>
      </c>
      <c r="H7" s="8" t="n">
        <v>0.68</v>
      </c>
      <c r="I7" s="8" t="n">
        <v>21</v>
      </c>
      <c r="J7" s="8" t="n">
        <v>2.5</v>
      </c>
      <c r="L7" s="7" t="n">
        <v>15</v>
      </c>
      <c r="M7" s="8" t="n">
        <v>2.38</v>
      </c>
      <c r="O7" s="7" t="n">
        <v>15</v>
      </c>
      <c r="P7" s="8" t="n">
        <v>2.68</v>
      </c>
    </row>
    <row r="8" customFormat="false" ht="15" hidden="false" customHeight="false" outlineLevel="0" collapsed="false">
      <c r="A8" s="7" t="n">
        <v>4</v>
      </c>
      <c r="B8" s="8" t="n">
        <v>0.84</v>
      </c>
      <c r="C8" s="8" t="n">
        <v>0.001</v>
      </c>
      <c r="D8" s="8" t="n">
        <v>0</v>
      </c>
      <c r="E8" s="10" t="n">
        <f aca="false">2-B8+C8+D8</f>
        <v>1.161</v>
      </c>
      <c r="G8" s="7" t="n">
        <v>125</v>
      </c>
      <c r="H8" s="8" t="n">
        <v>0.62</v>
      </c>
      <c r="I8" s="8" t="n">
        <v>25</v>
      </c>
      <c r="J8" s="8" t="n">
        <v>2.55</v>
      </c>
      <c r="L8" s="7" t="n">
        <v>20</v>
      </c>
      <c r="M8" s="8" t="n">
        <v>2.44</v>
      </c>
      <c r="O8" s="7" t="n">
        <v>20</v>
      </c>
      <c r="P8" s="8" t="n">
        <v>2.75</v>
      </c>
    </row>
    <row r="9" customFormat="false" ht="15" hidden="false" customHeight="false" outlineLevel="0" collapsed="false">
      <c r="A9" s="7" t="n">
        <v>5</v>
      </c>
      <c r="B9" s="8" t="n">
        <v>0.73</v>
      </c>
      <c r="C9" s="8" t="n">
        <v>0.002</v>
      </c>
      <c r="D9" s="8" t="n">
        <v>0</v>
      </c>
      <c r="E9" s="10" t="n">
        <f aca="false">2-B9+C9+D9</f>
        <v>1.272</v>
      </c>
      <c r="G9" s="7" t="n">
        <v>150</v>
      </c>
      <c r="H9" s="8" t="n">
        <v>0.55</v>
      </c>
      <c r="I9" s="8" t="n">
        <v>30</v>
      </c>
      <c r="J9" s="8" t="n">
        <v>2.6</v>
      </c>
      <c r="L9" s="7" t="n">
        <v>25</v>
      </c>
      <c r="M9" s="8" t="n">
        <v>2.5</v>
      </c>
      <c r="O9" s="7" t="n">
        <v>30</v>
      </c>
      <c r="P9" s="8" t="n">
        <v>2.86</v>
      </c>
    </row>
    <row r="10" customFormat="false" ht="15" hidden="false" customHeight="false" outlineLevel="0" collapsed="false">
      <c r="A10" s="7" t="n">
        <v>6</v>
      </c>
      <c r="B10" s="8" t="n">
        <v>0.62</v>
      </c>
      <c r="C10" s="8" t="n">
        <v>0.003</v>
      </c>
      <c r="D10" s="8" t="n">
        <v>0</v>
      </c>
      <c r="E10" s="10" t="n">
        <f aca="false">2-B10+C10+D10</f>
        <v>1.383</v>
      </c>
      <c r="G10" s="7" t="n">
        <v>175</v>
      </c>
      <c r="H10" s="8" t="n">
        <v>0.47</v>
      </c>
      <c r="I10" s="8" t="n">
        <v>36</v>
      </c>
      <c r="J10" s="8" t="n">
        <v>2.65</v>
      </c>
      <c r="L10" s="7" t="n">
        <v>30</v>
      </c>
      <c r="M10" s="8" t="n">
        <v>2.58</v>
      </c>
      <c r="O10" s="7" t="n">
        <v>40</v>
      </c>
      <c r="P10" s="8" t="n">
        <v>3</v>
      </c>
    </row>
    <row r="11" customFormat="false" ht="15" hidden="false" customHeight="false" outlineLevel="0" collapsed="false">
      <c r="A11" s="7" t="n">
        <v>8</v>
      </c>
      <c r="B11" s="8" t="n">
        <v>0.47</v>
      </c>
      <c r="C11" s="8" t="n">
        <v>0.006</v>
      </c>
      <c r="D11" s="8" t="n">
        <v>0</v>
      </c>
      <c r="E11" s="10" t="n">
        <f aca="false">2-B11+C11+D11</f>
        <v>1.536</v>
      </c>
      <c r="G11" s="7" t="n">
        <v>200</v>
      </c>
      <c r="H11" s="8" t="n">
        <v>0.38</v>
      </c>
      <c r="I11" s="8" t="n">
        <v>42</v>
      </c>
      <c r="J11" s="8" t="n">
        <v>2.72</v>
      </c>
      <c r="L11" s="7" t="n">
        <v>40</v>
      </c>
      <c r="M11" s="8" t="n">
        <v>2.68</v>
      </c>
      <c r="O11" s="7" t="n">
        <v>50</v>
      </c>
      <c r="P11" s="8" t="n">
        <v>3.08</v>
      </c>
    </row>
    <row r="12" customFormat="false" ht="15" hidden="false" customHeight="false" outlineLevel="0" collapsed="false">
      <c r="A12" s="7" t="n">
        <v>10</v>
      </c>
      <c r="B12" s="8" t="n">
        <v>0.36</v>
      </c>
      <c r="C12" s="8" t="n">
        <v>0.012</v>
      </c>
      <c r="D12" s="8" t="n">
        <v>0</v>
      </c>
      <c r="E12" s="10" t="n">
        <f aca="false">2-B12+C12+D12</f>
        <v>1.652</v>
      </c>
      <c r="G12" s="7" t="n">
        <v>225</v>
      </c>
      <c r="H12" s="8" t="n">
        <v>0.3</v>
      </c>
      <c r="I12" s="8" t="n">
        <v>48</v>
      </c>
      <c r="J12" s="8" t="n">
        <v>2.8</v>
      </c>
      <c r="L12" s="7" t="n">
        <v>50</v>
      </c>
      <c r="M12" s="8" t="n">
        <v>2.8</v>
      </c>
    </row>
    <row r="13" customFormat="false" ht="15" hidden="false" customHeight="false" outlineLevel="0" collapsed="false">
      <c r="A13" s="7" t="n">
        <v>12</v>
      </c>
      <c r="B13" s="8" t="n">
        <v>0.29</v>
      </c>
      <c r="C13" s="8" t="n">
        <v>0.02</v>
      </c>
      <c r="D13" s="8" t="n">
        <v>0</v>
      </c>
      <c r="E13" s="10" t="n">
        <f aca="false">2-B13+C13+D13</f>
        <v>1.73</v>
      </c>
      <c r="G13" s="7" t="n">
        <v>250</v>
      </c>
      <c r="H13" s="8" t="n">
        <v>0.22</v>
      </c>
      <c r="I13" s="8" t="n">
        <v>55</v>
      </c>
      <c r="J13" s="8" t="n">
        <v>2.9</v>
      </c>
    </row>
    <row r="14" customFormat="false" ht="15" hidden="false" customHeight="false" outlineLevel="0" collapsed="false">
      <c r="A14" s="7" t="n">
        <v>15</v>
      </c>
      <c r="B14" s="8" t="n">
        <v>0.22</v>
      </c>
      <c r="C14" s="8" t="n">
        <v>0.03</v>
      </c>
      <c r="D14" s="8" t="n">
        <v>0</v>
      </c>
      <c r="E14" s="10" t="n">
        <f aca="false">2-B14+C14+D14</f>
        <v>1.81</v>
      </c>
    </row>
    <row r="15" customFormat="false" ht="15" hidden="false" customHeight="false" outlineLevel="0" collapsed="false">
      <c r="A15" s="7" t="n">
        <v>20</v>
      </c>
      <c r="B15" s="8" t="n">
        <v>0.14</v>
      </c>
      <c r="C15" s="8" t="n">
        <v>0.055</v>
      </c>
      <c r="D15" s="8" t="n">
        <v>0.001</v>
      </c>
      <c r="E15" s="10" t="n">
        <f aca="false">2-B15+C15+D15</f>
        <v>1.916</v>
      </c>
    </row>
    <row r="16" customFormat="false" ht="15" hidden="false" customHeight="false" outlineLevel="0" collapsed="false">
      <c r="A16" s="7" t="n">
        <v>25</v>
      </c>
      <c r="B16" s="8" t="n">
        <v>0.095</v>
      </c>
      <c r="C16" s="8" t="n">
        <v>0.09</v>
      </c>
      <c r="D16" s="8" t="n">
        <v>0.002</v>
      </c>
      <c r="E16" s="10" t="n">
        <f aca="false">2-B16+C16+D16</f>
        <v>1.997</v>
      </c>
    </row>
    <row r="17" customFormat="false" ht="15" hidden="false" customHeight="false" outlineLevel="0" collapsed="false">
      <c r="A17" s="7" t="n">
        <v>30</v>
      </c>
      <c r="B17" s="8" t="n">
        <v>0.065</v>
      </c>
      <c r="C17" s="8" t="n">
        <v>0.13</v>
      </c>
      <c r="D17" s="8" t="n">
        <v>0.003</v>
      </c>
      <c r="E17" s="10" t="n">
        <f aca="false">2-B17+C17+D17</f>
        <v>2.068</v>
      </c>
    </row>
    <row r="18" customFormat="false" ht="15" hidden="false" customHeight="false" outlineLevel="0" collapsed="false">
      <c r="A18" s="7" t="n">
        <v>40</v>
      </c>
      <c r="B18" s="8" t="n">
        <v>0.035</v>
      </c>
      <c r="C18" s="8" t="n">
        <v>0.2</v>
      </c>
      <c r="D18" s="8" t="n">
        <v>0.005</v>
      </c>
      <c r="E18" s="10" t="n">
        <f aca="false">2-B18+C18+D18</f>
        <v>2.17</v>
      </c>
    </row>
    <row r="19" customFormat="false" ht="15" hidden="false" customHeight="false" outlineLevel="0" collapsed="false">
      <c r="A19" s="7" t="n">
        <v>50</v>
      </c>
      <c r="B19" s="8" t="n">
        <v>0.025</v>
      </c>
      <c r="C19" s="8" t="n">
        <v>0.27</v>
      </c>
      <c r="D19" s="8" t="n">
        <v>0.01</v>
      </c>
      <c r="E19" s="10" t="n">
        <f aca="false">2-B19+C19+D19</f>
        <v>2.255</v>
      </c>
    </row>
    <row r="20" customFormat="false" ht="15" hidden="false" customHeight="false" outlineLevel="0" collapsed="false">
      <c r="A20" s="7" t="n">
        <v>60</v>
      </c>
      <c r="B20" s="8" t="n">
        <v>0.018</v>
      </c>
      <c r="C20" s="8" t="n">
        <v>0.34</v>
      </c>
      <c r="D20" s="8" t="n">
        <v>0.015</v>
      </c>
      <c r="E20" s="10" t="n">
        <f aca="false">2-B20+C20+D20</f>
        <v>2.337</v>
      </c>
    </row>
    <row r="21" customFormat="false" ht="15" hidden="false" customHeight="false" outlineLevel="0" collapsed="false">
      <c r="A21" s="7" t="n">
        <v>80</v>
      </c>
      <c r="B21" s="8" t="n">
        <v>0.01</v>
      </c>
      <c r="C21" s="8" t="n">
        <v>0.45</v>
      </c>
      <c r="D21" s="8" t="n">
        <v>0.025</v>
      </c>
      <c r="E21" s="10" t="n">
        <f aca="false">2-B21+C21+D21</f>
        <v>2.465</v>
      </c>
    </row>
    <row r="22" customFormat="false" ht="15" hidden="false" customHeight="false" outlineLevel="0" collapsed="false">
      <c r="A22" s="7" t="n">
        <v>100</v>
      </c>
      <c r="B22" s="8" t="n">
        <v>0.005</v>
      </c>
      <c r="C22" s="8" t="n">
        <v>0.53</v>
      </c>
      <c r="D22" s="8" t="n">
        <v>0.035</v>
      </c>
      <c r="E22" s="10" t="n">
        <f aca="false">2-B22+C22+D22</f>
        <v>2.56</v>
      </c>
    </row>
    <row r="26" customFormat="false" ht="15" hidden="false" customHeight="true" outlineLevel="0" collapsed="false">
      <c r="A26" s="11" t="s">
        <v>100</v>
      </c>
      <c r="B26" s="11"/>
      <c r="C26" s="11"/>
      <c r="D26" s="11"/>
      <c r="E26" s="11"/>
      <c r="F26" s="11"/>
      <c r="G26" s="11"/>
      <c r="H26" s="11"/>
      <c r="I26" s="11"/>
      <c r="J26" s="11"/>
      <c r="K26" s="11"/>
      <c r="L26" s="11"/>
      <c r="M26" s="11"/>
      <c r="N26" s="11"/>
      <c r="O26" s="11"/>
      <c r="P26" s="11"/>
    </row>
    <row r="27" customFormat="false" ht="30" hidden="false" customHeight="true" outlineLevel="0" collapsed="false">
      <c r="A27" s="12" t="s">
        <v>101</v>
      </c>
      <c r="B27" s="12"/>
      <c r="C27" s="12"/>
      <c r="D27" s="12"/>
      <c r="E27" s="12"/>
      <c r="F27" s="12"/>
      <c r="G27" s="12"/>
      <c r="H27" s="12"/>
      <c r="I27" s="12"/>
      <c r="J27" s="12"/>
      <c r="K27" s="12"/>
      <c r="L27" s="12"/>
      <c r="M27" s="12"/>
      <c r="N27" s="12"/>
      <c r="O27" s="12"/>
      <c r="P27" s="12"/>
    </row>
    <row r="28" customFormat="false" ht="30" hidden="false" customHeight="true" outlineLevel="0" collapsed="false">
      <c r="A28" s="12" t="s">
        <v>102</v>
      </c>
      <c r="B28" s="12"/>
      <c r="C28" s="12"/>
      <c r="D28" s="12"/>
      <c r="E28" s="12"/>
      <c r="F28" s="12"/>
      <c r="G28" s="12"/>
      <c r="H28" s="12"/>
      <c r="I28" s="12"/>
      <c r="J28" s="12"/>
      <c r="K28" s="12"/>
      <c r="L28" s="12"/>
      <c r="M28" s="12"/>
      <c r="N28" s="12"/>
      <c r="O28" s="12"/>
      <c r="P28" s="12"/>
    </row>
    <row r="29" customFormat="false" ht="30" hidden="false" customHeight="true" outlineLevel="0" collapsed="false">
      <c r="A29" s="12" t="s">
        <v>103</v>
      </c>
      <c r="B29" s="12"/>
      <c r="C29" s="12"/>
      <c r="D29" s="12"/>
      <c r="E29" s="12"/>
      <c r="F29" s="12"/>
      <c r="G29" s="12"/>
      <c r="H29" s="12"/>
      <c r="I29" s="12"/>
      <c r="J29" s="12"/>
      <c r="K29" s="12"/>
      <c r="L29" s="12"/>
      <c r="M29" s="12"/>
      <c r="N29" s="12"/>
      <c r="O29" s="12"/>
      <c r="P29" s="12"/>
    </row>
    <row r="30" customFormat="false" ht="15" hidden="false" customHeight="true" outlineLevel="0" collapsed="false">
      <c r="A30" s="12" t="s">
        <v>104</v>
      </c>
      <c r="B30" s="12"/>
      <c r="C30" s="12"/>
      <c r="D30" s="12"/>
      <c r="E30" s="12"/>
      <c r="F30" s="12"/>
      <c r="G30" s="12"/>
      <c r="H30" s="12"/>
      <c r="I30" s="12"/>
      <c r="J30" s="12"/>
      <c r="K30" s="12"/>
      <c r="L30" s="12"/>
      <c r="M30" s="12"/>
      <c r="N30" s="12"/>
      <c r="O30" s="12"/>
      <c r="P30" s="12"/>
    </row>
    <row r="31" customFormat="false" ht="15" hidden="false" customHeight="true" outlineLevel="0" collapsed="false">
      <c r="A31" s="11" t="s">
        <v>105</v>
      </c>
      <c r="B31" s="11"/>
      <c r="C31" s="11"/>
      <c r="D31" s="11"/>
      <c r="E31" s="11"/>
      <c r="F31" s="11"/>
      <c r="G31" s="11"/>
      <c r="H31" s="11"/>
      <c r="I31" s="11"/>
      <c r="J31" s="11"/>
      <c r="K31" s="11"/>
      <c r="L31" s="11"/>
      <c r="M31" s="11"/>
      <c r="N31" s="11"/>
      <c r="O31" s="11"/>
      <c r="P31" s="11"/>
    </row>
    <row r="32" customFormat="false" ht="30" hidden="false" customHeight="true" outlineLevel="0" collapsed="false">
      <c r="A32" s="12" t="s">
        <v>106</v>
      </c>
      <c r="B32" s="12"/>
      <c r="C32" s="12"/>
      <c r="D32" s="12"/>
      <c r="E32" s="12"/>
      <c r="F32" s="12"/>
      <c r="G32" s="12"/>
      <c r="H32" s="12"/>
      <c r="I32" s="12"/>
      <c r="J32" s="12"/>
      <c r="K32" s="12"/>
      <c r="L32" s="12"/>
      <c r="M32" s="12"/>
      <c r="N32" s="12"/>
      <c r="O32" s="12"/>
      <c r="P32" s="12"/>
    </row>
    <row r="33" customFormat="false" ht="30" hidden="false" customHeight="true" outlineLevel="0" collapsed="false">
      <c r="A33" s="12" t="s">
        <v>107</v>
      </c>
      <c r="B33" s="12"/>
      <c r="C33" s="12"/>
      <c r="D33" s="12"/>
      <c r="E33" s="12"/>
      <c r="F33" s="12"/>
      <c r="G33" s="12"/>
      <c r="H33" s="12"/>
      <c r="I33" s="12"/>
      <c r="J33" s="12"/>
      <c r="K33" s="12"/>
      <c r="L33" s="12"/>
      <c r="M33" s="12"/>
      <c r="N33" s="12"/>
      <c r="O33" s="12"/>
      <c r="P33" s="12"/>
    </row>
    <row r="34" customFormat="false" ht="15" hidden="false" customHeight="true" outlineLevel="0" collapsed="false">
      <c r="A34" s="12" t="s">
        <v>108</v>
      </c>
      <c r="B34" s="12"/>
      <c r="C34" s="12"/>
      <c r="D34" s="12"/>
      <c r="E34" s="12"/>
      <c r="F34" s="12"/>
      <c r="G34" s="12"/>
      <c r="H34" s="12"/>
      <c r="I34" s="12"/>
      <c r="J34" s="12"/>
      <c r="K34" s="12"/>
      <c r="L34" s="12"/>
      <c r="M34" s="12"/>
      <c r="N34" s="12"/>
      <c r="O34" s="12"/>
      <c r="P34" s="12"/>
    </row>
    <row r="35" customFormat="false" ht="15" hidden="false" customHeight="true" outlineLevel="0" collapsed="false">
      <c r="A35" s="11" t="s">
        <v>109</v>
      </c>
      <c r="B35" s="11"/>
      <c r="C35" s="11"/>
      <c r="D35" s="11"/>
      <c r="E35" s="11"/>
      <c r="F35" s="11"/>
      <c r="G35" s="11"/>
      <c r="H35" s="11"/>
      <c r="I35" s="11"/>
      <c r="J35" s="11"/>
      <c r="K35" s="11"/>
      <c r="L35" s="11"/>
      <c r="M35" s="11"/>
      <c r="N35" s="11"/>
      <c r="O35" s="11"/>
      <c r="P35" s="11"/>
    </row>
    <row r="36" customFormat="false" ht="30" hidden="false" customHeight="true" outlineLevel="0" collapsed="false">
      <c r="A36" s="12" t="s">
        <v>110</v>
      </c>
      <c r="B36" s="12"/>
      <c r="C36" s="12"/>
      <c r="D36" s="12"/>
      <c r="E36" s="12"/>
      <c r="F36" s="12"/>
      <c r="G36" s="12"/>
      <c r="H36" s="12"/>
      <c r="I36" s="12"/>
      <c r="J36" s="12"/>
      <c r="K36" s="12"/>
      <c r="L36" s="12"/>
      <c r="M36" s="12"/>
      <c r="N36" s="12"/>
      <c r="O36" s="12"/>
      <c r="P36" s="12"/>
    </row>
    <row r="37" customFormat="false" ht="30" hidden="false" customHeight="true" outlineLevel="0" collapsed="false">
      <c r="A37" s="12" t="s">
        <v>111</v>
      </c>
      <c r="B37" s="12"/>
      <c r="C37" s="12"/>
      <c r="D37" s="12"/>
      <c r="E37" s="12"/>
      <c r="F37" s="12"/>
      <c r="G37" s="12"/>
      <c r="H37" s="12"/>
      <c r="I37" s="12"/>
      <c r="J37" s="12"/>
      <c r="K37" s="12"/>
      <c r="L37" s="12"/>
      <c r="M37" s="12"/>
      <c r="N37" s="12"/>
      <c r="O37" s="12"/>
      <c r="P37" s="12"/>
    </row>
    <row r="38" customFormat="false" ht="15" hidden="false" customHeight="true" outlineLevel="0" collapsed="false">
      <c r="A38" s="11" t="s">
        <v>112</v>
      </c>
      <c r="B38" s="11"/>
      <c r="C38" s="11"/>
      <c r="D38" s="11"/>
      <c r="E38" s="11"/>
      <c r="F38" s="11"/>
      <c r="G38" s="11"/>
      <c r="H38" s="11"/>
      <c r="I38" s="11"/>
      <c r="J38" s="11"/>
      <c r="K38" s="11"/>
      <c r="L38" s="11"/>
      <c r="M38" s="11"/>
      <c r="N38" s="11"/>
      <c r="O38" s="11"/>
      <c r="P38" s="11"/>
    </row>
    <row r="39" customFormat="false" ht="15" hidden="false" customHeight="true" outlineLevel="0" collapsed="false">
      <c r="A39" s="12" t="s">
        <v>113</v>
      </c>
      <c r="B39" s="12"/>
      <c r="C39" s="12"/>
      <c r="D39" s="12"/>
      <c r="E39" s="12"/>
      <c r="F39" s="12"/>
      <c r="G39" s="12"/>
      <c r="H39" s="12"/>
      <c r="I39" s="12"/>
      <c r="J39" s="12"/>
      <c r="K39" s="12"/>
      <c r="L39" s="12"/>
      <c r="M39" s="12"/>
      <c r="N39" s="12"/>
      <c r="O39" s="12"/>
      <c r="P39" s="12"/>
    </row>
    <row r="40" customFormat="false" ht="15" hidden="false" customHeight="true" outlineLevel="0" collapsed="false">
      <c r="A40" s="12" t="s">
        <v>114</v>
      </c>
      <c r="B40" s="12"/>
      <c r="C40" s="12"/>
      <c r="D40" s="12"/>
      <c r="E40" s="12"/>
      <c r="F40" s="12"/>
      <c r="G40" s="12"/>
      <c r="H40" s="12"/>
      <c r="I40" s="12"/>
      <c r="J40" s="12"/>
      <c r="K40" s="12"/>
      <c r="L40" s="12"/>
      <c r="M40" s="12"/>
      <c r="N40" s="12"/>
      <c r="O40" s="12"/>
      <c r="P40" s="12"/>
    </row>
    <row r="41" customFormat="false" ht="15" hidden="false" customHeight="true" outlineLevel="0" collapsed="false">
      <c r="A41" s="12" t="s">
        <v>115</v>
      </c>
      <c r="B41" s="12"/>
      <c r="C41" s="12"/>
      <c r="D41" s="12"/>
      <c r="E41" s="12"/>
      <c r="F41" s="12"/>
      <c r="G41" s="12"/>
      <c r="H41" s="12"/>
      <c r="I41" s="12"/>
      <c r="J41" s="12"/>
      <c r="K41" s="12"/>
      <c r="L41" s="12"/>
      <c r="M41" s="12"/>
      <c r="N41" s="12"/>
      <c r="O41" s="12"/>
      <c r="P41" s="12"/>
    </row>
    <row r="42" customFormat="false" ht="30" hidden="false" customHeight="true" outlineLevel="0" collapsed="false">
      <c r="A42" s="12" t="s">
        <v>116</v>
      </c>
      <c r="B42" s="12"/>
      <c r="C42" s="12"/>
      <c r="D42" s="12"/>
      <c r="E42" s="12"/>
      <c r="F42" s="12"/>
      <c r="G42" s="12"/>
      <c r="H42" s="12"/>
      <c r="I42" s="12"/>
      <c r="J42" s="12"/>
      <c r="K42" s="12"/>
      <c r="L42" s="12"/>
      <c r="M42" s="12"/>
      <c r="N42" s="12"/>
      <c r="O42" s="12"/>
      <c r="P42" s="12"/>
    </row>
    <row r="43" customFormat="false" ht="15" hidden="false" customHeight="true" outlineLevel="0" collapsed="false">
      <c r="A43" s="12" t="s">
        <v>117</v>
      </c>
      <c r="B43" s="12"/>
      <c r="C43" s="12"/>
      <c r="D43" s="12"/>
      <c r="E43" s="12"/>
      <c r="F43" s="12"/>
      <c r="G43" s="12"/>
      <c r="H43" s="12"/>
      <c r="I43" s="12"/>
      <c r="J43" s="12"/>
      <c r="K43" s="12"/>
      <c r="L43" s="12"/>
      <c r="M43" s="12"/>
      <c r="N43" s="12"/>
      <c r="O43" s="12"/>
      <c r="P43" s="12"/>
    </row>
    <row r="44" customFormat="false" ht="30" hidden="false" customHeight="true" outlineLevel="0" collapsed="false">
      <c r="A44" s="12" t="s">
        <v>118</v>
      </c>
      <c r="B44" s="12"/>
      <c r="C44" s="12"/>
      <c r="D44" s="12"/>
      <c r="E44" s="12"/>
      <c r="F44" s="12"/>
      <c r="G44" s="12"/>
      <c r="H44" s="12"/>
      <c r="I44" s="12"/>
      <c r="J44" s="12"/>
      <c r="K44" s="12"/>
      <c r="L44" s="12"/>
      <c r="M44" s="12"/>
      <c r="N44" s="12"/>
      <c r="O44" s="12"/>
      <c r="P44" s="12"/>
    </row>
    <row r="45" customFormat="false" ht="30" hidden="false" customHeight="true" outlineLevel="0" collapsed="false">
      <c r="A45" s="12" t="s">
        <v>119</v>
      </c>
      <c r="B45" s="12"/>
      <c r="C45" s="12"/>
      <c r="D45" s="12"/>
      <c r="E45" s="12"/>
      <c r="F45" s="12"/>
      <c r="G45" s="12"/>
      <c r="H45" s="12"/>
      <c r="I45" s="12"/>
      <c r="J45" s="12"/>
      <c r="K45" s="12"/>
      <c r="L45" s="12"/>
      <c r="M45" s="12"/>
      <c r="N45" s="12"/>
      <c r="O45" s="12"/>
      <c r="P45" s="12"/>
    </row>
    <row r="46" customFormat="false" ht="30" hidden="false" customHeight="true" outlineLevel="0" collapsed="false">
      <c r="A46" s="12" t="s">
        <v>120</v>
      </c>
      <c r="B46" s="12"/>
      <c r="C46" s="12"/>
      <c r="D46" s="12"/>
      <c r="E46" s="12"/>
      <c r="F46" s="12"/>
      <c r="G46" s="12"/>
      <c r="H46" s="12"/>
      <c r="I46" s="12"/>
      <c r="J46" s="12"/>
      <c r="K46" s="12"/>
      <c r="L46" s="12"/>
      <c r="M46" s="12"/>
      <c r="N46" s="12"/>
      <c r="O46" s="12"/>
      <c r="P46" s="12"/>
    </row>
    <row r="47" customFormat="false" ht="30" hidden="false" customHeight="true" outlineLevel="0" collapsed="false">
      <c r="A47" s="12" t="s">
        <v>121</v>
      </c>
      <c r="B47" s="12"/>
      <c r="C47" s="12"/>
      <c r="D47" s="12"/>
      <c r="E47" s="12"/>
      <c r="F47" s="12"/>
      <c r="G47" s="12"/>
      <c r="H47" s="12"/>
      <c r="I47" s="12"/>
      <c r="J47" s="12"/>
      <c r="K47" s="12"/>
      <c r="L47" s="12"/>
      <c r="M47" s="12"/>
      <c r="N47" s="12"/>
      <c r="O47" s="12"/>
      <c r="P47" s="12"/>
    </row>
    <row r="48" customFormat="false" ht="30" hidden="false" customHeight="true" outlineLevel="0" collapsed="false">
      <c r="A48" s="12" t="s">
        <v>122</v>
      </c>
      <c r="B48" s="12"/>
      <c r="C48" s="12"/>
      <c r="D48" s="12"/>
      <c r="E48" s="12"/>
      <c r="F48" s="12"/>
      <c r="G48" s="12"/>
      <c r="H48" s="12"/>
      <c r="I48" s="12"/>
      <c r="J48" s="12"/>
      <c r="K48" s="12"/>
      <c r="L48" s="12"/>
      <c r="M48" s="12"/>
      <c r="N48" s="12"/>
      <c r="O48" s="12"/>
      <c r="P48" s="12"/>
    </row>
  </sheetData>
  <mergeCells count="23">
    <mergeCell ref="A26:P26"/>
    <mergeCell ref="A27:P27"/>
    <mergeCell ref="A28:P28"/>
    <mergeCell ref="A29:P29"/>
    <mergeCell ref="A30:P30"/>
    <mergeCell ref="A31:P31"/>
    <mergeCell ref="A32:P32"/>
    <mergeCell ref="A33:P33"/>
    <mergeCell ref="A34:P34"/>
    <mergeCell ref="A35:P35"/>
    <mergeCell ref="A36:P36"/>
    <mergeCell ref="A37:P37"/>
    <mergeCell ref="A38:P38"/>
    <mergeCell ref="A39:P39"/>
    <mergeCell ref="A40:P40"/>
    <mergeCell ref="A41:P41"/>
    <mergeCell ref="A42:P42"/>
    <mergeCell ref="A43:P43"/>
    <mergeCell ref="A44:P44"/>
    <mergeCell ref="A45:P45"/>
    <mergeCell ref="A46:P46"/>
    <mergeCell ref="A47:P47"/>
    <mergeCell ref="A48:P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5" min="2" style="0" width="9"/>
    <col collapsed="false" customWidth="true" hidden="false" outlineLevel="0" max="7" min="6" style="0" width="3"/>
    <col collapsed="false" customWidth="true" hidden="false" outlineLevel="0" max="8" min="8" style="0" width="8"/>
    <col collapsed="false" customWidth="true" hidden="false" outlineLevel="0" max="9" min="9" style="0" width="9"/>
  </cols>
  <sheetData>
    <row r="1" customFormat="false" ht="15" hidden="false" customHeight="false" outlineLevel="0" collapsed="false">
      <c r="A1" s="13" t="s">
        <v>123</v>
      </c>
    </row>
    <row r="2" customFormat="false" ht="15" hidden="false" customHeight="false" outlineLevel="0" collapsed="false">
      <c r="A2" s="5" t="s">
        <v>124</v>
      </c>
      <c r="B2" s="5" t="s">
        <v>125</v>
      </c>
      <c r="C2" s="5" t="s">
        <v>126</v>
      </c>
      <c r="D2" s="5" t="s">
        <v>127</v>
      </c>
      <c r="E2" s="5" t="s">
        <v>128</v>
      </c>
      <c r="H2" s="5" t="s">
        <v>88</v>
      </c>
      <c r="I2" s="5" t="s">
        <v>129</v>
      </c>
    </row>
    <row r="3" customFormat="false" ht="15" hidden="false" customHeight="false" outlineLevel="0" collapsed="false">
      <c r="A3" s="7" t="n">
        <v>5</v>
      </c>
      <c r="B3" s="10" t="n">
        <f aca="false">IF($A3&lt;=50,(INDEX('Scratch Data'!$M$5:$M$12,MATCH($A3,'Scratch Data'!$L$5:$L$12,1))+($A3-INDEX('Scratch Data'!$L$5:$L$12,MATCH($A3,'Scratch Data'!$L$5:$L$12,1)))*(INDEX('Scratch Data'!$M$5:$M$12,MIN(MATCH($A3,'Scratch Data'!$L$5:$L$12,1)+1,ROWS('Scratch Data'!$L$5:$L$12)))-INDEX('Scratch Data'!$M$5:$M$12,MATCH($A3,'Scratch Data'!$L$5:$L$12,1)))/MAX(INDEX('Scratch Data'!$L$5:$L$12,MIN(MATCH($A3,'Scratch Data'!$L$5:$L$12,1)+1,ROWS('Scratch Data'!$L$5:$L$12)))-INDEX('Scratch Data'!$L$5:$L$12,MATCH($A3,'Scratch Data'!$L$5:$L$12,1)),0.0001)),IF($A3&lt;=250,MIN((1+(INDEX('Scratch Data'!$H$5:$H$13,MATCH($A3,'Scratch Data'!$G$5:$G$13,1))+($A3-INDEX('Scratch Data'!$G$5:$G$13,MATCH($A3,'Scratch Data'!$G$5:$G$13,1)))*(INDEX('Scratch Data'!$H$5:$H$13,MIN(MATCH($A3,'Scratch Data'!$G$5:$G$13,1)+1,ROWS('Scratch Data'!$G$5:$G$13)))-INDEX('Scratch Data'!$H$5:$H$13,MATCH($A3,'Scratch Data'!$G$5:$G$13,1)))/MAX(INDEX('Scratch Data'!$G$5:$G$13,MIN(MATCH($A3,'Scratch Data'!$G$5:$G$13,1)+1,ROWS('Scratch Data'!$G$5:$G$13)))-INDEX('Scratch Data'!$G$5:$G$13,MATCH($A3,'Scratch Data'!$G$5:$G$13,1)),0.0001))*INDEX(Baseline!$I$3:$I$102,MIN(MAX(ROUND(Inputs!$B$11*(INDEX('Scratch Data'!$I$5:$I$13,MATCH($A3,'Scratch Data'!$G$5:$G$13,1))+($A3-INDEX('Scratch Data'!$G$5:$G$13,MATCH($A3,'Scratch Data'!$G$5:$G$13,1)))*(INDEX('Scratch Data'!$I$5:$I$13,MIN(MATCH($A3,'Scratch Data'!$G$5:$G$13,1)+1,ROWS('Scratch Data'!$G$5:$G$13)))-INDEX('Scratch Data'!$I$5:$I$13,MATCH($A3,'Scratch Data'!$G$5:$G$13,1)))/MAX(INDEX('Scratch Data'!$G$5:$G$13,MIN(MATCH($A3,'Scratch Data'!$G$5:$G$13,1)+1,ROWS('Scratch Data'!$G$5:$G$13)))-INDEX('Scratch Data'!$G$5:$G$13,MATCH($A3,'Scratch Data'!$G$5:$G$13,1)),0.0001)),0),1),100))+(1-(INDEX('Scratch Data'!$H$5:$H$13,MATCH($A3,'Scratch Data'!$G$5:$G$13,1))+($A3-INDEX('Scratch Data'!$G$5:$G$13,MATCH($A3,'Scratch Data'!$G$5:$G$13,1)))*(INDEX('Scratch Data'!$H$5:$H$13,MIN(MATCH($A3,'Scratch Data'!$G$5:$G$13,1)+1,ROWS('Scratch Data'!$G$5:$G$13)))-INDEX('Scratch Data'!$H$5:$H$13,MATCH($A3,'Scratch Data'!$G$5:$G$13,1)))/MAX(INDEX('Scratch Data'!$G$5:$G$13,MIN(MATCH($A3,'Scratch Data'!$G$5:$G$13,1)+1,ROWS('Scratch Data'!$G$5:$G$13)))-INDEX('Scratch Data'!$G$5:$G$13,MATCH($A3,'Scratch Data'!$G$5:$G$13,1)),0.0001)))*(INDEX('Scratch Data'!$J$5:$J$13,MATCH($A3,'Scratch Data'!$G$5:$G$13,1))+($A3-INDEX('Scratch Data'!$G$5:$G$13,MATCH($A3,'Scratch Data'!$G$5:$G$13,1)))*(INDEX('Scratch Data'!$J$5:$J$13,MIN(MATCH($A3,'Scratch Data'!$G$5:$G$13,1)+1,ROWS('Scratch Data'!$G$5:$G$13)))-INDEX('Scratch Data'!$J$5:$J$13,MATCH($A3,'Scratch Data'!$G$5:$G$13,1)))/MAX(INDEX('Scratch Data'!$G$5:$G$13,MIN(MATCH($A3,'Scratch Data'!$G$5:$G$13,1)+1,ROWS('Scratch Data'!$G$5:$G$13)))-INDEX('Scratch Data'!$G$5:$G$13,MATCH($A3,'Scratch Data'!$G$5:$G$13,1)),0.0001))),(1+Inputs!$B$19*INDEX(Baseline!$B$3:$B$122,MATCH(MIN(MAX(ROUND((MAX($A3-Inputs!$B$20,30))/5,0)*5,5),600),Baseline!$A$3:$A$122,0))+(1-Inputs!$B$19)*INDEX(Baseline!$C$3:$C$122,MATCH(MIN(MAX(ROUND((MAX($A3-Inputs!$B$20,30))/5,0)*5,5),600),Baseline!$A$3:$A$122,0)))),(1+Inputs!$B$19*INDEX(Baseline!$B$3:$B$122,MATCH(MIN(MAX(ROUND((MAX($A3-Inputs!$B$20,30))/5,0)*5,5),600),Baseline!$A$3:$A$122,0))+(1-Inputs!$B$19)*INDEX(Baseline!$C$3:$C$122,MATCH(MIN(MAX(ROUND((MAX($A3-Inputs!$B$20,30))/5,0)*5,5),600),Baseline!$A$3:$A$122,0)))))</f>
        <v>2.18</v>
      </c>
      <c r="C3" s="10" t="n">
        <f aca="false">IF($A3&lt;=50,$B3+Inputs!$B$18,IF($A3&lt;=250,MIN((1+(INDEX('Scratch Data'!$H$5:$H$13,MATCH($A3,'Scratch Data'!$G$5:$G$13,1))+($A3-INDEX('Scratch Data'!$G$5:$G$13,MATCH($A3,'Scratch Data'!$G$5:$G$13,1)))*(INDEX('Scratch Data'!$H$5:$H$13,MIN(MATCH($A3,'Scratch Data'!$G$5:$G$13,1)+1,ROWS('Scratch Data'!$G$5:$G$13)))-INDEX('Scratch Data'!$H$5:$H$13,MATCH($A3,'Scratch Data'!$G$5:$G$13,1)))/MAX(INDEX('Scratch Data'!$G$5:$G$13,MIN(MATCH($A3,'Scratch Data'!$G$5:$G$13,1)+1,ROWS('Scratch Data'!$G$5:$G$13)))-INDEX('Scratch Data'!$G$5:$G$13,MATCH($A3,'Scratch Data'!$G$5:$G$13,1)),0.0001))*Inputs!$B$12*INDEX(Baseline!$I$3:$I$102,MIN(MAX(ROUND(Inputs!$B$11*(INDEX('Scratch Data'!$I$5:$I$13,MATCH($A3,'Scratch Data'!$G$5:$G$13,1))+($A3-INDEX('Scratch Data'!$G$5:$G$13,MATCH($A3,'Scratch Data'!$G$5:$G$13,1)))*(INDEX('Scratch Data'!$I$5:$I$13,MIN(MATCH($A3,'Scratch Data'!$G$5:$G$13,1)+1,ROWS('Scratch Data'!$G$5:$G$13)))-INDEX('Scratch Data'!$I$5:$I$13,MATCH($A3,'Scratch Data'!$G$5:$G$13,1)))/MAX(INDEX('Scratch Data'!$G$5:$G$13,MIN(MATCH($A3,'Scratch Data'!$G$5:$G$13,1)+1,ROWS('Scratch Data'!$G$5:$G$13)))-INDEX('Scratch Data'!$G$5:$G$13,MATCH($A3,'Scratch Data'!$G$5:$G$13,1)),0.0001))*Inputs!$B$13,0),1),100))+(1-(INDEX('Scratch Data'!$H$5:$H$13,MATCH($A3,'Scratch Data'!$G$5:$G$13,1))+($A3-INDEX('Scratch Data'!$G$5:$G$13,MATCH($A3,'Scratch Data'!$G$5:$G$13,1)))*(INDEX('Scratch Data'!$H$5:$H$13,MIN(MATCH($A3,'Scratch Data'!$G$5:$G$13,1)+1,ROWS('Scratch Data'!$G$5:$G$13)))-INDEX('Scratch Data'!$H$5:$H$13,MATCH($A3,'Scratch Data'!$G$5:$G$13,1)))/MAX(INDEX('Scratch Data'!$G$5:$G$13,MIN(MATCH($A3,'Scratch Data'!$G$5:$G$13,1)+1,ROWS('Scratch Data'!$G$5:$G$13)))-INDEX('Scratch Data'!$G$5:$G$13,MATCH($A3,'Scratch Data'!$G$5:$G$13,1)),0.0001))*Inputs!$B$12)*((INDEX('Scratch Data'!$J$5:$J$13,MATCH($A3,'Scratch Data'!$G$5:$G$13,1))+($A3-INDEX('Scratch Data'!$G$5:$G$13,MATCH($A3,'Scratch Data'!$G$5:$G$13,1)))*(INDEX('Scratch Data'!$J$5:$J$13,MIN(MATCH($A3,'Scratch Data'!$G$5:$G$13,1)+1,ROWS('Scratch Data'!$G$5:$G$13)))-INDEX('Scratch Data'!$J$5:$J$13,MATCH($A3,'Scratch Data'!$G$5:$G$13,1)))/MAX(INDEX('Scratch Data'!$G$5:$G$13,MIN(MATCH($A3,'Scratch Data'!$G$5:$G$13,1)+1,ROWS('Scratch Data'!$G$5:$G$13)))-INDEX('Scratch Data'!$G$5:$G$13,MATCH($A3,'Scratch Data'!$G$5:$G$13,1)),0.0001))+Inputs!$B$14)),(1+Inputs!$B$19*INDEX(Baseline!$B$3:$B$122,MATCH(MIN(MAX(ROUND((MAX($A3-Inputs!$B$21,30))/5,0)*5,5),600),Baseline!$A$3:$A$122,0))+(1-Inputs!$B$19)*INDEX(Baseline!$C$3:$C$122,MATCH(MIN(MAX(ROUND((MAX($A3-Inputs!$B$21,30))/5,0)*5,5),600),Baseline!$A$3:$A$122,0))+Inputs!$B$14)),(1+Inputs!$B$19*INDEX(Baseline!$B$3:$B$122,MATCH(MIN(MAX(ROUND((MAX($A3-Inputs!$B$21,30))/5,0)*5,5),600),Baseline!$A$3:$A$122,0))+(1-Inputs!$B$19)*INDEX(Baseline!$C$3:$C$122,MATCH(MIN(MAX(ROUND((MAX($A3-Inputs!$B$21,30))/5,0)*5,5),600),Baseline!$A$3:$A$122,0))+Inputs!$B$14)))</f>
        <v>2.38</v>
      </c>
      <c r="D3" s="10" t="n">
        <f aca="false">IF($A3&lt;=50,(INDEX('Scratch Data'!$P$5:$P$11,MATCH($A3,'Scratch Data'!$O$5:$O$11,1))+($A3-INDEX('Scratch Data'!$O$5:$O$11,MATCH($A3,'Scratch Data'!$O$5:$O$11,1)))*(INDEX('Scratch Data'!$P$5:$P$11,MIN(MATCH($A3,'Scratch Data'!$O$5:$O$11,1)+1,ROWS('Scratch Data'!$O$5:$O$11)))-INDEX('Scratch Data'!$P$5:$P$11,MATCH($A3,'Scratch Data'!$O$5:$O$11,1)))/MAX(INDEX('Scratch Data'!$O$5:$O$11,MIN(MATCH($A3,'Scratch Data'!$O$5:$O$11,1)+1,ROWS('Scratch Data'!$O$5:$O$11)))-INDEX('Scratch Data'!$O$5:$O$11,MATCH($A3,'Scratch Data'!$O$5:$O$11,1)),0.0001)),IF($A3&lt;=250,MIN((1+(INDEX('Scratch Data'!$H$5:$H$13,MATCH($A3,'Scratch Data'!$G$5:$G$13,1))+($A3-INDEX('Scratch Data'!$G$5:$G$13,MATCH($A3,'Scratch Data'!$G$5:$G$13,1)))*(INDEX('Scratch Data'!$H$5:$H$13,MIN(MATCH($A3,'Scratch Data'!$G$5:$G$13,1)+1,ROWS('Scratch Data'!$G$5:$G$13)))-INDEX('Scratch Data'!$H$5:$H$13,MATCH($A3,'Scratch Data'!$G$5:$G$13,1)))/MAX(INDEX('Scratch Data'!$G$5:$G$13,MIN(MATCH($A3,'Scratch Data'!$G$5:$G$13,1)+1,ROWS('Scratch Data'!$G$5:$G$13)))-INDEX('Scratch Data'!$G$5:$G$13,MATCH($A3,'Scratch Data'!$G$5:$G$13,1)),0.0001))*Inputs!$B$15*INDEX(Baseline!$I$3:$I$102,MIN(MAX(ROUND(Inputs!$B$11*(INDEX('Scratch Data'!$I$5:$I$13,MATCH($A3,'Scratch Data'!$G$5:$G$13,1))+($A3-INDEX('Scratch Data'!$G$5:$G$13,MATCH($A3,'Scratch Data'!$G$5:$G$13,1)))*(INDEX('Scratch Data'!$I$5:$I$13,MIN(MATCH($A3,'Scratch Data'!$G$5:$G$13,1)+1,ROWS('Scratch Data'!$G$5:$G$13)))-INDEX('Scratch Data'!$I$5:$I$13,MATCH($A3,'Scratch Data'!$G$5:$G$13,1)))/MAX(INDEX('Scratch Data'!$G$5:$G$13,MIN(MATCH($A3,'Scratch Data'!$G$5:$G$13,1)+1,ROWS('Scratch Data'!$G$5:$G$13)))-INDEX('Scratch Data'!$G$5:$G$13,MATCH($A3,'Scratch Data'!$G$5:$G$13,1)),0.0001))*Inputs!$B$16,0),1),100))+(1-(INDEX('Scratch Data'!$H$5:$H$13,MATCH($A3,'Scratch Data'!$G$5:$G$13,1))+($A3-INDEX('Scratch Data'!$G$5:$G$13,MATCH($A3,'Scratch Data'!$G$5:$G$13,1)))*(INDEX('Scratch Data'!$H$5:$H$13,MIN(MATCH($A3,'Scratch Data'!$G$5:$G$13,1)+1,ROWS('Scratch Data'!$G$5:$G$13)))-INDEX('Scratch Data'!$H$5:$H$13,MATCH($A3,'Scratch Data'!$G$5:$G$13,1)))/MAX(INDEX('Scratch Data'!$G$5:$G$13,MIN(MATCH($A3,'Scratch Data'!$G$5:$G$13,1)+1,ROWS('Scratch Data'!$G$5:$G$13)))-INDEX('Scratch Data'!$G$5:$G$13,MATCH($A3,'Scratch Data'!$G$5:$G$13,1)),0.0001))*Inputs!$B$15)*((INDEX('Scratch Data'!$J$5:$J$13,MATCH($A3,'Scratch Data'!$G$5:$G$13,1))+($A3-INDEX('Scratch Data'!$G$5:$G$13,MATCH($A3,'Scratch Data'!$G$5:$G$13,1)))*(INDEX('Scratch Data'!$J$5:$J$13,MIN(MATCH($A3,'Scratch Data'!$G$5:$G$13,1)+1,ROWS('Scratch Data'!$G$5:$G$13)))-INDEX('Scratch Data'!$J$5:$J$13,MATCH($A3,'Scratch Data'!$G$5:$G$13,1)))/MAX(INDEX('Scratch Data'!$G$5:$G$13,MIN(MATCH($A3,'Scratch Data'!$G$5:$G$13,1)+1,ROWS('Scratch Data'!$G$5:$G$13)))-INDEX('Scratch Data'!$G$5:$G$13,MATCH($A3,'Scratch Data'!$G$5:$G$13,1)),0.0001))+Inputs!$B$17)),(1+Inputs!$B$19*INDEX(Baseline!$B$3:$B$122,MATCH(MIN(MAX(ROUND((MAX($A3-Inputs!$B$22,30))/5,0)*5,5),600),Baseline!$A$3:$A$122,0))+(1-Inputs!$B$19)*INDEX(Baseline!$C$3:$C$122,MATCH(MIN(MAX(ROUND((MAX($A3-Inputs!$B$22,30))/5,0)*5,5),600),Baseline!$A$3:$A$122,0))+Inputs!$B$17)),(1+Inputs!$B$19*INDEX(Baseline!$B$3:$B$122,MATCH(MIN(MAX(ROUND((MAX($A3-Inputs!$B$22,30))/5,0)*5,5),600),Baseline!$A$3:$A$122,0))+(1-Inputs!$B$19)*INDEX(Baseline!$C$3:$C$122,MATCH(MIN(MAX(ROUND((MAX($A3-Inputs!$B$22,30))/5,0)*5,5),600),Baseline!$A$3:$A$122,0))+Inputs!$B$17)))</f>
        <v>2.55</v>
      </c>
      <c r="E3" s="10" t="n">
        <f aca="false">1+Inputs!$B$24+0.6*INDEX(Baseline!$B$3:$B$122,MATCH(MIN(MAX(ROUND((MAX($A3-Inputs!$B$23,15))/5,0)*5,5),600),Baseline!$A$3:$A$122,0))+0.4*INDEX(Baseline!$C$3:$C$122,MATCH(MIN(MAX(ROUND((MAX($A3-Inputs!$B$23,15))/5,0)*5,5),600),Baseline!$A$3:$A$122,0))</f>
        <v>3.56</v>
      </c>
      <c r="H3" s="7" t="n">
        <v>1</v>
      </c>
      <c r="I3" s="10" t="n">
        <f aca="false">(INDEX('Scratch Data'!$E$5:$E$22,MATCH($H3,'Scratch Data'!$A$5:$A$22,1))+($H3-INDEX('Scratch Data'!$A$5:$A$22,MATCH($H3,'Scratch Data'!$A$5:$A$22,1)))*(INDEX('Scratch Data'!$E$5:$E$22,MIN(MATCH($H3,'Scratch Data'!$A$5:$A$22,1)+1,ROWS('Scratch Data'!$A$5:$A$22)))-INDEX('Scratch Data'!$E$5:$E$22,MATCH($H3,'Scratch Data'!$A$5:$A$22,1)))/MAX(INDEX('Scratch Data'!$A$5:$A$22,MIN(MATCH($H3,'Scratch Data'!$A$5:$A$22,1)+1,ROWS('Scratch Data'!$A$5:$A$22)))-INDEX('Scratch Data'!$A$5:$A$22,MATCH($H3,'Scratch Data'!$A$5:$A$22,1)),0.0001))</f>
        <v>1</v>
      </c>
    </row>
    <row r="4" customFormat="false" ht="15" hidden="false" customHeight="false" outlineLevel="0" collapsed="false">
      <c r="A4" s="7" t="n">
        <v>10</v>
      </c>
      <c r="B4" s="10" t="n">
        <f aca="false">IF($A4&lt;=50,(INDEX('Scratch Data'!$M$5:$M$12,MATCH($A4,'Scratch Data'!$L$5:$L$12,1))+($A4-INDEX('Scratch Data'!$L$5:$L$12,MATCH($A4,'Scratch Data'!$L$5:$L$12,1)))*(INDEX('Scratch Data'!$M$5:$M$12,MIN(MATCH($A4,'Scratch Data'!$L$5:$L$12,1)+1,ROWS('Scratch Data'!$L$5:$L$12)))-INDEX('Scratch Data'!$M$5:$M$12,MATCH($A4,'Scratch Data'!$L$5:$L$12,1)))/MAX(INDEX('Scratch Data'!$L$5:$L$12,MIN(MATCH($A4,'Scratch Data'!$L$5:$L$12,1)+1,ROWS('Scratch Data'!$L$5:$L$12)))-INDEX('Scratch Data'!$L$5:$L$12,MATCH($A4,'Scratch Data'!$L$5:$L$12,1)),0.0001)),IF($A4&lt;=250,MIN((1+(INDEX('Scratch Data'!$H$5:$H$13,MATCH($A4,'Scratch Data'!$G$5:$G$13,1))+($A4-INDEX('Scratch Data'!$G$5:$G$13,MATCH($A4,'Scratch Data'!$G$5:$G$13,1)))*(INDEX('Scratch Data'!$H$5:$H$13,MIN(MATCH($A4,'Scratch Data'!$G$5:$G$13,1)+1,ROWS('Scratch Data'!$G$5:$G$13)))-INDEX('Scratch Data'!$H$5:$H$13,MATCH($A4,'Scratch Data'!$G$5:$G$13,1)))/MAX(INDEX('Scratch Data'!$G$5:$G$13,MIN(MATCH($A4,'Scratch Data'!$G$5:$G$13,1)+1,ROWS('Scratch Data'!$G$5:$G$13)))-INDEX('Scratch Data'!$G$5:$G$13,MATCH($A4,'Scratch Data'!$G$5:$G$13,1)),0.0001))*INDEX(Baseline!$I$3:$I$102,MIN(MAX(ROUND(Inputs!$B$11*(INDEX('Scratch Data'!$I$5:$I$13,MATCH($A4,'Scratch Data'!$G$5:$G$13,1))+($A4-INDEX('Scratch Data'!$G$5:$G$13,MATCH($A4,'Scratch Data'!$G$5:$G$13,1)))*(INDEX('Scratch Data'!$I$5:$I$13,MIN(MATCH($A4,'Scratch Data'!$G$5:$G$13,1)+1,ROWS('Scratch Data'!$G$5:$G$13)))-INDEX('Scratch Data'!$I$5:$I$13,MATCH($A4,'Scratch Data'!$G$5:$G$13,1)))/MAX(INDEX('Scratch Data'!$G$5:$G$13,MIN(MATCH($A4,'Scratch Data'!$G$5:$G$13,1)+1,ROWS('Scratch Data'!$G$5:$G$13)))-INDEX('Scratch Data'!$G$5:$G$13,MATCH($A4,'Scratch Data'!$G$5:$G$13,1)),0.0001)),0),1),100))+(1-(INDEX('Scratch Data'!$H$5:$H$13,MATCH($A4,'Scratch Data'!$G$5:$G$13,1))+($A4-INDEX('Scratch Data'!$G$5:$G$13,MATCH($A4,'Scratch Data'!$G$5:$G$13,1)))*(INDEX('Scratch Data'!$H$5:$H$13,MIN(MATCH($A4,'Scratch Data'!$G$5:$G$13,1)+1,ROWS('Scratch Data'!$G$5:$G$13)))-INDEX('Scratch Data'!$H$5:$H$13,MATCH($A4,'Scratch Data'!$G$5:$G$13,1)))/MAX(INDEX('Scratch Data'!$G$5:$G$13,MIN(MATCH($A4,'Scratch Data'!$G$5:$G$13,1)+1,ROWS('Scratch Data'!$G$5:$G$13)))-INDEX('Scratch Data'!$G$5:$G$13,MATCH($A4,'Scratch Data'!$G$5:$G$13,1)),0.0001)))*(INDEX('Scratch Data'!$J$5:$J$13,MATCH($A4,'Scratch Data'!$G$5:$G$13,1))+($A4-INDEX('Scratch Data'!$G$5:$G$13,MATCH($A4,'Scratch Data'!$G$5:$G$13,1)))*(INDEX('Scratch Data'!$J$5:$J$13,MIN(MATCH($A4,'Scratch Data'!$G$5:$G$13,1)+1,ROWS('Scratch Data'!$G$5:$G$13)))-INDEX('Scratch Data'!$J$5:$J$13,MATCH($A4,'Scratch Data'!$G$5:$G$13,1)))/MAX(INDEX('Scratch Data'!$G$5:$G$13,MIN(MATCH($A4,'Scratch Data'!$G$5:$G$13,1)+1,ROWS('Scratch Data'!$G$5:$G$13)))-INDEX('Scratch Data'!$G$5:$G$13,MATCH($A4,'Scratch Data'!$G$5:$G$13,1)),0.0001))),(1+Inputs!$B$19*INDEX(Baseline!$B$3:$B$122,MATCH(MIN(MAX(ROUND((MAX($A4-Inputs!$B$20,30))/5,0)*5,5),600),Baseline!$A$3:$A$122,0))+(1-Inputs!$B$19)*INDEX(Baseline!$C$3:$C$122,MATCH(MIN(MAX(ROUND((MAX($A4-Inputs!$B$20,30))/5,0)*5,5),600),Baseline!$A$3:$A$122,0)))),(1+Inputs!$B$19*INDEX(Baseline!$B$3:$B$122,MATCH(MIN(MAX(ROUND((MAX($A4-Inputs!$B$20,30))/5,0)*5,5),600),Baseline!$A$3:$A$122,0))+(1-Inputs!$B$19)*INDEX(Baseline!$C$3:$C$122,MATCH(MIN(MAX(ROUND((MAX($A4-Inputs!$B$20,30))/5,0)*5,5),600),Baseline!$A$3:$A$122,0)))))</f>
        <v>2.3</v>
      </c>
      <c r="C4" s="10" t="n">
        <f aca="false">IF($A4&lt;=50,$B4+Inputs!$B$18,IF($A4&lt;=250,MIN((1+(INDEX('Scratch Data'!$H$5:$H$13,MATCH($A4,'Scratch Data'!$G$5:$G$13,1))+($A4-INDEX('Scratch Data'!$G$5:$G$13,MATCH($A4,'Scratch Data'!$G$5:$G$13,1)))*(INDEX('Scratch Data'!$H$5:$H$13,MIN(MATCH($A4,'Scratch Data'!$G$5:$G$13,1)+1,ROWS('Scratch Data'!$G$5:$G$13)))-INDEX('Scratch Data'!$H$5:$H$13,MATCH($A4,'Scratch Data'!$G$5:$G$13,1)))/MAX(INDEX('Scratch Data'!$G$5:$G$13,MIN(MATCH($A4,'Scratch Data'!$G$5:$G$13,1)+1,ROWS('Scratch Data'!$G$5:$G$13)))-INDEX('Scratch Data'!$G$5:$G$13,MATCH($A4,'Scratch Data'!$G$5:$G$13,1)),0.0001))*Inputs!$B$12*INDEX(Baseline!$I$3:$I$102,MIN(MAX(ROUND(Inputs!$B$11*(INDEX('Scratch Data'!$I$5:$I$13,MATCH($A4,'Scratch Data'!$G$5:$G$13,1))+($A4-INDEX('Scratch Data'!$G$5:$G$13,MATCH($A4,'Scratch Data'!$G$5:$G$13,1)))*(INDEX('Scratch Data'!$I$5:$I$13,MIN(MATCH($A4,'Scratch Data'!$G$5:$G$13,1)+1,ROWS('Scratch Data'!$G$5:$G$13)))-INDEX('Scratch Data'!$I$5:$I$13,MATCH($A4,'Scratch Data'!$G$5:$G$13,1)))/MAX(INDEX('Scratch Data'!$G$5:$G$13,MIN(MATCH($A4,'Scratch Data'!$G$5:$G$13,1)+1,ROWS('Scratch Data'!$G$5:$G$13)))-INDEX('Scratch Data'!$G$5:$G$13,MATCH($A4,'Scratch Data'!$G$5:$G$13,1)),0.0001))*Inputs!$B$13,0),1),100))+(1-(INDEX('Scratch Data'!$H$5:$H$13,MATCH($A4,'Scratch Data'!$G$5:$G$13,1))+($A4-INDEX('Scratch Data'!$G$5:$G$13,MATCH($A4,'Scratch Data'!$G$5:$G$13,1)))*(INDEX('Scratch Data'!$H$5:$H$13,MIN(MATCH($A4,'Scratch Data'!$G$5:$G$13,1)+1,ROWS('Scratch Data'!$G$5:$G$13)))-INDEX('Scratch Data'!$H$5:$H$13,MATCH($A4,'Scratch Data'!$G$5:$G$13,1)))/MAX(INDEX('Scratch Data'!$G$5:$G$13,MIN(MATCH($A4,'Scratch Data'!$G$5:$G$13,1)+1,ROWS('Scratch Data'!$G$5:$G$13)))-INDEX('Scratch Data'!$G$5:$G$13,MATCH($A4,'Scratch Data'!$G$5:$G$13,1)),0.0001))*Inputs!$B$12)*((INDEX('Scratch Data'!$J$5:$J$13,MATCH($A4,'Scratch Data'!$G$5:$G$13,1))+($A4-INDEX('Scratch Data'!$G$5:$G$13,MATCH($A4,'Scratch Data'!$G$5:$G$13,1)))*(INDEX('Scratch Data'!$J$5:$J$13,MIN(MATCH($A4,'Scratch Data'!$G$5:$G$13,1)+1,ROWS('Scratch Data'!$G$5:$G$13)))-INDEX('Scratch Data'!$J$5:$J$13,MATCH($A4,'Scratch Data'!$G$5:$G$13,1)))/MAX(INDEX('Scratch Data'!$G$5:$G$13,MIN(MATCH($A4,'Scratch Data'!$G$5:$G$13,1)+1,ROWS('Scratch Data'!$G$5:$G$13)))-INDEX('Scratch Data'!$G$5:$G$13,MATCH($A4,'Scratch Data'!$G$5:$G$13,1)),0.0001))+Inputs!$B$14)),(1+Inputs!$B$19*INDEX(Baseline!$B$3:$B$122,MATCH(MIN(MAX(ROUND((MAX($A4-Inputs!$B$21,30))/5,0)*5,5),600),Baseline!$A$3:$A$122,0))+(1-Inputs!$B$19)*INDEX(Baseline!$C$3:$C$122,MATCH(MIN(MAX(ROUND((MAX($A4-Inputs!$B$21,30))/5,0)*5,5),600),Baseline!$A$3:$A$122,0))+Inputs!$B$14)),(1+Inputs!$B$19*INDEX(Baseline!$B$3:$B$122,MATCH(MIN(MAX(ROUND((MAX($A4-Inputs!$B$21,30))/5,0)*5,5),600),Baseline!$A$3:$A$122,0))+(1-Inputs!$B$19)*INDEX(Baseline!$C$3:$C$122,MATCH(MIN(MAX(ROUND((MAX($A4-Inputs!$B$21,30))/5,0)*5,5),600),Baseline!$A$3:$A$122,0))+Inputs!$B$14)))</f>
        <v>2.5</v>
      </c>
      <c r="D4" s="10" t="n">
        <f aca="false">IF($A4&lt;=50,(INDEX('Scratch Data'!$P$5:$P$11,MATCH($A4,'Scratch Data'!$O$5:$O$11,1))+($A4-INDEX('Scratch Data'!$O$5:$O$11,MATCH($A4,'Scratch Data'!$O$5:$O$11,1)))*(INDEX('Scratch Data'!$P$5:$P$11,MIN(MATCH($A4,'Scratch Data'!$O$5:$O$11,1)+1,ROWS('Scratch Data'!$O$5:$O$11)))-INDEX('Scratch Data'!$P$5:$P$11,MATCH($A4,'Scratch Data'!$O$5:$O$11,1)))/MAX(INDEX('Scratch Data'!$O$5:$O$11,MIN(MATCH($A4,'Scratch Data'!$O$5:$O$11,1)+1,ROWS('Scratch Data'!$O$5:$O$11)))-INDEX('Scratch Data'!$O$5:$O$11,MATCH($A4,'Scratch Data'!$O$5:$O$11,1)),0.0001)),IF($A4&lt;=250,MIN((1+(INDEX('Scratch Data'!$H$5:$H$13,MATCH($A4,'Scratch Data'!$G$5:$G$13,1))+($A4-INDEX('Scratch Data'!$G$5:$G$13,MATCH($A4,'Scratch Data'!$G$5:$G$13,1)))*(INDEX('Scratch Data'!$H$5:$H$13,MIN(MATCH($A4,'Scratch Data'!$G$5:$G$13,1)+1,ROWS('Scratch Data'!$G$5:$G$13)))-INDEX('Scratch Data'!$H$5:$H$13,MATCH($A4,'Scratch Data'!$G$5:$G$13,1)))/MAX(INDEX('Scratch Data'!$G$5:$G$13,MIN(MATCH($A4,'Scratch Data'!$G$5:$G$13,1)+1,ROWS('Scratch Data'!$G$5:$G$13)))-INDEX('Scratch Data'!$G$5:$G$13,MATCH($A4,'Scratch Data'!$G$5:$G$13,1)),0.0001))*Inputs!$B$15*INDEX(Baseline!$I$3:$I$102,MIN(MAX(ROUND(Inputs!$B$11*(INDEX('Scratch Data'!$I$5:$I$13,MATCH($A4,'Scratch Data'!$G$5:$G$13,1))+($A4-INDEX('Scratch Data'!$G$5:$G$13,MATCH($A4,'Scratch Data'!$G$5:$G$13,1)))*(INDEX('Scratch Data'!$I$5:$I$13,MIN(MATCH($A4,'Scratch Data'!$G$5:$G$13,1)+1,ROWS('Scratch Data'!$G$5:$G$13)))-INDEX('Scratch Data'!$I$5:$I$13,MATCH($A4,'Scratch Data'!$G$5:$G$13,1)))/MAX(INDEX('Scratch Data'!$G$5:$G$13,MIN(MATCH($A4,'Scratch Data'!$G$5:$G$13,1)+1,ROWS('Scratch Data'!$G$5:$G$13)))-INDEX('Scratch Data'!$G$5:$G$13,MATCH($A4,'Scratch Data'!$G$5:$G$13,1)),0.0001))*Inputs!$B$16,0),1),100))+(1-(INDEX('Scratch Data'!$H$5:$H$13,MATCH($A4,'Scratch Data'!$G$5:$G$13,1))+($A4-INDEX('Scratch Data'!$G$5:$G$13,MATCH($A4,'Scratch Data'!$G$5:$G$13,1)))*(INDEX('Scratch Data'!$H$5:$H$13,MIN(MATCH($A4,'Scratch Data'!$G$5:$G$13,1)+1,ROWS('Scratch Data'!$G$5:$G$13)))-INDEX('Scratch Data'!$H$5:$H$13,MATCH($A4,'Scratch Data'!$G$5:$G$13,1)))/MAX(INDEX('Scratch Data'!$G$5:$G$13,MIN(MATCH($A4,'Scratch Data'!$G$5:$G$13,1)+1,ROWS('Scratch Data'!$G$5:$G$13)))-INDEX('Scratch Data'!$G$5:$G$13,MATCH($A4,'Scratch Data'!$G$5:$G$13,1)),0.0001))*Inputs!$B$15)*((INDEX('Scratch Data'!$J$5:$J$13,MATCH($A4,'Scratch Data'!$G$5:$G$13,1))+($A4-INDEX('Scratch Data'!$G$5:$G$13,MATCH($A4,'Scratch Data'!$G$5:$G$13,1)))*(INDEX('Scratch Data'!$J$5:$J$13,MIN(MATCH($A4,'Scratch Data'!$G$5:$G$13,1)+1,ROWS('Scratch Data'!$G$5:$G$13)))-INDEX('Scratch Data'!$J$5:$J$13,MATCH($A4,'Scratch Data'!$G$5:$G$13,1)))/MAX(INDEX('Scratch Data'!$G$5:$G$13,MIN(MATCH($A4,'Scratch Data'!$G$5:$G$13,1)+1,ROWS('Scratch Data'!$G$5:$G$13)))-INDEX('Scratch Data'!$G$5:$G$13,MATCH($A4,'Scratch Data'!$G$5:$G$13,1)),0.0001))+Inputs!$B$17)),(1+Inputs!$B$19*INDEX(Baseline!$B$3:$B$122,MATCH(MIN(MAX(ROUND((MAX($A4-Inputs!$B$22,30))/5,0)*5,5),600),Baseline!$A$3:$A$122,0))+(1-Inputs!$B$19)*INDEX(Baseline!$C$3:$C$122,MATCH(MIN(MAX(ROUND((MAX($A4-Inputs!$B$22,30))/5,0)*5,5),600),Baseline!$A$3:$A$122,0))+Inputs!$B$17)),(1+Inputs!$B$19*INDEX(Baseline!$B$3:$B$122,MATCH(MIN(MAX(ROUND((MAX($A4-Inputs!$B$22,30))/5,0)*5,5),600),Baseline!$A$3:$A$122,0))+(1-Inputs!$B$19)*INDEX(Baseline!$C$3:$C$122,MATCH(MIN(MAX(ROUND((MAX($A4-Inputs!$B$22,30))/5,0)*5,5),600),Baseline!$A$3:$A$122,0))+Inputs!$B$17)))</f>
        <v>2.62</v>
      </c>
      <c r="E4" s="10" t="n">
        <f aca="false">1+Inputs!$B$24+0.6*INDEX(Baseline!$B$3:$B$122,MATCH(MIN(MAX(ROUND((MAX($A4-Inputs!$B$23,15))/5,0)*5,5),600),Baseline!$A$3:$A$122,0))+0.4*INDEX(Baseline!$C$3:$C$122,MATCH(MIN(MAX(ROUND((MAX($A4-Inputs!$B$23,15))/5,0)*5,5),600),Baseline!$A$3:$A$122,0))</f>
        <v>3.56</v>
      </c>
      <c r="H4" s="7" t="n">
        <v>2</v>
      </c>
      <c r="I4" s="10" t="n">
        <f aca="false">(INDEX('Scratch Data'!$E$5:$E$22,MATCH($H4,'Scratch Data'!$A$5:$A$22,1))+($H4-INDEX('Scratch Data'!$A$5:$A$22,MATCH($H4,'Scratch Data'!$A$5:$A$22,1)))*(INDEX('Scratch Data'!$E$5:$E$22,MIN(MATCH($H4,'Scratch Data'!$A$5:$A$22,1)+1,ROWS('Scratch Data'!$A$5:$A$22)))-INDEX('Scratch Data'!$E$5:$E$22,MATCH($H4,'Scratch Data'!$A$5:$A$22,1)))/MAX(INDEX('Scratch Data'!$A$5:$A$22,MIN(MATCH($H4,'Scratch Data'!$A$5:$A$22,1)+1,ROWS('Scratch Data'!$A$5:$A$22)))-INDEX('Scratch Data'!$A$5:$A$22,MATCH($H4,'Scratch Data'!$A$5:$A$22,1)),0.0001))</f>
        <v>1.01</v>
      </c>
    </row>
    <row r="5" customFormat="false" ht="15" hidden="false" customHeight="false" outlineLevel="0" collapsed="false">
      <c r="A5" s="7" t="n">
        <v>15</v>
      </c>
      <c r="B5" s="10" t="n">
        <f aca="false">IF($A5&lt;=50,(INDEX('Scratch Data'!$M$5:$M$12,MATCH($A5,'Scratch Data'!$L$5:$L$12,1))+($A5-INDEX('Scratch Data'!$L$5:$L$12,MATCH($A5,'Scratch Data'!$L$5:$L$12,1)))*(INDEX('Scratch Data'!$M$5:$M$12,MIN(MATCH($A5,'Scratch Data'!$L$5:$L$12,1)+1,ROWS('Scratch Data'!$L$5:$L$12)))-INDEX('Scratch Data'!$M$5:$M$12,MATCH($A5,'Scratch Data'!$L$5:$L$12,1)))/MAX(INDEX('Scratch Data'!$L$5:$L$12,MIN(MATCH($A5,'Scratch Data'!$L$5:$L$12,1)+1,ROWS('Scratch Data'!$L$5:$L$12)))-INDEX('Scratch Data'!$L$5:$L$12,MATCH($A5,'Scratch Data'!$L$5:$L$12,1)),0.0001)),IF($A5&lt;=250,MIN((1+(INDEX('Scratch Data'!$H$5:$H$13,MATCH($A5,'Scratch Data'!$G$5:$G$13,1))+($A5-INDEX('Scratch Data'!$G$5:$G$13,MATCH($A5,'Scratch Data'!$G$5:$G$13,1)))*(INDEX('Scratch Data'!$H$5:$H$13,MIN(MATCH($A5,'Scratch Data'!$G$5:$G$13,1)+1,ROWS('Scratch Data'!$G$5:$G$13)))-INDEX('Scratch Data'!$H$5:$H$13,MATCH($A5,'Scratch Data'!$G$5:$G$13,1)))/MAX(INDEX('Scratch Data'!$G$5:$G$13,MIN(MATCH($A5,'Scratch Data'!$G$5:$G$13,1)+1,ROWS('Scratch Data'!$G$5:$G$13)))-INDEX('Scratch Data'!$G$5:$G$13,MATCH($A5,'Scratch Data'!$G$5:$G$13,1)),0.0001))*INDEX(Baseline!$I$3:$I$102,MIN(MAX(ROUND(Inputs!$B$11*(INDEX('Scratch Data'!$I$5:$I$13,MATCH($A5,'Scratch Data'!$G$5:$G$13,1))+($A5-INDEX('Scratch Data'!$G$5:$G$13,MATCH($A5,'Scratch Data'!$G$5:$G$13,1)))*(INDEX('Scratch Data'!$I$5:$I$13,MIN(MATCH($A5,'Scratch Data'!$G$5:$G$13,1)+1,ROWS('Scratch Data'!$G$5:$G$13)))-INDEX('Scratch Data'!$I$5:$I$13,MATCH($A5,'Scratch Data'!$G$5:$G$13,1)))/MAX(INDEX('Scratch Data'!$G$5:$G$13,MIN(MATCH($A5,'Scratch Data'!$G$5:$G$13,1)+1,ROWS('Scratch Data'!$G$5:$G$13)))-INDEX('Scratch Data'!$G$5:$G$13,MATCH($A5,'Scratch Data'!$G$5:$G$13,1)),0.0001)),0),1),100))+(1-(INDEX('Scratch Data'!$H$5:$H$13,MATCH($A5,'Scratch Data'!$G$5:$G$13,1))+($A5-INDEX('Scratch Data'!$G$5:$G$13,MATCH($A5,'Scratch Data'!$G$5:$G$13,1)))*(INDEX('Scratch Data'!$H$5:$H$13,MIN(MATCH($A5,'Scratch Data'!$G$5:$G$13,1)+1,ROWS('Scratch Data'!$G$5:$G$13)))-INDEX('Scratch Data'!$H$5:$H$13,MATCH($A5,'Scratch Data'!$G$5:$G$13,1)))/MAX(INDEX('Scratch Data'!$G$5:$G$13,MIN(MATCH($A5,'Scratch Data'!$G$5:$G$13,1)+1,ROWS('Scratch Data'!$G$5:$G$13)))-INDEX('Scratch Data'!$G$5:$G$13,MATCH($A5,'Scratch Data'!$G$5:$G$13,1)),0.0001)))*(INDEX('Scratch Data'!$J$5:$J$13,MATCH($A5,'Scratch Data'!$G$5:$G$13,1))+($A5-INDEX('Scratch Data'!$G$5:$G$13,MATCH($A5,'Scratch Data'!$G$5:$G$13,1)))*(INDEX('Scratch Data'!$J$5:$J$13,MIN(MATCH($A5,'Scratch Data'!$G$5:$G$13,1)+1,ROWS('Scratch Data'!$G$5:$G$13)))-INDEX('Scratch Data'!$J$5:$J$13,MATCH($A5,'Scratch Data'!$G$5:$G$13,1)))/MAX(INDEX('Scratch Data'!$G$5:$G$13,MIN(MATCH($A5,'Scratch Data'!$G$5:$G$13,1)+1,ROWS('Scratch Data'!$G$5:$G$13)))-INDEX('Scratch Data'!$G$5:$G$13,MATCH($A5,'Scratch Data'!$G$5:$G$13,1)),0.0001))),(1+Inputs!$B$19*INDEX(Baseline!$B$3:$B$122,MATCH(MIN(MAX(ROUND((MAX($A5-Inputs!$B$20,30))/5,0)*5,5),600),Baseline!$A$3:$A$122,0))+(1-Inputs!$B$19)*INDEX(Baseline!$C$3:$C$122,MATCH(MIN(MAX(ROUND((MAX($A5-Inputs!$B$20,30))/5,0)*5,5),600),Baseline!$A$3:$A$122,0)))),(1+Inputs!$B$19*INDEX(Baseline!$B$3:$B$122,MATCH(MIN(MAX(ROUND((MAX($A5-Inputs!$B$20,30))/5,0)*5,5),600),Baseline!$A$3:$A$122,0))+(1-Inputs!$B$19)*INDEX(Baseline!$C$3:$C$122,MATCH(MIN(MAX(ROUND((MAX($A5-Inputs!$B$20,30))/5,0)*5,5),600),Baseline!$A$3:$A$122,0)))))</f>
        <v>2.38</v>
      </c>
      <c r="C5" s="10" t="n">
        <f aca="false">IF($A5&lt;=50,$B5+Inputs!$B$18,IF($A5&lt;=250,MIN((1+(INDEX('Scratch Data'!$H$5:$H$13,MATCH($A5,'Scratch Data'!$G$5:$G$13,1))+($A5-INDEX('Scratch Data'!$G$5:$G$13,MATCH($A5,'Scratch Data'!$G$5:$G$13,1)))*(INDEX('Scratch Data'!$H$5:$H$13,MIN(MATCH($A5,'Scratch Data'!$G$5:$G$13,1)+1,ROWS('Scratch Data'!$G$5:$G$13)))-INDEX('Scratch Data'!$H$5:$H$13,MATCH($A5,'Scratch Data'!$G$5:$G$13,1)))/MAX(INDEX('Scratch Data'!$G$5:$G$13,MIN(MATCH($A5,'Scratch Data'!$G$5:$G$13,1)+1,ROWS('Scratch Data'!$G$5:$G$13)))-INDEX('Scratch Data'!$G$5:$G$13,MATCH($A5,'Scratch Data'!$G$5:$G$13,1)),0.0001))*Inputs!$B$12*INDEX(Baseline!$I$3:$I$102,MIN(MAX(ROUND(Inputs!$B$11*(INDEX('Scratch Data'!$I$5:$I$13,MATCH($A5,'Scratch Data'!$G$5:$G$13,1))+($A5-INDEX('Scratch Data'!$G$5:$G$13,MATCH($A5,'Scratch Data'!$G$5:$G$13,1)))*(INDEX('Scratch Data'!$I$5:$I$13,MIN(MATCH($A5,'Scratch Data'!$G$5:$G$13,1)+1,ROWS('Scratch Data'!$G$5:$G$13)))-INDEX('Scratch Data'!$I$5:$I$13,MATCH($A5,'Scratch Data'!$G$5:$G$13,1)))/MAX(INDEX('Scratch Data'!$G$5:$G$13,MIN(MATCH($A5,'Scratch Data'!$G$5:$G$13,1)+1,ROWS('Scratch Data'!$G$5:$G$13)))-INDEX('Scratch Data'!$G$5:$G$13,MATCH($A5,'Scratch Data'!$G$5:$G$13,1)),0.0001))*Inputs!$B$13,0),1),100))+(1-(INDEX('Scratch Data'!$H$5:$H$13,MATCH($A5,'Scratch Data'!$G$5:$G$13,1))+($A5-INDEX('Scratch Data'!$G$5:$G$13,MATCH($A5,'Scratch Data'!$G$5:$G$13,1)))*(INDEX('Scratch Data'!$H$5:$H$13,MIN(MATCH($A5,'Scratch Data'!$G$5:$G$13,1)+1,ROWS('Scratch Data'!$G$5:$G$13)))-INDEX('Scratch Data'!$H$5:$H$13,MATCH($A5,'Scratch Data'!$G$5:$G$13,1)))/MAX(INDEX('Scratch Data'!$G$5:$G$13,MIN(MATCH($A5,'Scratch Data'!$G$5:$G$13,1)+1,ROWS('Scratch Data'!$G$5:$G$13)))-INDEX('Scratch Data'!$G$5:$G$13,MATCH($A5,'Scratch Data'!$G$5:$G$13,1)),0.0001))*Inputs!$B$12)*((INDEX('Scratch Data'!$J$5:$J$13,MATCH($A5,'Scratch Data'!$G$5:$G$13,1))+($A5-INDEX('Scratch Data'!$G$5:$G$13,MATCH($A5,'Scratch Data'!$G$5:$G$13,1)))*(INDEX('Scratch Data'!$J$5:$J$13,MIN(MATCH($A5,'Scratch Data'!$G$5:$G$13,1)+1,ROWS('Scratch Data'!$G$5:$G$13)))-INDEX('Scratch Data'!$J$5:$J$13,MATCH($A5,'Scratch Data'!$G$5:$G$13,1)))/MAX(INDEX('Scratch Data'!$G$5:$G$13,MIN(MATCH($A5,'Scratch Data'!$G$5:$G$13,1)+1,ROWS('Scratch Data'!$G$5:$G$13)))-INDEX('Scratch Data'!$G$5:$G$13,MATCH($A5,'Scratch Data'!$G$5:$G$13,1)),0.0001))+Inputs!$B$14)),(1+Inputs!$B$19*INDEX(Baseline!$B$3:$B$122,MATCH(MIN(MAX(ROUND((MAX($A5-Inputs!$B$21,30))/5,0)*5,5),600),Baseline!$A$3:$A$122,0))+(1-Inputs!$B$19)*INDEX(Baseline!$C$3:$C$122,MATCH(MIN(MAX(ROUND((MAX($A5-Inputs!$B$21,30))/5,0)*5,5),600),Baseline!$A$3:$A$122,0))+Inputs!$B$14)),(1+Inputs!$B$19*INDEX(Baseline!$B$3:$B$122,MATCH(MIN(MAX(ROUND((MAX($A5-Inputs!$B$21,30))/5,0)*5,5),600),Baseline!$A$3:$A$122,0))+(1-Inputs!$B$19)*INDEX(Baseline!$C$3:$C$122,MATCH(MIN(MAX(ROUND((MAX($A5-Inputs!$B$21,30))/5,0)*5,5),600),Baseline!$A$3:$A$122,0))+Inputs!$B$14)))</f>
        <v>2.58</v>
      </c>
      <c r="D5" s="10" t="n">
        <f aca="false">IF($A5&lt;=50,(INDEX('Scratch Data'!$P$5:$P$11,MATCH($A5,'Scratch Data'!$O$5:$O$11,1))+($A5-INDEX('Scratch Data'!$O$5:$O$11,MATCH($A5,'Scratch Data'!$O$5:$O$11,1)))*(INDEX('Scratch Data'!$P$5:$P$11,MIN(MATCH($A5,'Scratch Data'!$O$5:$O$11,1)+1,ROWS('Scratch Data'!$O$5:$O$11)))-INDEX('Scratch Data'!$P$5:$P$11,MATCH($A5,'Scratch Data'!$O$5:$O$11,1)))/MAX(INDEX('Scratch Data'!$O$5:$O$11,MIN(MATCH($A5,'Scratch Data'!$O$5:$O$11,1)+1,ROWS('Scratch Data'!$O$5:$O$11)))-INDEX('Scratch Data'!$O$5:$O$11,MATCH($A5,'Scratch Data'!$O$5:$O$11,1)),0.0001)),IF($A5&lt;=250,MIN((1+(INDEX('Scratch Data'!$H$5:$H$13,MATCH($A5,'Scratch Data'!$G$5:$G$13,1))+($A5-INDEX('Scratch Data'!$G$5:$G$13,MATCH($A5,'Scratch Data'!$G$5:$G$13,1)))*(INDEX('Scratch Data'!$H$5:$H$13,MIN(MATCH($A5,'Scratch Data'!$G$5:$G$13,1)+1,ROWS('Scratch Data'!$G$5:$G$13)))-INDEX('Scratch Data'!$H$5:$H$13,MATCH($A5,'Scratch Data'!$G$5:$G$13,1)))/MAX(INDEX('Scratch Data'!$G$5:$G$13,MIN(MATCH($A5,'Scratch Data'!$G$5:$G$13,1)+1,ROWS('Scratch Data'!$G$5:$G$13)))-INDEX('Scratch Data'!$G$5:$G$13,MATCH($A5,'Scratch Data'!$G$5:$G$13,1)),0.0001))*Inputs!$B$15*INDEX(Baseline!$I$3:$I$102,MIN(MAX(ROUND(Inputs!$B$11*(INDEX('Scratch Data'!$I$5:$I$13,MATCH($A5,'Scratch Data'!$G$5:$G$13,1))+($A5-INDEX('Scratch Data'!$G$5:$G$13,MATCH($A5,'Scratch Data'!$G$5:$G$13,1)))*(INDEX('Scratch Data'!$I$5:$I$13,MIN(MATCH($A5,'Scratch Data'!$G$5:$G$13,1)+1,ROWS('Scratch Data'!$G$5:$G$13)))-INDEX('Scratch Data'!$I$5:$I$13,MATCH($A5,'Scratch Data'!$G$5:$G$13,1)))/MAX(INDEX('Scratch Data'!$G$5:$G$13,MIN(MATCH($A5,'Scratch Data'!$G$5:$G$13,1)+1,ROWS('Scratch Data'!$G$5:$G$13)))-INDEX('Scratch Data'!$G$5:$G$13,MATCH($A5,'Scratch Data'!$G$5:$G$13,1)),0.0001))*Inputs!$B$16,0),1),100))+(1-(INDEX('Scratch Data'!$H$5:$H$13,MATCH($A5,'Scratch Data'!$G$5:$G$13,1))+($A5-INDEX('Scratch Data'!$G$5:$G$13,MATCH($A5,'Scratch Data'!$G$5:$G$13,1)))*(INDEX('Scratch Data'!$H$5:$H$13,MIN(MATCH($A5,'Scratch Data'!$G$5:$G$13,1)+1,ROWS('Scratch Data'!$G$5:$G$13)))-INDEX('Scratch Data'!$H$5:$H$13,MATCH($A5,'Scratch Data'!$G$5:$G$13,1)))/MAX(INDEX('Scratch Data'!$G$5:$G$13,MIN(MATCH($A5,'Scratch Data'!$G$5:$G$13,1)+1,ROWS('Scratch Data'!$G$5:$G$13)))-INDEX('Scratch Data'!$G$5:$G$13,MATCH($A5,'Scratch Data'!$G$5:$G$13,1)),0.0001))*Inputs!$B$15)*((INDEX('Scratch Data'!$J$5:$J$13,MATCH($A5,'Scratch Data'!$G$5:$G$13,1))+($A5-INDEX('Scratch Data'!$G$5:$G$13,MATCH($A5,'Scratch Data'!$G$5:$G$13,1)))*(INDEX('Scratch Data'!$J$5:$J$13,MIN(MATCH($A5,'Scratch Data'!$G$5:$G$13,1)+1,ROWS('Scratch Data'!$G$5:$G$13)))-INDEX('Scratch Data'!$J$5:$J$13,MATCH($A5,'Scratch Data'!$G$5:$G$13,1)))/MAX(INDEX('Scratch Data'!$G$5:$G$13,MIN(MATCH($A5,'Scratch Data'!$G$5:$G$13,1)+1,ROWS('Scratch Data'!$G$5:$G$13)))-INDEX('Scratch Data'!$G$5:$G$13,MATCH($A5,'Scratch Data'!$G$5:$G$13,1)),0.0001))+Inputs!$B$17)),(1+Inputs!$B$19*INDEX(Baseline!$B$3:$B$122,MATCH(MIN(MAX(ROUND((MAX($A5-Inputs!$B$22,30))/5,0)*5,5),600),Baseline!$A$3:$A$122,0))+(1-Inputs!$B$19)*INDEX(Baseline!$C$3:$C$122,MATCH(MIN(MAX(ROUND((MAX($A5-Inputs!$B$22,30))/5,0)*5,5),600),Baseline!$A$3:$A$122,0))+Inputs!$B$17)),(1+Inputs!$B$19*INDEX(Baseline!$B$3:$B$122,MATCH(MIN(MAX(ROUND((MAX($A5-Inputs!$B$22,30))/5,0)*5,5),600),Baseline!$A$3:$A$122,0))+(1-Inputs!$B$19)*INDEX(Baseline!$C$3:$C$122,MATCH(MIN(MAX(ROUND((MAX($A5-Inputs!$B$22,30))/5,0)*5,5),600),Baseline!$A$3:$A$122,0))+Inputs!$B$17)))</f>
        <v>2.68</v>
      </c>
      <c r="E5" s="10" t="n">
        <f aca="false">1+Inputs!$B$24+0.6*INDEX(Baseline!$B$3:$B$122,MATCH(MIN(MAX(ROUND((MAX($A5-Inputs!$B$23,15))/5,0)*5,5),600),Baseline!$A$3:$A$122,0))+0.4*INDEX(Baseline!$C$3:$C$122,MATCH(MIN(MAX(ROUND((MAX($A5-Inputs!$B$23,15))/5,0)*5,5),600),Baseline!$A$3:$A$122,0))</f>
        <v>3.56</v>
      </c>
      <c r="H5" s="7" t="n">
        <v>3</v>
      </c>
      <c r="I5" s="10" t="n">
        <f aca="false">(INDEX('Scratch Data'!$E$5:$E$22,MATCH($H5,'Scratch Data'!$A$5:$A$22,1))+($H5-INDEX('Scratch Data'!$A$5:$A$22,MATCH($H5,'Scratch Data'!$A$5:$A$22,1)))*(INDEX('Scratch Data'!$E$5:$E$22,MIN(MATCH($H5,'Scratch Data'!$A$5:$A$22,1)+1,ROWS('Scratch Data'!$A$5:$A$22)))-INDEX('Scratch Data'!$E$5:$E$22,MATCH($H5,'Scratch Data'!$A$5:$A$22,1)))/MAX(INDEX('Scratch Data'!$A$5:$A$22,MIN(MATCH($H5,'Scratch Data'!$A$5:$A$22,1)+1,ROWS('Scratch Data'!$A$5:$A$22)))-INDEX('Scratch Data'!$A$5:$A$22,MATCH($H5,'Scratch Data'!$A$5:$A$22,1)),0.0001))</f>
        <v>1.06</v>
      </c>
    </row>
    <row r="6" customFormat="false" ht="15" hidden="false" customHeight="false" outlineLevel="0" collapsed="false">
      <c r="A6" s="7" t="n">
        <v>20</v>
      </c>
      <c r="B6" s="10" t="n">
        <f aca="false">IF($A6&lt;=50,(INDEX('Scratch Data'!$M$5:$M$12,MATCH($A6,'Scratch Data'!$L$5:$L$12,1))+($A6-INDEX('Scratch Data'!$L$5:$L$12,MATCH($A6,'Scratch Data'!$L$5:$L$12,1)))*(INDEX('Scratch Data'!$M$5:$M$12,MIN(MATCH($A6,'Scratch Data'!$L$5:$L$12,1)+1,ROWS('Scratch Data'!$L$5:$L$12)))-INDEX('Scratch Data'!$M$5:$M$12,MATCH($A6,'Scratch Data'!$L$5:$L$12,1)))/MAX(INDEX('Scratch Data'!$L$5:$L$12,MIN(MATCH($A6,'Scratch Data'!$L$5:$L$12,1)+1,ROWS('Scratch Data'!$L$5:$L$12)))-INDEX('Scratch Data'!$L$5:$L$12,MATCH($A6,'Scratch Data'!$L$5:$L$12,1)),0.0001)),IF($A6&lt;=250,MIN((1+(INDEX('Scratch Data'!$H$5:$H$13,MATCH($A6,'Scratch Data'!$G$5:$G$13,1))+($A6-INDEX('Scratch Data'!$G$5:$G$13,MATCH($A6,'Scratch Data'!$G$5:$G$13,1)))*(INDEX('Scratch Data'!$H$5:$H$13,MIN(MATCH($A6,'Scratch Data'!$G$5:$G$13,1)+1,ROWS('Scratch Data'!$G$5:$G$13)))-INDEX('Scratch Data'!$H$5:$H$13,MATCH($A6,'Scratch Data'!$G$5:$G$13,1)))/MAX(INDEX('Scratch Data'!$G$5:$G$13,MIN(MATCH($A6,'Scratch Data'!$G$5:$G$13,1)+1,ROWS('Scratch Data'!$G$5:$G$13)))-INDEX('Scratch Data'!$G$5:$G$13,MATCH($A6,'Scratch Data'!$G$5:$G$13,1)),0.0001))*INDEX(Baseline!$I$3:$I$102,MIN(MAX(ROUND(Inputs!$B$11*(INDEX('Scratch Data'!$I$5:$I$13,MATCH($A6,'Scratch Data'!$G$5:$G$13,1))+($A6-INDEX('Scratch Data'!$G$5:$G$13,MATCH($A6,'Scratch Data'!$G$5:$G$13,1)))*(INDEX('Scratch Data'!$I$5:$I$13,MIN(MATCH($A6,'Scratch Data'!$G$5:$G$13,1)+1,ROWS('Scratch Data'!$G$5:$G$13)))-INDEX('Scratch Data'!$I$5:$I$13,MATCH($A6,'Scratch Data'!$G$5:$G$13,1)))/MAX(INDEX('Scratch Data'!$G$5:$G$13,MIN(MATCH($A6,'Scratch Data'!$G$5:$G$13,1)+1,ROWS('Scratch Data'!$G$5:$G$13)))-INDEX('Scratch Data'!$G$5:$G$13,MATCH($A6,'Scratch Data'!$G$5:$G$13,1)),0.0001)),0),1),100))+(1-(INDEX('Scratch Data'!$H$5:$H$13,MATCH($A6,'Scratch Data'!$G$5:$G$13,1))+($A6-INDEX('Scratch Data'!$G$5:$G$13,MATCH($A6,'Scratch Data'!$G$5:$G$13,1)))*(INDEX('Scratch Data'!$H$5:$H$13,MIN(MATCH($A6,'Scratch Data'!$G$5:$G$13,1)+1,ROWS('Scratch Data'!$G$5:$G$13)))-INDEX('Scratch Data'!$H$5:$H$13,MATCH($A6,'Scratch Data'!$G$5:$G$13,1)))/MAX(INDEX('Scratch Data'!$G$5:$G$13,MIN(MATCH($A6,'Scratch Data'!$G$5:$G$13,1)+1,ROWS('Scratch Data'!$G$5:$G$13)))-INDEX('Scratch Data'!$G$5:$G$13,MATCH($A6,'Scratch Data'!$G$5:$G$13,1)),0.0001)))*(INDEX('Scratch Data'!$J$5:$J$13,MATCH($A6,'Scratch Data'!$G$5:$G$13,1))+($A6-INDEX('Scratch Data'!$G$5:$G$13,MATCH($A6,'Scratch Data'!$G$5:$G$13,1)))*(INDEX('Scratch Data'!$J$5:$J$13,MIN(MATCH($A6,'Scratch Data'!$G$5:$G$13,1)+1,ROWS('Scratch Data'!$G$5:$G$13)))-INDEX('Scratch Data'!$J$5:$J$13,MATCH($A6,'Scratch Data'!$G$5:$G$13,1)))/MAX(INDEX('Scratch Data'!$G$5:$G$13,MIN(MATCH($A6,'Scratch Data'!$G$5:$G$13,1)+1,ROWS('Scratch Data'!$G$5:$G$13)))-INDEX('Scratch Data'!$G$5:$G$13,MATCH($A6,'Scratch Data'!$G$5:$G$13,1)),0.0001))),(1+Inputs!$B$19*INDEX(Baseline!$B$3:$B$122,MATCH(MIN(MAX(ROUND((MAX($A6-Inputs!$B$20,30))/5,0)*5,5),600),Baseline!$A$3:$A$122,0))+(1-Inputs!$B$19)*INDEX(Baseline!$C$3:$C$122,MATCH(MIN(MAX(ROUND((MAX($A6-Inputs!$B$20,30))/5,0)*5,5),600),Baseline!$A$3:$A$122,0)))),(1+Inputs!$B$19*INDEX(Baseline!$B$3:$B$122,MATCH(MIN(MAX(ROUND((MAX($A6-Inputs!$B$20,30))/5,0)*5,5),600),Baseline!$A$3:$A$122,0))+(1-Inputs!$B$19)*INDEX(Baseline!$C$3:$C$122,MATCH(MIN(MAX(ROUND((MAX($A6-Inputs!$B$20,30))/5,0)*5,5),600),Baseline!$A$3:$A$122,0)))))</f>
        <v>2.44</v>
      </c>
      <c r="C6" s="10" t="n">
        <f aca="false">IF($A6&lt;=50,$B6+Inputs!$B$18,IF($A6&lt;=250,MIN((1+(INDEX('Scratch Data'!$H$5:$H$13,MATCH($A6,'Scratch Data'!$G$5:$G$13,1))+($A6-INDEX('Scratch Data'!$G$5:$G$13,MATCH($A6,'Scratch Data'!$G$5:$G$13,1)))*(INDEX('Scratch Data'!$H$5:$H$13,MIN(MATCH($A6,'Scratch Data'!$G$5:$G$13,1)+1,ROWS('Scratch Data'!$G$5:$G$13)))-INDEX('Scratch Data'!$H$5:$H$13,MATCH($A6,'Scratch Data'!$G$5:$G$13,1)))/MAX(INDEX('Scratch Data'!$G$5:$G$13,MIN(MATCH($A6,'Scratch Data'!$G$5:$G$13,1)+1,ROWS('Scratch Data'!$G$5:$G$13)))-INDEX('Scratch Data'!$G$5:$G$13,MATCH($A6,'Scratch Data'!$G$5:$G$13,1)),0.0001))*Inputs!$B$12*INDEX(Baseline!$I$3:$I$102,MIN(MAX(ROUND(Inputs!$B$11*(INDEX('Scratch Data'!$I$5:$I$13,MATCH($A6,'Scratch Data'!$G$5:$G$13,1))+($A6-INDEX('Scratch Data'!$G$5:$G$13,MATCH($A6,'Scratch Data'!$G$5:$G$13,1)))*(INDEX('Scratch Data'!$I$5:$I$13,MIN(MATCH($A6,'Scratch Data'!$G$5:$G$13,1)+1,ROWS('Scratch Data'!$G$5:$G$13)))-INDEX('Scratch Data'!$I$5:$I$13,MATCH($A6,'Scratch Data'!$G$5:$G$13,1)))/MAX(INDEX('Scratch Data'!$G$5:$G$13,MIN(MATCH($A6,'Scratch Data'!$G$5:$G$13,1)+1,ROWS('Scratch Data'!$G$5:$G$13)))-INDEX('Scratch Data'!$G$5:$G$13,MATCH($A6,'Scratch Data'!$G$5:$G$13,1)),0.0001))*Inputs!$B$13,0),1),100))+(1-(INDEX('Scratch Data'!$H$5:$H$13,MATCH($A6,'Scratch Data'!$G$5:$G$13,1))+($A6-INDEX('Scratch Data'!$G$5:$G$13,MATCH($A6,'Scratch Data'!$G$5:$G$13,1)))*(INDEX('Scratch Data'!$H$5:$H$13,MIN(MATCH($A6,'Scratch Data'!$G$5:$G$13,1)+1,ROWS('Scratch Data'!$G$5:$G$13)))-INDEX('Scratch Data'!$H$5:$H$13,MATCH($A6,'Scratch Data'!$G$5:$G$13,1)))/MAX(INDEX('Scratch Data'!$G$5:$G$13,MIN(MATCH($A6,'Scratch Data'!$G$5:$G$13,1)+1,ROWS('Scratch Data'!$G$5:$G$13)))-INDEX('Scratch Data'!$G$5:$G$13,MATCH($A6,'Scratch Data'!$G$5:$G$13,1)),0.0001))*Inputs!$B$12)*((INDEX('Scratch Data'!$J$5:$J$13,MATCH($A6,'Scratch Data'!$G$5:$G$13,1))+($A6-INDEX('Scratch Data'!$G$5:$G$13,MATCH($A6,'Scratch Data'!$G$5:$G$13,1)))*(INDEX('Scratch Data'!$J$5:$J$13,MIN(MATCH($A6,'Scratch Data'!$G$5:$G$13,1)+1,ROWS('Scratch Data'!$G$5:$G$13)))-INDEX('Scratch Data'!$J$5:$J$13,MATCH($A6,'Scratch Data'!$G$5:$G$13,1)))/MAX(INDEX('Scratch Data'!$G$5:$G$13,MIN(MATCH($A6,'Scratch Data'!$G$5:$G$13,1)+1,ROWS('Scratch Data'!$G$5:$G$13)))-INDEX('Scratch Data'!$G$5:$G$13,MATCH($A6,'Scratch Data'!$G$5:$G$13,1)),0.0001))+Inputs!$B$14)),(1+Inputs!$B$19*INDEX(Baseline!$B$3:$B$122,MATCH(MIN(MAX(ROUND((MAX($A6-Inputs!$B$21,30))/5,0)*5,5),600),Baseline!$A$3:$A$122,0))+(1-Inputs!$B$19)*INDEX(Baseline!$C$3:$C$122,MATCH(MIN(MAX(ROUND((MAX($A6-Inputs!$B$21,30))/5,0)*5,5),600),Baseline!$A$3:$A$122,0))+Inputs!$B$14)),(1+Inputs!$B$19*INDEX(Baseline!$B$3:$B$122,MATCH(MIN(MAX(ROUND((MAX($A6-Inputs!$B$21,30))/5,0)*5,5),600),Baseline!$A$3:$A$122,0))+(1-Inputs!$B$19)*INDEX(Baseline!$C$3:$C$122,MATCH(MIN(MAX(ROUND((MAX($A6-Inputs!$B$21,30))/5,0)*5,5),600),Baseline!$A$3:$A$122,0))+Inputs!$B$14)))</f>
        <v>2.64</v>
      </c>
      <c r="D6" s="10" t="n">
        <f aca="false">IF($A6&lt;=50,(INDEX('Scratch Data'!$P$5:$P$11,MATCH($A6,'Scratch Data'!$O$5:$O$11,1))+($A6-INDEX('Scratch Data'!$O$5:$O$11,MATCH($A6,'Scratch Data'!$O$5:$O$11,1)))*(INDEX('Scratch Data'!$P$5:$P$11,MIN(MATCH($A6,'Scratch Data'!$O$5:$O$11,1)+1,ROWS('Scratch Data'!$O$5:$O$11)))-INDEX('Scratch Data'!$P$5:$P$11,MATCH($A6,'Scratch Data'!$O$5:$O$11,1)))/MAX(INDEX('Scratch Data'!$O$5:$O$11,MIN(MATCH($A6,'Scratch Data'!$O$5:$O$11,1)+1,ROWS('Scratch Data'!$O$5:$O$11)))-INDEX('Scratch Data'!$O$5:$O$11,MATCH($A6,'Scratch Data'!$O$5:$O$11,1)),0.0001)),IF($A6&lt;=250,MIN((1+(INDEX('Scratch Data'!$H$5:$H$13,MATCH($A6,'Scratch Data'!$G$5:$G$13,1))+($A6-INDEX('Scratch Data'!$G$5:$G$13,MATCH($A6,'Scratch Data'!$G$5:$G$13,1)))*(INDEX('Scratch Data'!$H$5:$H$13,MIN(MATCH($A6,'Scratch Data'!$G$5:$G$13,1)+1,ROWS('Scratch Data'!$G$5:$G$13)))-INDEX('Scratch Data'!$H$5:$H$13,MATCH($A6,'Scratch Data'!$G$5:$G$13,1)))/MAX(INDEX('Scratch Data'!$G$5:$G$13,MIN(MATCH($A6,'Scratch Data'!$G$5:$G$13,1)+1,ROWS('Scratch Data'!$G$5:$G$13)))-INDEX('Scratch Data'!$G$5:$G$13,MATCH($A6,'Scratch Data'!$G$5:$G$13,1)),0.0001))*Inputs!$B$15*INDEX(Baseline!$I$3:$I$102,MIN(MAX(ROUND(Inputs!$B$11*(INDEX('Scratch Data'!$I$5:$I$13,MATCH($A6,'Scratch Data'!$G$5:$G$13,1))+($A6-INDEX('Scratch Data'!$G$5:$G$13,MATCH($A6,'Scratch Data'!$G$5:$G$13,1)))*(INDEX('Scratch Data'!$I$5:$I$13,MIN(MATCH($A6,'Scratch Data'!$G$5:$G$13,1)+1,ROWS('Scratch Data'!$G$5:$G$13)))-INDEX('Scratch Data'!$I$5:$I$13,MATCH($A6,'Scratch Data'!$G$5:$G$13,1)))/MAX(INDEX('Scratch Data'!$G$5:$G$13,MIN(MATCH($A6,'Scratch Data'!$G$5:$G$13,1)+1,ROWS('Scratch Data'!$G$5:$G$13)))-INDEX('Scratch Data'!$G$5:$G$13,MATCH($A6,'Scratch Data'!$G$5:$G$13,1)),0.0001))*Inputs!$B$16,0),1),100))+(1-(INDEX('Scratch Data'!$H$5:$H$13,MATCH($A6,'Scratch Data'!$G$5:$G$13,1))+($A6-INDEX('Scratch Data'!$G$5:$G$13,MATCH($A6,'Scratch Data'!$G$5:$G$13,1)))*(INDEX('Scratch Data'!$H$5:$H$13,MIN(MATCH($A6,'Scratch Data'!$G$5:$G$13,1)+1,ROWS('Scratch Data'!$G$5:$G$13)))-INDEX('Scratch Data'!$H$5:$H$13,MATCH($A6,'Scratch Data'!$G$5:$G$13,1)))/MAX(INDEX('Scratch Data'!$G$5:$G$13,MIN(MATCH($A6,'Scratch Data'!$G$5:$G$13,1)+1,ROWS('Scratch Data'!$G$5:$G$13)))-INDEX('Scratch Data'!$G$5:$G$13,MATCH($A6,'Scratch Data'!$G$5:$G$13,1)),0.0001))*Inputs!$B$15)*((INDEX('Scratch Data'!$J$5:$J$13,MATCH($A6,'Scratch Data'!$G$5:$G$13,1))+($A6-INDEX('Scratch Data'!$G$5:$G$13,MATCH($A6,'Scratch Data'!$G$5:$G$13,1)))*(INDEX('Scratch Data'!$J$5:$J$13,MIN(MATCH($A6,'Scratch Data'!$G$5:$G$13,1)+1,ROWS('Scratch Data'!$G$5:$G$13)))-INDEX('Scratch Data'!$J$5:$J$13,MATCH($A6,'Scratch Data'!$G$5:$G$13,1)))/MAX(INDEX('Scratch Data'!$G$5:$G$13,MIN(MATCH($A6,'Scratch Data'!$G$5:$G$13,1)+1,ROWS('Scratch Data'!$G$5:$G$13)))-INDEX('Scratch Data'!$G$5:$G$13,MATCH($A6,'Scratch Data'!$G$5:$G$13,1)),0.0001))+Inputs!$B$17)),(1+Inputs!$B$19*INDEX(Baseline!$B$3:$B$122,MATCH(MIN(MAX(ROUND((MAX($A6-Inputs!$B$22,30))/5,0)*5,5),600),Baseline!$A$3:$A$122,0))+(1-Inputs!$B$19)*INDEX(Baseline!$C$3:$C$122,MATCH(MIN(MAX(ROUND((MAX($A6-Inputs!$B$22,30))/5,0)*5,5),600),Baseline!$A$3:$A$122,0))+Inputs!$B$17)),(1+Inputs!$B$19*INDEX(Baseline!$B$3:$B$122,MATCH(MIN(MAX(ROUND((MAX($A6-Inputs!$B$22,30))/5,0)*5,5),600),Baseline!$A$3:$A$122,0))+(1-Inputs!$B$19)*INDEX(Baseline!$C$3:$C$122,MATCH(MIN(MAX(ROUND((MAX($A6-Inputs!$B$22,30))/5,0)*5,5),600),Baseline!$A$3:$A$122,0))+Inputs!$B$17)))</f>
        <v>2.75</v>
      </c>
      <c r="E6" s="10" t="n">
        <f aca="false">1+Inputs!$B$24+0.6*INDEX(Baseline!$B$3:$B$122,MATCH(MIN(MAX(ROUND((MAX($A6-Inputs!$B$23,15))/5,0)*5,5),600),Baseline!$A$3:$A$122,0))+0.4*INDEX(Baseline!$C$3:$C$122,MATCH(MIN(MAX(ROUND((MAX($A6-Inputs!$B$23,15))/5,0)*5,5),600),Baseline!$A$3:$A$122,0))</f>
        <v>3.56</v>
      </c>
      <c r="H6" s="7" t="n">
        <v>4</v>
      </c>
      <c r="I6" s="10" t="n">
        <f aca="false">(INDEX('Scratch Data'!$E$5:$E$22,MATCH($H6,'Scratch Data'!$A$5:$A$22,1))+($H6-INDEX('Scratch Data'!$A$5:$A$22,MATCH($H6,'Scratch Data'!$A$5:$A$22,1)))*(INDEX('Scratch Data'!$E$5:$E$22,MIN(MATCH($H6,'Scratch Data'!$A$5:$A$22,1)+1,ROWS('Scratch Data'!$A$5:$A$22)))-INDEX('Scratch Data'!$E$5:$E$22,MATCH($H6,'Scratch Data'!$A$5:$A$22,1)))/MAX(INDEX('Scratch Data'!$A$5:$A$22,MIN(MATCH($H6,'Scratch Data'!$A$5:$A$22,1)+1,ROWS('Scratch Data'!$A$5:$A$22)))-INDEX('Scratch Data'!$A$5:$A$22,MATCH($H6,'Scratch Data'!$A$5:$A$22,1)),0.0001))</f>
        <v>1.161</v>
      </c>
    </row>
    <row r="7" customFormat="false" ht="15" hidden="false" customHeight="false" outlineLevel="0" collapsed="false">
      <c r="A7" s="7" t="n">
        <v>25</v>
      </c>
      <c r="B7" s="10" t="n">
        <f aca="false">IF($A7&lt;=50,(INDEX('Scratch Data'!$M$5:$M$12,MATCH($A7,'Scratch Data'!$L$5:$L$12,1))+($A7-INDEX('Scratch Data'!$L$5:$L$12,MATCH($A7,'Scratch Data'!$L$5:$L$12,1)))*(INDEX('Scratch Data'!$M$5:$M$12,MIN(MATCH($A7,'Scratch Data'!$L$5:$L$12,1)+1,ROWS('Scratch Data'!$L$5:$L$12)))-INDEX('Scratch Data'!$M$5:$M$12,MATCH($A7,'Scratch Data'!$L$5:$L$12,1)))/MAX(INDEX('Scratch Data'!$L$5:$L$12,MIN(MATCH($A7,'Scratch Data'!$L$5:$L$12,1)+1,ROWS('Scratch Data'!$L$5:$L$12)))-INDEX('Scratch Data'!$L$5:$L$12,MATCH($A7,'Scratch Data'!$L$5:$L$12,1)),0.0001)),IF($A7&lt;=250,MIN((1+(INDEX('Scratch Data'!$H$5:$H$13,MATCH($A7,'Scratch Data'!$G$5:$G$13,1))+($A7-INDEX('Scratch Data'!$G$5:$G$13,MATCH($A7,'Scratch Data'!$G$5:$G$13,1)))*(INDEX('Scratch Data'!$H$5:$H$13,MIN(MATCH($A7,'Scratch Data'!$G$5:$G$13,1)+1,ROWS('Scratch Data'!$G$5:$G$13)))-INDEX('Scratch Data'!$H$5:$H$13,MATCH($A7,'Scratch Data'!$G$5:$G$13,1)))/MAX(INDEX('Scratch Data'!$G$5:$G$13,MIN(MATCH($A7,'Scratch Data'!$G$5:$G$13,1)+1,ROWS('Scratch Data'!$G$5:$G$13)))-INDEX('Scratch Data'!$G$5:$G$13,MATCH($A7,'Scratch Data'!$G$5:$G$13,1)),0.0001))*INDEX(Baseline!$I$3:$I$102,MIN(MAX(ROUND(Inputs!$B$11*(INDEX('Scratch Data'!$I$5:$I$13,MATCH($A7,'Scratch Data'!$G$5:$G$13,1))+($A7-INDEX('Scratch Data'!$G$5:$G$13,MATCH($A7,'Scratch Data'!$G$5:$G$13,1)))*(INDEX('Scratch Data'!$I$5:$I$13,MIN(MATCH($A7,'Scratch Data'!$G$5:$G$13,1)+1,ROWS('Scratch Data'!$G$5:$G$13)))-INDEX('Scratch Data'!$I$5:$I$13,MATCH($A7,'Scratch Data'!$G$5:$G$13,1)))/MAX(INDEX('Scratch Data'!$G$5:$G$13,MIN(MATCH($A7,'Scratch Data'!$G$5:$G$13,1)+1,ROWS('Scratch Data'!$G$5:$G$13)))-INDEX('Scratch Data'!$G$5:$G$13,MATCH($A7,'Scratch Data'!$G$5:$G$13,1)),0.0001)),0),1),100))+(1-(INDEX('Scratch Data'!$H$5:$H$13,MATCH($A7,'Scratch Data'!$G$5:$G$13,1))+($A7-INDEX('Scratch Data'!$G$5:$G$13,MATCH($A7,'Scratch Data'!$G$5:$G$13,1)))*(INDEX('Scratch Data'!$H$5:$H$13,MIN(MATCH($A7,'Scratch Data'!$G$5:$G$13,1)+1,ROWS('Scratch Data'!$G$5:$G$13)))-INDEX('Scratch Data'!$H$5:$H$13,MATCH($A7,'Scratch Data'!$G$5:$G$13,1)))/MAX(INDEX('Scratch Data'!$G$5:$G$13,MIN(MATCH($A7,'Scratch Data'!$G$5:$G$13,1)+1,ROWS('Scratch Data'!$G$5:$G$13)))-INDEX('Scratch Data'!$G$5:$G$13,MATCH($A7,'Scratch Data'!$G$5:$G$13,1)),0.0001)))*(INDEX('Scratch Data'!$J$5:$J$13,MATCH($A7,'Scratch Data'!$G$5:$G$13,1))+($A7-INDEX('Scratch Data'!$G$5:$G$13,MATCH($A7,'Scratch Data'!$G$5:$G$13,1)))*(INDEX('Scratch Data'!$J$5:$J$13,MIN(MATCH($A7,'Scratch Data'!$G$5:$G$13,1)+1,ROWS('Scratch Data'!$G$5:$G$13)))-INDEX('Scratch Data'!$J$5:$J$13,MATCH($A7,'Scratch Data'!$G$5:$G$13,1)))/MAX(INDEX('Scratch Data'!$G$5:$G$13,MIN(MATCH($A7,'Scratch Data'!$G$5:$G$13,1)+1,ROWS('Scratch Data'!$G$5:$G$13)))-INDEX('Scratch Data'!$G$5:$G$13,MATCH($A7,'Scratch Data'!$G$5:$G$13,1)),0.0001))),(1+Inputs!$B$19*INDEX(Baseline!$B$3:$B$122,MATCH(MIN(MAX(ROUND((MAX($A7-Inputs!$B$20,30))/5,0)*5,5),600),Baseline!$A$3:$A$122,0))+(1-Inputs!$B$19)*INDEX(Baseline!$C$3:$C$122,MATCH(MIN(MAX(ROUND((MAX($A7-Inputs!$B$20,30))/5,0)*5,5),600),Baseline!$A$3:$A$122,0)))),(1+Inputs!$B$19*INDEX(Baseline!$B$3:$B$122,MATCH(MIN(MAX(ROUND((MAX($A7-Inputs!$B$20,30))/5,0)*5,5),600),Baseline!$A$3:$A$122,0))+(1-Inputs!$B$19)*INDEX(Baseline!$C$3:$C$122,MATCH(MIN(MAX(ROUND((MAX($A7-Inputs!$B$20,30))/5,0)*5,5),600),Baseline!$A$3:$A$122,0)))))</f>
        <v>2.5</v>
      </c>
      <c r="C7" s="10" t="n">
        <f aca="false">IF($A7&lt;=50,$B7+Inputs!$B$18,IF($A7&lt;=250,MIN((1+(INDEX('Scratch Data'!$H$5:$H$13,MATCH($A7,'Scratch Data'!$G$5:$G$13,1))+($A7-INDEX('Scratch Data'!$G$5:$G$13,MATCH($A7,'Scratch Data'!$G$5:$G$13,1)))*(INDEX('Scratch Data'!$H$5:$H$13,MIN(MATCH($A7,'Scratch Data'!$G$5:$G$13,1)+1,ROWS('Scratch Data'!$G$5:$G$13)))-INDEX('Scratch Data'!$H$5:$H$13,MATCH($A7,'Scratch Data'!$G$5:$G$13,1)))/MAX(INDEX('Scratch Data'!$G$5:$G$13,MIN(MATCH($A7,'Scratch Data'!$G$5:$G$13,1)+1,ROWS('Scratch Data'!$G$5:$G$13)))-INDEX('Scratch Data'!$G$5:$G$13,MATCH($A7,'Scratch Data'!$G$5:$G$13,1)),0.0001))*Inputs!$B$12*INDEX(Baseline!$I$3:$I$102,MIN(MAX(ROUND(Inputs!$B$11*(INDEX('Scratch Data'!$I$5:$I$13,MATCH($A7,'Scratch Data'!$G$5:$G$13,1))+($A7-INDEX('Scratch Data'!$G$5:$G$13,MATCH($A7,'Scratch Data'!$G$5:$G$13,1)))*(INDEX('Scratch Data'!$I$5:$I$13,MIN(MATCH($A7,'Scratch Data'!$G$5:$G$13,1)+1,ROWS('Scratch Data'!$G$5:$G$13)))-INDEX('Scratch Data'!$I$5:$I$13,MATCH($A7,'Scratch Data'!$G$5:$G$13,1)))/MAX(INDEX('Scratch Data'!$G$5:$G$13,MIN(MATCH($A7,'Scratch Data'!$G$5:$G$13,1)+1,ROWS('Scratch Data'!$G$5:$G$13)))-INDEX('Scratch Data'!$G$5:$G$13,MATCH($A7,'Scratch Data'!$G$5:$G$13,1)),0.0001))*Inputs!$B$13,0),1),100))+(1-(INDEX('Scratch Data'!$H$5:$H$13,MATCH($A7,'Scratch Data'!$G$5:$G$13,1))+($A7-INDEX('Scratch Data'!$G$5:$G$13,MATCH($A7,'Scratch Data'!$G$5:$G$13,1)))*(INDEX('Scratch Data'!$H$5:$H$13,MIN(MATCH($A7,'Scratch Data'!$G$5:$G$13,1)+1,ROWS('Scratch Data'!$G$5:$G$13)))-INDEX('Scratch Data'!$H$5:$H$13,MATCH($A7,'Scratch Data'!$G$5:$G$13,1)))/MAX(INDEX('Scratch Data'!$G$5:$G$13,MIN(MATCH($A7,'Scratch Data'!$G$5:$G$13,1)+1,ROWS('Scratch Data'!$G$5:$G$13)))-INDEX('Scratch Data'!$G$5:$G$13,MATCH($A7,'Scratch Data'!$G$5:$G$13,1)),0.0001))*Inputs!$B$12)*((INDEX('Scratch Data'!$J$5:$J$13,MATCH($A7,'Scratch Data'!$G$5:$G$13,1))+($A7-INDEX('Scratch Data'!$G$5:$G$13,MATCH($A7,'Scratch Data'!$G$5:$G$13,1)))*(INDEX('Scratch Data'!$J$5:$J$13,MIN(MATCH($A7,'Scratch Data'!$G$5:$G$13,1)+1,ROWS('Scratch Data'!$G$5:$G$13)))-INDEX('Scratch Data'!$J$5:$J$13,MATCH($A7,'Scratch Data'!$G$5:$G$13,1)))/MAX(INDEX('Scratch Data'!$G$5:$G$13,MIN(MATCH($A7,'Scratch Data'!$G$5:$G$13,1)+1,ROWS('Scratch Data'!$G$5:$G$13)))-INDEX('Scratch Data'!$G$5:$G$13,MATCH($A7,'Scratch Data'!$G$5:$G$13,1)),0.0001))+Inputs!$B$14)),(1+Inputs!$B$19*INDEX(Baseline!$B$3:$B$122,MATCH(MIN(MAX(ROUND((MAX($A7-Inputs!$B$21,30))/5,0)*5,5),600),Baseline!$A$3:$A$122,0))+(1-Inputs!$B$19)*INDEX(Baseline!$C$3:$C$122,MATCH(MIN(MAX(ROUND((MAX($A7-Inputs!$B$21,30))/5,0)*5,5),600),Baseline!$A$3:$A$122,0))+Inputs!$B$14)),(1+Inputs!$B$19*INDEX(Baseline!$B$3:$B$122,MATCH(MIN(MAX(ROUND((MAX($A7-Inputs!$B$21,30))/5,0)*5,5),600),Baseline!$A$3:$A$122,0))+(1-Inputs!$B$19)*INDEX(Baseline!$C$3:$C$122,MATCH(MIN(MAX(ROUND((MAX($A7-Inputs!$B$21,30))/5,0)*5,5),600),Baseline!$A$3:$A$122,0))+Inputs!$B$14)))</f>
        <v>2.7</v>
      </c>
      <c r="D7" s="10" t="n">
        <f aca="false">IF($A7&lt;=50,(INDEX('Scratch Data'!$P$5:$P$11,MATCH($A7,'Scratch Data'!$O$5:$O$11,1))+($A7-INDEX('Scratch Data'!$O$5:$O$11,MATCH($A7,'Scratch Data'!$O$5:$O$11,1)))*(INDEX('Scratch Data'!$P$5:$P$11,MIN(MATCH($A7,'Scratch Data'!$O$5:$O$11,1)+1,ROWS('Scratch Data'!$O$5:$O$11)))-INDEX('Scratch Data'!$P$5:$P$11,MATCH($A7,'Scratch Data'!$O$5:$O$11,1)))/MAX(INDEX('Scratch Data'!$O$5:$O$11,MIN(MATCH($A7,'Scratch Data'!$O$5:$O$11,1)+1,ROWS('Scratch Data'!$O$5:$O$11)))-INDEX('Scratch Data'!$O$5:$O$11,MATCH($A7,'Scratch Data'!$O$5:$O$11,1)),0.0001)),IF($A7&lt;=250,MIN((1+(INDEX('Scratch Data'!$H$5:$H$13,MATCH($A7,'Scratch Data'!$G$5:$G$13,1))+($A7-INDEX('Scratch Data'!$G$5:$G$13,MATCH($A7,'Scratch Data'!$G$5:$G$13,1)))*(INDEX('Scratch Data'!$H$5:$H$13,MIN(MATCH($A7,'Scratch Data'!$G$5:$G$13,1)+1,ROWS('Scratch Data'!$G$5:$G$13)))-INDEX('Scratch Data'!$H$5:$H$13,MATCH($A7,'Scratch Data'!$G$5:$G$13,1)))/MAX(INDEX('Scratch Data'!$G$5:$G$13,MIN(MATCH($A7,'Scratch Data'!$G$5:$G$13,1)+1,ROWS('Scratch Data'!$G$5:$G$13)))-INDEX('Scratch Data'!$G$5:$G$13,MATCH($A7,'Scratch Data'!$G$5:$G$13,1)),0.0001))*Inputs!$B$15*INDEX(Baseline!$I$3:$I$102,MIN(MAX(ROUND(Inputs!$B$11*(INDEX('Scratch Data'!$I$5:$I$13,MATCH($A7,'Scratch Data'!$G$5:$G$13,1))+($A7-INDEX('Scratch Data'!$G$5:$G$13,MATCH($A7,'Scratch Data'!$G$5:$G$13,1)))*(INDEX('Scratch Data'!$I$5:$I$13,MIN(MATCH($A7,'Scratch Data'!$G$5:$G$13,1)+1,ROWS('Scratch Data'!$G$5:$G$13)))-INDEX('Scratch Data'!$I$5:$I$13,MATCH($A7,'Scratch Data'!$G$5:$G$13,1)))/MAX(INDEX('Scratch Data'!$G$5:$G$13,MIN(MATCH($A7,'Scratch Data'!$G$5:$G$13,1)+1,ROWS('Scratch Data'!$G$5:$G$13)))-INDEX('Scratch Data'!$G$5:$G$13,MATCH($A7,'Scratch Data'!$G$5:$G$13,1)),0.0001))*Inputs!$B$16,0),1),100))+(1-(INDEX('Scratch Data'!$H$5:$H$13,MATCH($A7,'Scratch Data'!$G$5:$G$13,1))+($A7-INDEX('Scratch Data'!$G$5:$G$13,MATCH($A7,'Scratch Data'!$G$5:$G$13,1)))*(INDEX('Scratch Data'!$H$5:$H$13,MIN(MATCH($A7,'Scratch Data'!$G$5:$G$13,1)+1,ROWS('Scratch Data'!$G$5:$G$13)))-INDEX('Scratch Data'!$H$5:$H$13,MATCH($A7,'Scratch Data'!$G$5:$G$13,1)))/MAX(INDEX('Scratch Data'!$G$5:$G$13,MIN(MATCH($A7,'Scratch Data'!$G$5:$G$13,1)+1,ROWS('Scratch Data'!$G$5:$G$13)))-INDEX('Scratch Data'!$G$5:$G$13,MATCH($A7,'Scratch Data'!$G$5:$G$13,1)),0.0001))*Inputs!$B$15)*((INDEX('Scratch Data'!$J$5:$J$13,MATCH($A7,'Scratch Data'!$G$5:$G$13,1))+($A7-INDEX('Scratch Data'!$G$5:$G$13,MATCH($A7,'Scratch Data'!$G$5:$G$13,1)))*(INDEX('Scratch Data'!$J$5:$J$13,MIN(MATCH($A7,'Scratch Data'!$G$5:$G$13,1)+1,ROWS('Scratch Data'!$G$5:$G$13)))-INDEX('Scratch Data'!$J$5:$J$13,MATCH($A7,'Scratch Data'!$G$5:$G$13,1)))/MAX(INDEX('Scratch Data'!$G$5:$G$13,MIN(MATCH($A7,'Scratch Data'!$G$5:$G$13,1)+1,ROWS('Scratch Data'!$G$5:$G$13)))-INDEX('Scratch Data'!$G$5:$G$13,MATCH($A7,'Scratch Data'!$G$5:$G$13,1)),0.0001))+Inputs!$B$17)),(1+Inputs!$B$19*INDEX(Baseline!$B$3:$B$122,MATCH(MIN(MAX(ROUND((MAX($A7-Inputs!$B$22,30))/5,0)*5,5),600),Baseline!$A$3:$A$122,0))+(1-Inputs!$B$19)*INDEX(Baseline!$C$3:$C$122,MATCH(MIN(MAX(ROUND((MAX($A7-Inputs!$B$22,30))/5,0)*5,5),600),Baseline!$A$3:$A$122,0))+Inputs!$B$17)),(1+Inputs!$B$19*INDEX(Baseline!$B$3:$B$122,MATCH(MIN(MAX(ROUND((MAX($A7-Inputs!$B$22,30))/5,0)*5,5),600),Baseline!$A$3:$A$122,0))+(1-Inputs!$B$19)*INDEX(Baseline!$C$3:$C$122,MATCH(MIN(MAX(ROUND((MAX($A7-Inputs!$B$22,30))/5,0)*5,5),600),Baseline!$A$3:$A$122,0))+Inputs!$B$17)))</f>
        <v>2.805</v>
      </c>
      <c r="E7" s="10" t="n">
        <f aca="false">1+Inputs!$B$24+0.6*INDEX(Baseline!$B$3:$B$122,MATCH(MIN(MAX(ROUND((MAX($A7-Inputs!$B$23,15))/5,0)*5,5),600),Baseline!$A$3:$A$122,0))+0.4*INDEX(Baseline!$C$3:$C$122,MATCH(MIN(MAX(ROUND((MAX($A7-Inputs!$B$23,15))/5,0)*5,5),600),Baseline!$A$3:$A$122,0))</f>
        <v>3.56</v>
      </c>
      <c r="H7" s="7" t="n">
        <v>5</v>
      </c>
      <c r="I7" s="10" t="n">
        <f aca="false">(INDEX('Scratch Data'!$E$5:$E$22,MATCH($H7,'Scratch Data'!$A$5:$A$22,1))+($H7-INDEX('Scratch Data'!$A$5:$A$22,MATCH($H7,'Scratch Data'!$A$5:$A$22,1)))*(INDEX('Scratch Data'!$E$5:$E$22,MIN(MATCH($H7,'Scratch Data'!$A$5:$A$22,1)+1,ROWS('Scratch Data'!$A$5:$A$22)))-INDEX('Scratch Data'!$E$5:$E$22,MATCH($H7,'Scratch Data'!$A$5:$A$22,1)))/MAX(INDEX('Scratch Data'!$A$5:$A$22,MIN(MATCH($H7,'Scratch Data'!$A$5:$A$22,1)+1,ROWS('Scratch Data'!$A$5:$A$22)))-INDEX('Scratch Data'!$A$5:$A$22,MATCH($H7,'Scratch Data'!$A$5:$A$22,1)),0.0001))</f>
        <v>1.272</v>
      </c>
    </row>
    <row r="8" customFormat="false" ht="15" hidden="false" customHeight="false" outlineLevel="0" collapsed="false">
      <c r="A8" s="7" t="n">
        <v>30</v>
      </c>
      <c r="B8" s="10" t="n">
        <f aca="false">IF($A8&lt;=50,(INDEX('Scratch Data'!$M$5:$M$12,MATCH($A8,'Scratch Data'!$L$5:$L$12,1))+($A8-INDEX('Scratch Data'!$L$5:$L$12,MATCH($A8,'Scratch Data'!$L$5:$L$12,1)))*(INDEX('Scratch Data'!$M$5:$M$12,MIN(MATCH($A8,'Scratch Data'!$L$5:$L$12,1)+1,ROWS('Scratch Data'!$L$5:$L$12)))-INDEX('Scratch Data'!$M$5:$M$12,MATCH($A8,'Scratch Data'!$L$5:$L$12,1)))/MAX(INDEX('Scratch Data'!$L$5:$L$12,MIN(MATCH($A8,'Scratch Data'!$L$5:$L$12,1)+1,ROWS('Scratch Data'!$L$5:$L$12)))-INDEX('Scratch Data'!$L$5:$L$12,MATCH($A8,'Scratch Data'!$L$5:$L$12,1)),0.0001)),IF($A8&lt;=250,MIN((1+(INDEX('Scratch Data'!$H$5:$H$13,MATCH($A8,'Scratch Data'!$G$5:$G$13,1))+($A8-INDEX('Scratch Data'!$G$5:$G$13,MATCH($A8,'Scratch Data'!$G$5:$G$13,1)))*(INDEX('Scratch Data'!$H$5:$H$13,MIN(MATCH($A8,'Scratch Data'!$G$5:$G$13,1)+1,ROWS('Scratch Data'!$G$5:$G$13)))-INDEX('Scratch Data'!$H$5:$H$13,MATCH($A8,'Scratch Data'!$G$5:$G$13,1)))/MAX(INDEX('Scratch Data'!$G$5:$G$13,MIN(MATCH($A8,'Scratch Data'!$G$5:$G$13,1)+1,ROWS('Scratch Data'!$G$5:$G$13)))-INDEX('Scratch Data'!$G$5:$G$13,MATCH($A8,'Scratch Data'!$G$5:$G$13,1)),0.0001))*INDEX(Baseline!$I$3:$I$102,MIN(MAX(ROUND(Inputs!$B$11*(INDEX('Scratch Data'!$I$5:$I$13,MATCH($A8,'Scratch Data'!$G$5:$G$13,1))+($A8-INDEX('Scratch Data'!$G$5:$G$13,MATCH($A8,'Scratch Data'!$G$5:$G$13,1)))*(INDEX('Scratch Data'!$I$5:$I$13,MIN(MATCH($A8,'Scratch Data'!$G$5:$G$13,1)+1,ROWS('Scratch Data'!$G$5:$G$13)))-INDEX('Scratch Data'!$I$5:$I$13,MATCH($A8,'Scratch Data'!$G$5:$G$13,1)))/MAX(INDEX('Scratch Data'!$G$5:$G$13,MIN(MATCH($A8,'Scratch Data'!$G$5:$G$13,1)+1,ROWS('Scratch Data'!$G$5:$G$13)))-INDEX('Scratch Data'!$G$5:$G$13,MATCH($A8,'Scratch Data'!$G$5:$G$13,1)),0.0001)),0),1),100))+(1-(INDEX('Scratch Data'!$H$5:$H$13,MATCH($A8,'Scratch Data'!$G$5:$G$13,1))+($A8-INDEX('Scratch Data'!$G$5:$G$13,MATCH($A8,'Scratch Data'!$G$5:$G$13,1)))*(INDEX('Scratch Data'!$H$5:$H$13,MIN(MATCH($A8,'Scratch Data'!$G$5:$G$13,1)+1,ROWS('Scratch Data'!$G$5:$G$13)))-INDEX('Scratch Data'!$H$5:$H$13,MATCH($A8,'Scratch Data'!$G$5:$G$13,1)))/MAX(INDEX('Scratch Data'!$G$5:$G$13,MIN(MATCH($A8,'Scratch Data'!$G$5:$G$13,1)+1,ROWS('Scratch Data'!$G$5:$G$13)))-INDEX('Scratch Data'!$G$5:$G$13,MATCH($A8,'Scratch Data'!$G$5:$G$13,1)),0.0001)))*(INDEX('Scratch Data'!$J$5:$J$13,MATCH($A8,'Scratch Data'!$G$5:$G$13,1))+($A8-INDEX('Scratch Data'!$G$5:$G$13,MATCH($A8,'Scratch Data'!$G$5:$G$13,1)))*(INDEX('Scratch Data'!$J$5:$J$13,MIN(MATCH($A8,'Scratch Data'!$G$5:$G$13,1)+1,ROWS('Scratch Data'!$G$5:$G$13)))-INDEX('Scratch Data'!$J$5:$J$13,MATCH($A8,'Scratch Data'!$G$5:$G$13,1)))/MAX(INDEX('Scratch Data'!$G$5:$G$13,MIN(MATCH($A8,'Scratch Data'!$G$5:$G$13,1)+1,ROWS('Scratch Data'!$G$5:$G$13)))-INDEX('Scratch Data'!$G$5:$G$13,MATCH($A8,'Scratch Data'!$G$5:$G$13,1)),0.0001))),(1+Inputs!$B$19*INDEX(Baseline!$B$3:$B$122,MATCH(MIN(MAX(ROUND((MAX($A8-Inputs!$B$20,30))/5,0)*5,5),600),Baseline!$A$3:$A$122,0))+(1-Inputs!$B$19)*INDEX(Baseline!$C$3:$C$122,MATCH(MIN(MAX(ROUND((MAX($A8-Inputs!$B$20,30))/5,0)*5,5),600),Baseline!$A$3:$A$122,0)))),(1+Inputs!$B$19*INDEX(Baseline!$B$3:$B$122,MATCH(MIN(MAX(ROUND((MAX($A8-Inputs!$B$20,30))/5,0)*5,5),600),Baseline!$A$3:$A$122,0))+(1-Inputs!$B$19)*INDEX(Baseline!$C$3:$C$122,MATCH(MIN(MAX(ROUND((MAX($A8-Inputs!$B$20,30))/5,0)*5,5),600),Baseline!$A$3:$A$122,0)))))</f>
        <v>2.58</v>
      </c>
      <c r="C8" s="10" t="n">
        <f aca="false">IF($A8&lt;=50,$B8+Inputs!$B$18,IF($A8&lt;=250,MIN((1+(INDEX('Scratch Data'!$H$5:$H$13,MATCH($A8,'Scratch Data'!$G$5:$G$13,1))+($A8-INDEX('Scratch Data'!$G$5:$G$13,MATCH($A8,'Scratch Data'!$G$5:$G$13,1)))*(INDEX('Scratch Data'!$H$5:$H$13,MIN(MATCH($A8,'Scratch Data'!$G$5:$G$13,1)+1,ROWS('Scratch Data'!$G$5:$G$13)))-INDEX('Scratch Data'!$H$5:$H$13,MATCH($A8,'Scratch Data'!$G$5:$G$13,1)))/MAX(INDEX('Scratch Data'!$G$5:$G$13,MIN(MATCH($A8,'Scratch Data'!$G$5:$G$13,1)+1,ROWS('Scratch Data'!$G$5:$G$13)))-INDEX('Scratch Data'!$G$5:$G$13,MATCH($A8,'Scratch Data'!$G$5:$G$13,1)),0.0001))*Inputs!$B$12*INDEX(Baseline!$I$3:$I$102,MIN(MAX(ROUND(Inputs!$B$11*(INDEX('Scratch Data'!$I$5:$I$13,MATCH($A8,'Scratch Data'!$G$5:$G$13,1))+($A8-INDEX('Scratch Data'!$G$5:$G$13,MATCH($A8,'Scratch Data'!$G$5:$G$13,1)))*(INDEX('Scratch Data'!$I$5:$I$13,MIN(MATCH($A8,'Scratch Data'!$G$5:$G$13,1)+1,ROWS('Scratch Data'!$G$5:$G$13)))-INDEX('Scratch Data'!$I$5:$I$13,MATCH($A8,'Scratch Data'!$G$5:$G$13,1)))/MAX(INDEX('Scratch Data'!$G$5:$G$13,MIN(MATCH($A8,'Scratch Data'!$G$5:$G$13,1)+1,ROWS('Scratch Data'!$G$5:$G$13)))-INDEX('Scratch Data'!$G$5:$G$13,MATCH($A8,'Scratch Data'!$G$5:$G$13,1)),0.0001))*Inputs!$B$13,0),1),100))+(1-(INDEX('Scratch Data'!$H$5:$H$13,MATCH($A8,'Scratch Data'!$G$5:$G$13,1))+($A8-INDEX('Scratch Data'!$G$5:$G$13,MATCH($A8,'Scratch Data'!$G$5:$G$13,1)))*(INDEX('Scratch Data'!$H$5:$H$13,MIN(MATCH($A8,'Scratch Data'!$G$5:$G$13,1)+1,ROWS('Scratch Data'!$G$5:$G$13)))-INDEX('Scratch Data'!$H$5:$H$13,MATCH($A8,'Scratch Data'!$G$5:$G$13,1)))/MAX(INDEX('Scratch Data'!$G$5:$G$13,MIN(MATCH($A8,'Scratch Data'!$G$5:$G$13,1)+1,ROWS('Scratch Data'!$G$5:$G$13)))-INDEX('Scratch Data'!$G$5:$G$13,MATCH($A8,'Scratch Data'!$G$5:$G$13,1)),0.0001))*Inputs!$B$12)*((INDEX('Scratch Data'!$J$5:$J$13,MATCH($A8,'Scratch Data'!$G$5:$G$13,1))+($A8-INDEX('Scratch Data'!$G$5:$G$13,MATCH($A8,'Scratch Data'!$G$5:$G$13,1)))*(INDEX('Scratch Data'!$J$5:$J$13,MIN(MATCH($A8,'Scratch Data'!$G$5:$G$13,1)+1,ROWS('Scratch Data'!$G$5:$G$13)))-INDEX('Scratch Data'!$J$5:$J$13,MATCH($A8,'Scratch Data'!$G$5:$G$13,1)))/MAX(INDEX('Scratch Data'!$G$5:$G$13,MIN(MATCH($A8,'Scratch Data'!$G$5:$G$13,1)+1,ROWS('Scratch Data'!$G$5:$G$13)))-INDEX('Scratch Data'!$G$5:$G$13,MATCH($A8,'Scratch Data'!$G$5:$G$13,1)),0.0001))+Inputs!$B$14)),(1+Inputs!$B$19*INDEX(Baseline!$B$3:$B$122,MATCH(MIN(MAX(ROUND((MAX($A8-Inputs!$B$21,30))/5,0)*5,5),600),Baseline!$A$3:$A$122,0))+(1-Inputs!$B$19)*INDEX(Baseline!$C$3:$C$122,MATCH(MIN(MAX(ROUND((MAX($A8-Inputs!$B$21,30))/5,0)*5,5),600),Baseline!$A$3:$A$122,0))+Inputs!$B$14)),(1+Inputs!$B$19*INDEX(Baseline!$B$3:$B$122,MATCH(MIN(MAX(ROUND((MAX($A8-Inputs!$B$21,30))/5,0)*5,5),600),Baseline!$A$3:$A$122,0))+(1-Inputs!$B$19)*INDEX(Baseline!$C$3:$C$122,MATCH(MIN(MAX(ROUND((MAX($A8-Inputs!$B$21,30))/5,0)*5,5),600),Baseline!$A$3:$A$122,0))+Inputs!$B$14)))</f>
        <v>2.78</v>
      </c>
      <c r="D8" s="10" t="n">
        <f aca="false">IF($A8&lt;=50,(INDEX('Scratch Data'!$P$5:$P$11,MATCH($A8,'Scratch Data'!$O$5:$O$11,1))+($A8-INDEX('Scratch Data'!$O$5:$O$11,MATCH($A8,'Scratch Data'!$O$5:$O$11,1)))*(INDEX('Scratch Data'!$P$5:$P$11,MIN(MATCH($A8,'Scratch Data'!$O$5:$O$11,1)+1,ROWS('Scratch Data'!$O$5:$O$11)))-INDEX('Scratch Data'!$P$5:$P$11,MATCH($A8,'Scratch Data'!$O$5:$O$11,1)))/MAX(INDEX('Scratch Data'!$O$5:$O$11,MIN(MATCH($A8,'Scratch Data'!$O$5:$O$11,1)+1,ROWS('Scratch Data'!$O$5:$O$11)))-INDEX('Scratch Data'!$O$5:$O$11,MATCH($A8,'Scratch Data'!$O$5:$O$11,1)),0.0001)),IF($A8&lt;=250,MIN((1+(INDEX('Scratch Data'!$H$5:$H$13,MATCH($A8,'Scratch Data'!$G$5:$G$13,1))+($A8-INDEX('Scratch Data'!$G$5:$G$13,MATCH($A8,'Scratch Data'!$G$5:$G$13,1)))*(INDEX('Scratch Data'!$H$5:$H$13,MIN(MATCH($A8,'Scratch Data'!$G$5:$G$13,1)+1,ROWS('Scratch Data'!$G$5:$G$13)))-INDEX('Scratch Data'!$H$5:$H$13,MATCH($A8,'Scratch Data'!$G$5:$G$13,1)))/MAX(INDEX('Scratch Data'!$G$5:$G$13,MIN(MATCH($A8,'Scratch Data'!$G$5:$G$13,1)+1,ROWS('Scratch Data'!$G$5:$G$13)))-INDEX('Scratch Data'!$G$5:$G$13,MATCH($A8,'Scratch Data'!$G$5:$G$13,1)),0.0001))*Inputs!$B$15*INDEX(Baseline!$I$3:$I$102,MIN(MAX(ROUND(Inputs!$B$11*(INDEX('Scratch Data'!$I$5:$I$13,MATCH($A8,'Scratch Data'!$G$5:$G$13,1))+($A8-INDEX('Scratch Data'!$G$5:$G$13,MATCH($A8,'Scratch Data'!$G$5:$G$13,1)))*(INDEX('Scratch Data'!$I$5:$I$13,MIN(MATCH($A8,'Scratch Data'!$G$5:$G$13,1)+1,ROWS('Scratch Data'!$G$5:$G$13)))-INDEX('Scratch Data'!$I$5:$I$13,MATCH($A8,'Scratch Data'!$G$5:$G$13,1)))/MAX(INDEX('Scratch Data'!$G$5:$G$13,MIN(MATCH($A8,'Scratch Data'!$G$5:$G$13,1)+1,ROWS('Scratch Data'!$G$5:$G$13)))-INDEX('Scratch Data'!$G$5:$G$13,MATCH($A8,'Scratch Data'!$G$5:$G$13,1)),0.0001))*Inputs!$B$16,0),1),100))+(1-(INDEX('Scratch Data'!$H$5:$H$13,MATCH($A8,'Scratch Data'!$G$5:$G$13,1))+($A8-INDEX('Scratch Data'!$G$5:$G$13,MATCH($A8,'Scratch Data'!$G$5:$G$13,1)))*(INDEX('Scratch Data'!$H$5:$H$13,MIN(MATCH($A8,'Scratch Data'!$G$5:$G$13,1)+1,ROWS('Scratch Data'!$G$5:$G$13)))-INDEX('Scratch Data'!$H$5:$H$13,MATCH($A8,'Scratch Data'!$G$5:$G$13,1)))/MAX(INDEX('Scratch Data'!$G$5:$G$13,MIN(MATCH($A8,'Scratch Data'!$G$5:$G$13,1)+1,ROWS('Scratch Data'!$G$5:$G$13)))-INDEX('Scratch Data'!$G$5:$G$13,MATCH($A8,'Scratch Data'!$G$5:$G$13,1)),0.0001))*Inputs!$B$15)*((INDEX('Scratch Data'!$J$5:$J$13,MATCH($A8,'Scratch Data'!$G$5:$G$13,1))+($A8-INDEX('Scratch Data'!$G$5:$G$13,MATCH($A8,'Scratch Data'!$G$5:$G$13,1)))*(INDEX('Scratch Data'!$J$5:$J$13,MIN(MATCH($A8,'Scratch Data'!$G$5:$G$13,1)+1,ROWS('Scratch Data'!$G$5:$G$13)))-INDEX('Scratch Data'!$J$5:$J$13,MATCH($A8,'Scratch Data'!$G$5:$G$13,1)))/MAX(INDEX('Scratch Data'!$G$5:$G$13,MIN(MATCH($A8,'Scratch Data'!$G$5:$G$13,1)+1,ROWS('Scratch Data'!$G$5:$G$13)))-INDEX('Scratch Data'!$G$5:$G$13,MATCH($A8,'Scratch Data'!$G$5:$G$13,1)),0.0001))+Inputs!$B$17)),(1+Inputs!$B$19*INDEX(Baseline!$B$3:$B$122,MATCH(MIN(MAX(ROUND((MAX($A8-Inputs!$B$22,30))/5,0)*5,5),600),Baseline!$A$3:$A$122,0))+(1-Inputs!$B$19)*INDEX(Baseline!$C$3:$C$122,MATCH(MIN(MAX(ROUND((MAX($A8-Inputs!$B$22,30))/5,0)*5,5),600),Baseline!$A$3:$A$122,0))+Inputs!$B$17)),(1+Inputs!$B$19*INDEX(Baseline!$B$3:$B$122,MATCH(MIN(MAX(ROUND((MAX($A8-Inputs!$B$22,30))/5,0)*5,5),600),Baseline!$A$3:$A$122,0))+(1-Inputs!$B$19)*INDEX(Baseline!$C$3:$C$122,MATCH(MIN(MAX(ROUND((MAX($A8-Inputs!$B$22,30))/5,0)*5,5),600),Baseline!$A$3:$A$122,0))+Inputs!$B$17)))</f>
        <v>2.86</v>
      </c>
      <c r="E8" s="10" t="n">
        <f aca="false">1+Inputs!$B$24+0.6*INDEX(Baseline!$B$3:$B$122,MATCH(MIN(MAX(ROUND((MAX($A8-Inputs!$B$23,15))/5,0)*5,5),600),Baseline!$A$3:$A$122,0))+0.4*INDEX(Baseline!$C$3:$C$122,MATCH(MIN(MAX(ROUND((MAX($A8-Inputs!$B$23,15))/5,0)*5,5),600),Baseline!$A$3:$A$122,0))</f>
        <v>3.56</v>
      </c>
      <c r="H8" s="7" t="n">
        <v>6</v>
      </c>
      <c r="I8" s="10" t="n">
        <f aca="false">(INDEX('Scratch Data'!$E$5:$E$22,MATCH($H8,'Scratch Data'!$A$5:$A$22,1))+($H8-INDEX('Scratch Data'!$A$5:$A$22,MATCH($H8,'Scratch Data'!$A$5:$A$22,1)))*(INDEX('Scratch Data'!$E$5:$E$22,MIN(MATCH($H8,'Scratch Data'!$A$5:$A$22,1)+1,ROWS('Scratch Data'!$A$5:$A$22)))-INDEX('Scratch Data'!$E$5:$E$22,MATCH($H8,'Scratch Data'!$A$5:$A$22,1)))/MAX(INDEX('Scratch Data'!$A$5:$A$22,MIN(MATCH($H8,'Scratch Data'!$A$5:$A$22,1)+1,ROWS('Scratch Data'!$A$5:$A$22)))-INDEX('Scratch Data'!$A$5:$A$22,MATCH($H8,'Scratch Data'!$A$5:$A$22,1)),0.0001))</f>
        <v>1.383</v>
      </c>
    </row>
    <row r="9" customFormat="false" ht="15" hidden="false" customHeight="false" outlineLevel="0" collapsed="false">
      <c r="A9" s="7" t="n">
        <v>35</v>
      </c>
      <c r="B9" s="10" t="n">
        <f aca="false">IF($A9&lt;=50,(INDEX('Scratch Data'!$M$5:$M$12,MATCH($A9,'Scratch Data'!$L$5:$L$12,1))+($A9-INDEX('Scratch Data'!$L$5:$L$12,MATCH($A9,'Scratch Data'!$L$5:$L$12,1)))*(INDEX('Scratch Data'!$M$5:$M$12,MIN(MATCH($A9,'Scratch Data'!$L$5:$L$12,1)+1,ROWS('Scratch Data'!$L$5:$L$12)))-INDEX('Scratch Data'!$M$5:$M$12,MATCH($A9,'Scratch Data'!$L$5:$L$12,1)))/MAX(INDEX('Scratch Data'!$L$5:$L$12,MIN(MATCH($A9,'Scratch Data'!$L$5:$L$12,1)+1,ROWS('Scratch Data'!$L$5:$L$12)))-INDEX('Scratch Data'!$L$5:$L$12,MATCH($A9,'Scratch Data'!$L$5:$L$12,1)),0.0001)),IF($A9&lt;=250,MIN((1+(INDEX('Scratch Data'!$H$5:$H$13,MATCH($A9,'Scratch Data'!$G$5:$G$13,1))+($A9-INDEX('Scratch Data'!$G$5:$G$13,MATCH($A9,'Scratch Data'!$G$5:$G$13,1)))*(INDEX('Scratch Data'!$H$5:$H$13,MIN(MATCH($A9,'Scratch Data'!$G$5:$G$13,1)+1,ROWS('Scratch Data'!$G$5:$G$13)))-INDEX('Scratch Data'!$H$5:$H$13,MATCH($A9,'Scratch Data'!$G$5:$G$13,1)))/MAX(INDEX('Scratch Data'!$G$5:$G$13,MIN(MATCH($A9,'Scratch Data'!$G$5:$G$13,1)+1,ROWS('Scratch Data'!$G$5:$G$13)))-INDEX('Scratch Data'!$G$5:$G$13,MATCH($A9,'Scratch Data'!$G$5:$G$13,1)),0.0001))*INDEX(Baseline!$I$3:$I$102,MIN(MAX(ROUND(Inputs!$B$11*(INDEX('Scratch Data'!$I$5:$I$13,MATCH($A9,'Scratch Data'!$G$5:$G$13,1))+($A9-INDEX('Scratch Data'!$G$5:$G$13,MATCH($A9,'Scratch Data'!$G$5:$G$13,1)))*(INDEX('Scratch Data'!$I$5:$I$13,MIN(MATCH($A9,'Scratch Data'!$G$5:$G$13,1)+1,ROWS('Scratch Data'!$G$5:$G$13)))-INDEX('Scratch Data'!$I$5:$I$13,MATCH($A9,'Scratch Data'!$G$5:$G$13,1)))/MAX(INDEX('Scratch Data'!$G$5:$G$13,MIN(MATCH($A9,'Scratch Data'!$G$5:$G$13,1)+1,ROWS('Scratch Data'!$G$5:$G$13)))-INDEX('Scratch Data'!$G$5:$G$13,MATCH($A9,'Scratch Data'!$G$5:$G$13,1)),0.0001)),0),1),100))+(1-(INDEX('Scratch Data'!$H$5:$H$13,MATCH($A9,'Scratch Data'!$G$5:$G$13,1))+($A9-INDEX('Scratch Data'!$G$5:$G$13,MATCH($A9,'Scratch Data'!$G$5:$G$13,1)))*(INDEX('Scratch Data'!$H$5:$H$13,MIN(MATCH($A9,'Scratch Data'!$G$5:$G$13,1)+1,ROWS('Scratch Data'!$G$5:$G$13)))-INDEX('Scratch Data'!$H$5:$H$13,MATCH($A9,'Scratch Data'!$G$5:$G$13,1)))/MAX(INDEX('Scratch Data'!$G$5:$G$13,MIN(MATCH($A9,'Scratch Data'!$G$5:$G$13,1)+1,ROWS('Scratch Data'!$G$5:$G$13)))-INDEX('Scratch Data'!$G$5:$G$13,MATCH($A9,'Scratch Data'!$G$5:$G$13,1)),0.0001)))*(INDEX('Scratch Data'!$J$5:$J$13,MATCH($A9,'Scratch Data'!$G$5:$G$13,1))+($A9-INDEX('Scratch Data'!$G$5:$G$13,MATCH($A9,'Scratch Data'!$G$5:$G$13,1)))*(INDEX('Scratch Data'!$J$5:$J$13,MIN(MATCH($A9,'Scratch Data'!$G$5:$G$13,1)+1,ROWS('Scratch Data'!$G$5:$G$13)))-INDEX('Scratch Data'!$J$5:$J$13,MATCH($A9,'Scratch Data'!$G$5:$G$13,1)))/MAX(INDEX('Scratch Data'!$G$5:$G$13,MIN(MATCH($A9,'Scratch Data'!$G$5:$G$13,1)+1,ROWS('Scratch Data'!$G$5:$G$13)))-INDEX('Scratch Data'!$G$5:$G$13,MATCH($A9,'Scratch Data'!$G$5:$G$13,1)),0.0001))),(1+Inputs!$B$19*INDEX(Baseline!$B$3:$B$122,MATCH(MIN(MAX(ROUND((MAX($A9-Inputs!$B$20,30))/5,0)*5,5),600),Baseline!$A$3:$A$122,0))+(1-Inputs!$B$19)*INDEX(Baseline!$C$3:$C$122,MATCH(MIN(MAX(ROUND((MAX($A9-Inputs!$B$20,30))/5,0)*5,5),600),Baseline!$A$3:$A$122,0)))),(1+Inputs!$B$19*INDEX(Baseline!$B$3:$B$122,MATCH(MIN(MAX(ROUND((MAX($A9-Inputs!$B$20,30))/5,0)*5,5),600),Baseline!$A$3:$A$122,0))+(1-Inputs!$B$19)*INDEX(Baseline!$C$3:$C$122,MATCH(MIN(MAX(ROUND((MAX($A9-Inputs!$B$20,30))/5,0)*5,5),600),Baseline!$A$3:$A$122,0)))))</f>
        <v>2.63</v>
      </c>
      <c r="C9" s="10" t="n">
        <f aca="false">IF($A9&lt;=50,$B9+Inputs!$B$18,IF($A9&lt;=250,MIN((1+(INDEX('Scratch Data'!$H$5:$H$13,MATCH($A9,'Scratch Data'!$G$5:$G$13,1))+($A9-INDEX('Scratch Data'!$G$5:$G$13,MATCH($A9,'Scratch Data'!$G$5:$G$13,1)))*(INDEX('Scratch Data'!$H$5:$H$13,MIN(MATCH($A9,'Scratch Data'!$G$5:$G$13,1)+1,ROWS('Scratch Data'!$G$5:$G$13)))-INDEX('Scratch Data'!$H$5:$H$13,MATCH($A9,'Scratch Data'!$G$5:$G$13,1)))/MAX(INDEX('Scratch Data'!$G$5:$G$13,MIN(MATCH($A9,'Scratch Data'!$G$5:$G$13,1)+1,ROWS('Scratch Data'!$G$5:$G$13)))-INDEX('Scratch Data'!$G$5:$G$13,MATCH($A9,'Scratch Data'!$G$5:$G$13,1)),0.0001))*Inputs!$B$12*INDEX(Baseline!$I$3:$I$102,MIN(MAX(ROUND(Inputs!$B$11*(INDEX('Scratch Data'!$I$5:$I$13,MATCH($A9,'Scratch Data'!$G$5:$G$13,1))+($A9-INDEX('Scratch Data'!$G$5:$G$13,MATCH($A9,'Scratch Data'!$G$5:$G$13,1)))*(INDEX('Scratch Data'!$I$5:$I$13,MIN(MATCH($A9,'Scratch Data'!$G$5:$G$13,1)+1,ROWS('Scratch Data'!$G$5:$G$13)))-INDEX('Scratch Data'!$I$5:$I$13,MATCH($A9,'Scratch Data'!$G$5:$G$13,1)))/MAX(INDEX('Scratch Data'!$G$5:$G$13,MIN(MATCH($A9,'Scratch Data'!$G$5:$G$13,1)+1,ROWS('Scratch Data'!$G$5:$G$13)))-INDEX('Scratch Data'!$G$5:$G$13,MATCH($A9,'Scratch Data'!$G$5:$G$13,1)),0.0001))*Inputs!$B$13,0),1),100))+(1-(INDEX('Scratch Data'!$H$5:$H$13,MATCH($A9,'Scratch Data'!$G$5:$G$13,1))+($A9-INDEX('Scratch Data'!$G$5:$G$13,MATCH($A9,'Scratch Data'!$G$5:$G$13,1)))*(INDEX('Scratch Data'!$H$5:$H$13,MIN(MATCH($A9,'Scratch Data'!$G$5:$G$13,1)+1,ROWS('Scratch Data'!$G$5:$G$13)))-INDEX('Scratch Data'!$H$5:$H$13,MATCH($A9,'Scratch Data'!$G$5:$G$13,1)))/MAX(INDEX('Scratch Data'!$G$5:$G$13,MIN(MATCH($A9,'Scratch Data'!$G$5:$G$13,1)+1,ROWS('Scratch Data'!$G$5:$G$13)))-INDEX('Scratch Data'!$G$5:$G$13,MATCH($A9,'Scratch Data'!$G$5:$G$13,1)),0.0001))*Inputs!$B$12)*((INDEX('Scratch Data'!$J$5:$J$13,MATCH($A9,'Scratch Data'!$G$5:$G$13,1))+($A9-INDEX('Scratch Data'!$G$5:$G$13,MATCH($A9,'Scratch Data'!$G$5:$G$13,1)))*(INDEX('Scratch Data'!$J$5:$J$13,MIN(MATCH($A9,'Scratch Data'!$G$5:$G$13,1)+1,ROWS('Scratch Data'!$G$5:$G$13)))-INDEX('Scratch Data'!$J$5:$J$13,MATCH($A9,'Scratch Data'!$G$5:$G$13,1)))/MAX(INDEX('Scratch Data'!$G$5:$G$13,MIN(MATCH($A9,'Scratch Data'!$G$5:$G$13,1)+1,ROWS('Scratch Data'!$G$5:$G$13)))-INDEX('Scratch Data'!$G$5:$G$13,MATCH($A9,'Scratch Data'!$G$5:$G$13,1)),0.0001))+Inputs!$B$14)),(1+Inputs!$B$19*INDEX(Baseline!$B$3:$B$122,MATCH(MIN(MAX(ROUND((MAX($A9-Inputs!$B$21,30))/5,0)*5,5),600),Baseline!$A$3:$A$122,0))+(1-Inputs!$B$19)*INDEX(Baseline!$C$3:$C$122,MATCH(MIN(MAX(ROUND((MAX($A9-Inputs!$B$21,30))/5,0)*5,5),600),Baseline!$A$3:$A$122,0))+Inputs!$B$14)),(1+Inputs!$B$19*INDEX(Baseline!$B$3:$B$122,MATCH(MIN(MAX(ROUND((MAX($A9-Inputs!$B$21,30))/5,0)*5,5),600),Baseline!$A$3:$A$122,0))+(1-Inputs!$B$19)*INDEX(Baseline!$C$3:$C$122,MATCH(MIN(MAX(ROUND((MAX($A9-Inputs!$B$21,30))/5,0)*5,5),600),Baseline!$A$3:$A$122,0))+Inputs!$B$14)))</f>
        <v>2.83</v>
      </c>
      <c r="D9" s="10" t="n">
        <f aca="false">IF($A9&lt;=50,(INDEX('Scratch Data'!$P$5:$P$11,MATCH($A9,'Scratch Data'!$O$5:$O$11,1))+($A9-INDEX('Scratch Data'!$O$5:$O$11,MATCH($A9,'Scratch Data'!$O$5:$O$11,1)))*(INDEX('Scratch Data'!$P$5:$P$11,MIN(MATCH($A9,'Scratch Data'!$O$5:$O$11,1)+1,ROWS('Scratch Data'!$O$5:$O$11)))-INDEX('Scratch Data'!$P$5:$P$11,MATCH($A9,'Scratch Data'!$O$5:$O$11,1)))/MAX(INDEX('Scratch Data'!$O$5:$O$11,MIN(MATCH($A9,'Scratch Data'!$O$5:$O$11,1)+1,ROWS('Scratch Data'!$O$5:$O$11)))-INDEX('Scratch Data'!$O$5:$O$11,MATCH($A9,'Scratch Data'!$O$5:$O$11,1)),0.0001)),IF($A9&lt;=250,MIN((1+(INDEX('Scratch Data'!$H$5:$H$13,MATCH($A9,'Scratch Data'!$G$5:$G$13,1))+($A9-INDEX('Scratch Data'!$G$5:$G$13,MATCH($A9,'Scratch Data'!$G$5:$G$13,1)))*(INDEX('Scratch Data'!$H$5:$H$13,MIN(MATCH($A9,'Scratch Data'!$G$5:$G$13,1)+1,ROWS('Scratch Data'!$G$5:$G$13)))-INDEX('Scratch Data'!$H$5:$H$13,MATCH($A9,'Scratch Data'!$G$5:$G$13,1)))/MAX(INDEX('Scratch Data'!$G$5:$G$13,MIN(MATCH($A9,'Scratch Data'!$G$5:$G$13,1)+1,ROWS('Scratch Data'!$G$5:$G$13)))-INDEX('Scratch Data'!$G$5:$G$13,MATCH($A9,'Scratch Data'!$G$5:$G$13,1)),0.0001))*Inputs!$B$15*INDEX(Baseline!$I$3:$I$102,MIN(MAX(ROUND(Inputs!$B$11*(INDEX('Scratch Data'!$I$5:$I$13,MATCH($A9,'Scratch Data'!$G$5:$G$13,1))+($A9-INDEX('Scratch Data'!$G$5:$G$13,MATCH($A9,'Scratch Data'!$G$5:$G$13,1)))*(INDEX('Scratch Data'!$I$5:$I$13,MIN(MATCH($A9,'Scratch Data'!$G$5:$G$13,1)+1,ROWS('Scratch Data'!$G$5:$G$13)))-INDEX('Scratch Data'!$I$5:$I$13,MATCH($A9,'Scratch Data'!$G$5:$G$13,1)))/MAX(INDEX('Scratch Data'!$G$5:$G$13,MIN(MATCH($A9,'Scratch Data'!$G$5:$G$13,1)+1,ROWS('Scratch Data'!$G$5:$G$13)))-INDEX('Scratch Data'!$G$5:$G$13,MATCH($A9,'Scratch Data'!$G$5:$G$13,1)),0.0001))*Inputs!$B$16,0),1),100))+(1-(INDEX('Scratch Data'!$H$5:$H$13,MATCH($A9,'Scratch Data'!$G$5:$G$13,1))+($A9-INDEX('Scratch Data'!$G$5:$G$13,MATCH($A9,'Scratch Data'!$G$5:$G$13,1)))*(INDEX('Scratch Data'!$H$5:$H$13,MIN(MATCH($A9,'Scratch Data'!$G$5:$G$13,1)+1,ROWS('Scratch Data'!$G$5:$G$13)))-INDEX('Scratch Data'!$H$5:$H$13,MATCH($A9,'Scratch Data'!$G$5:$G$13,1)))/MAX(INDEX('Scratch Data'!$G$5:$G$13,MIN(MATCH($A9,'Scratch Data'!$G$5:$G$13,1)+1,ROWS('Scratch Data'!$G$5:$G$13)))-INDEX('Scratch Data'!$G$5:$G$13,MATCH($A9,'Scratch Data'!$G$5:$G$13,1)),0.0001))*Inputs!$B$15)*((INDEX('Scratch Data'!$J$5:$J$13,MATCH($A9,'Scratch Data'!$G$5:$G$13,1))+($A9-INDEX('Scratch Data'!$G$5:$G$13,MATCH($A9,'Scratch Data'!$G$5:$G$13,1)))*(INDEX('Scratch Data'!$J$5:$J$13,MIN(MATCH($A9,'Scratch Data'!$G$5:$G$13,1)+1,ROWS('Scratch Data'!$G$5:$G$13)))-INDEX('Scratch Data'!$J$5:$J$13,MATCH($A9,'Scratch Data'!$G$5:$G$13,1)))/MAX(INDEX('Scratch Data'!$G$5:$G$13,MIN(MATCH($A9,'Scratch Data'!$G$5:$G$13,1)+1,ROWS('Scratch Data'!$G$5:$G$13)))-INDEX('Scratch Data'!$G$5:$G$13,MATCH($A9,'Scratch Data'!$G$5:$G$13,1)),0.0001))+Inputs!$B$17)),(1+Inputs!$B$19*INDEX(Baseline!$B$3:$B$122,MATCH(MIN(MAX(ROUND((MAX($A9-Inputs!$B$22,30))/5,0)*5,5),600),Baseline!$A$3:$A$122,0))+(1-Inputs!$B$19)*INDEX(Baseline!$C$3:$C$122,MATCH(MIN(MAX(ROUND((MAX($A9-Inputs!$B$22,30))/5,0)*5,5),600),Baseline!$A$3:$A$122,0))+Inputs!$B$17)),(1+Inputs!$B$19*INDEX(Baseline!$B$3:$B$122,MATCH(MIN(MAX(ROUND((MAX($A9-Inputs!$B$22,30))/5,0)*5,5),600),Baseline!$A$3:$A$122,0))+(1-Inputs!$B$19)*INDEX(Baseline!$C$3:$C$122,MATCH(MIN(MAX(ROUND((MAX($A9-Inputs!$B$22,30))/5,0)*5,5),600),Baseline!$A$3:$A$122,0))+Inputs!$B$17)))</f>
        <v>2.93</v>
      </c>
      <c r="E9" s="10" t="n">
        <f aca="false">1+Inputs!$B$24+0.6*INDEX(Baseline!$B$3:$B$122,MATCH(MIN(MAX(ROUND((MAX($A9-Inputs!$B$23,15))/5,0)*5,5),600),Baseline!$A$3:$A$122,0))+0.4*INDEX(Baseline!$C$3:$C$122,MATCH(MIN(MAX(ROUND((MAX($A9-Inputs!$B$23,15))/5,0)*5,5),600),Baseline!$A$3:$A$122,0))</f>
        <v>3.56</v>
      </c>
      <c r="H9" s="7" t="n">
        <v>7</v>
      </c>
      <c r="I9" s="10" t="n">
        <f aca="false">(INDEX('Scratch Data'!$E$5:$E$22,MATCH($H9,'Scratch Data'!$A$5:$A$22,1))+($H9-INDEX('Scratch Data'!$A$5:$A$22,MATCH($H9,'Scratch Data'!$A$5:$A$22,1)))*(INDEX('Scratch Data'!$E$5:$E$22,MIN(MATCH($H9,'Scratch Data'!$A$5:$A$22,1)+1,ROWS('Scratch Data'!$A$5:$A$22)))-INDEX('Scratch Data'!$E$5:$E$22,MATCH($H9,'Scratch Data'!$A$5:$A$22,1)))/MAX(INDEX('Scratch Data'!$A$5:$A$22,MIN(MATCH($H9,'Scratch Data'!$A$5:$A$22,1)+1,ROWS('Scratch Data'!$A$5:$A$22)))-INDEX('Scratch Data'!$A$5:$A$22,MATCH($H9,'Scratch Data'!$A$5:$A$22,1)),0.0001))</f>
        <v>1.4595</v>
      </c>
    </row>
    <row r="10" customFormat="false" ht="15" hidden="false" customHeight="false" outlineLevel="0" collapsed="false">
      <c r="A10" s="7" t="n">
        <v>40</v>
      </c>
      <c r="B10" s="10" t="n">
        <f aca="false">IF($A10&lt;=50,(INDEX('Scratch Data'!$M$5:$M$12,MATCH($A10,'Scratch Data'!$L$5:$L$12,1))+($A10-INDEX('Scratch Data'!$L$5:$L$12,MATCH($A10,'Scratch Data'!$L$5:$L$12,1)))*(INDEX('Scratch Data'!$M$5:$M$12,MIN(MATCH($A10,'Scratch Data'!$L$5:$L$12,1)+1,ROWS('Scratch Data'!$L$5:$L$12)))-INDEX('Scratch Data'!$M$5:$M$12,MATCH($A10,'Scratch Data'!$L$5:$L$12,1)))/MAX(INDEX('Scratch Data'!$L$5:$L$12,MIN(MATCH($A10,'Scratch Data'!$L$5:$L$12,1)+1,ROWS('Scratch Data'!$L$5:$L$12)))-INDEX('Scratch Data'!$L$5:$L$12,MATCH($A10,'Scratch Data'!$L$5:$L$12,1)),0.0001)),IF($A10&lt;=250,MIN((1+(INDEX('Scratch Data'!$H$5:$H$13,MATCH($A10,'Scratch Data'!$G$5:$G$13,1))+($A10-INDEX('Scratch Data'!$G$5:$G$13,MATCH($A10,'Scratch Data'!$G$5:$G$13,1)))*(INDEX('Scratch Data'!$H$5:$H$13,MIN(MATCH($A10,'Scratch Data'!$G$5:$G$13,1)+1,ROWS('Scratch Data'!$G$5:$G$13)))-INDEX('Scratch Data'!$H$5:$H$13,MATCH($A10,'Scratch Data'!$G$5:$G$13,1)))/MAX(INDEX('Scratch Data'!$G$5:$G$13,MIN(MATCH($A10,'Scratch Data'!$G$5:$G$13,1)+1,ROWS('Scratch Data'!$G$5:$G$13)))-INDEX('Scratch Data'!$G$5:$G$13,MATCH($A10,'Scratch Data'!$G$5:$G$13,1)),0.0001))*INDEX(Baseline!$I$3:$I$102,MIN(MAX(ROUND(Inputs!$B$11*(INDEX('Scratch Data'!$I$5:$I$13,MATCH($A10,'Scratch Data'!$G$5:$G$13,1))+($A10-INDEX('Scratch Data'!$G$5:$G$13,MATCH($A10,'Scratch Data'!$G$5:$G$13,1)))*(INDEX('Scratch Data'!$I$5:$I$13,MIN(MATCH($A10,'Scratch Data'!$G$5:$G$13,1)+1,ROWS('Scratch Data'!$G$5:$G$13)))-INDEX('Scratch Data'!$I$5:$I$13,MATCH($A10,'Scratch Data'!$G$5:$G$13,1)))/MAX(INDEX('Scratch Data'!$G$5:$G$13,MIN(MATCH($A10,'Scratch Data'!$G$5:$G$13,1)+1,ROWS('Scratch Data'!$G$5:$G$13)))-INDEX('Scratch Data'!$G$5:$G$13,MATCH($A10,'Scratch Data'!$G$5:$G$13,1)),0.0001)),0),1),100))+(1-(INDEX('Scratch Data'!$H$5:$H$13,MATCH($A10,'Scratch Data'!$G$5:$G$13,1))+($A10-INDEX('Scratch Data'!$G$5:$G$13,MATCH($A10,'Scratch Data'!$G$5:$G$13,1)))*(INDEX('Scratch Data'!$H$5:$H$13,MIN(MATCH($A10,'Scratch Data'!$G$5:$G$13,1)+1,ROWS('Scratch Data'!$G$5:$G$13)))-INDEX('Scratch Data'!$H$5:$H$13,MATCH($A10,'Scratch Data'!$G$5:$G$13,1)))/MAX(INDEX('Scratch Data'!$G$5:$G$13,MIN(MATCH($A10,'Scratch Data'!$G$5:$G$13,1)+1,ROWS('Scratch Data'!$G$5:$G$13)))-INDEX('Scratch Data'!$G$5:$G$13,MATCH($A10,'Scratch Data'!$G$5:$G$13,1)),0.0001)))*(INDEX('Scratch Data'!$J$5:$J$13,MATCH($A10,'Scratch Data'!$G$5:$G$13,1))+($A10-INDEX('Scratch Data'!$G$5:$G$13,MATCH($A10,'Scratch Data'!$G$5:$G$13,1)))*(INDEX('Scratch Data'!$J$5:$J$13,MIN(MATCH($A10,'Scratch Data'!$G$5:$G$13,1)+1,ROWS('Scratch Data'!$G$5:$G$13)))-INDEX('Scratch Data'!$J$5:$J$13,MATCH($A10,'Scratch Data'!$G$5:$G$13,1)))/MAX(INDEX('Scratch Data'!$G$5:$G$13,MIN(MATCH($A10,'Scratch Data'!$G$5:$G$13,1)+1,ROWS('Scratch Data'!$G$5:$G$13)))-INDEX('Scratch Data'!$G$5:$G$13,MATCH($A10,'Scratch Data'!$G$5:$G$13,1)),0.0001))),(1+Inputs!$B$19*INDEX(Baseline!$B$3:$B$122,MATCH(MIN(MAX(ROUND((MAX($A10-Inputs!$B$20,30))/5,0)*5,5),600),Baseline!$A$3:$A$122,0))+(1-Inputs!$B$19)*INDEX(Baseline!$C$3:$C$122,MATCH(MIN(MAX(ROUND((MAX($A10-Inputs!$B$20,30))/5,0)*5,5),600),Baseline!$A$3:$A$122,0)))),(1+Inputs!$B$19*INDEX(Baseline!$B$3:$B$122,MATCH(MIN(MAX(ROUND((MAX($A10-Inputs!$B$20,30))/5,0)*5,5),600),Baseline!$A$3:$A$122,0))+(1-Inputs!$B$19)*INDEX(Baseline!$C$3:$C$122,MATCH(MIN(MAX(ROUND((MAX($A10-Inputs!$B$20,30))/5,0)*5,5),600),Baseline!$A$3:$A$122,0)))))</f>
        <v>2.68</v>
      </c>
      <c r="C10" s="10" t="n">
        <f aca="false">IF($A10&lt;=50,$B10+Inputs!$B$18,IF($A10&lt;=250,MIN((1+(INDEX('Scratch Data'!$H$5:$H$13,MATCH($A10,'Scratch Data'!$G$5:$G$13,1))+($A10-INDEX('Scratch Data'!$G$5:$G$13,MATCH($A10,'Scratch Data'!$G$5:$G$13,1)))*(INDEX('Scratch Data'!$H$5:$H$13,MIN(MATCH($A10,'Scratch Data'!$G$5:$G$13,1)+1,ROWS('Scratch Data'!$G$5:$G$13)))-INDEX('Scratch Data'!$H$5:$H$13,MATCH($A10,'Scratch Data'!$G$5:$G$13,1)))/MAX(INDEX('Scratch Data'!$G$5:$G$13,MIN(MATCH($A10,'Scratch Data'!$G$5:$G$13,1)+1,ROWS('Scratch Data'!$G$5:$G$13)))-INDEX('Scratch Data'!$G$5:$G$13,MATCH($A10,'Scratch Data'!$G$5:$G$13,1)),0.0001))*Inputs!$B$12*INDEX(Baseline!$I$3:$I$102,MIN(MAX(ROUND(Inputs!$B$11*(INDEX('Scratch Data'!$I$5:$I$13,MATCH($A10,'Scratch Data'!$G$5:$G$13,1))+($A10-INDEX('Scratch Data'!$G$5:$G$13,MATCH($A10,'Scratch Data'!$G$5:$G$13,1)))*(INDEX('Scratch Data'!$I$5:$I$13,MIN(MATCH($A10,'Scratch Data'!$G$5:$G$13,1)+1,ROWS('Scratch Data'!$G$5:$G$13)))-INDEX('Scratch Data'!$I$5:$I$13,MATCH($A10,'Scratch Data'!$G$5:$G$13,1)))/MAX(INDEX('Scratch Data'!$G$5:$G$13,MIN(MATCH($A10,'Scratch Data'!$G$5:$G$13,1)+1,ROWS('Scratch Data'!$G$5:$G$13)))-INDEX('Scratch Data'!$G$5:$G$13,MATCH($A10,'Scratch Data'!$G$5:$G$13,1)),0.0001))*Inputs!$B$13,0),1),100))+(1-(INDEX('Scratch Data'!$H$5:$H$13,MATCH($A10,'Scratch Data'!$G$5:$G$13,1))+($A10-INDEX('Scratch Data'!$G$5:$G$13,MATCH($A10,'Scratch Data'!$G$5:$G$13,1)))*(INDEX('Scratch Data'!$H$5:$H$13,MIN(MATCH($A10,'Scratch Data'!$G$5:$G$13,1)+1,ROWS('Scratch Data'!$G$5:$G$13)))-INDEX('Scratch Data'!$H$5:$H$13,MATCH($A10,'Scratch Data'!$G$5:$G$13,1)))/MAX(INDEX('Scratch Data'!$G$5:$G$13,MIN(MATCH($A10,'Scratch Data'!$G$5:$G$13,1)+1,ROWS('Scratch Data'!$G$5:$G$13)))-INDEX('Scratch Data'!$G$5:$G$13,MATCH($A10,'Scratch Data'!$G$5:$G$13,1)),0.0001))*Inputs!$B$12)*((INDEX('Scratch Data'!$J$5:$J$13,MATCH($A10,'Scratch Data'!$G$5:$G$13,1))+($A10-INDEX('Scratch Data'!$G$5:$G$13,MATCH($A10,'Scratch Data'!$G$5:$G$13,1)))*(INDEX('Scratch Data'!$J$5:$J$13,MIN(MATCH($A10,'Scratch Data'!$G$5:$G$13,1)+1,ROWS('Scratch Data'!$G$5:$G$13)))-INDEX('Scratch Data'!$J$5:$J$13,MATCH($A10,'Scratch Data'!$G$5:$G$13,1)))/MAX(INDEX('Scratch Data'!$G$5:$G$13,MIN(MATCH($A10,'Scratch Data'!$G$5:$G$13,1)+1,ROWS('Scratch Data'!$G$5:$G$13)))-INDEX('Scratch Data'!$G$5:$G$13,MATCH($A10,'Scratch Data'!$G$5:$G$13,1)),0.0001))+Inputs!$B$14)),(1+Inputs!$B$19*INDEX(Baseline!$B$3:$B$122,MATCH(MIN(MAX(ROUND((MAX($A10-Inputs!$B$21,30))/5,0)*5,5),600),Baseline!$A$3:$A$122,0))+(1-Inputs!$B$19)*INDEX(Baseline!$C$3:$C$122,MATCH(MIN(MAX(ROUND((MAX($A10-Inputs!$B$21,30))/5,0)*5,5),600),Baseline!$A$3:$A$122,0))+Inputs!$B$14)),(1+Inputs!$B$19*INDEX(Baseline!$B$3:$B$122,MATCH(MIN(MAX(ROUND((MAX($A10-Inputs!$B$21,30))/5,0)*5,5),600),Baseline!$A$3:$A$122,0))+(1-Inputs!$B$19)*INDEX(Baseline!$C$3:$C$122,MATCH(MIN(MAX(ROUND((MAX($A10-Inputs!$B$21,30))/5,0)*5,5),600),Baseline!$A$3:$A$122,0))+Inputs!$B$14)))</f>
        <v>2.88</v>
      </c>
      <c r="D10" s="10" t="n">
        <f aca="false">IF($A10&lt;=50,(INDEX('Scratch Data'!$P$5:$P$11,MATCH($A10,'Scratch Data'!$O$5:$O$11,1))+($A10-INDEX('Scratch Data'!$O$5:$O$11,MATCH($A10,'Scratch Data'!$O$5:$O$11,1)))*(INDEX('Scratch Data'!$P$5:$P$11,MIN(MATCH($A10,'Scratch Data'!$O$5:$O$11,1)+1,ROWS('Scratch Data'!$O$5:$O$11)))-INDEX('Scratch Data'!$P$5:$P$11,MATCH($A10,'Scratch Data'!$O$5:$O$11,1)))/MAX(INDEX('Scratch Data'!$O$5:$O$11,MIN(MATCH($A10,'Scratch Data'!$O$5:$O$11,1)+1,ROWS('Scratch Data'!$O$5:$O$11)))-INDEX('Scratch Data'!$O$5:$O$11,MATCH($A10,'Scratch Data'!$O$5:$O$11,1)),0.0001)),IF($A10&lt;=250,MIN((1+(INDEX('Scratch Data'!$H$5:$H$13,MATCH($A10,'Scratch Data'!$G$5:$G$13,1))+($A10-INDEX('Scratch Data'!$G$5:$G$13,MATCH($A10,'Scratch Data'!$G$5:$G$13,1)))*(INDEX('Scratch Data'!$H$5:$H$13,MIN(MATCH($A10,'Scratch Data'!$G$5:$G$13,1)+1,ROWS('Scratch Data'!$G$5:$G$13)))-INDEX('Scratch Data'!$H$5:$H$13,MATCH($A10,'Scratch Data'!$G$5:$G$13,1)))/MAX(INDEX('Scratch Data'!$G$5:$G$13,MIN(MATCH($A10,'Scratch Data'!$G$5:$G$13,1)+1,ROWS('Scratch Data'!$G$5:$G$13)))-INDEX('Scratch Data'!$G$5:$G$13,MATCH($A10,'Scratch Data'!$G$5:$G$13,1)),0.0001))*Inputs!$B$15*INDEX(Baseline!$I$3:$I$102,MIN(MAX(ROUND(Inputs!$B$11*(INDEX('Scratch Data'!$I$5:$I$13,MATCH($A10,'Scratch Data'!$G$5:$G$13,1))+($A10-INDEX('Scratch Data'!$G$5:$G$13,MATCH($A10,'Scratch Data'!$G$5:$G$13,1)))*(INDEX('Scratch Data'!$I$5:$I$13,MIN(MATCH($A10,'Scratch Data'!$G$5:$G$13,1)+1,ROWS('Scratch Data'!$G$5:$G$13)))-INDEX('Scratch Data'!$I$5:$I$13,MATCH($A10,'Scratch Data'!$G$5:$G$13,1)))/MAX(INDEX('Scratch Data'!$G$5:$G$13,MIN(MATCH($A10,'Scratch Data'!$G$5:$G$13,1)+1,ROWS('Scratch Data'!$G$5:$G$13)))-INDEX('Scratch Data'!$G$5:$G$13,MATCH($A10,'Scratch Data'!$G$5:$G$13,1)),0.0001))*Inputs!$B$16,0),1),100))+(1-(INDEX('Scratch Data'!$H$5:$H$13,MATCH($A10,'Scratch Data'!$G$5:$G$13,1))+($A10-INDEX('Scratch Data'!$G$5:$G$13,MATCH($A10,'Scratch Data'!$G$5:$G$13,1)))*(INDEX('Scratch Data'!$H$5:$H$13,MIN(MATCH($A10,'Scratch Data'!$G$5:$G$13,1)+1,ROWS('Scratch Data'!$G$5:$G$13)))-INDEX('Scratch Data'!$H$5:$H$13,MATCH($A10,'Scratch Data'!$G$5:$G$13,1)))/MAX(INDEX('Scratch Data'!$G$5:$G$13,MIN(MATCH($A10,'Scratch Data'!$G$5:$G$13,1)+1,ROWS('Scratch Data'!$G$5:$G$13)))-INDEX('Scratch Data'!$G$5:$G$13,MATCH($A10,'Scratch Data'!$G$5:$G$13,1)),0.0001))*Inputs!$B$15)*((INDEX('Scratch Data'!$J$5:$J$13,MATCH($A10,'Scratch Data'!$G$5:$G$13,1))+($A10-INDEX('Scratch Data'!$G$5:$G$13,MATCH($A10,'Scratch Data'!$G$5:$G$13,1)))*(INDEX('Scratch Data'!$J$5:$J$13,MIN(MATCH($A10,'Scratch Data'!$G$5:$G$13,1)+1,ROWS('Scratch Data'!$G$5:$G$13)))-INDEX('Scratch Data'!$J$5:$J$13,MATCH($A10,'Scratch Data'!$G$5:$G$13,1)))/MAX(INDEX('Scratch Data'!$G$5:$G$13,MIN(MATCH($A10,'Scratch Data'!$G$5:$G$13,1)+1,ROWS('Scratch Data'!$G$5:$G$13)))-INDEX('Scratch Data'!$G$5:$G$13,MATCH($A10,'Scratch Data'!$G$5:$G$13,1)),0.0001))+Inputs!$B$17)),(1+Inputs!$B$19*INDEX(Baseline!$B$3:$B$122,MATCH(MIN(MAX(ROUND((MAX($A10-Inputs!$B$22,30))/5,0)*5,5),600),Baseline!$A$3:$A$122,0))+(1-Inputs!$B$19)*INDEX(Baseline!$C$3:$C$122,MATCH(MIN(MAX(ROUND((MAX($A10-Inputs!$B$22,30))/5,0)*5,5),600),Baseline!$A$3:$A$122,0))+Inputs!$B$17)),(1+Inputs!$B$19*INDEX(Baseline!$B$3:$B$122,MATCH(MIN(MAX(ROUND((MAX($A10-Inputs!$B$22,30))/5,0)*5,5),600),Baseline!$A$3:$A$122,0))+(1-Inputs!$B$19)*INDEX(Baseline!$C$3:$C$122,MATCH(MIN(MAX(ROUND((MAX($A10-Inputs!$B$22,30))/5,0)*5,5),600),Baseline!$A$3:$A$122,0))+Inputs!$B$17)))</f>
        <v>3</v>
      </c>
      <c r="E10" s="10" t="n">
        <f aca="false">1+Inputs!$B$24+0.6*INDEX(Baseline!$B$3:$B$122,MATCH(MIN(MAX(ROUND((MAX($A10-Inputs!$B$23,15))/5,0)*5,5),600),Baseline!$A$3:$A$122,0))+0.4*INDEX(Baseline!$C$3:$C$122,MATCH(MIN(MAX(ROUND((MAX($A10-Inputs!$B$23,15))/5,0)*5,5),600),Baseline!$A$3:$A$122,0))</f>
        <v>3.56</v>
      </c>
      <c r="H10" s="7" t="n">
        <v>8</v>
      </c>
      <c r="I10" s="10" t="n">
        <f aca="false">(INDEX('Scratch Data'!$E$5:$E$22,MATCH($H10,'Scratch Data'!$A$5:$A$22,1))+($H10-INDEX('Scratch Data'!$A$5:$A$22,MATCH($H10,'Scratch Data'!$A$5:$A$22,1)))*(INDEX('Scratch Data'!$E$5:$E$22,MIN(MATCH($H10,'Scratch Data'!$A$5:$A$22,1)+1,ROWS('Scratch Data'!$A$5:$A$22)))-INDEX('Scratch Data'!$E$5:$E$22,MATCH($H10,'Scratch Data'!$A$5:$A$22,1)))/MAX(INDEX('Scratch Data'!$A$5:$A$22,MIN(MATCH($H10,'Scratch Data'!$A$5:$A$22,1)+1,ROWS('Scratch Data'!$A$5:$A$22)))-INDEX('Scratch Data'!$A$5:$A$22,MATCH($H10,'Scratch Data'!$A$5:$A$22,1)),0.0001))</f>
        <v>1.536</v>
      </c>
    </row>
    <row r="11" customFormat="false" ht="15" hidden="false" customHeight="false" outlineLevel="0" collapsed="false">
      <c r="A11" s="7" t="n">
        <v>45</v>
      </c>
      <c r="B11" s="10" t="n">
        <f aca="false">IF($A11&lt;=50,(INDEX('Scratch Data'!$M$5:$M$12,MATCH($A11,'Scratch Data'!$L$5:$L$12,1))+($A11-INDEX('Scratch Data'!$L$5:$L$12,MATCH($A11,'Scratch Data'!$L$5:$L$12,1)))*(INDEX('Scratch Data'!$M$5:$M$12,MIN(MATCH($A11,'Scratch Data'!$L$5:$L$12,1)+1,ROWS('Scratch Data'!$L$5:$L$12)))-INDEX('Scratch Data'!$M$5:$M$12,MATCH($A11,'Scratch Data'!$L$5:$L$12,1)))/MAX(INDEX('Scratch Data'!$L$5:$L$12,MIN(MATCH($A11,'Scratch Data'!$L$5:$L$12,1)+1,ROWS('Scratch Data'!$L$5:$L$12)))-INDEX('Scratch Data'!$L$5:$L$12,MATCH($A11,'Scratch Data'!$L$5:$L$12,1)),0.0001)),IF($A11&lt;=250,MIN((1+(INDEX('Scratch Data'!$H$5:$H$13,MATCH($A11,'Scratch Data'!$G$5:$G$13,1))+($A11-INDEX('Scratch Data'!$G$5:$G$13,MATCH($A11,'Scratch Data'!$G$5:$G$13,1)))*(INDEX('Scratch Data'!$H$5:$H$13,MIN(MATCH($A11,'Scratch Data'!$G$5:$G$13,1)+1,ROWS('Scratch Data'!$G$5:$G$13)))-INDEX('Scratch Data'!$H$5:$H$13,MATCH($A11,'Scratch Data'!$G$5:$G$13,1)))/MAX(INDEX('Scratch Data'!$G$5:$G$13,MIN(MATCH($A11,'Scratch Data'!$G$5:$G$13,1)+1,ROWS('Scratch Data'!$G$5:$G$13)))-INDEX('Scratch Data'!$G$5:$G$13,MATCH($A11,'Scratch Data'!$G$5:$G$13,1)),0.0001))*INDEX(Baseline!$I$3:$I$102,MIN(MAX(ROUND(Inputs!$B$11*(INDEX('Scratch Data'!$I$5:$I$13,MATCH($A11,'Scratch Data'!$G$5:$G$13,1))+($A11-INDEX('Scratch Data'!$G$5:$G$13,MATCH($A11,'Scratch Data'!$G$5:$G$13,1)))*(INDEX('Scratch Data'!$I$5:$I$13,MIN(MATCH($A11,'Scratch Data'!$G$5:$G$13,1)+1,ROWS('Scratch Data'!$G$5:$G$13)))-INDEX('Scratch Data'!$I$5:$I$13,MATCH($A11,'Scratch Data'!$G$5:$G$13,1)))/MAX(INDEX('Scratch Data'!$G$5:$G$13,MIN(MATCH($A11,'Scratch Data'!$G$5:$G$13,1)+1,ROWS('Scratch Data'!$G$5:$G$13)))-INDEX('Scratch Data'!$G$5:$G$13,MATCH($A11,'Scratch Data'!$G$5:$G$13,1)),0.0001)),0),1),100))+(1-(INDEX('Scratch Data'!$H$5:$H$13,MATCH($A11,'Scratch Data'!$G$5:$G$13,1))+($A11-INDEX('Scratch Data'!$G$5:$G$13,MATCH($A11,'Scratch Data'!$G$5:$G$13,1)))*(INDEX('Scratch Data'!$H$5:$H$13,MIN(MATCH($A11,'Scratch Data'!$G$5:$G$13,1)+1,ROWS('Scratch Data'!$G$5:$G$13)))-INDEX('Scratch Data'!$H$5:$H$13,MATCH($A11,'Scratch Data'!$G$5:$G$13,1)))/MAX(INDEX('Scratch Data'!$G$5:$G$13,MIN(MATCH($A11,'Scratch Data'!$G$5:$G$13,1)+1,ROWS('Scratch Data'!$G$5:$G$13)))-INDEX('Scratch Data'!$G$5:$G$13,MATCH($A11,'Scratch Data'!$G$5:$G$13,1)),0.0001)))*(INDEX('Scratch Data'!$J$5:$J$13,MATCH($A11,'Scratch Data'!$G$5:$G$13,1))+($A11-INDEX('Scratch Data'!$G$5:$G$13,MATCH($A11,'Scratch Data'!$G$5:$G$13,1)))*(INDEX('Scratch Data'!$J$5:$J$13,MIN(MATCH($A11,'Scratch Data'!$G$5:$G$13,1)+1,ROWS('Scratch Data'!$G$5:$G$13)))-INDEX('Scratch Data'!$J$5:$J$13,MATCH($A11,'Scratch Data'!$G$5:$G$13,1)))/MAX(INDEX('Scratch Data'!$G$5:$G$13,MIN(MATCH($A11,'Scratch Data'!$G$5:$G$13,1)+1,ROWS('Scratch Data'!$G$5:$G$13)))-INDEX('Scratch Data'!$G$5:$G$13,MATCH($A11,'Scratch Data'!$G$5:$G$13,1)),0.0001))),(1+Inputs!$B$19*INDEX(Baseline!$B$3:$B$122,MATCH(MIN(MAX(ROUND((MAX($A11-Inputs!$B$20,30))/5,0)*5,5),600),Baseline!$A$3:$A$122,0))+(1-Inputs!$B$19)*INDEX(Baseline!$C$3:$C$122,MATCH(MIN(MAX(ROUND((MAX($A11-Inputs!$B$20,30))/5,0)*5,5),600),Baseline!$A$3:$A$122,0)))),(1+Inputs!$B$19*INDEX(Baseline!$B$3:$B$122,MATCH(MIN(MAX(ROUND((MAX($A11-Inputs!$B$20,30))/5,0)*5,5),600),Baseline!$A$3:$A$122,0))+(1-Inputs!$B$19)*INDEX(Baseline!$C$3:$C$122,MATCH(MIN(MAX(ROUND((MAX($A11-Inputs!$B$20,30))/5,0)*5,5),600),Baseline!$A$3:$A$122,0)))))</f>
        <v>2.74</v>
      </c>
      <c r="C11" s="10" t="n">
        <f aca="false">IF($A11&lt;=50,$B11+Inputs!$B$18,IF($A11&lt;=250,MIN((1+(INDEX('Scratch Data'!$H$5:$H$13,MATCH($A11,'Scratch Data'!$G$5:$G$13,1))+($A11-INDEX('Scratch Data'!$G$5:$G$13,MATCH($A11,'Scratch Data'!$G$5:$G$13,1)))*(INDEX('Scratch Data'!$H$5:$H$13,MIN(MATCH($A11,'Scratch Data'!$G$5:$G$13,1)+1,ROWS('Scratch Data'!$G$5:$G$13)))-INDEX('Scratch Data'!$H$5:$H$13,MATCH($A11,'Scratch Data'!$G$5:$G$13,1)))/MAX(INDEX('Scratch Data'!$G$5:$G$13,MIN(MATCH($A11,'Scratch Data'!$G$5:$G$13,1)+1,ROWS('Scratch Data'!$G$5:$G$13)))-INDEX('Scratch Data'!$G$5:$G$13,MATCH($A11,'Scratch Data'!$G$5:$G$13,1)),0.0001))*Inputs!$B$12*INDEX(Baseline!$I$3:$I$102,MIN(MAX(ROUND(Inputs!$B$11*(INDEX('Scratch Data'!$I$5:$I$13,MATCH($A11,'Scratch Data'!$G$5:$G$13,1))+($A11-INDEX('Scratch Data'!$G$5:$G$13,MATCH($A11,'Scratch Data'!$G$5:$G$13,1)))*(INDEX('Scratch Data'!$I$5:$I$13,MIN(MATCH($A11,'Scratch Data'!$G$5:$G$13,1)+1,ROWS('Scratch Data'!$G$5:$G$13)))-INDEX('Scratch Data'!$I$5:$I$13,MATCH($A11,'Scratch Data'!$G$5:$G$13,1)))/MAX(INDEX('Scratch Data'!$G$5:$G$13,MIN(MATCH($A11,'Scratch Data'!$G$5:$G$13,1)+1,ROWS('Scratch Data'!$G$5:$G$13)))-INDEX('Scratch Data'!$G$5:$G$13,MATCH($A11,'Scratch Data'!$G$5:$G$13,1)),0.0001))*Inputs!$B$13,0),1),100))+(1-(INDEX('Scratch Data'!$H$5:$H$13,MATCH($A11,'Scratch Data'!$G$5:$G$13,1))+($A11-INDEX('Scratch Data'!$G$5:$G$13,MATCH($A11,'Scratch Data'!$G$5:$G$13,1)))*(INDEX('Scratch Data'!$H$5:$H$13,MIN(MATCH($A11,'Scratch Data'!$G$5:$G$13,1)+1,ROWS('Scratch Data'!$G$5:$G$13)))-INDEX('Scratch Data'!$H$5:$H$13,MATCH($A11,'Scratch Data'!$G$5:$G$13,1)))/MAX(INDEX('Scratch Data'!$G$5:$G$13,MIN(MATCH($A11,'Scratch Data'!$G$5:$G$13,1)+1,ROWS('Scratch Data'!$G$5:$G$13)))-INDEX('Scratch Data'!$G$5:$G$13,MATCH($A11,'Scratch Data'!$G$5:$G$13,1)),0.0001))*Inputs!$B$12)*((INDEX('Scratch Data'!$J$5:$J$13,MATCH($A11,'Scratch Data'!$G$5:$G$13,1))+($A11-INDEX('Scratch Data'!$G$5:$G$13,MATCH($A11,'Scratch Data'!$G$5:$G$13,1)))*(INDEX('Scratch Data'!$J$5:$J$13,MIN(MATCH($A11,'Scratch Data'!$G$5:$G$13,1)+1,ROWS('Scratch Data'!$G$5:$G$13)))-INDEX('Scratch Data'!$J$5:$J$13,MATCH($A11,'Scratch Data'!$G$5:$G$13,1)))/MAX(INDEX('Scratch Data'!$G$5:$G$13,MIN(MATCH($A11,'Scratch Data'!$G$5:$G$13,1)+1,ROWS('Scratch Data'!$G$5:$G$13)))-INDEX('Scratch Data'!$G$5:$G$13,MATCH($A11,'Scratch Data'!$G$5:$G$13,1)),0.0001))+Inputs!$B$14)),(1+Inputs!$B$19*INDEX(Baseline!$B$3:$B$122,MATCH(MIN(MAX(ROUND((MAX($A11-Inputs!$B$21,30))/5,0)*5,5),600),Baseline!$A$3:$A$122,0))+(1-Inputs!$B$19)*INDEX(Baseline!$C$3:$C$122,MATCH(MIN(MAX(ROUND((MAX($A11-Inputs!$B$21,30))/5,0)*5,5),600),Baseline!$A$3:$A$122,0))+Inputs!$B$14)),(1+Inputs!$B$19*INDEX(Baseline!$B$3:$B$122,MATCH(MIN(MAX(ROUND((MAX($A11-Inputs!$B$21,30))/5,0)*5,5),600),Baseline!$A$3:$A$122,0))+(1-Inputs!$B$19)*INDEX(Baseline!$C$3:$C$122,MATCH(MIN(MAX(ROUND((MAX($A11-Inputs!$B$21,30))/5,0)*5,5),600),Baseline!$A$3:$A$122,0))+Inputs!$B$14)))</f>
        <v>2.94</v>
      </c>
      <c r="D11" s="10" t="n">
        <f aca="false">IF($A11&lt;=50,(INDEX('Scratch Data'!$P$5:$P$11,MATCH($A11,'Scratch Data'!$O$5:$O$11,1))+($A11-INDEX('Scratch Data'!$O$5:$O$11,MATCH($A11,'Scratch Data'!$O$5:$O$11,1)))*(INDEX('Scratch Data'!$P$5:$P$11,MIN(MATCH($A11,'Scratch Data'!$O$5:$O$11,1)+1,ROWS('Scratch Data'!$O$5:$O$11)))-INDEX('Scratch Data'!$P$5:$P$11,MATCH($A11,'Scratch Data'!$O$5:$O$11,1)))/MAX(INDEX('Scratch Data'!$O$5:$O$11,MIN(MATCH($A11,'Scratch Data'!$O$5:$O$11,1)+1,ROWS('Scratch Data'!$O$5:$O$11)))-INDEX('Scratch Data'!$O$5:$O$11,MATCH($A11,'Scratch Data'!$O$5:$O$11,1)),0.0001)),IF($A11&lt;=250,MIN((1+(INDEX('Scratch Data'!$H$5:$H$13,MATCH($A11,'Scratch Data'!$G$5:$G$13,1))+($A11-INDEX('Scratch Data'!$G$5:$G$13,MATCH($A11,'Scratch Data'!$G$5:$G$13,1)))*(INDEX('Scratch Data'!$H$5:$H$13,MIN(MATCH($A11,'Scratch Data'!$G$5:$G$13,1)+1,ROWS('Scratch Data'!$G$5:$G$13)))-INDEX('Scratch Data'!$H$5:$H$13,MATCH($A11,'Scratch Data'!$G$5:$G$13,1)))/MAX(INDEX('Scratch Data'!$G$5:$G$13,MIN(MATCH($A11,'Scratch Data'!$G$5:$G$13,1)+1,ROWS('Scratch Data'!$G$5:$G$13)))-INDEX('Scratch Data'!$G$5:$G$13,MATCH($A11,'Scratch Data'!$G$5:$G$13,1)),0.0001))*Inputs!$B$15*INDEX(Baseline!$I$3:$I$102,MIN(MAX(ROUND(Inputs!$B$11*(INDEX('Scratch Data'!$I$5:$I$13,MATCH($A11,'Scratch Data'!$G$5:$G$13,1))+($A11-INDEX('Scratch Data'!$G$5:$G$13,MATCH($A11,'Scratch Data'!$G$5:$G$13,1)))*(INDEX('Scratch Data'!$I$5:$I$13,MIN(MATCH($A11,'Scratch Data'!$G$5:$G$13,1)+1,ROWS('Scratch Data'!$G$5:$G$13)))-INDEX('Scratch Data'!$I$5:$I$13,MATCH($A11,'Scratch Data'!$G$5:$G$13,1)))/MAX(INDEX('Scratch Data'!$G$5:$G$13,MIN(MATCH($A11,'Scratch Data'!$G$5:$G$13,1)+1,ROWS('Scratch Data'!$G$5:$G$13)))-INDEX('Scratch Data'!$G$5:$G$13,MATCH($A11,'Scratch Data'!$G$5:$G$13,1)),0.0001))*Inputs!$B$16,0),1),100))+(1-(INDEX('Scratch Data'!$H$5:$H$13,MATCH($A11,'Scratch Data'!$G$5:$G$13,1))+($A11-INDEX('Scratch Data'!$G$5:$G$13,MATCH($A11,'Scratch Data'!$G$5:$G$13,1)))*(INDEX('Scratch Data'!$H$5:$H$13,MIN(MATCH($A11,'Scratch Data'!$G$5:$G$13,1)+1,ROWS('Scratch Data'!$G$5:$G$13)))-INDEX('Scratch Data'!$H$5:$H$13,MATCH($A11,'Scratch Data'!$G$5:$G$13,1)))/MAX(INDEX('Scratch Data'!$G$5:$G$13,MIN(MATCH($A11,'Scratch Data'!$G$5:$G$13,1)+1,ROWS('Scratch Data'!$G$5:$G$13)))-INDEX('Scratch Data'!$G$5:$G$13,MATCH($A11,'Scratch Data'!$G$5:$G$13,1)),0.0001))*Inputs!$B$15)*((INDEX('Scratch Data'!$J$5:$J$13,MATCH($A11,'Scratch Data'!$G$5:$G$13,1))+($A11-INDEX('Scratch Data'!$G$5:$G$13,MATCH($A11,'Scratch Data'!$G$5:$G$13,1)))*(INDEX('Scratch Data'!$J$5:$J$13,MIN(MATCH($A11,'Scratch Data'!$G$5:$G$13,1)+1,ROWS('Scratch Data'!$G$5:$G$13)))-INDEX('Scratch Data'!$J$5:$J$13,MATCH($A11,'Scratch Data'!$G$5:$G$13,1)))/MAX(INDEX('Scratch Data'!$G$5:$G$13,MIN(MATCH($A11,'Scratch Data'!$G$5:$G$13,1)+1,ROWS('Scratch Data'!$G$5:$G$13)))-INDEX('Scratch Data'!$G$5:$G$13,MATCH($A11,'Scratch Data'!$G$5:$G$13,1)),0.0001))+Inputs!$B$17)),(1+Inputs!$B$19*INDEX(Baseline!$B$3:$B$122,MATCH(MIN(MAX(ROUND((MAX($A11-Inputs!$B$22,30))/5,0)*5,5),600),Baseline!$A$3:$A$122,0))+(1-Inputs!$B$19)*INDEX(Baseline!$C$3:$C$122,MATCH(MIN(MAX(ROUND((MAX($A11-Inputs!$B$22,30))/5,0)*5,5),600),Baseline!$A$3:$A$122,0))+Inputs!$B$17)),(1+Inputs!$B$19*INDEX(Baseline!$B$3:$B$122,MATCH(MIN(MAX(ROUND((MAX($A11-Inputs!$B$22,30))/5,0)*5,5),600),Baseline!$A$3:$A$122,0))+(1-Inputs!$B$19)*INDEX(Baseline!$C$3:$C$122,MATCH(MIN(MAX(ROUND((MAX($A11-Inputs!$B$22,30))/5,0)*5,5),600),Baseline!$A$3:$A$122,0))+Inputs!$B$17)))</f>
        <v>3.04</v>
      </c>
      <c r="E11" s="10" t="n">
        <f aca="false">1+Inputs!$B$24+0.6*INDEX(Baseline!$B$3:$B$122,MATCH(MIN(MAX(ROUND((MAX($A11-Inputs!$B$23,15))/5,0)*5,5),600),Baseline!$A$3:$A$122,0))+0.4*INDEX(Baseline!$C$3:$C$122,MATCH(MIN(MAX(ROUND((MAX($A11-Inputs!$B$23,15))/5,0)*5,5),600),Baseline!$A$3:$A$122,0))</f>
        <v>3.56</v>
      </c>
      <c r="H11" s="7" t="n">
        <v>9</v>
      </c>
      <c r="I11" s="10" t="n">
        <f aca="false">(INDEX('Scratch Data'!$E$5:$E$22,MATCH($H11,'Scratch Data'!$A$5:$A$22,1))+($H11-INDEX('Scratch Data'!$A$5:$A$22,MATCH($H11,'Scratch Data'!$A$5:$A$22,1)))*(INDEX('Scratch Data'!$E$5:$E$22,MIN(MATCH($H11,'Scratch Data'!$A$5:$A$22,1)+1,ROWS('Scratch Data'!$A$5:$A$22)))-INDEX('Scratch Data'!$E$5:$E$22,MATCH($H11,'Scratch Data'!$A$5:$A$22,1)))/MAX(INDEX('Scratch Data'!$A$5:$A$22,MIN(MATCH($H11,'Scratch Data'!$A$5:$A$22,1)+1,ROWS('Scratch Data'!$A$5:$A$22)))-INDEX('Scratch Data'!$A$5:$A$22,MATCH($H11,'Scratch Data'!$A$5:$A$22,1)),0.0001))</f>
        <v>1.594</v>
      </c>
    </row>
    <row r="12" customFormat="false" ht="15" hidden="false" customHeight="false" outlineLevel="0" collapsed="false">
      <c r="A12" s="7" t="n">
        <v>50</v>
      </c>
      <c r="B12" s="10" t="n">
        <f aca="false">IF($A12&lt;=50,(INDEX('Scratch Data'!$M$5:$M$12,MATCH($A12,'Scratch Data'!$L$5:$L$12,1))+($A12-INDEX('Scratch Data'!$L$5:$L$12,MATCH($A12,'Scratch Data'!$L$5:$L$12,1)))*(INDEX('Scratch Data'!$M$5:$M$12,MIN(MATCH($A12,'Scratch Data'!$L$5:$L$12,1)+1,ROWS('Scratch Data'!$L$5:$L$12)))-INDEX('Scratch Data'!$M$5:$M$12,MATCH($A12,'Scratch Data'!$L$5:$L$12,1)))/MAX(INDEX('Scratch Data'!$L$5:$L$12,MIN(MATCH($A12,'Scratch Data'!$L$5:$L$12,1)+1,ROWS('Scratch Data'!$L$5:$L$12)))-INDEX('Scratch Data'!$L$5:$L$12,MATCH($A12,'Scratch Data'!$L$5:$L$12,1)),0.0001)),IF($A12&lt;=250,MIN((1+(INDEX('Scratch Data'!$H$5:$H$13,MATCH($A12,'Scratch Data'!$G$5:$G$13,1))+($A12-INDEX('Scratch Data'!$G$5:$G$13,MATCH($A12,'Scratch Data'!$G$5:$G$13,1)))*(INDEX('Scratch Data'!$H$5:$H$13,MIN(MATCH($A12,'Scratch Data'!$G$5:$G$13,1)+1,ROWS('Scratch Data'!$G$5:$G$13)))-INDEX('Scratch Data'!$H$5:$H$13,MATCH($A12,'Scratch Data'!$G$5:$G$13,1)))/MAX(INDEX('Scratch Data'!$G$5:$G$13,MIN(MATCH($A12,'Scratch Data'!$G$5:$G$13,1)+1,ROWS('Scratch Data'!$G$5:$G$13)))-INDEX('Scratch Data'!$G$5:$G$13,MATCH($A12,'Scratch Data'!$G$5:$G$13,1)),0.0001))*INDEX(Baseline!$I$3:$I$102,MIN(MAX(ROUND(Inputs!$B$11*(INDEX('Scratch Data'!$I$5:$I$13,MATCH($A12,'Scratch Data'!$G$5:$G$13,1))+($A12-INDEX('Scratch Data'!$G$5:$G$13,MATCH($A12,'Scratch Data'!$G$5:$G$13,1)))*(INDEX('Scratch Data'!$I$5:$I$13,MIN(MATCH($A12,'Scratch Data'!$G$5:$G$13,1)+1,ROWS('Scratch Data'!$G$5:$G$13)))-INDEX('Scratch Data'!$I$5:$I$13,MATCH($A12,'Scratch Data'!$G$5:$G$13,1)))/MAX(INDEX('Scratch Data'!$G$5:$G$13,MIN(MATCH($A12,'Scratch Data'!$G$5:$G$13,1)+1,ROWS('Scratch Data'!$G$5:$G$13)))-INDEX('Scratch Data'!$G$5:$G$13,MATCH($A12,'Scratch Data'!$G$5:$G$13,1)),0.0001)),0),1),100))+(1-(INDEX('Scratch Data'!$H$5:$H$13,MATCH($A12,'Scratch Data'!$G$5:$G$13,1))+($A12-INDEX('Scratch Data'!$G$5:$G$13,MATCH($A12,'Scratch Data'!$G$5:$G$13,1)))*(INDEX('Scratch Data'!$H$5:$H$13,MIN(MATCH($A12,'Scratch Data'!$G$5:$G$13,1)+1,ROWS('Scratch Data'!$G$5:$G$13)))-INDEX('Scratch Data'!$H$5:$H$13,MATCH($A12,'Scratch Data'!$G$5:$G$13,1)))/MAX(INDEX('Scratch Data'!$G$5:$G$13,MIN(MATCH($A12,'Scratch Data'!$G$5:$G$13,1)+1,ROWS('Scratch Data'!$G$5:$G$13)))-INDEX('Scratch Data'!$G$5:$G$13,MATCH($A12,'Scratch Data'!$G$5:$G$13,1)),0.0001)))*(INDEX('Scratch Data'!$J$5:$J$13,MATCH($A12,'Scratch Data'!$G$5:$G$13,1))+($A12-INDEX('Scratch Data'!$G$5:$G$13,MATCH($A12,'Scratch Data'!$G$5:$G$13,1)))*(INDEX('Scratch Data'!$J$5:$J$13,MIN(MATCH($A12,'Scratch Data'!$G$5:$G$13,1)+1,ROWS('Scratch Data'!$G$5:$G$13)))-INDEX('Scratch Data'!$J$5:$J$13,MATCH($A12,'Scratch Data'!$G$5:$G$13,1)))/MAX(INDEX('Scratch Data'!$G$5:$G$13,MIN(MATCH($A12,'Scratch Data'!$G$5:$G$13,1)+1,ROWS('Scratch Data'!$G$5:$G$13)))-INDEX('Scratch Data'!$G$5:$G$13,MATCH($A12,'Scratch Data'!$G$5:$G$13,1)),0.0001))),(1+Inputs!$B$19*INDEX(Baseline!$B$3:$B$122,MATCH(MIN(MAX(ROUND((MAX($A12-Inputs!$B$20,30))/5,0)*5,5),600),Baseline!$A$3:$A$122,0))+(1-Inputs!$B$19)*INDEX(Baseline!$C$3:$C$122,MATCH(MIN(MAX(ROUND((MAX($A12-Inputs!$B$20,30))/5,0)*5,5),600),Baseline!$A$3:$A$122,0)))),(1+Inputs!$B$19*INDEX(Baseline!$B$3:$B$122,MATCH(MIN(MAX(ROUND((MAX($A12-Inputs!$B$20,30))/5,0)*5,5),600),Baseline!$A$3:$A$122,0))+(1-Inputs!$B$19)*INDEX(Baseline!$C$3:$C$122,MATCH(MIN(MAX(ROUND((MAX($A12-Inputs!$B$20,30))/5,0)*5,5),600),Baseline!$A$3:$A$122,0)))))</f>
        <v>2.8</v>
      </c>
      <c r="C12" s="10" t="n">
        <f aca="false">IF($A12&lt;=50,$B12+Inputs!$B$18,IF($A12&lt;=250,MIN((1+(INDEX('Scratch Data'!$H$5:$H$13,MATCH($A12,'Scratch Data'!$G$5:$G$13,1))+($A12-INDEX('Scratch Data'!$G$5:$G$13,MATCH($A12,'Scratch Data'!$G$5:$G$13,1)))*(INDEX('Scratch Data'!$H$5:$H$13,MIN(MATCH($A12,'Scratch Data'!$G$5:$G$13,1)+1,ROWS('Scratch Data'!$G$5:$G$13)))-INDEX('Scratch Data'!$H$5:$H$13,MATCH($A12,'Scratch Data'!$G$5:$G$13,1)))/MAX(INDEX('Scratch Data'!$G$5:$G$13,MIN(MATCH($A12,'Scratch Data'!$G$5:$G$13,1)+1,ROWS('Scratch Data'!$G$5:$G$13)))-INDEX('Scratch Data'!$G$5:$G$13,MATCH($A12,'Scratch Data'!$G$5:$G$13,1)),0.0001))*Inputs!$B$12*INDEX(Baseline!$I$3:$I$102,MIN(MAX(ROUND(Inputs!$B$11*(INDEX('Scratch Data'!$I$5:$I$13,MATCH($A12,'Scratch Data'!$G$5:$G$13,1))+($A12-INDEX('Scratch Data'!$G$5:$G$13,MATCH($A12,'Scratch Data'!$G$5:$G$13,1)))*(INDEX('Scratch Data'!$I$5:$I$13,MIN(MATCH($A12,'Scratch Data'!$G$5:$G$13,1)+1,ROWS('Scratch Data'!$G$5:$G$13)))-INDEX('Scratch Data'!$I$5:$I$13,MATCH($A12,'Scratch Data'!$G$5:$G$13,1)))/MAX(INDEX('Scratch Data'!$G$5:$G$13,MIN(MATCH($A12,'Scratch Data'!$G$5:$G$13,1)+1,ROWS('Scratch Data'!$G$5:$G$13)))-INDEX('Scratch Data'!$G$5:$G$13,MATCH($A12,'Scratch Data'!$G$5:$G$13,1)),0.0001))*Inputs!$B$13,0),1),100))+(1-(INDEX('Scratch Data'!$H$5:$H$13,MATCH($A12,'Scratch Data'!$G$5:$G$13,1))+($A12-INDEX('Scratch Data'!$G$5:$G$13,MATCH($A12,'Scratch Data'!$G$5:$G$13,1)))*(INDEX('Scratch Data'!$H$5:$H$13,MIN(MATCH($A12,'Scratch Data'!$G$5:$G$13,1)+1,ROWS('Scratch Data'!$G$5:$G$13)))-INDEX('Scratch Data'!$H$5:$H$13,MATCH($A12,'Scratch Data'!$G$5:$G$13,1)))/MAX(INDEX('Scratch Data'!$G$5:$G$13,MIN(MATCH($A12,'Scratch Data'!$G$5:$G$13,1)+1,ROWS('Scratch Data'!$G$5:$G$13)))-INDEX('Scratch Data'!$G$5:$G$13,MATCH($A12,'Scratch Data'!$G$5:$G$13,1)),0.0001))*Inputs!$B$12)*((INDEX('Scratch Data'!$J$5:$J$13,MATCH($A12,'Scratch Data'!$G$5:$G$13,1))+($A12-INDEX('Scratch Data'!$G$5:$G$13,MATCH($A12,'Scratch Data'!$G$5:$G$13,1)))*(INDEX('Scratch Data'!$J$5:$J$13,MIN(MATCH($A12,'Scratch Data'!$G$5:$G$13,1)+1,ROWS('Scratch Data'!$G$5:$G$13)))-INDEX('Scratch Data'!$J$5:$J$13,MATCH($A12,'Scratch Data'!$G$5:$G$13,1)))/MAX(INDEX('Scratch Data'!$G$5:$G$13,MIN(MATCH($A12,'Scratch Data'!$G$5:$G$13,1)+1,ROWS('Scratch Data'!$G$5:$G$13)))-INDEX('Scratch Data'!$G$5:$G$13,MATCH($A12,'Scratch Data'!$G$5:$G$13,1)),0.0001))+Inputs!$B$14)),(1+Inputs!$B$19*INDEX(Baseline!$B$3:$B$122,MATCH(MIN(MAX(ROUND((MAX($A12-Inputs!$B$21,30))/5,0)*5,5),600),Baseline!$A$3:$A$122,0))+(1-Inputs!$B$19)*INDEX(Baseline!$C$3:$C$122,MATCH(MIN(MAX(ROUND((MAX($A12-Inputs!$B$21,30))/5,0)*5,5),600),Baseline!$A$3:$A$122,0))+Inputs!$B$14)),(1+Inputs!$B$19*INDEX(Baseline!$B$3:$B$122,MATCH(MIN(MAX(ROUND((MAX($A12-Inputs!$B$21,30))/5,0)*5,5),600),Baseline!$A$3:$A$122,0))+(1-Inputs!$B$19)*INDEX(Baseline!$C$3:$C$122,MATCH(MIN(MAX(ROUND((MAX($A12-Inputs!$B$21,30))/5,0)*5,5),600),Baseline!$A$3:$A$122,0))+Inputs!$B$14)))</f>
        <v>3</v>
      </c>
      <c r="D12" s="10" t="n">
        <f aca="false">IF($A12&lt;=50,(INDEX('Scratch Data'!$P$5:$P$11,MATCH($A12,'Scratch Data'!$O$5:$O$11,1))+($A12-INDEX('Scratch Data'!$O$5:$O$11,MATCH($A12,'Scratch Data'!$O$5:$O$11,1)))*(INDEX('Scratch Data'!$P$5:$P$11,MIN(MATCH($A12,'Scratch Data'!$O$5:$O$11,1)+1,ROWS('Scratch Data'!$O$5:$O$11)))-INDEX('Scratch Data'!$P$5:$P$11,MATCH($A12,'Scratch Data'!$O$5:$O$11,1)))/MAX(INDEX('Scratch Data'!$O$5:$O$11,MIN(MATCH($A12,'Scratch Data'!$O$5:$O$11,1)+1,ROWS('Scratch Data'!$O$5:$O$11)))-INDEX('Scratch Data'!$O$5:$O$11,MATCH($A12,'Scratch Data'!$O$5:$O$11,1)),0.0001)),IF($A12&lt;=250,MIN((1+(INDEX('Scratch Data'!$H$5:$H$13,MATCH($A12,'Scratch Data'!$G$5:$G$13,1))+($A12-INDEX('Scratch Data'!$G$5:$G$13,MATCH($A12,'Scratch Data'!$G$5:$G$13,1)))*(INDEX('Scratch Data'!$H$5:$H$13,MIN(MATCH($A12,'Scratch Data'!$G$5:$G$13,1)+1,ROWS('Scratch Data'!$G$5:$G$13)))-INDEX('Scratch Data'!$H$5:$H$13,MATCH($A12,'Scratch Data'!$G$5:$G$13,1)))/MAX(INDEX('Scratch Data'!$G$5:$G$13,MIN(MATCH($A12,'Scratch Data'!$G$5:$G$13,1)+1,ROWS('Scratch Data'!$G$5:$G$13)))-INDEX('Scratch Data'!$G$5:$G$13,MATCH($A12,'Scratch Data'!$G$5:$G$13,1)),0.0001))*Inputs!$B$15*INDEX(Baseline!$I$3:$I$102,MIN(MAX(ROUND(Inputs!$B$11*(INDEX('Scratch Data'!$I$5:$I$13,MATCH($A12,'Scratch Data'!$G$5:$G$13,1))+($A12-INDEX('Scratch Data'!$G$5:$G$13,MATCH($A12,'Scratch Data'!$G$5:$G$13,1)))*(INDEX('Scratch Data'!$I$5:$I$13,MIN(MATCH($A12,'Scratch Data'!$G$5:$G$13,1)+1,ROWS('Scratch Data'!$G$5:$G$13)))-INDEX('Scratch Data'!$I$5:$I$13,MATCH($A12,'Scratch Data'!$G$5:$G$13,1)))/MAX(INDEX('Scratch Data'!$G$5:$G$13,MIN(MATCH($A12,'Scratch Data'!$G$5:$G$13,1)+1,ROWS('Scratch Data'!$G$5:$G$13)))-INDEX('Scratch Data'!$G$5:$G$13,MATCH($A12,'Scratch Data'!$G$5:$G$13,1)),0.0001))*Inputs!$B$16,0),1),100))+(1-(INDEX('Scratch Data'!$H$5:$H$13,MATCH($A12,'Scratch Data'!$G$5:$G$13,1))+($A12-INDEX('Scratch Data'!$G$5:$G$13,MATCH($A12,'Scratch Data'!$G$5:$G$13,1)))*(INDEX('Scratch Data'!$H$5:$H$13,MIN(MATCH($A12,'Scratch Data'!$G$5:$G$13,1)+1,ROWS('Scratch Data'!$G$5:$G$13)))-INDEX('Scratch Data'!$H$5:$H$13,MATCH($A12,'Scratch Data'!$G$5:$G$13,1)))/MAX(INDEX('Scratch Data'!$G$5:$G$13,MIN(MATCH($A12,'Scratch Data'!$G$5:$G$13,1)+1,ROWS('Scratch Data'!$G$5:$G$13)))-INDEX('Scratch Data'!$G$5:$G$13,MATCH($A12,'Scratch Data'!$G$5:$G$13,1)),0.0001))*Inputs!$B$15)*((INDEX('Scratch Data'!$J$5:$J$13,MATCH($A12,'Scratch Data'!$G$5:$G$13,1))+($A12-INDEX('Scratch Data'!$G$5:$G$13,MATCH($A12,'Scratch Data'!$G$5:$G$13,1)))*(INDEX('Scratch Data'!$J$5:$J$13,MIN(MATCH($A12,'Scratch Data'!$G$5:$G$13,1)+1,ROWS('Scratch Data'!$G$5:$G$13)))-INDEX('Scratch Data'!$J$5:$J$13,MATCH($A12,'Scratch Data'!$G$5:$G$13,1)))/MAX(INDEX('Scratch Data'!$G$5:$G$13,MIN(MATCH($A12,'Scratch Data'!$G$5:$G$13,1)+1,ROWS('Scratch Data'!$G$5:$G$13)))-INDEX('Scratch Data'!$G$5:$G$13,MATCH($A12,'Scratch Data'!$G$5:$G$13,1)),0.0001))+Inputs!$B$17)),(1+Inputs!$B$19*INDEX(Baseline!$B$3:$B$122,MATCH(MIN(MAX(ROUND((MAX($A12-Inputs!$B$22,30))/5,0)*5,5),600),Baseline!$A$3:$A$122,0))+(1-Inputs!$B$19)*INDEX(Baseline!$C$3:$C$122,MATCH(MIN(MAX(ROUND((MAX($A12-Inputs!$B$22,30))/5,0)*5,5),600),Baseline!$A$3:$A$122,0))+Inputs!$B$17)),(1+Inputs!$B$19*INDEX(Baseline!$B$3:$B$122,MATCH(MIN(MAX(ROUND((MAX($A12-Inputs!$B$22,30))/5,0)*5,5),600),Baseline!$A$3:$A$122,0))+(1-Inputs!$B$19)*INDEX(Baseline!$C$3:$C$122,MATCH(MIN(MAX(ROUND((MAX($A12-Inputs!$B$22,30))/5,0)*5,5),600),Baseline!$A$3:$A$122,0))+Inputs!$B$17)))</f>
        <v>3.08</v>
      </c>
      <c r="E12" s="10" t="n">
        <f aca="false">1+Inputs!$B$24+0.6*INDEX(Baseline!$B$3:$B$122,MATCH(MIN(MAX(ROUND((MAX($A12-Inputs!$B$23,15))/5,0)*5,5),600),Baseline!$A$3:$A$122,0))+0.4*INDEX(Baseline!$C$3:$C$122,MATCH(MIN(MAX(ROUND((MAX($A12-Inputs!$B$23,15))/5,0)*5,5),600),Baseline!$A$3:$A$122,0))</f>
        <v>3.56</v>
      </c>
      <c r="H12" s="7" t="n">
        <v>10</v>
      </c>
      <c r="I12" s="10" t="n">
        <f aca="false">(INDEX('Scratch Data'!$E$5:$E$22,MATCH($H12,'Scratch Data'!$A$5:$A$22,1))+($H12-INDEX('Scratch Data'!$A$5:$A$22,MATCH($H12,'Scratch Data'!$A$5:$A$22,1)))*(INDEX('Scratch Data'!$E$5:$E$22,MIN(MATCH($H12,'Scratch Data'!$A$5:$A$22,1)+1,ROWS('Scratch Data'!$A$5:$A$22)))-INDEX('Scratch Data'!$E$5:$E$22,MATCH($H12,'Scratch Data'!$A$5:$A$22,1)))/MAX(INDEX('Scratch Data'!$A$5:$A$22,MIN(MATCH($H12,'Scratch Data'!$A$5:$A$22,1)+1,ROWS('Scratch Data'!$A$5:$A$22)))-INDEX('Scratch Data'!$A$5:$A$22,MATCH($H12,'Scratch Data'!$A$5:$A$22,1)),0.0001))</f>
        <v>1.652</v>
      </c>
    </row>
    <row r="13" customFormat="false" ht="15" hidden="false" customHeight="false" outlineLevel="0" collapsed="false">
      <c r="A13" s="7" t="n">
        <v>55</v>
      </c>
      <c r="B13" s="10" t="n">
        <f aca="false">IF($A13&lt;=50,(INDEX('Scratch Data'!$M$5:$M$12,MATCH($A13,'Scratch Data'!$L$5:$L$12,1))+($A13-INDEX('Scratch Data'!$L$5:$L$12,MATCH($A13,'Scratch Data'!$L$5:$L$12,1)))*(INDEX('Scratch Data'!$M$5:$M$12,MIN(MATCH($A13,'Scratch Data'!$L$5:$L$12,1)+1,ROWS('Scratch Data'!$L$5:$L$12)))-INDEX('Scratch Data'!$M$5:$M$12,MATCH($A13,'Scratch Data'!$L$5:$L$12,1)))/MAX(INDEX('Scratch Data'!$L$5:$L$12,MIN(MATCH($A13,'Scratch Data'!$L$5:$L$12,1)+1,ROWS('Scratch Data'!$L$5:$L$12)))-INDEX('Scratch Data'!$L$5:$L$12,MATCH($A13,'Scratch Data'!$L$5:$L$12,1)),0.0001)),IF($A13&lt;=250,MIN((1+(INDEX('Scratch Data'!$H$5:$H$13,MATCH($A13,'Scratch Data'!$G$5:$G$13,1))+($A13-INDEX('Scratch Data'!$G$5:$G$13,MATCH($A13,'Scratch Data'!$G$5:$G$13,1)))*(INDEX('Scratch Data'!$H$5:$H$13,MIN(MATCH($A13,'Scratch Data'!$G$5:$G$13,1)+1,ROWS('Scratch Data'!$G$5:$G$13)))-INDEX('Scratch Data'!$H$5:$H$13,MATCH($A13,'Scratch Data'!$G$5:$G$13,1)))/MAX(INDEX('Scratch Data'!$G$5:$G$13,MIN(MATCH($A13,'Scratch Data'!$G$5:$G$13,1)+1,ROWS('Scratch Data'!$G$5:$G$13)))-INDEX('Scratch Data'!$G$5:$G$13,MATCH($A13,'Scratch Data'!$G$5:$G$13,1)),0.0001))*INDEX(Baseline!$I$3:$I$102,MIN(MAX(ROUND(Inputs!$B$11*(INDEX('Scratch Data'!$I$5:$I$13,MATCH($A13,'Scratch Data'!$G$5:$G$13,1))+($A13-INDEX('Scratch Data'!$G$5:$G$13,MATCH($A13,'Scratch Data'!$G$5:$G$13,1)))*(INDEX('Scratch Data'!$I$5:$I$13,MIN(MATCH($A13,'Scratch Data'!$G$5:$G$13,1)+1,ROWS('Scratch Data'!$G$5:$G$13)))-INDEX('Scratch Data'!$I$5:$I$13,MATCH($A13,'Scratch Data'!$G$5:$G$13,1)))/MAX(INDEX('Scratch Data'!$G$5:$G$13,MIN(MATCH($A13,'Scratch Data'!$G$5:$G$13,1)+1,ROWS('Scratch Data'!$G$5:$G$13)))-INDEX('Scratch Data'!$G$5:$G$13,MATCH($A13,'Scratch Data'!$G$5:$G$13,1)),0.0001)),0),1),100))+(1-(INDEX('Scratch Data'!$H$5:$H$13,MATCH($A13,'Scratch Data'!$G$5:$G$13,1))+($A13-INDEX('Scratch Data'!$G$5:$G$13,MATCH($A13,'Scratch Data'!$G$5:$G$13,1)))*(INDEX('Scratch Data'!$H$5:$H$13,MIN(MATCH($A13,'Scratch Data'!$G$5:$G$13,1)+1,ROWS('Scratch Data'!$G$5:$G$13)))-INDEX('Scratch Data'!$H$5:$H$13,MATCH($A13,'Scratch Data'!$G$5:$G$13,1)))/MAX(INDEX('Scratch Data'!$G$5:$G$13,MIN(MATCH($A13,'Scratch Data'!$G$5:$G$13,1)+1,ROWS('Scratch Data'!$G$5:$G$13)))-INDEX('Scratch Data'!$G$5:$G$13,MATCH($A13,'Scratch Data'!$G$5:$G$13,1)),0.0001)))*(INDEX('Scratch Data'!$J$5:$J$13,MATCH($A13,'Scratch Data'!$G$5:$G$13,1))+($A13-INDEX('Scratch Data'!$G$5:$G$13,MATCH($A13,'Scratch Data'!$G$5:$G$13,1)))*(INDEX('Scratch Data'!$J$5:$J$13,MIN(MATCH($A13,'Scratch Data'!$G$5:$G$13,1)+1,ROWS('Scratch Data'!$G$5:$G$13)))-INDEX('Scratch Data'!$J$5:$J$13,MATCH($A13,'Scratch Data'!$G$5:$G$13,1)))/MAX(INDEX('Scratch Data'!$G$5:$G$13,MIN(MATCH($A13,'Scratch Data'!$G$5:$G$13,1)+1,ROWS('Scratch Data'!$G$5:$G$13)))-INDEX('Scratch Data'!$G$5:$G$13,MATCH($A13,'Scratch Data'!$G$5:$G$13,1)),0.0001))),(1+Inputs!$B$19*INDEX(Baseline!$B$3:$B$122,MATCH(MIN(MAX(ROUND((MAX($A13-Inputs!$B$20,30))/5,0)*5,5),600),Baseline!$A$3:$A$122,0))+(1-Inputs!$B$19)*INDEX(Baseline!$C$3:$C$122,MATCH(MIN(MAX(ROUND((MAX($A13-Inputs!$B$20,30))/5,0)*5,5),600),Baseline!$A$3:$A$122,0)))),(1+Inputs!$B$19*INDEX(Baseline!$B$3:$B$122,MATCH(MIN(MAX(ROUND((MAX($A13-Inputs!$B$20,30))/5,0)*5,5),600),Baseline!$A$3:$A$122,0))+(1-Inputs!$B$19)*INDEX(Baseline!$C$3:$C$122,MATCH(MIN(MAX(ROUND((MAX($A13-Inputs!$B$20,30))/5,0)*5,5),600),Baseline!$A$3:$A$122,0)))))</f>
        <v>2.82084</v>
      </c>
      <c r="C13" s="10" t="n">
        <f aca="false">IF($A13&lt;=50,$B13+Inputs!$B$18,IF($A13&lt;=250,MIN((1+(INDEX('Scratch Data'!$H$5:$H$13,MATCH($A13,'Scratch Data'!$G$5:$G$13,1))+($A13-INDEX('Scratch Data'!$G$5:$G$13,MATCH($A13,'Scratch Data'!$G$5:$G$13,1)))*(INDEX('Scratch Data'!$H$5:$H$13,MIN(MATCH($A13,'Scratch Data'!$G$5:$G$13,1)+1,ROWS('Scratch Data'!$G$5:$G$13)))-INDEX('Scratch Data'!$H$5:$H$13,MATCH($A13,'Scratch Data'!$G$5:$G$13,1)))/MAX(INDEX('Scratch Data'!$G$5:$G$13,MIN(MATCH($A13,'Scratch Data'!$G$5:$G$13,1)+1,ROWS('Scratch Data'!$G$5:$G$13)))-INDEX('Scratch Data'!$G$5:$G$13,MATCH($A13,'Scratch Data'!$G$5:$G$13,1)),0.0001))*Inputs!$B$12*INDEX(Baseline!$I$3:$I$102,MIN(MAX(ROUND(Inputs!$B$11*(INDEX('Scratch Data'!$I$5:$I$13,MATCH($A13,'Scratch Data'!$G$5:$G$13,1))+($A13-INDEX('Scratch Data'!$G$5:$G$13,MATCH($A13,'Scratch Data'!$G$5:$G$13,1)))*(INDEX('Scratch Data'!$I$5:$I$13,MIN(MATCH($A13,'Scratch Data'!$G$5:$G$13,1)+1,ROWS('Scratch Data'!$G$5:$G$13)))-INDEX('Scratch Data'!$I$5:$I$13,MATCH($A13,'Scratch Data'!$G$5:$G$13,1)))/MAX(INDEX('Scratch Data'!$G$5:$G$13,MIN(MATCH($A13,'Scratch Data'!$G$5:$G$13,1)+1,ROWS('Scratch Data'!$G$5:$G$13)))-INDEX('Scratch Data'!$G$5:$G$13,MATCH($A13,'Scratch Data'!$G$5:$G$13,1)),0.0001))*Inputs!$B$13,0),1),100))+(1-(INDEX('Scratch Data'!$H$5:$H$13,MATCH($A13,'Scratch Data'!$G$5:$G$13,1))+($A13-INDEX('Scratch Data'!$G$5:$G$13,MATCH($A13,'Scratch Data'!$G$5:$G$13,1)))*(INDEX('Scratch Data'!$H$5:$H$13,MIN(MATCH($A13,'Scratch Data'!$G$5:$G$13,1)+1,ROWS('Scratch Data'!$G$5:$G$13)))-INDEX('Scratch Data'!$H$5:$H$13,MATCH($A13,'Scratch Data'!$G$5:$G$13,1)))/MAX(INDEX('Scratch Data'!$G$5:$G$13,MIN(MATCH($A13,'Scratch Data'!$G$5:$G$13,1)+1,ROWS('Scratch Data'!$G$5:$G$13)))-INDEX('Scratch Data'!$G$5:$G$13,MATCH($A13,'Scratch Data'!$G$5:$G$13,1)),0.0001))*Inputs!$B$12)*((INDEX('Scratch Data'!$J$5:$J$13,MATCH($A13,'Scratch Data'!$G$5:$G$13,1))+($A13-INDEX('Scratch Data'!$G$5:$G$13,MATCH($A13,'Scratch Data'!$G$5:$G$13,1)))*(INDEX('Scratch Data'!$J$5:$J$13,MIN(MATCH($A13,'Scratch Data'!$G$5:$G$13,1)+1,ROWS('Scratch Data'!$G$5:$G$13)))-INDEX('Scratch Data'!$J$5:$J$13,MATCH($A13,'Scratch Data'!$G$5:$G$13,1)))/MAX(INDEX('Scratch Data'!$G$5:$G$13,MIN(MATCH($A13,'Scratch Data'!$G$5:$G$13,1)+1,ROWS('Scratch Data'!$G$5:$G$13)))-INDEX('Scratch Data'!$G$5:$G$13,MATCH($A13,'Scratch Data'!$G$5:$G$13,1)),0.0001))+Inputs!$B$14)),(1+Inputs!$B$19*INDEX(Baseline!$B$3:$B$122,MATCH(MIN(MAX(ROUND((MAX($A13-Inputs!$B$21,30))/5,0)*5,5),600),Baseline!$A$3:$A$122,0))+(1-Inputs!$B$19)*INDEX(Baseline!$C$3:$C$122,MATCH(MIN(MAX(ROUND((MAX($A13-Inputs!$B$21,30))/5,0)*5,5),600),Baseline!$A$3:$A$122,0))+Inputs!$B$14)),(1+Inputs!$B$19*INDEX(Baseline!$B$3:$B$122,MATCH(MIN(MAX(ROUND((MAX($A13-Inputs!$B$21,30))/5,0)*5,5),600),Baseline!$A$3:$A$122,0))+(1-Inputs!$B$19)*INDEX(Baseline!$C$3:$C$122,MATCH(MIN(MAX(ROUND((MAX($A13-Inputs!$B$21,30))/5,0)*5,5),600),Baseline!$A$3:$A$122,0))+Inputs!$B$14)))</f>
        <v>3.05082133333333</v>
      </c>
      <c r="D13" s="10" t="n">
        <f aca="false">IF($A13&lt;=50,(INDEX('Scratch Data'!$P$5:$P$11,MATCH($A13,'Scratch Data'!$O$5:$O$11,1))+($A13-INDEX('Scratch Data'!$O$5:$O$11,MATCH($A13,'Scratch Data'!$O$5:$O$11,1)))*(INDEX('Scratch Data'!$P$5:$P$11,MIN(MATCH($A13,'Scratch Data'!$O$5:$O$11,1)+1,ROWS('Scratch Data'!$O$5:$O$11)))-INDEX('Scratch Data'!$P$5:$P$11,MATCH($A13,'Scratch Data'!$O$5:$O$11,1)))/MAX(INDEX('Scratch Data'!$O$5:$O$11,MIN(MATCH($A13,'Scratch Data'!$O$5:$O$11,1)+1,ROWS('Scratch Data'!$O$5:$O$11)))-INDEX('Scratch Data'!$O$5:$O$11,MATCH($A13,'Scratch Data'!$O$5:$O$11,1)),0.0001)),IF($A13&lt;=250,MIN((1+(INDEX('Scratch Data'!$H$5:$H$13,MATCH($A13,'Scratch Data'!$G$5:$G$13,1))+($A13-INDEX('Scratch Data'!$G$5:$G$13,MATCH($A13,'Scratch Data'!$G$5:$G$13,1)))*(INDEX('Scratch Data'!$H$5:$H$13,MIN(MATCH($A13,'Scratch Data'!$G$5:$G$13,1)+1,ROWS('Scratch Data'!$G$5:$G$13)))-INDEX('Scratch Data'!$H$5:$H$13,MATCH($A13,'Scratch Data'!$G$5:$G$13,1)))/MAX(INDEX('Scratch Data'!$G$5:$G$13,MIN(MATCH($A13,'Scratch Data'!$G$5:$G$13,1)+1,ROWS('Scratch Data'!$G$5:$G$13)))-INDEX('Scratch Data'!$G$5:$G$13,MATCH($A13,'Scratch Data'!$G$5:$G$13,1)),0.0001))*Inputs!$B$15*INDEX(Baseline!$I$3:$I$102,MIN(MAX(ROUND(Inputs!$B$11*(INDEX('Scratch Data'!$I$5:$I$13,MATCH($A13,'Scratch Data'!$G$5:$G$13,1))+($A13-INDEX('Scratch Data'!$G$5:$G$13,MATCH($A13,'Scratch Data'!$G$5:$G$13,1)))*(INDEX('Scratch Data'!$I$5:$I$13,MIN(MATCH($A13,'Scratch Data'!$G$5:$G$13,1)+1,ROWS('Scratch Data'!$G$5:$G$13)))-INDEX('Scratch Data'!$I$5:$I$13,MATCH($A13,'Scratch Data'!$G$5:$G$13,1)))/MAX(INDEX('Scratch Data'!$G$5:$G$13,MIN(MATCH($A13,'Scratch Data'!$G$5:$G$13,1)+1,ROWS('Scratch Data'!$G$5:$G$13)))-INDEX('Scratch Data'!$G$5:$G$13,MATCH($A13,'Scratch Data'!$G$5:$G$13,1)),0.0001))*Inputs!$B$16,0),1),100))+(1-(INDEX('Scratch Data'!$H$5:$H$13,MATCH($A13,'Scratch Data'!$G$5:$G$13,1))+($A13-INDEX('Scratch Data'!$G$5:$G$13,MATCH($A13,'Scratch Data'!$G$5:$G$13,1)))*(INDEX('Scratch Data'!$H$5:$H$13,MIN(MATCH($A13,'Scratch Data'!$G$5:$G$13,1)+1,ROWS('Scratch Data'!$G$5:$G$13)))-INDEX('Scratch Data'!$H$5:$H$13,MATCH($A13,'Scratch Data'!$G$5:$G$13,1)))/MAX(INDEX('Scratch Data'!$G$5:$G$13,MIN(MATCH($A13,'Scratch Data'!$G$5:$G$13,1)+1,ROWS('Scratch Data'!$G$5:$G$13)))-INDEX('Scratch Data'!$G$5:$G$13,MATCH($A13,'Scratch Data'!$G$5:$G$13,1)),0.0001))*Inputs!$B$15)*((INDEX('Scratch Data'!$J$5:$J$13,MATCH($A13,'Scratch Data'!$G$5:$G$13,1))+($A13-INDEX('Scratch Data'!$G$5:$G$13,MATCH($A13,'Scratch Data'!$G$5:$G$13,1)))*(INDEX('Scratch Data'!$J$5:$J$13,MIN(MATCH($A13,'Scratch Data'!$G$5:$G$13,1)+1,ROWS('Scratch Data'!$G$5:$G$13)))-INDEX('Scratch Data'!$J$5:$J$13,MATCH($A13,'Scratch Data'!$G$5:$G$13,1)))/MAX(INDEX('Scratch Data'!$G$5:$G$13,MIN(MATCH($A13,'Scratch Data'!$G$5:$G$13,1)+1,ROWS('Scratch Data'!$G$5:$G$13)))-INDEX('Scratch Data'!$G$5:$G$13,MATCH($A13,'Scratch Data'!$G$5:$G$13,1)),0.0001))+Inputs!$B$17)),(1+Inputs!$B$19*INDEX(Baseline!$B$3:$B$122,MATCH(MIN(MAX(ROUND((MAX($A13-Inputs!$B$22,30))/5,0)*5,5),600),Baseline!$A$3:$A$122,0))+(1-Inputs!$B$19)*INDEX(Baseline!$C$3:$C$122,MATCH(MIN(MAX(ROUND((MAX($A13-Inputs!$B$22,30))/5,0)*5,5),600),Baseline!$A$3:$A$122,0))+Inputs!$B$17)),(1+Inputs!$B$19*INDEX(Baseline!$B$3:$B$122,MATCH(MIN(MAX(ROUND((MAX($A13-Inputs!$B$22,30))/5,0)*5,5),600),Baseline!$A$3:$A$122,0))+(1-Inputs!$B$19)*INDEX(Baseline!$C$3:$C$122,MATCH(MIN(MAX(ROUND((MAX($A13-Inputs!$B$22,30))/5,0)*5,5),600),Baseline!$A$3:$A$122,0))+Inputs!$B$17)))</f>
        <v>3.19419233333333</v>
      </c>
      <c r="E13" s="10" t="n">
        <f aca="false">1+Inputs!$B$24+0.6*INDEX(Baseline!$B$3:$B$122,MATCH(MIN(MAX(ROUND((MAX($A13-Inputs!$B$23,15))/5,0)*5,5),600),Baseline!$A$3:$A$122,0))+0.4*INDEX(Baseline!$C$3:$C$122,MATCH(MIN(MAX(ROUND((MAX($A13-Inputs!$B$23,15))/5,0)*5,5),600),Baseline!$A$3:$A$122,0))</f>
        <v>3.56</v>
      </c>
      <c r="H13" s="7" t="n">
        <v>11</v>
      </c>
      <c r="I13" s="10" t="n">
        <f aca="false">(INDEX('Scratch Data'!$E$5:$E$22,MATCH($H13,'Scratch Data'!$A$5:$A$22,1))+($H13-INDEX('Scratch Data'!$A$5:$A$22,MATCH($H13,'Scratch Data'!$A$5:$A$22,1)))*(INDEX('Scratch Data'!$E$5:$E$22,MIN(MATCH($H13,'Scratch Data'!$A$5:$A$22,1)+1,ROWS('Scratch Data'!$A$5:$A$22)))-INDEX('Scratch Data'!$E$5:$E$22,MATCH($H13,'Scratch Data'!$A$5:$A$22,1)))/MAX(INDEX('Scratch Data'!$A$5:$A$22,MIN(MATCH($H13,'Scratch Data'!$A$5:$A$22,1)+1,ROWS('Scratch Data'!$A$5:$A$22)))-INDEX('Scratch Data'!$A$5:$A$22,MATCH($H13,'Scratch Data'!$A$5:$A$22,1)),0.0001))</f>
        <v>1.691</v>
      </c>
    </row>
    <row r="14" customFormat="false" ht="15" hidden="false" customHeight="false" outlineLevel="0" collapsed="false">
      <c r="A14" s="7" t="n">
        <v>60</v>
      </c>
      <c r="B14" s="10" t="n">
        <f aca="false">IF($A14&lt;=50,(INDEX('Scratch Data'!$M$5:$M$12,MATCH($A14,'Scratch Data'!$L$5:$L$12,1))+($A14-INDEX('Scratch Data'!$L$5:$L$12,MATCH($A14,'Scratch Data'!$L$5:$L$12,1)))*(INDEX('Scratch Data'!$M$5:$M$12,MIN(MATCH($A14,'Scratch Data'!$L$5:$L$12,1)+1,ROWS('Scratch Data'!$L$5:$L$12)))-INDEX('Scratch Data'!$M$5:$M$12,MATCH($A14,'Scratch Data'!$L$5:$L$12,1)))/MAX(INDEX('Scratch Data'!$L$5:$L$12,MIN(MATCH($A14,'Scratch Data'!$L$5:$L$12,1)+1,ROWS('Scratch Data'!$L$5:$L$12)))-INDEX('Scratch Data'!$L$5:$L$12,MATCH($A14,'Scratch Data'!$L$5:$L$12,1)),0.0001)),IF($A14&lt;=250,MIN((1+(INDEX('Scratch Data'!$H$5:$H$13,MATCH($A14,'Scratch Data'!$G$5:$G$13,1))+($A14-INDEX('Scratch Data'!$G$5:$G$13,MATCH($A14,'Scratch Data'!$G$5:$G$13,1)))*(INDEX('Scratch Data'!$H$5:$H$13,MIN(MATCH($A14,'Scratch Data'!$G$5:$G$13,1)+1,ROWS('Scratch Data'!$G$5:$G$13)))-INDEX('Scratch Data'!$H$5:$H$13,MATCH($A14,'Scratch Data'!$G$5:$G$13,1)))/MAX(INDEX('Scratch Data'!$G$5:$G$13,MIN(MATCH($A14,'Scratch Data'!$G$5:$G$13,1)+1,ROWS('Scratch Data'!$G$5:$G$13)))-INDEX('Scratch Data'!$G$5:$G$13,MATCH($A14,'Scratch Data'!$G$5:$G$13,1)),0.0001))*INDEX(Baseline!$I$3:$I$102,MIN(MAX(ROUND(Inputs!$B$11*(INDEX('Scratch Data'!$I$5:$I$13,MATCH($A14,'Scratch Data'!$G$5:$G$13,1))+($A14-INDEX('Scratch Data'!$G$5:$G$13,MATCH($A14,'Scratch Data'!$G$5:$G$13,1)))*(INDEX('Scratch Data'!$I$5:$I$13,MIN(MATCH($A14,'Scratch Data'!$G$5:$G$13,1)+1,ROWS('Scratch Data'!$G$5:$G$13)))-INDEX('Scratch Data'!$I$5:$I$13,MATCH($A14,'Scratch Data'!$G$5:$G$13,1)))/MAX(INDEX('Scratch Data'!$G$5:$G$13,MIN(MATCH($A14,'Scratch Data'!$G$5:$G$13,1)+1,ROWS('Scratch Data'!$G$5:$G$13)))-INDEX('Scratch Data'!$G$5:$G$13,MATCH($A14,'Scratch Data'!$G$5:$G$13,1)),0.0001)),0),1),100))+(1-(INDEX('Scratch Data'!$H$5:$H$13,MATCH($A14,'Scratch Data'!$G$5:$G$13,1))+($A14-INDEX('Scratch Data'!$G$5:$G$13,MATCH($A14,'Scratch Data'!$G$5:$G$13,1)))*(INDEX('Scratch Data'!$H$5:$H$13,MIN(MATCH($A14,'Scratch Data'!$G$5:$G$13,1)+1,ROWS('Scratch Data'!$G$5:$G$13)))-INDEX('Scratch Data'!$H$5:$H$13,MATCH($A14,'Scratch Data'!$G$5:$G$13,1)))/MAX(INDEX('Scratch Data'!$G$5:$G$13,MIN(MATCH($A14,'Scratch Data'!$G$5:$G$13,1)+1,ROWS('Scratch Data'!$G$5:$G$13)))-INDEX('Scratch Data'!$G$5:$G$13,MATCH($A14,'Scratch Data'!$G$5:$G$13,1)),0.0001)))*(INDEX('Scratch Data'!$J$5:$J$13,MATCH($A14,'Scratch Data'!$G$5:$G$13,1))+($A14-INDEX('Scratch Data'!$G$5:$G$13,MATCH($A14,'Scratch Data'!$G$5:$G$13,1)))*(INDEX('Scratch Data'!$J$5:$J$13,MIN(MATCH($A14,'Scratch Data'!$G$5:$G$13,1)+1,ROWS('Scratch Data'!$G$5:$G$13)))-INDEX('Scratch Data'!$J$5:$J$13,MATCH($A14,'Scratch Data'!$G$5:$G$13,1)))/MAX(INDEX('Scratch Data'!$G$5:$G$13,MIN(MATCH($A14,'Scratch Data'!$G$5:$G$13,1)+1,ROWS('Scratch Data'!$G$5:$G$13)))-INDEX('Scratch Data'!$G$5:$G$13,MATCH($A14,'Scratch Data'!$G$5:$G$13,1)),0.0001))),(1+Inputs!$B$19*INDEX(Baseline!$B$3:$B$122,MATCH(MIN(MAX(ROUND((MAX($A14-Inputs!$B$20,30))/5,0)*5,5),600),Baseline!$A$3:$A$122,0))+(1-Inputs!$B$19)*INDEX(Baseline!$C$3:$C$122,MATCH(MIN(MAX(ROUND((MAX($A14-Inputs!$B$20,30))/5,0)*5,5),600),Baseline!$A$3:$A$122,0)))),(1+Inputs!$B$19*INDEX(Baseline!$B$3:$B$122,MATCH(MIN(MAX(ROUND((MAX($A14-Inputs!$B$20,30))/5,0)*5,5),600),Baseline!$A$3:$A$122,0))+(1-Inputs!$B$19)*INDEX(Baseline!$C$3:$C$122,MATCH(MIN(MAX(ROUND((MAX($A14-Inputs!$B$20,30))/5,0)*5,5),600),Baseline!$A$3:$A$122,0)))))</f>
        <v>2.86062</v>
      </c>
      <c r="C14" s="10" t="n">
        <f aca="false">IF($A14&lt;=50,$B14+Inputs!$B$18,IF($A14&lt;=250,MIN((1+(INDEX('Scratch Data'!$H$5:$H$13,MATCH($A14,'Scratch Data'!$G$5:$G$13,1))+($A14-INDEX('Scratch Data'!$G$5:$G$13,MATCH($A14,'Scratch Data'!$G$5:$G$13,1)))*(INDEX('Scratch Data'!$H$5:$H$13,MIN(MATCH($A14,'Scratch Data'!$G$5:$G$13,1)+1,ROWS('Scratch Data'!$G$5:$G$13)))-INDEX('Scratch Data'!$H$5:$H$13,MATCH($A14,'Scratch Data'!$G$5:$G$13,1)))/MAX(INDEX('Scratch Data'!$G$5:$G$13,MIN(MATCH($A14,'Scratch Data'!$G$5:$G$13,1)+1,ROWS('Scratch Data'!$G$5:$G$13)))-INDEX('Scratch Data'!$G$5:$G$13,MATCH($A14,'Scratch Data'!$G$5:$G$13,1)),0.0001))*Inputs!$B$12*INDEX(Baseline!$I$3:$I$102,MIN(MAX(ROUND(Inputs!$B$11*(INDEX('Scratch Data'!$I$5:$I$13,MATCH($A14,'Scratch Data'!$G$5:$G$13,1))+($A14-INDEX('Scratch Data'!$G$5:$G$13,MATCH($A14,'Scratch Data'!$G$5:$G$13,1)))*(INDEX('Scratch Data'!$I$5:$I$13,MIN(MATCH($A14,'Scratch Data'!$G$5:$G$13,1)+1,ROWS('Scratch Data'!$G$5:$G$13)))-INDEX('Scratch Data'!$I$5:$I$13,MATCH($A14,'Scratch Data'!$G$5:$G$13,1)))/MAX(INDEX('Scratch Data'!$G$5:$G$13,MIN(MATCH($A14,'Scratch Data'!$G$5:$G$13,1)+1,ROWS('Scratch Data'!$G$5:$G$13)))-INDEX('Scratch Data'!$G$5:$G$13,MATCH($A14,'Scratch Data'!$G$5:$G$13,1)),0.0001))*Inputs!$B$13,0),1),100))+(1-(INDEX('Scratch Data'!$H$5:$H$13,MATCH($A14,'Scratch Data'!$G$5:$G$13,1))+($A14-INDEX('Scratch Data'!$G$5:$G$13,MATCH($A14,'Scratch Data'!$G$5:$G$13,1)))*(INDEX('Scratch Data'!$H$5:$H$13,MIN(MATCH($A14,'Scratch Data'!$G$5:$G$13,1)+1,ROWS('Scratch Data'!$G$5:$G$13)))-INDEX('Scratch Data'!$H$5:$H$13,MATCH($A14,'Scratch Data'!$G$5:$G$13,1)))/MAX(INDEX('Scratch Data'!$G$5:$G$13,MIN(MATCH($A14,'Scratch Data'!$G$5:$G$13,1)+1,ROWS('Scratch Data'!$G$5:$G$13)))-INDEX('Scratch Data'!$G$5:$G$13,MATCH($A14,'Scratch Data'!$G$5:$G$13,1)),0.0001))*Inputs!$B$12)*((INDEX('Scratch Data'!$J$5:$J$13,MATCH($A14,'Scratch Data'!$G$5:$G$13,1))+($A14-INDEX('Scratch Data'!$G$5:$G$13,MATCH($A14,'Scratch Data'!$G$5:$G$13,1)))*(INDEX('Scratch Data'!$J$5:$J$13,MIN(MATCH($A14,'Scratch Data'!$G$5:$G$13,1)+1,ROWS('Scratch Data'!$G$5:$G$13)))-INDEX('Scratch Data'!$J$5:$J$13,MATCH($A14,'Scratch Data'!$G$5:$G$13,1)))/MAX(INDEX('Scratch Data'!$G$5:$G$13,MIN(MATCH($A14,'Scratch Data'!$G$5:$G$13,1)+1,ROWS('Scratch Data'!$G$5:$G$13)))-INDEX('Scratch Data'!$G$5:$G$13,MATCH($A14,'Scratch Data'!$G$5:$G$13,1)),0.0001))+Inputs!$B$14)),(1+Inputs!$B$19*INDEX(Baseline!$B$3:$B$122,MATCH(MIN(MAX(ROUND((MAX($A14-Inputs!$B$21,30))/5,0)*5,5),600),Baseline!$A$3:$A$122,0))+(1-Inputs!$B$19)*INDEX(Baseline!$C$3:$C$122,MATCH(MIN(MAX(ROUND((MAX($A14-Inputs!$B$21,30))/5,0)*5,5),600),Baseline!$A$3:$A$122,0))+Inputs!$B$14)),(1+Inputs!$B$19*INDEX(Baseline!$B$3:$B$122,MATCH(MIN(MAX(ROUND((MAX($A14-Inputs!$B$21,30))/5,0)*5,5),600),Baseline!$A$3:$A$122,0))+(1-Inputs!$B$19)*INDEX(Baseline!$C$3:$C$122,MATCH(MIN(MAX(ROUND((MAX($A14-Inputs!$B$21,30))/5,0)*5,5),600),Baseline!$A$3:$A$122,0))+Inputs!$B$14)))</f>
        <v>3.059472</v>
      </c>
      <c r="D14" s="10" t="n">
        <f aca="false">IF($A14&lt;=50,(INDEX('Scratch Data'!$P$5:$P$11,MATCH($A14,'Scratch Data'!$O$5:$O$11,1))+($A14-INDEX('Scratch Data'!$O$5:$O$11,MATCH($A14,'Scratch Data'!$O$5:$O$11,1)))*(INDEX('Scratch Data'!$P$5:$P$11,MIN(MATCH($A14,'Scratch Data'!$O$5:$O$11,1)+1,ROWS('Scratch Data'!$O$5:$O$11)))-INDEX('Scratch Data'!$P$5:$P$11,MATCH($A14,'Scratch Data'!$O$5:$O$11,1)))/MAX(INDEX('Scratch Data'!$O$5:$O$11,MIN(MATCH($A14,'Scratch Data'!$O$5:$O$11,1)+1,ROWS('Scratch Data'!$O$5:$O$11)))-INDEX('Scratch Data'!$O$5:$O$11,MATCH($A14,'Scratch Data'!$O$5:$O$11,1)),0.0001)),IF($A14&lt;=250,MIN((1+(INDEX('Scratch Data'!$H$5:$H$13,MATCH($A14,'Scratch Data'!$G$5:$G$13,1))+($A14-INDEX('Scratch Data'!$G$5:$G$13,MATCH($A14,'Scratch Data'!$G$5:$G$13,1)))*(INDEX('Scratch Data'!$H$5:$H$13,MIN(MATCH($A14,'Scratch Data'!$G$5:$G$13,1)+1,ROWS('Scratch Data'!$G$5:$G$13)))-INDEX('Scratch Data'!$H$5:$H$13,MATCH($A14,'Scratch Data'!$G$5:$G$13,1)))/MAX(INDEX('Scratch Data'!$G$5:$G$13,MIN(MATCH($A14,'Scratch Data'!$G$5:$G$13,1)+1,ROWS('Scratch Data'!$G$5:$G$13)))-INDEX('Scratch Data'!$G$5:$G$13,MATCH($A14,'Scratch Data'!$G$5:$G$13,1)),0.0001))*Inputs!$B$15*INDEX(Baseline!$I$3:$I$102,MIN(MAX(ROUND(Inputs!$B$11*(INDEX('Scratch Data'!$I$5:$I$13,MATCH($A14,'Scratch Data'!$G$5:$G$13,1))+($A14-INDEX('Scratch Data'!$G$5:$G$13,MATCH($A14,'Scratch Data'!$G$5:$G$13,1)))*(INDEX('Scratch Data'!$I$5:$I$13,MIN(MATCH($A14,'Scratch Data'!$G$5:$G$13,1)+1,ROWS('Scratch Data'!$G$5:$G$13)))-INDEX('Scratch Data'!$I$5:$I$13,MATCH($A14,'Scratch Data'!$G$5:$G$13,1)))/MAX(INDEX('Scratch Data'!$G$5:$G$13,MIN(MATCH($A14,'Scratch Data'!$G$5:$G$13,1)+1,ROWS('Scratch Data'!$G$5:$G$13)))-INDEX('Scratch Data'!$G$5:$G$13,MATCH($A14,'Scratch Data'!$G$5:$G$13,1)),0.0001))*Inputs!$B$16,0),1),100))+(1-(INDEX('Scratch Data'!$H$5:$H$13,MATCH($A14,'Scratch Data'!$G$5:$G$13,1))+($A14-INDEX('Scratch Data'!$G$5:$G$13,MATCH($A14,'Scratch Data'!$G$5:$G$13,1)))*(INDEX('Scratch Data'!$H$5:$H$13,MIN(MATCH($A14,'Scratch Data'!$G$5:$G$13,1)+1,ROWS('Scratch Data'!$G$5:$G$13)))-INDEX('Scratch Data'!$H$5:$H$13,MATCH($A14,'Scratch Data'!$G$5:$G$13,1)))/MAX(INDEX('Scratch Data'!$G$5:$G$13,MIN(MATCH($A14,'Scratch Data'!$G$5:$G$13,1)+1,ROWS('Scratch Data'!$G$5:$G$13)))-INDEX('Scratch Data'!$G$5:$G$13,MATCH($A14,'Scratch Data'!$G$5:$G$13,1)),0.0001))*Inputs!$B$15)*((INDEX('Scratch Data'!$J$5:$J$13,MATCH($A14,'Scratch Data'!$G$5:$G$13,1))+($A14-INDEX('Scratch Data'!$G$5:$G$13,MATCH($A14,'Scratch Data'!$G$5:$G$13,1)))*(INDEX('Scratch Data'!$J$5:$J$13,MIN(MATCH($A14,'Scratch Data'!$G$5:$G$13,1)+1,ROWS('Scratch Data'!$G$5:$G$13)))-INDEX('Scratch Data'!$J$5:$J$13,MATCH($A14,'Scratch Data'!$G$5:$G$13,1)))/MAX(INDEX('Scratch Data'!$G$5:$G$13,MIN(MATCH($A14,'Scratch Data'!$G$5:$G$13,1)+1,ROWS('Scratch Data'!$G$5:$G$13)))-INDEX('Scratch Data'!$G$5:$G$13,MATCH($A14,'Scratch Data'!$G$5:$G$13,1)),0.0001))+Inputs!$B$17)),(1+Inputs!$B$19*INDEX(Baseline!$B$3:$B$122,MATCH(MIN(MAX(ROUND((MAX($A14-Inputs!$B$22,30))/5,0)*5,5),600),Baseline!$A$3:$A$122,0))+(1-Inputs!$B$19)*INDEX(Baseline!$C$3:$C$122,MATCH(MIN(MAX(ROUND((MAX($A14-Inputs!$B$22,30))/5,0)*5,5),600),Baseline!$A$3:$A$122,0))+Inputs!$B$17)),(1+Inputs!$B$19*INDEX(Baseline!$B$3:$B$122,MATCH(MIN(MAX(ROUND((MAX($A14-Inputs!$B$22,30))/5,0)*5,5),600),Baseline!$A$3:$A$122,0))+(1-Inputs!$B$19)*INDEX(Baseline!$C$3:$C$122,MATCH(MIN(MAX(ROUND((MAX($A14-Inputs!$B$22,30))/5,0)*5,5),600),Baseline!$A$3:$A$122,0))+Inputs!$B$17)))</f>
        <v>3.216516</v>
      </c>
      <c r="E14" s="10" t="n">
        <f aca="false">1+Inputs!$B$24+0.6*INDEX(Baseline!$B$3:$B$122,MATCH(MIN(MAX(ROUND((MAX($A14-Inputs!$B$23,15))/5,0)*5,5),600),Baseline!$A$3:$A$122,0))+0.4*INDEX(Baseline!$C$3:$C$122,MATCH(MIN(MAX(ROUND((MAX($A14-Inputs!$B$23,15))/5,0)*5,5),600),Baseline!$A$3:$A$122,0))</f>
        <v>3.56</v>
      </c>
      <c r="H14" s="7" t="n">
        <v>12</v>
      </c>
      <c r="I14" s="10" t="n">
        <f aca="false">(INDEX('Scratch Data'!$E$5:$E$22,MATCH($H14,'Scratch Data'!$A$5:$A$22,1))+($H14-INDEX('Scratch Data'!$A$5:$A$22,MATCH($H14,'Scratch Data'!$A$5:$A$22,1)))*(INDEX('Scratch Data'!$E$5:$E$22,MIN(MATCH($H14,'Scratch Data'!$A$5:$A$22,1)+1,ROWS('Scratch Data'!$A$5:$A$22)))-INDEX('Scratch Data'!$E$5:$E$22,MATCH($H14,'Scratch Data'!$A$5:$A$22,1)))/MAX(INDEX('Scratch Data'!$A$5:$A$22,MIN(MATCH($H14,'Scratch Data'!$A$5:$A$22,1)+1,ROWS('Scratch Data'!$A$5:$A$22)))-INDEX('Scratch Data'!$A$5:$A$22,MATCH($H14,'Scratch Data'!$A$5:$A$22,1)),0.0001))</f>
        <v>1.73</v>
      </c>
    </row>
    <row r="15" customFormat="false" ht="15" hidden="false" customHeight="false" outlineLevel="0" collapsed="false">
      <c r="A15" s="7" t="n">
        <v>65</v>
      </c>
      <c r="B15" s="10" t="n">
        <f aca="false">IF($A15&lt;=50,(INDEX('Scratch Data'!$M$5:$M$12,MATCH($A15,'Scratch Data'!$L$5:$L$12,1))+($A15-INDEX('Scratch Data'!$L$5:$L$12,MATCH($A15,'Scratch Data'!$L$5:$L$12,1)))*(INDEX('Scratch Data'!$M$5:$M$12,MIN(MATCH($A15,'Scratch Data'!$L$5:$L$12,1)+1,ROWS('Scratch Data'!$L$5:$L$12)))-INDEX('Scratch Data'!$M$5:$M$12,MATCH($A15,'Scratch Data'!$L$5:$L$12,1)))/MAX(INDEX('Scratch Data'!$L$5:$L$12,MIN(MATCH($A15,'Scratch Data'!$L$5:$L$12,1)+1,ROWS('Scratch Data'!$L$5:$L$12)))-INDEX('Scratch Data'!$L$5:$L$12,MATCH($A15,'Scratch Data'!$L$5:$L$12,1)),0.0001)),IF($A15&lt;=250,MIN((1+(INDEX('Scratch Data'!$H$5:$H$13,MATCH($A15,'Scratch Data'!$G$5:$G$13,1))+($A15-INDEX('Scratch Data'!$G$5:$G$13,MATCH($A15,'Scratch Data'!$G$5:$G$13,1)))*(INDEX('Scratch Data'!$H$5:$H$13,MIN(MATCH($A15,'Scratch Data'!$G$5:$G$13,1)+1,ROWS('Scratch Data'!$G$5:$G$13)))-INDEX('Scratch Data'!$H$5:$H$13,MATCH($A15,'Scratch Data'!$G$5:$G$13,1)))/MAX(INDEX('Scratch Data'!$G$5:$G$13,MIN(MATCH($A15,'Scratch Data'!$G$5:$G$13,1)+1,ROWS('Scratch Data'!$G$5:$G$13)))-INDEX('Scratch Data'!$G$5:$G$13,MATCH($A15,'Scratch Data'!$G$5:$G$13,1)),0.0001))*INDEX(Baseline!$I$3:$I$102,MIN(MAX(ROUND(Inputs!$B$11*(INDEX('Scratch Data'!$I$5:$I$13,MATCH($A15,'Scratch Data'!$G$5:$G$13,1))+($A15-INDEX('Scratch Data'!$G$5:$G$13,MATCH($A15,'Scratch Data'!$G$5:$G$13,1)))*(INDEX('Scratch Data'!$I$5:$I$13,MIN(MATCH($A15,'Scratch Data'!$G$5:$G$13,1)+1,ROWS('Scratch Data'!$G$5:$G$13)))-INDEX('Scratch Data'!$I$5:$I$13,MATCH($A15,'Scratch Data'!$G$5:$G$13,1)))/MAX(INDEX('Scratch Data'!$G$5:$G$13,MIN(MATCH($A15,'Scratch Data'!$G$5:$G$13,1)+1,ROWS('Scratch Data'!$G$5:$G$13)))-INDEX('Scratch Data'!$G$5:$G$13,MATCH($A15,'Scratch Data'!$G$5:$G$13,1)),0.0001)),0),1),100))+(1-(INDEX('Scratch Data'!$H$5:$H$13,MATCH($A15,'Scratch Data'!$G$5:$G$13,1))+($A15-INDEX('Scratch Data'!$G$5:$G$13,MATCH($A15,'Scratch Data'!$G$5:$G$13,1)))*(INDEX('Scratch Data'!$H$5:$H$13,MIN(MATCH($A15,'Scratch Data'!$G$5:$G$13,1)+1,ROWS('Scratch Data'!$G$5:$G$13)))-INDEX('Scratch Data'!$H$5:$H$13,MATCH($A15,'Scratch Data'!$G$5:$G$13,1)))/MAX(INDEX('Scratch Data'!$G$5:$G$13,MIN(MATCH($A15,'Scratch Data'!$G$5:$G$13,1)+1,ROWS('Scratch Data'!$G$5:$G$13)))-INDEX('Scratch Data'!$G$5:$G$13,MATCH($A15,'Scratch Data'!$G$5:$G$13,1)),0.0001)))*(INDEX('Scratch Data'!$J$5:$J$13,MATCH($A15,'Scratch Data'!$G$5:$G$13,1))+($A15-INDEX('Scratch Data'!$G$5:$G$13,MATCH($A15,'Scratch Data'!$G$5:$G$13,1)))*(INDEX('Scratch Data'!$J$5:$J$13,MIN(MATCH($A15,'Scratch Data'!$G$5:$G$13,1)+1,ROWS('Scratch Data'!$G$5:$G$13)))-INDEX('Scratch Data'!$J$5:$J$13,MATCH($A15,'Scratch Data'!$G$5:$G$13,1)))/MAX(INDEX('Scratch Data'!$G$5:$G$13,MIN(MATCH($A15,'Scratch Data'!$G$5:$G$13,1)+1,ROWS('Scratch Data'!$G$5:$G$13)))-INDEX('Scratch Data'!$G$5:$G$13,MATCH($A15,'Scratch Data'!$G$5:$G$13,1)),0.0001))),(1+Inputs!$B$19*INDEX(Baseline!$B$3:$B$122,MATCH(MIN(MAX(ROUND((MAX($A15-Inputs!$B$20,30))/5,0)*5,5),600),Baseline!$A$3:$A$122,0))+(1-Inputs!$B$19)*INDEX(Baseline!$C$3:$C$122,MATCH(MIN(MAX(ROUND((MAX($A15-Inputs!$B$20,30))/5,0)*5,5),600),Baseline!$A$3:$A$122,0)))),(1+Inputs!$B$19*INDEX(Baseline!$B$3:$B$122,MATCH(MIN(MAX(ROUND((MAX($A15-Inputs!$B$20,30))/5,0)*5,5),600),Baseline!$A$3:$A$122,0))+(1-Inputs!$B$19)*INDEX(Baseline!$C$3:$C$122,MATCH(MIN(MAX(ROUND((MAX($A15-Inputs!$B$20,30))/5,0)*5,5),600),Baseline!$A$3:$A$122,0)))))</f>
        <v>2.86971</v>
      </c>
      <c r="C15" s="10" t="n">
        <f aca="false">IF($A15&lt;=50,$B15+Inputs!$B$18,IF($A15&lt;=250,MIN((1+(INDEX('Scratch Data'!$H$5:$H$13,MATCH($A15,'Scratch Data'!$G$5:$G$13,1))+($A15-INDEX('Scratch Data'!$G$5:$G$13,MATCH($A15,'Scratch Data'!$G$5:$G$13,1)))*(INDEX('Scratch Data'!$H$5:$H$13,MIN(MATCH($A15,'Scratch Data'!$G$5:$G$13,1)+1,ROWS('Scratch Data'!$G$5:$G$13)))-INDEX('Scratch Data'!$H$5:$H$13,MATCH($A15,'Scratch Data'!$G$5:$G$13,1)))/MAX(INDEX('Scratch Data'!$G$5:$G$13,MIN(MATCH($A15,'Scratch Data'!$G$5:$G$13,1)+1,ROWS('Scratch Data'!$G$5:$G$13)))-INDEX('Scratch Data'!$G$5:$G$13,MATCH($A15,'Scratch Data'!$G$5:$G$13,1)),0.0001))*Inputs!$B$12*INDEX(Baseline!$I$3:$I$102,MIN(MAX(ROUND(Inputs!$B$11*(INDEX('Scratch Data'!$I$5:$I$13,MATCH($A15,'Scratch Data'!$G$5:$G$13,1))+($A15-INDEX('Scratch Data'!$G$5:$G$13,MATCH($A15,'Scratch Data'!$G$5:$G$13,1)))*(INDEX('Scratch Data'!$I$5:$I$13,MIN(MATCH($A15,'Scratch Data'!$G$5:$G$13,1)+1,ROWS('Scratch Data'!$G$5:$G$13)))-INDEX('Scratch Data'!$I$5:$I$13,MATCH($A15,'Scratch Data'!$G$5:$G$13,1)))/MAX(INDEX('Scratch Data'!$G$5:$G$13,MIN(MATCH($A15,'Scratch Data'!$G$5:$G$13,1)+1,ROWS('Scratch Data'!$G$5:$G$13)))-INDEX('Scratch Data'!$G$5:$G$13,MATCH($A15,'Scratch Data'!$G$5:$G$13,1)),0.0001))*Inputs!$B$13,0),1),100))+(1-(INDEX('Scratch Data'!$H$5:$H$13,MATCH($A15,'Scratch Data'!$G$5:$G$13,1))+($A15-INDEX('Scratch Data'!$G$5:$G$13,MATCH($A15,'Scratch Data'!$G$5:$G$13,1)))*(INDEX('Scratch Data'!$H$5:$H$13,MIN(MATCH($A15,'Scratch Data'!$G$5:$G$13,1)+1,ROWS('Scratch Data'!$G$5:$G$13)))-INDEX('Scratch Data'!$H$5:$H$13,MATCH($A15,'Scratch Data'!$G$5:$G$13,1)))/MAX(INDEX('Scratch Data'!$G$5:$G$13,MIN(MATCH($A15,'Scratch Data'!$G$5:$G$13,1)+1,ROWS('Scratch Data'!$G$5:$G$13)))-INDEX('Scratch Data'!$G$5:$G$13,MATCH($A15,'Scratch Data'!$G$5:$G$13,1)),0.0001))*Inputs!$B$12)*((INDEX('Scratch Data'!$J$5:$J$13,MATCH($A15,'Scratch Data'!$G$5:$G$13,1))+($A15-INDEX('Scratch Data'!$G$5:$G$13,MATCH($A15,'Scratch Data'!$G$5:$G$13,1)))*(INDEX('Scratch Data'!$J$5:$J$13,MIN(MATCH($A15,'Scratch Data'!$G$5:$G$13,1)+1,ROWS('Scratch Data'!$G$5:$G$13)))-INDEX('Scratch Data'!$J$5:$J$13,MATCH($A15,'Scratch Data'!$G$5:$G$13,1)))/MAX(INDEX('Scratch Data'!$G$5:$G$13,MIN(MATCH($A15,'Scratch Data'!$G$5:$G$13,1)+1,ROWS('Scratch Data'!$G$5:$G$13)))-INDEX('Scratch Data'!$G$5:$G$13,MATCH($A15,'Scratch Data'!$G$5:$G$13,1)),0.0001))+Inputs!$B$14)),(1+Inputs!$B$19*INDEX(Baseline!$B$3:$B$122,MATCH(MIN(MAX(ROUND((MAX($A15-Inputs!$B$21,30))/5,0)*5,5),600),Baseline!$A$3:$A$122,0))+(1-Inputs!$B$19)*INDEX(Baseline!$C$3:$C$122,MATCH(MIN(MAX(ROUND((MAX($A15-Inputs!$B$21,30))/5,0)*5,5),600),Baseline!$A$3:$A$122,0))+Inputs!$B$14)),(1+Inputs!$B$19*INDEX(Baseline!$B$3:$B$122,MATCH(MIN(MAX(ROUND((MAX($A15-Inputs!$B$21,30))/5,0)*5,5),600),Baseline!$A$3:$A$122,0))+(1-Inputs!$B$19)*INDEX(Baseline!$C$3:$C$122,MATCH(MIN(MAX(ROUND((MAX($A15-Inputs!$B$21,30))/5,0)*5,5),600),Baseline!$A$3:$A$122,0))+Inputs!$B$14)))</f>
        <v>3.08464533333333</v>
      </c>
      <c r="D15" s="10" t="n">
        <f aca="false">IF($A15&lt;=50,(INDEX('Scratch Data'!$P$5:$P$11,MATCH($A15,'Scratch Data'!$O$5:$O$11,1))+($A15-INDEX('Scratch Data'!$O$5:$O$11,MATCH($A15,'Scratch Data'!$O$5:$O$11,1)))*(INDEX('Scratch Data'!$P$5:$P$11,MIN(MATCH($A15,'Scratch Data'!$O$5:$O$11,1)+1,ROWS('Scratch Data'!$O$5:$O$11)))-INDEX('Scratch Data'!$P$5:$P$11,MATCH($A15,'Scratch Data'!$O$5:$O$11,1)))/MAX(INDEX('Scratch Data'!$O$5:$O$11,MIN(MATCH($A15,'Scratch Data'!$O$5:$O$11,1)+1,ROWS('Scratch Data'!$O$5:$O$11)))-INDEX('Scratch Data'!$O$5:$O$11,MATCH($A15,'Scratch Data'!$O$5:$O$11,1)),0.0001)),IF($A15&lt;=250,MIN((1+(INDEX('Scratch Data'!$H$5:$H$13,MATCH($A15,'Scratch Data'!$G$5:$G$13,1))+($A15-INDEX('Scratch Data'!$G$5:$G$13,MATCH($A15,'Scratch Data'!$G$5:$G$13,1)))*(INDEX('Scratch Data'!$H$5:$H$13,MIN(MATCH($A15,'Scratch Data'!$G$5:$G$13,1)+1,ROWS('Scratch Data'!$G$5:$G$13)))-INDEX('Scratch Data'!$H$5:$H$13,MATCH($A15,'Scratch Data'!$G$5:$G$13,1)))/MAX(INDEX('Scratch Data'!$G$5:$G$13,MIN(MATCH($A15,'Scratch Data'!$G$5:$G$13,1)+1,ROWS('Scratch Data'!$G$5:$G$13)))-INDEX('Scratch Data'!$G$5:$G$13,MATCH($A15,'Scratch Data'!$G$5:$G$13,1)),0.0001))*Inputs!$B$15*INDEX(Baseline!$I$3:$I$102,MIN(MAX(ROUND(Inputs!$B$11*(INDEX('Scratch Data'!$I$5:$I$13,MATCH($A15,'Scratch Data'!$G$5:$G$13,1))+($A15-INDEX('Scratch Data'!$G$5:$G$13,MATCH($A15,'Scratch Data'!$G$5:$G$13,1)))*(INDEX('Scratch Data'!$I$5:$I$13,MIN(MATCH($A15,'Scratch Data'!$G$5:$G$13,1)+1,ROWS('Scratch Data'!$G$5:$G$13)))-INDEX('Scratch Data'!$I$5:$I$13,MATCH($A15,'Scratch Data'!$G$5:$G$13,1)))/MAX(INDEX('Scratch Data'!$G$5:$G$13,MIN(MATCH($A15,'Scratch Data'!$G$5:$G$13,1)+1,ROWS('Scratch Data'!$G$5:$G$13)))-INDEX('Scratch Data'!$G$5:$G$13,MATCH($A15,'Scratch Data'!$G$5:$G$13,1)),0.0001))*Inputs!$B$16,0),1),100))+(1-(INDEX('Scratch Data'!$H$5:$H$13,MATCH($A15,'Scratch Data'!$G$5:$G$13,1))+($A15-INDEX('Scratch Data'!$G$5:$G$13,MATCH($A15,'Scratch Data'!$G$5:$G$13,1)))*(INDEX('Scratch Data'!$H$5:$H$13,MIN(MATCH($A15,'Scratch Data'!$G$5:$G$13,1)+1,ROWS('Scratch Data'!$G$5:$G$13)))-INDEX('Scratch Data'!$H$5:$H$13,MATCH($A15,'Scratch Data'!$G$5:$G$13,1)))/MAX(INDEX('Scratch Data'!$G$5:$G$13,MIN(MATCH($A15,'Scratch Data'!$G$5:$G$13,1)+1,ROWS('Scratch Data'!$G$5:$G$13)))-INDEX('Scratch Data'!$G$5:$G$13,MATCH($A15,'Scratch Data'!$G$5:$G$13,1)),0.0001))*Inputs!$B$15)*((INDEX('Scratch Data'!$J$5:$J$13,MATCH($A15,'Scratch Data'!$G$5:$G$13,1))+($A15-INDEX('Scratch Data'!$G$5:$G$13,MATCH($A15,'Scratch Data'!$G$5:$G$13,1)))*(INDEX('Scratch Data'!$J$5:$J$13,MIN(MATCH($A15,'Scratch Data'!$G$5:$G$13,1)+1,ROWS('Scratch Data'!$G$5:$G$13)))-INDEX('Scratch Data'!$J$5:$J$13,MATCH($A15,'Scratch Data'!$G$5:$G$13,1)))/MAX(INDEX('Scratch Data'!$G$5:$G$13,MIN(MATCH($A15,'Scratch Data'!$G$5:$G$13,1)+1,ROWS('Scratch Data'!$G$5:$G$13)))-INDEX('Scratch Data'!$G$5:$G$13,MATCH($A15,'Scratch Data'!$G$5:$G$13,1)),0.0001))+Inputs!$B$17)),(1+Inputs!$B$19*INDEX(Baseline!$B$3:$B$122,MATCH(MIN(MAX(ROUND((MAX($A15-Inputs!$B$22,30))/5,0)*5,5),600),Baseline!$A$3:$A$122,0))+(1-Inputs!$B$19)*INDEX(Baseline!$C$3:$C$122,MATCH(MIN(MAX(ROUND((MAX($A15-Inputs!$B$22,30))/5,0)*5,5),600),Baseline!$A$3:$A$122,0))+Inputs!$B$17)),(1+Inputs!$B$19*INDEX(Baseline!$B$3:$B$122,MATCH(MIN(MAX(ROUND((MAX($A15-Inputs!$B$22,30))/5,0)*5,5),600),Baseline!$A$3:$A$122,0))+(1-Inputs!$B$19)*INDEX(Baseline!$C$3:$C$122,MATCH(MIN(MAX(ROUND((MAX($A15-Inputs!$B$22,30))/5,0)*5,5),600),Baseline!$A$3:$A$122,0))+Inputs!$B$17)))</f>
        <v>3.22522433333333</v>
      </c>
      <c r="E15" s="10" t="n">
        <f aca="false">1+Inputs!$B$24+0.6*INDEX(Baseline!$B$3:$B$122,MATCH(MIN(MAX(ROUND((MAX($A15-Inputs!$B$23,15))/5,0)*5,5),600),Baseline!$A$3:$A$122,0))+0.4*INDEX(Baseline!$C$3:$C$122,MATCH(MIN(MAX(ROUND((MAX($A15-Inputs!$B$23,15))/5,0)*5,5),600),Baseline!$A$3:$A$122,0))</f>
        <v>3.56</v>
      </c>
      <c r="H15" s="7" t="n">
        <v>13</v>
      </c>
      <c r="I15" s="10" t="n">
        <f aca="false">(INDEX('Scratch Data'!$E$5:$E$22,MATCH($H15,'Scratch Data'!$A$5:$A$22,1))+($H15-INDEX('Scratch Data'!$A$5:$A$22,MATCH($H15,'Scratch Data'!$A$5:$A$22,1)))*(INDEX('Scratch Data'!$E$5:$E$22,MIN(MATCH($H15,'Scratch Data'!$A$5:$A$22,1)+1,ROWS('Scratch Data'!$A$5:$A$22)))-INDEX('Scratch Data'!$E$5:$E$22,MATCH($H15,'Scratch Data'!$A$5:$A$22,1)))/MAX(INDEX('Scratch Data'!$A$5:$A$22,MIN(MATCH($H15,'Scratch Data'!$A$5:$A$22,1)+1,ROWS('Scratch Data'!$A$5:$A$22)))-INDEX('Scratch Data'!$A$5:$A$22,MATCH($H15,'Scratch Data'!$A$5:$A$22,1)),0.0001))</f>
        <v>1.75666666666667</v>
      </c>
    </row>
    <row r="16" customFormat="false" ht="15" hidden="false" customHeight="false" outlineLevel="0" collapsed="false">
      <c r="A16" s="7" t="n">
        <v>70</v>
      </c>
      <c r="B16" s="10" t="n">
        <f aca="false">IF($A16&lt;=50,(INDEX('Scratch Data'!$M$5:$M$12,MATCH($A16,'Scratch Data'!$L$5:$L$12,1))+($A16-INDEX('Scratch Data'!$L$5:$L$12,MATCH($A16,'Scratch Data'!$L$5:$L$12,1)))*(INDEX('Scratch Data'!$M$5:$M$12,MIN(MATCH($A16,'Scratch Data'!$L$5:$L$12,1)+1,ROWS('Scratch Data'!$L$5:$L$12)))-INDEX('Scratch Data'!$M$5:$M$12,MATCH($A16,'Scratch Data'!$L$5:$L$12,1)))/MAX(INDEX('Scratch Data'!$L$5:$L$12,MIN(MATCH($A16,'Scratch Data'!$L$5:$L$12,1)+1,ROWS('Scratch Data'!$L$5:$L$12)))-INDEX('Scratch Data'!$L$5:$L$12,MATCH($A16,'Scratch Data'!$L$5:$L$12,1)),0.0001)),IF($A16&lt;=250,MIN((1+(INDEX('Scratch Data'!$H$5:$H$13,MATCH($A16,'Scratch Data'!$G$5:$G$13,1))+($A16-INDEX('Scratch Data'!$G$5:$G$13,MATCH($A16,'Scratch Data'!$G$5:$G$13,1)))*(INDEX('Scratch Data'!$H$5:$H$13,MIN(MATCH($A16,'Scratch Data'!$G$5:$G$13,1)+1,ROWS('Scratch Data'!$G$5:$G$13)))-INDEX('Scratch Data'!$H$5:$H$13,MATCH($A16,'Scratch Data'!$G$5:$G$13,1)))/MAX(INDEX('Scratch Data'!$G$5:$G$13,MIN(MATCH($A16,'Scratch Data'!$G$5:$G$13,1)+1,ROWS('Scratch Data'!$G$5:$G$13)))-INDEX('Scratch Data'!$G$5:$G$13,MATCH($A16,'Scratch Data'!$G$5:$G$13,1)),0.0001))*INDEX(Baseline!$I$3:$I$102,MIN(MAX(ROUND(Inputs!$B$11*(INDEX('Scratch Data'!$I$5:$I$13,MATCH($A16,'Scratch Data'!$G$5:$G$13,1))+($A16-INDEX('Scratch Data'!$G$5:$G$13,MATCH($A16,'Scratch Data'!$G$5:$G$13,1)))*(INDEX('Scratch Data'!$I$5:$I$13,MIN(MATCH($A16,'Scratch Data'!$G$5:$G$13,1)+1,ROWS('Scratch Data'!$G$5:$G$13)))-INDEX('Scratch Data'!$I$5:$I$13,MATCH($A16,'Scratch Data'!$G$5:$G$13,1)))/MAX(INDEX('Scratch Data'!$G$5:$G$13,MIN(MATCH($A16,'Scratch Data'!$G$5:$G$13,1)+1,ROWS('Scratch Data'!$G$5:$G$13)))-INDEX('Scratch Data'!$G$5:$G$13,MATCH($A16,'Scratch Data'!$G$5:$G$13,1)),0.0001)),0),1),100))+(1-(INDEX('Scratch Data'!$H$5:$H$13,MATCH($A16,'Scratch Data'!$G$5:$G$13,1))+($A16-INDEX('Scratch Data'!$G$5:$G$13,MATCH($A16,'Scratch Data'!$G$5:$G$13,1)))*(INDEX('Scratch Data'!$H$5:$H$13,MIN(MATCH($A16,'Scratch Data'!$G$5:$G$13,1)+1,ROWS('Scratch Data'!$G$5:$G$13)))-INDEX('Scratch Data'!$H$5:$H$13,MATCH($A16,'Scratch Data'!$G$5:$G$13,1)))/MAX(INDEX('Scratch Data'!$G$5:$G$13,MIN(MATCH($A16,'Scratch Data'!$G$5:$G$13,1)+1,ROWS('Scratch Data'!$G$5:$G$13)))-INDEX('Scratch Data'!$G$5:$G$13,MATCH($A16,'Scratch Data'!$G$5:$G$13,1)),0.0001)))*(INDEX('Scratch Data'!$J$5:$J$13,MATCH($A16,'Scratch Data'!$G$5:$G$13,1))+($A16-INDEX('Scratch Data'!$G$5:$G$13,MATCH($A16,'Scratch Data'!$G$5:$G$13,1)))*(INDEX('Scratch Data'!$J$5:$J$13,MIN(MATCH($A16,'Scratch Data'!$G$5:$G$13,1)+1,ROWS('Scratch Data'!$G$5:$G$13)))-INDEX('Scratch Data'!$J$5:$J$13,MATCH($A16,'Scratch Data'!$G$5:$G$13,1)))/MAX(INDEX('Scratch Data'!$G$5:$G$13,MIN(MATCH($A16,'Scratch Data'!$G$5:$G$13,1)+1,ROWS('Scratch Data'!$G$5:$G$13)))-INDEX('Scratch Data'!$G$5:$G$13,MATCH($A16,'Scratch Data'!$G$5:$G$13,1)),0.0001))),(1+Inputs!$B$19*INDEX(Baseline!$B$3:$B$122,MATCH(MIN(MAX(ROUND((MAX($A16-Inputs!$B$20,30))/5,0)*5,5),600),Baseline!$A$3:$A$122,0))+(1-Inputs!$B$19)*INDEX(Baseline!$C$3:$C$122,MATCH(MIN(MAX(ROUND((MAX($A16-Inputs!$B$20,30))/5,0)*5,5),600),Baseline!$A$3:$A$122,0)))),(1+Inputs!$B$19*INDEX(Baseline!$B$3:$B$122,MATCH(MIN(MAX(ROUND((MAX($A16-Inputs!$B$20,30))/5,0)*5,5),600),Baseline!$A$3:$A$122,0))+(1-Inputs!$B$19)*INDEX(Baseline!$C$3:$C$122,MATCH(MIN(MAX(ROUND((MAX($A16-Inputs!$B$20,30))/5,0)*5,5),600),Baseline!$A$3:$A$122,0)))))</f>
        <v>2.87892</v>
      </c>
      <c r="C16" s="10" t="n">
        <f aca="false">IF($A16&lt;=50,$B16+Inputs!$B$18,IF($A16&lt;=250,MIN((1+(INDEX('Scratch Data'!$H$5:$H$13,MATCH($A16,'Scratch Data'!$G$5:$G$13,1))+($A16-INDEX('Scratch Data'!$G$5:$G$13,MATCH($A16,'Scratch Data'!$G$5:$G$13,1)))*(INDEX('Scratch Data'!$H$5:$H$13,MIN(MATCH($A16,'Scratch Data'!$G$5:$G$13,1)+1,ROWS('Scratch Data'!$G$5:$G$13)))-INDEX('Scratch Data'!$H$5:$H$13,MATCH($A16,'Scratch Data'!$G$5:$G$13,1)))/MAX(INDEX('Scratch Data'!$G$5:$G$13,MIN(MATCH($A16,'Scratch Data'!$G$5:$G$13,1)+1,ROWS('Scratch Data'!$G$5:$G$13)))-INDEX('Scratch Data'!$G$5:$G$13,MATCH($A16,'Scratch Data'!$G$5:$G$13,1)),0.0001))*Inputs!$B$12*INDEX(Baseline!$I$3:$I$102,MIN(MAX(ROUND(Inputs!$B$11*(INDEX('Scratch Data'!$I$5:$I$13,MATCH($A16,'Scratch Data'!$G$5:$G$13,1))+($A16-INDEX('Scratch Data'!$G$5:$G$13,MATCH($A16,'Scratch Data'!$G$5:$G$13,1)))*(INDEX('Scratch Data'!$I$5:$I$13,MIN(MATCH($A16,'Scratch Data'!$G$5:$G$13,1)+1,ROWS('Scratch Data'!$G$5:$G$13)))-INDEX('Scratch Data'!$I$5:$I$13,MATCH($A16,'Scratch Data'!$G$5:$G$13,1)))/MAX(INDEX('Scratch Data'!$G$5:$G$13,MIN(MATCH($A16,'Scratch Data'!$G$5:$G$13,1)+1,ROWS('Scratch Data'!$G$5:$G$13)))-INDEX('Scratch Data'!$G$5:$G$13,MATCH($A16,'Scratch Data'!$G$5:$G$13,1)),0.0001))*Inputs!$B$13,0),1),100))+(1-(INDEX('Scratch Data'!$H$5:$H$13,MATCH($A16,'Scratch Data'!$G$5:$G$13,1))+($A16-INDEX('Scratch Data'!$G$5:$G$13,MATCH($A16,'Scratch Data'!$G$5:$G$13,1)))*(INDEX('Scratch Data'!$H$5:$H$13,MIN(MATCH($A16,'Scratch Data'!$G$5:$G$13,1)+1,ROWS('Scratch Data'!$G$5:$G$13)))-INDEX('Scratch Data'!$H$5:$H$13,MATCH($A16,'Scratch Data'!$G$5:$G$13,1)))/MAX(INDEX('Scratch Data'!$G$5:$G$13,MIN(MATCH($A16,'Scratch Data'!$G$5:$G$13,1)+1,ROWS('Scratch Data'!$G$5:$G$13)))-INDEX('Scratch Data'!$G$5:$G$13,MATCH($A16,'Scratch Data'!$G$5:$G$13,1)),0.0001))*Inputs!$B$12)*((INDEX('Scratch Data'!$J$5:$J$13,MATCH($A16,'Scratch Data'!$G$5:$G$13,1))+($A16-INDEX('Scratch Data'!$G$5:$G$13,MATCH($A16,'Scratch Data'!$G$5:$G$13,1)))*(INDEX('Scratch Data'!$J$5:$J$13,MIN(MATCH($A16,'Scratch Data'!$G$5:$G$13,1)+1,ROWS('Scratch Data'!$G$5:$G$13)))-INDEX('Scratch Data'!$J$5:$J$13,MATCH($A16,'Scratch Data'!$G$5:$G$13,1)))/MAX(INDEX('Scratch Data'!$G$5:$G$13,MIN(MATCH($A16,'Scratch Data'!$G$5:$G$13,1)+1,ROWS('Scratch Data'!$G$5:$G$13)))-INDEX('Scratch Data'!$G$5:$G$13,MATCH($A16,'Scratch Data'!$G$5:$G$13,1)),0.0001))+Inputs!$B$14)),(1+Inputs!$B$19*INDEX(Baseline!$B$3:$B$122,MATCH(MIN(MAX(ROUND((MAX($A16-Inputs!$B$21,30))/5,0)*5,5),600),Baseline!$A$3:$A$122,0))+(1-Inputs!$B$19)*INDEX(Baseline!$C$3:$C$122,MATCH(MIN(MAX(ROUND((MAX($A16-Inputs!$B$21,30))/5,0)*5,5),600),Baseline!$A$3:$A$122,0))+Inputs!$B$14)),(1+Inputs!$B$19*INDEX(Baseline!$B$3:$B$122,MATCH(MIN(MAX(ROUND((MAX($A16-Inputs!$B$21,30))/5,0)*5,5),600),Baseline!$A$3:$A$122,0))+(1-Inputs!$B$19)*INDEX(Baseline!$C$3:$C$122,MATCH(MIN(MAX(ROUND((MAX($A16-Inputs!$B$21,30))/5,0)*5,5),600),Baseline!$A$3:$A$122,0))+Inputs!$B$14)))</f>
        <v>3.09327466666667</v>
      </c>
      <c r="D16" s="10" t="n">
        <f aca="false">IF($A16&lt;=50,(INDEX('Scratch Data'!$P$5:$P$11,MATCH($A16,'Scratch Data'!$O$5:$O$11,1))+($A16-INDEX('Scratch Data'!$O$5:$O$11,MATCH($A16,'Scratch Data'!$O$5:$O$11,1)))*(INDEX('Scratch Data'!$P$5:$P$11,MIN(MATCH($A16,'Scratch Data'!$O$5:$O$11,1)+1,ROWS('Scratch Data'!$O$5:$O$11)))-INDEX('Scratch Data'!$P$5:$P$11,MATCH($A16,'Scratch Data'!$O$5:$O$11,1)))/MAX(INDEX('Scratch Data'!$O$5:$O$11,MIN(MATCH($A16,'Scratch Data'!$O$5:$O$11,1)+1,ROWS('Scratch Data'!$O$5:$O$11)))-INDEX('Scratch Data'!$O$5:$O$11,MATCH($A16,'Scratch Data'!$O$5:$O$11,1)),0.0001)),IF($A16&lt;=250,MIN((1+(INDEX('Scratch Data'!$H$5:$H$13,MATCH($A16,'Scratch Data'!$G$5:$G$13,1))+($A16-INDEX('Scratch Data'!$G$5:$G$13,MATCH($A16,'Scratch Data'!$G$5:$G$13,1)))*(INDEX('Scratch Data'!$H$5:$H$13,MIN(MATCH($A16,'Scratch Data'!$G$5:$G$13,1)+1,ROWS('Scratch Data'!$G$5:$G$13)))-INDEX('Scratch Data'!$H$5:$H$13,MATCH($A16,'Scratch Data'!$G$5:$G$13,1)))/MAX(INDEX('Scratch Data'!$G$5:$G$13,MIN(MATCH($A16,'Scratch Data'!$G$5:$G$13,1)+1,ROWS('Scratch Data'!$G$5:$G$13)))-INDEX('Scratch Data'!$G$5:$G$13,MATCH($A16,'Scratch Data'!$G$5:$G$13,1)),0.0001))*Inputs!$B$15*INDEX(Baseline!$I$3:$I$102,MIN(MAX(ROUND(Inputs!$B$11*(INDEX('Scratch Data'!$I$5:$I$13,MATCH($A16,'Scratch Data'!$G$5:$G$13,1))+($A16-INDEX('Scratch Data'!$G$5:$G$13,MATCH($A16,'Scratch Data'!$G$5:$G$13,1)))*(INDEX('Scratch Data'!$I$5:$I$13,MIN(MATCH($A16,'Scratch Data'!$G$5:$G$13,1)+1,ROWS('Scratch Data'!$G$5:$G$13)))-INDEX('Scratch Data'!$I$5:$I$13,MATCH($A16,'Scratch Data'!$G$5:$G$13,1)))/MAX(INDEX('Scratch Data'!$G$5:$G$13,MIN(MATCH($A16,'Scratch Data'!$G$5:$G$13,1)+1,ROWS('Scratch Data'!$G$5:$G$13)))-INDEX('Scratch Data'!$G$5:$G$13,MATCH($A16,'Scratch Data'!$G$5:$G$13,1)),0.0001))*Inputs!$B$16,0),1),100))+(1-(INDEX('Scratch Data'!$H$5:$H$13,MATCH($A16,'Scratch Data'!$G$5:$G$13,1))+($A16-INDEX('Scratch Data'!$G$5:$G$13,MATCH($A16,'Scratch Data'!$G$5:$G$13,1)))*(INDEX('Scratch Data'!$H$5:$H$13,MIN(MATCH($A16,'Scratch Data'!$G$5:$G$13,1)+1,ROWS('Scratch Data'!$G$5:$G$13)))-INDEX('Scratch Data'!$H$5:$H$13,MATCH($A16,'Scratch Data'!$G$5:$G$13,1)))/MAX(INDEX('Scratch Data'!$G$5:$G$13,MIN(MATCH($A16,'Scratch Data'!$G$5:$G$13,1)+1,ROWS('Scratch Data'!$G$5:$G$13)))-INDEX('Scratch Data'!$G$5:$G$13,MATCH($A16,'Scratch Data'!$G$5:$G$13,1)),0.0001))*Inputs!$B$15)*((INDEX('Scratch Data'!$J$5:$J$13,MATCH($A16,'Scratch Data'!$G$5:$G$13,1))+($A16-INDEX('Scratch Data'!$G$5:$G$13,MATCH($A16,'Scratch Data'!$G$5:$G$13,1)))*(INDEX('Scratch Data'!$J$5:$J$13,MIN(MATCH($A16,'Scratch Data'!$G$5:$G$13,1)+1,ROWS('Scratch Data'!$G$5:$G$13)))-INDEX('Scratch Data'!$J$5:$J$13,MATCH($A16,'Scratch Data'!$G$5:$G$13,1)))/MAX(INDEX('Scratch Data'!$G$5:$G$13,MIN(MATCH($A16,'Scratch Data'!$G$5:$G$13,1)+1,ROWS('Scratch Data'!$G$5:$G$13)))-INDEX('Scratch Data'!$G$5:$G$13,MATCH($A16,'Scratch Data'!$G$5:$G$13,1)),0.0001))+Inputs!$B$17)),(1+Inputs!$B$19*INDEX(Baseline!$B$3:$B$122,MATCH(MIN(MAX(ROUND((MAX($A16-Inputs!$B$22,30))/5,0)*5,5),600),Baseline!$A$3:$A$122,0))+(1-Inputs!$B$19)*INDEX(Baseline!$C$3:$C$122,MATCH(MIN(MAX(ROUND((MAX($A16-Inputs!$B$22,30))/5,0)*5,5),600),Baseline!$A$3:$A$122,0))+Inputs!$B$17)),(1+Inputs!$B$19*INDEX(Baseline!$B$3:$B$122,MATCH(MIN(MAX(ROUND((MAX($A16-Inputs!$B$22,30))/5,0)*5,5),600),Baseline!$A$3:$A$122,0))+(1-Inputs!$B$19)*INDEX(Baseline!$C$3:$C$122,MATCH(MIN(MAX(ROUND((MAX($A16-Inputs!$B$22,30))/5,0)*5,5),600),Baseline!$A$3:$A$122,0))+Inputs!$B$17)))</f>
        <v>3.247184</v>
      </c>
      <c r="E16" s="10" t="n">
        <f aca="false">1+Inputs!$B$24+0.6*INDEX(Baseline!$B$3:$B$122,MATCH(MIN(MAX(ROUND((MAX($A16-Inputs!$B$23,15))/5,0)*5,5),600),Baseline!$A$3:$A$122,0))+0.4*INDEX(Baseline!$C$3:$C$122,MATCH(MIN(MAX(ROUND((MAX($A16-Inputs!$B$23,15))/5,0)*5,5),600),Baseline!$A$3:$A$122,0))</f>
        <v>3.56</v>
      </c>
      <c r="H16" s="7" t="n">
        <v>14</v>
      </c>
      <c r="I16" s="10" t="n">
        <f aca="false">(INDEX('Scratch Data'!$E$5:$E$22,MATCH($H16,'Scratch Data'!$A$5:$A$22,1))+($H16-INDEX('Scratch Data'!$A$5:$A$22,MATCH($H16,'Scratch Data'!$A$5:$A$22,1)))*(INDEX('Scratch Data'!$E$5:$E$22,MIN(MATCH($H16,'Scratch Data'!$A$5:$A$22,1)+1,ROWS('Scratch Data'!$A$5:$A$22)))-INDEX('Scratch Data'!$E$5:$E$22,MATCH($H16,'Scratch Data'!$A$5:$A$22,1)))/MAX(INDEX('Scratch Data'!$A$5:$A$22,MIN(MATCH($H16,'Scratch Data'!$A$5:$A$22,1)+1,ROWS('Scratch Data'!$A$5:$A$22)))-INDEX('Scratch Data'!$A$5:$A$22,MATCH($H16,'Scratch Data'!$A$5:$A$22,1)),0.0001))</f>
        <v>1.78333333333333</v>
      </c>
    </row>
    <row r="17" customFormat="false" ht="15" hidden="false" customHeight="false" outlineLevel="0" collapsed="false">
      <c r="A17" s="7" t="n">
        <v>75</v>
      </c>
      <c r="B17" s="10" t="n">
        <f aca="false">IF($A17&lt;=50,(INDEX('Scratch Data'!$M$5:$M$12,MATCH($A17,'Scratch Data'!$L$5:$L$12,1))+($A17-INDEX('Scratch Data'!$L$5:$L$12,MATCH($A17,'Scratch Data'!$L$5:$L$12,1)))*(INDEX('Scratch Data'!$M$5:$M$12,MIN(MATCH($A17,'Scratch Data'!$L$5:$L$12,1)+1,ROWS('Scratch Data'!$L$5:$L$12)))-INDEX('Scratch Data'!$M$5:$M$12,MATCH($A17,'Scratch Data'!$L$5:$L$12,1)))/MAX(INDEX('Scratch Data'!$L$5:$L$12,MIN(MATCH($A17,'Scratch Data'!$L$5:$L$12,1)+1,ROWS('Scratch Data'!$L$5:$L$12)))-INDEX('Scratch Data'!$L$5:$L$12,MATCH($A17,'Scratch Data'!$L$5:$L$12,1)),0.0001)),IF($A17&lt;=250,MIN((1+(INDEX('Scratch Data'!$H$5:$H$13,MATCH($A17,'Scratch Data'!$G$5:$G$13,1))+($A17-INDEX('Scratch Data'!$G$5:$G$13,MATCH($A17,'Scratch Data'!$G$5:$G$13,1)))*(INDEX('Scratch Data'!$H$5:$H$13,MIN(MATCH($A17,'Scratch Data'!$G$5:$G$13,1)+1,ROWS('Scratch Data'!$G$5:$G$13)))-INDEX('Scratch Data'!$H$5:$H$13,MATCH($A17,'Scratch Data'!$G$5:$G$13,1)))/MAX(INDEX('Scratch Data'!$G$5:$G$13,MIN(MATCH($A17,'Scratch Data'!$G$5:$G$13,1)+1,ROWS('Scratch Data'!$G$5:$G$13)))-INDEX('Scratch Data'!$G$5:$G$13,MATCH($A17,'Scratch Data'!$G$5:$G$13,1)),0.0001))*INDEX(Baseline!$I$3:$I$102,MIN(MAX(ROUND(Inputs!$B$11*(INDEX('Scratch Data'!$I$5:$I$13,MATCH($A17,'Scratch Data'!$G$5:$G$13,1))+($A17-INDEX('Scratch Data'!$G$5:$G$13,MATCH($A17,'Scratch Data'!$G$5:$G$13,1)))*(INDEX('Scratch Data'!$I$5:$I$13,MIN(MATCH($A17,'Scratch Data'!$G$5:$G$13,1)+1,ROWS('Scratch Data'!$G$5:$G$13)))-INDEX('Scratch Data'!$I$5:$I$13,MATCH($A17,'Scratch Data'!$G$5:$G$13,1)))/MAX(INDEX('Scratch Data'!$G$5:$G$13,MIN(MATCH($A17,'Scratch Data'!$G$5:$G$13,1)+1,ROWS('Scratch Data'!$G$5:$G$13)))-INDEX('Scratch Data'!$G$5:$G$13,MATCH($A17,'Scratch Data'!$G$5:$G$13,1)),0.0001)),0),1),100))+(1-(INDEX('Scratch Data'!$H$5:$H$13,MATCH($A17,'Scratch Data'!$G$5:$G$13,1))+($A17-INDEX('Scratch Data'!$G$5:$G$13,MATCH($A17,'Scratch Data'!$G$5:$G$13,1)))*(INDEX('Scratch Data'!$H$5:$H$13,MIN(MATCH($A17,'Scratch Data'!$G$5:$G$13,1)+1,ROWS('Scratch Data'!$G$5:$G$13)))-INDEX('Scratch Data'!$H$5:$H$13,MATCH($A17,'Scratch Data'!$G$5:$G$13,1)))/MAX(INDEX('Scratch Data'!$G$5:$G$13,MIN(MATCH($A17,'Scratch Data'!$G$5:$G$13,1)+1,ROWS('Scratch Data'!$G$5:$G$13)))-INDEX('Scratch Data'!$G$5:$G$13,MATCH($A17,'Scratch Data'!$G$5:$G$13,1)),0.0001)))*(INDEX('Scratch Data'!$J$5:$J$13,MATCH($A17,'Scratch Data'!$G$5:$G$13,1))+($A17-INDEX('Scratch Data'!$G$5:$G$13,MATCH($A17,'Scratch Data'!$G$5:$G$13,1)))*(INDEX('Scratch Data'!$J$5:$J$13,MIN(MATCH($A17,'Scratch Data'!$G$5:$G$13,1)+1,ROWS('Scratch Data'!$G$5:$G$13)))-INDEX('Scratch Data'!$J$5:$J$13,MATCH($A17,'Scratch Data'!$G$5:$G$13,1)))/MAX(INDEX('Scratch Data'!$G$5:$G$13,MIN(MATCH($A17,'Scratch Data'!$G$5:$G$13,1)+1,ROWS('Scratch Data'!$G$5:$G$13)))-INDEX('Scratch Data'!$G$5:$G$13,MATCH($A17,'Scratch Data'!$G$5:$G$13,1)),0.0001))),(1+Inputs!$B$19*INDEX(Baseline!$B$3:$B$122,MATCH(MIN(MAX(ROUND((MAX($A17-Inputs!$B$20,30))/5,0)*5,5),600),Baseline!$A$3:$A$122,0))+(1-Inputs!$B$19)*INDEX(Baseline!$C$3:$C$122,MATCH(MIN(MAX(ROUND((MAX($A17-Inputs!$B$20,30))/5,0)*5,5),600),Baseline!$A$3:$A$122,0)))),(1+Inputs!$B$19*INDEX(Baseline!$B$3:$B$122,MATCH(MIN(MAX(ROUND((MAX($A17-Inputs!$B$20,30))/5,0)*5,5),600),Baseline!$A$3:$A$122,0))+(1-Inputs!$B$19)*INDEX(Baseline!$C$3:$C$122,MATCH(MIN(MAX(ROUND((MAX($A17-Inputs!$B$20,30))/5,0)*5,5),600),Baseline!$A$3:$A$122,0)))))</f>
        <v>2.9175</v>
      </c>
      <c r="C17" s="10" t="n">
        <f aca="false">IF($A17&lt;=50,$B17+Inputs!$B$18,IF($A17&lt;=250,MIN((1+(INDEX('Scratch Data'!$H$5:$H$13,MATCH($A17,'Scratch Data'!$G$5:$G$13,1))+($A17-INDEX('Scratch Data'!$G$5:$G$13,MATCH($A17,'Scratch Data'!$G$5:$G$13,1)))*(INDEX('Scratch Data'!$H$5:$H$13,MIN(MATCH($A17,'Scratch Data'!$G$5:$G$13,1)+1,ROWS('Scratch Data'!$G$5:$G$13)))-INDEX('Scratch Data'!$H$5:$H$13,MATCH($A17,'Scratch Data'!$G$5:$G$13,1)))/MAX(INDEX('Scratch Data'!$G$5:$G$13,MIN(MATCH($A17,'Scratch Data'!$G$5:$G$13,1)+1,ROWS('Scratch Data'!$G$5:$G$13)))-INDEX('Scratch Data'!$G$5:$G$13,MATCH($A17,'Scratch Data'!$G$5:$G$13,1)),0.0001))*Inputs!$B$12*INDEX(Baseline!$I$3:$I$102,MIN(MAX(ROUND(Inputs!$B$11*(INDEX('Scratch Data'!$I$5:$I$13,MATCH($A17,'Scratch Data'!$G$5:$G$13,1))+($A17-INDEX('Scratch Data'!$G$5:$G$13,MATCH($A17,'Scratch Data'!$G$5:$G$13,1)))*(INDEX('Scratch Data'!$I$5:$I$13,MIN(MATCH($A17,'Scratch Data'!$G$5:$G$13,1)+1,ROWS('Scratch Data'!$G$5:$G$13)))-INDEX('Scratch Data'!$I$5:$I$13,MATCH($A17,'Scratch Data'!$G$5:$G$13,1)))/MAX(INDEX('Scratch Data'!$G$5:$G$13,MIN(MATCH($A17,'Scratch Data'!$G$5:$G$13,1)+1,ROWS('Scratch Data'!$G$5:$G$13)))-INDEX('Scratch Data'!$G$5:$G$13,MATCH($A17,'Scratch Data'!$G$5:$G$13,1)),0.0001))*Inputs!$B$13,0),1),100))+(1-(INDEX('Scratch Data'!$H$5:$H$13,MATCH($A17,'Scratch Data'!$G$5:$G$13,1))+($A17-INDEX('Scratch Data'!$G$5:$G$13,MATCH($A17,'Scratch Data'!$G$5:$G$13,1)))*(INDEX('Scratch Data'!$H$5:$H$13,MIN(MATCH($A17,'Scratch Data'!$G$5:$G$13,1)+1,ROWS('Scratch Data'!$G$5:$G$13)))-INDEX('Scratch Data'!$H$5:$H$13,MATCH($A17,'Scratch Data'!$G$5:$G$13,1)))/MAX(INDEX('Scratch Data'!$G$5:$G$13,MIN(MATCH($A17,'Scratch Data'!$G$5:$G$13,1)+1,ROWS('Scratch Data'!$G$5:$G$13)))-INDEX('Scratch Data'!$G$5:$G$13,MATCH($A17,'Scratch Data'!$G$5:$G$13,1)),0.0001))*Inputs!$B$12)*((INDEX('Scratch Data'!$J$5:$J$13,MATCH($A17,'Scratch Data'!$G$5:$G$13,1))+($A17-INDEX('Scratch Data'!$G$5:$G$13,MATCH($A17,'Scratch Data'!$G$5:$G$13,1)))*(INDEX('Scratch Data'!$J$5:$J$13,MIN(MATCH($A17,'Scratch Data'!$G$5:$G$13,1)+1,ROWS('Scratch Data'!$G$5:$G$13)))-INDEX('Scratch Data'!$J$5:$J$13,MATCH($A17,'Scratch Data'!$G$5:$G$13,1)))/MAX(INDEX('Scratch Data'!$G$5:$G$13,MIN(MATCH($A17,'Scratch Data'!$G$5:$G$13,1)+1,ROWS('Scratch Data'!$G$5:$G$13)))-INDEX('Scratch Data'!$G$5:$G$13,MATCH($A17,'Scratch Data'!$G$5:$G$13,1)),0.0001))+Inputs!$B$14)),(1+Inputs!$B$19*INDEX(Baseline!$B$3:$B$122,MATCH(MIN(MAX(ROUND((MAX($A17-Inputs!$B$21,30))/5,0)*5,5),600),Baseline!$A$3:$A$122,0))+(1-Inputs!$B$19)*INDEX(Baseline!$C$3:$C$122,MATCH(MIN(MAX(ROUND((MAX($A17-Inputs!$B$21,30))/5,0)*5,5),600),Baseline!$A$3:$A$122,0))+Inputs!$B$14)),(1+Inputs!$B$19*INDEX(Baseline!$B$3:$B$122,MATCH(MIN(MAX(ROUND((MAX($A17-Inputs!$B$21,30))/5,0)*5,5),600),Baseline!$A$3:$A$122,0))+(1-Inputs!$B$19)*INDEX(Baseline!$C$3:$C$122,MATCH(MIN(MAX(ROUND((MAX($A17-Inputs!$B$21,30))/5,0)*5,5),600),Baseline!$A$3:$A$122,0))+Inputs!$B$14)))</f>
        <v>3.118</v>
      </c>
      <c r="D17" s="10" t="n">
        <f aca="false">IF($A17&lt;=50,(INDEX('Scratch Data'!$P$5:$P$11,MATCH($A17,'Scratch Data'!$O$5:$O$11,1))+($A17-INDEX('Scratch Data'!$O$5:$O$11,MATCH($A17,'Scratch Data'!$O$5:$O$11,1)))*(INDEX('Scratch Data'!$P$5:$P$11,MIN(MATCH($A17,'Scratch Data'!$O$5:$O$11,1)+1,ROWS('Scratch Data'!$O$5:$O$11)))-INDEX('Scratch Data'!$P$5:$P$11,MATCH($A17,'Scratch Data'!$O$5:$O$11,1)))/MAX(INDEX('Scratch Data'!$O$5:$O$11,MIN(MATCH($A17,'Scratch Data'!$O$5:$O$11,1)+1,ROWS('Scratch Data'!$O$5:$O$11)))-INDEX('Scratch Data'!$O$5:$O$11,MATCH($A17,'Scratch Data'!$O$5:$O$11,1)),0.0001)),IF($A17&lt;=250,MIN((1+(INDEX('Scratch Data'!$H$5:$H$13,MATCH($A17,'Scratch Data'!$G$5:$G$13,1))+($A17-INDEX('Scratch Data'!$G$5:$G$13,MATCH($A17,'Scratch Data'!$G$5:$G$13,1)))*(INDEX('Scratch Data'!$H$5:$H$13,MIN(MATCH($A17,'Scratch Data'!$G$5:$G$13,1)+1,ROWS('Scratch Data'!$G$5:$G$13)))-INDEX('Scratch Data'!$H$5:$H$13,MATCH($A17,'Scratch Data'!$G$5:$G$13,1)))/MAX(INDEX('Scratch Data'!$G$5:$G$13,MIN(MATCH($A17,'Scratch Data'!$G$5:$G$13,1)+1,ROWS('Scratch Data'!$G$5:$G$13)))-INDEX('Scratch Data'!$G$5:$G$13,MATCH($A17,'Scratch Data'!$G$5:$G$13,1)),0.0001))*Inputs!$B$15*INDEX(Baseline!$I$3:$I$102,MIN(MAX(ROUND(Inputs!$B$11*(INDEX('Scratch Data'!$I$5:$I$13,MATCH($A17,'Scratch Data'!$G$5:$G$13,1))+($A17-INDEX('Scratch Data'!$G$5:$G$13,MATCH($A17,'Scratch Data'!$G$5:$G$13,1)))*(INDEX('Scratch Data'!$I$5:$I$13,MIN(MATCH($A17,'Scratch Data'!$G$5:$G$13,1)+1,ROWS('Scratch Data'!$G$5:$G$13)))-INDEX('Scratch Data'!$I$5:$I$13,MATCH($A17,'Scratch Data'!$G$5:$G$13,1)))/MAX(INDEX('Scratch Data'!$G$5:$G$13,MIN(MATCH($A17,'Scratch Data'!$G$5:$G$13,1)+1,ROWS('Scratch Data'!$G$5:$G$13)))-INDEX('Scratch Data'!$G$5:$G$13,MATCH($A17,'Scratch Data'!$G$5:$G$13,1)),0.0001))*Inputs!$B$16,0),1),100))+(1-(INDEX('Scratch Data'!$H$5:$H$13,MATCH($A17,'Scratch Data'!$G$5:$G$13,1))+($A17-INDEX('Scratch Data'!$G$5:$G$13,MATCH($A17,'Scratch Data'!$G$5:$G$13,1)))*(INDEX('Scratch Data'!$H$5:$H$13,MIN(MATCH($A17,'Scratch Data'!$G$5:$G$13,1)+1,ROWS('Scratch Data'!$G$5:$G$13)))-INDEX('Scratch Data'!$H$5:$H$13,MATCH($A17,'Scratch Data'!$G$5:$G$13,1)))/MAX(INDEX('Scratch Data'!$G$5:$G$13,MIN(MATCH($A17,'Scratch Data'!$G$5:$G$13,1)+1,ROWS('Scratch Data'!$G$5:$G$13)))-INDEX('Scratch Data'!$G$5:$G$13,MATCH($A17,'Scratch Data'!$G$5:$G$13,1)),0.0001))*Inputs!$B$15)*((INDEX('Scratch Data'!$J$5:$J$13,MATCH($A17,'Scratch Data'!$G$5:$G$13,1))+($A17-INDEX('Scratch Data'!$G$5:$G$13,MATCH($A17,'Scratch Data'!$G$5:$G$13,1)))*(INDEX('Scratch Data'!$J$5:$J$13,MIN(MATCH($A17,'Scratch Data'!$G$5:$G$13,1)+1,ROWS('Scratch Data'!$G$5:$G$13)))-INDEX('Scratch Data'!$J$5:$J$13,MATCH($A17,'Scratch Data'!$G$5:$G$13,1)))/MAX(INDEX('Scratch Data'!$G$5:$G$13,MIN(MATCH($A17,'Scratch Data'!$G$5:$G$13,1)+1,ROWS('Scratch Data'!$G$5:$G$13)))-INDEX('Scratch Data'!$G$5:$G$13,MATCH($A17,'Scratch Data'!$G$5:$G$13,1)),0.0001))+Inputs!$B$17)),(1+Inputs!$B$19*INDEX(Baseline!$B$3:$B$122,MATCH(MIN(MAX(ROUND((MAX($A17-Inputs!$B$22,30))/5,0)*5,5),600),Baseline!$A$3:$A$122,0))+(1-Inputs!$B$19)*INDEX(Baseline!$C$3:$C$122,MATCH(MIN(MAX(ROUND((MAX($A17-Inputs!$B$22,30))/5,0)*5,5),600),Baseline!$A$3:$A$122,0))+Inputs!$B$17)),(1+Inputs!$B$19*INDEX(Baseline!$B$3:$B$122,MATCH(MIN(MAX(ROUND((MAX($A17-Inputs!$B$22,30))/5,0)*5,5),600),Baseline!$A$3:$A$122,0))+(1-Inputs!$B$19)*INDEX(Baseline!$C$3:$C$122,MATCH(MIN(MAX(ROUND((MAX($A17-Inputs!$B$22,30))/5,0)*5,5),600),Baseline!$A$3:$A$122,0))+Inputs!$B$17)))</f>
        <v>3.255875</v>
      </c>
      <c r="E17" s="10" t="n">
        <f aca="false">1+Inputs!$B$24+0.6*INDEX(Baseline!$B$3:$B$122,MATCH(MIN(MAX(ROUND((MAX($A17-Inputs!$B$23,15))/5,0)*5,5),600),Baseline!$A$3:$A$122,0))+0.4*INDEX(Baseline!$C$3:$C$122,MATCH(MIN(MAX(ROUND((MAX($A17-Inputs!$B$23,15))/5,0)*5,5),600),Baseline!$A$3:$A$122,0))</f>
        <v>3.56</v>
      </c>
      <c r="H17" s="7" t="n">
        <v>15</v>
      </c>
      <c r="I17" s="10" t="n">
        <f aca="false">(INDEX('Scratch Data'!$E$5:$E$22,MATCH($H17,'Scratch Data'!$A$5:$A$22,1))+($H17-INDEX('Scratch Data'!$A$5:$A$22,MATCH($H17,'Scratch Data'!$A$5:$A$22,1)))*(INDEX('Scratch Data'!$E$5:$E$22,MIN(MATCH($H17,'Scratch Data'!$A$5:$A$22,1)+1,ROWS('Scratch Data'!$A$5:$A$22)))-INDEX('Scratch Data'!$E$5:$E$22,MATCH($H17,'Scratch Data'!$A$5:$A$22,1)))/MAX(INDEX('Scratch Data'!$A$5:$A$22,MIN(MATCH($H17,'Scratch Data'!$A$5:$A$22,1)+1,ROWS('Scratch Data'!$A$5:$A$22)))-INDEX('Scratch Data'!$A$5:$A$22,MATCH($H17,'Scratch Data'!$A$5:$A$22,1)),0.0001))</f>
        <v>1.81</v>
      </c>
    </row>
    <row r="18" customFormat="false" ht="15" hidden="false" customHeight="false" outlineLevel="0" collapsed="false">
      <c r="A18" s="7" t="n">
        <v>80</v>
      </c>
      <c r="B18" s="10" t="n">
        <f aca="false">IF($A18&lt;=50,(INDEX('Scratch Data'!$M$5:$M$12,MATCH($A18,'Scratch Data'!$L$5:$L$12,1))+($A18-INDEX('Scratch Data'!$L$5:$L$12,MATCH($A18,'Scratch Data'!$L$5:$L$12,1)))*(INDEX('Scratch Data'!$M$5:$M$12,MIN(MATCH($A18,'Scratch Data'!$L$5:$L$12,1)+1,ROWS('Scratch Data'!$L$5:$L$12)))-INDEX('Scratch Data'!$M$5:$M$12,MATCH($A18,'Scratch Data'!$L$5:$L$12,1)))/MAX(INDEX('Scratch Data'!$L$5:$L$12,MIN(MATCH($A18,'Scratch Data'!$L$5:$L$12,1)+1,ROWS('Scratch Data'!$L$5:$L$12)))-INDEX('Scratch Data'!$L$5:$L$12,MATCH($A18,'Scratch Data'!$L$5:$L$12,1)),0.0001)),IF($A18&lt;=250,MIN((1+(INDEX('Scratch Data'!$H$5:$H$13,MATCH($A18,'Scratch Data'!$G$5:$G$13,1))+($A18-INDEX('Scratch Data'!$G$5:$G$13,MATCH($A18,'Scratch Data'!$G$5:$G$13,1)))*(INDEX('Scratch Data'!$H$5:$H$13,MIN(MATCH($A18,'Scratch Data'!$G$5:$G$13,1)+1,ROWS('Scratch Data'!$G$5:$G$13)))-INDEX('Scratch Data'!$H$5:$H$13,MATCH($A18,'Scratch Data'!$G$5:$G$13,1)))/MAX(INDEX('Scratch Data'!$G$5:$G$13,MIN(MATCH($A18,'Scratch Data'!$G$5:$G$13,1)+1,ROWS('Scratch Data'!$G$5:$G$13)))-INDEX('Scratch Data'!$G$5:$G$13,MATCH($A18,'Scratch Data'!$G$5:$G$13,1)),0.0001))*INDEX(Baseline!$I$3:$I$102,MIN(MAX(ROUND(Inputs!$B$11*(INDEX('Scratch Data'!$I$5:$I$13,MATCH($A18,'Scratch Data'!$G$5:$G$13,1))+($A18-INDEX('Scratch Data'!$G$5:$G$13,MATCH($A18,'Scratch Data'!$G$5:$G$13,1)))*(INDEX('Scratch Data'!$I$5:$I$13,MIN(MATCH($A18,'Scratch Data'!$G$5:$G$13,1)+1,ROWS('Scratch Data'!$G$5:$G$13)))-INDEX('Scratch Data'!$I$5:$I$13,MATCH($A18,'Scratch Data'!$G$5:$G$13,1)))/MAX(INDEX('Scratch Data'!$G$5:$G$13,MIN(MATCH($A18,'Scratch Data'!$G$5:$G$13,1)+1,ROWS('Scratch Data'!$G$5:$G$13)))-INDEX('Scratch Data'!$G$5:$G$13,MATCH($A18,'Scratch Data'!$G$5:$G$13,1)),0.0001)),0),1),100))+(1-(INDEX('Scratch Data'!$H$5:$H$13,MATCH($A18,'Scratch Data'!$G$5:$G$13,1))+($A18-INDEX('Scratch Data'!$G$5:$G$13,MATCH($A18,'Scratch Data'!$G$5:$G$13,1)))*(INDEX('Scratch Data'!$H$5:$H$13,MIN(MATCH($A18,'Scratch Data'!$G$5:$G$13,1)+1,ROWS('Scratch Data'!$G$5:$G$13)))-INDEX('Scratch Data'!$H$5:$H$13,MATCH($A18,'Scratch Data'!$G$5:$G$13,1)))/MAX(INDEX('Scratch Data'!$G$5:$G$13,MIN(MATCH($A18,'Scratch Data'!$G$5:$G$13,1)+1,ROWS('Scratch Data'!$G$5:$G$13)))-INDEX('Scratch Data'!$G$5:$G$13,MATCH($A18,'Scratch Data'!$G$5:$G$13,1)),0.0001)))*(INDEX('Scratch Data'!$J$5:$J$13,MATCH($A18,'Scratch Data'!$G$5:$G$13,1))+($A18-INDEX('Scratch Data'!$G$5:$G$13,MATCH($A18,'Scratch Data'!$G$5:$G$13,1)))*(INDEX('Scratch Data'!$J$5:$J$13,MIN(MATCH($A18,'Scratch Data'!$G$5:$G$13,1)+1,ROWS('Scratch Data'!$G$5:$G$13)))-INDEX('Scratch Data'!$J$5:$J$13,MATCH($A18,'Scratch Data'!$G$5:$G$13,1)))/MAX(INDEX('Scratch Data'!$G$5:$G$13,MIN(MATCH($A18,'Scratch Data'!$G$5:$G$13,1)+1,ROWS('Scratch Data'!$G$5:$G$13)))-INDEX('Scratch Data'!$G$5:$G$13,MATCH($A18,'Scratch Data'!$G$5:$G$13,1)),0.0001))),(1+Inputs!$B$19*INDEX(Baseline!$B$3:$B$122,MATCH(MIN(MAX(ROUND((MAX($A18-Inputs!$B$20,30))/5,0)*5,5),600),Baseline!$A$3:$A$122,0))+(1-Inputs!$B$19)*INDEX(Baseline!$C$3:$C$122,MATCH(MIN(MAX(ROUND((MAX($A18-Inputs!$B$20,30))/5,0)*5,5),600),Baseline!$A$3:$A$122,0)))),(1+Inputs!$B$19*INDEX(Baseline!$B$3:$B$122,MATCH(MIN(MAX(ROUND((MAX($A18-Inputs!$B$20,30))/5,0)*5,5),600),Baseline!$A$3:$A$122,0))+(1-Inputs!$B$19)*INDEX(Baseline!$C$3:$C$122,MATCH(MIN(MAX(ROUND((MAX($A18-Inputs!$B$20,30))/5,0)*5,5),600),Baseline!$A$3:$A$122,0)))))</f>
        <v>2.929056</v>
      </c>
      <c r="C18" s="10" t="n">
        <f aca="false">IF($A18&lt;=50,$B18+Inputs!$B$18,IF($A18&lt;=250,MIN((1+(INDEX('Scratch Data'!$H$5:$H$13,MATCH($A18,'Scratch Data'!$G$5:$G$13,1))+($A18-INDEX('Scratch Data'!$G$5:$G$13,MATCH($A18,'Scratch Data'!$G$5:$G$13,1)))*(INDEX('Scratch Data'!$H$5:$H$13,MIN(MATCH($A18,'Scratch Data'!$G$5:$G$13,1)+1,ROWS('Scratch Data'!$G$5:$G$13)))-INDEX('Scratch Data'!$H$5:$H$13,MATCH($A18,'Scratch Data'!$G$5:$G$13,1)))/MAX(INDEX('Scratch Data'!$G$5:$G$13,MIN(MATCH($A18,'Scratch Data'!$G$5:$G$13,1)+1,ROWS('Scratch Data'!$G$5:$G$13)))-INDEX('Scratch Data'!$G$5:$G$13,MATCH($A18,'Scratch Data'!$G$5:$G$13,1)),0.0001))*Inputs!$B$12*INDEX(Baseline!$I$3:$I$102,MIN(MAX(ROUND(Inputs!$B$11*(INDEX('Scratch Data'!$I$5:$I$13,MATCH($A18,'Scratch Data'!$G$5:$G$13,1))+($A18-INDEX('Scratch Data'!$G$5:$G$13,MATCH($A18,'Scratch Data'!$G$5:$G$13,1)))*(INDEX('Scratch Data'!$I$5:$I$13,MIN(MATCH($A18,'Scratch Data'!$G$5:$G$13,1)+1,ROWS('Scratch Data'!$G$5:$G$13)))-INDEX('Scratch Data'!$I$5:$I$13,MATCH($A18,'Scratch Data'!$G$5:$G$13,1)))/MAX(INDEX('Scratch Data'!$G$5:$G$13,MIN(MATCH($A18,'Scratch Data'!$G$5:$G$13,1)+1,ROWS('Scratch Data'!$G$5:$G$13)))-INDEX('Scratch Data'!$G$5:$G$13,MATCH($A18,'Scratch Data'!$G$5:$G$13,1)),0.0001))*Inputs!$B$13,0),1),100))+(1-(INDEX('Scratch Data'!$H$5:$H$13,MATCH($A18,'Scratch Data'!$G$5:$G$13,1))+($A18-INDEX('Scratch Data'!$G$5:$G$13,MATCH($A18,'Scratch Data'!$G$5:$G$13,1)))*(INDEX('Scratch Data'!$H$5:$H$13,MIN(MATCH($A18,'Scratch Data'!$G$5:$G$13,1)+1,ROWS('Scratch Data'!$G$5:$G$13)))-INDEX('Scratch Data'!$H$5:$H$13,MATCH($A18,'Scratch Data'!$G$5:$G$13,1)))/MAX(INDEX('Scratch Data'!$G$5:$G$13,MIN(MATCH($A18,'Scratch Data'!$G$5:$G$13,1)+1,ROWS('Scratch Data'!$G$5:$G$13)))-INDEX('Scratch Data'!$G$5:$G$13,MATCH($A18,'Scratch Data'!$G$5:$G$13,1)),0.0001))*Inputs!$B$12)*((INDEX('Scratch Data'!$J$5:$J$13,MATCH($A18,'Scratch Data'!$G$5:$G$13,1))+($A18-INDEX('Scratch Data'!$G$5:$G$13,MATCH($A18,'Scratch Data'!$G$5:$G$13,1)))*(INDEX('Scratch Data'!$J$5:$J$13,MIN(MATCH($A18,'Scratch Data'!$G$5:$G$13,1)+1,ROWS('Scratch Data'!$G$5:$G$13)))-INDEX('Scratch Data'!$J$5:$J$13,MATCH($A18,'Scratch Data'!$G$5:$G$13,1)))/MAX(INDEX('Scratch Data'!$G$5:$G$13,MIN(MATCH($A18,'Scratch Data'!$G$5:$G$13,1)+1,ROWS('Scratch Data'!$G$5:$G$13)))-INDEX('Scratch Data'!$G$5:$G$13,MATCH($A18,'Scratch Data'!$G$5:$G$13,1)),0.0001))+Inputs!$B$14)),(1+Inputs!$B$19*INDEX(Baseline!$B$3:$B$122,MATCH(MIN(MAX(ROUND((MAX($A18-Inputs!$B$21,30))/5,0)*5,5),600),Baseline!$A$3:$A$122,0))+(1-Inputs!$B$19)*INDEX(Baseline!$C$3:$C$122,MATCH(MIN(MAX(ROUND((MAX($A18-Inputs!$B$21,30))/5,0)*5,5),600),Baseline!$A$3:$A$122,0))+Inputs!$B$14)),(1+Inputs!$B$19*INDEX(Baseline!$B$3:$B$122,MATCH(MIN(MAX(ROUND((MAX($A18-Inputs!$B$21,30))/5,0)*5,5),600),Baseline!$A$3:$A$122,0))+(1-Inputs!$B$19)*INDEX(Baseline!$C$3:$C$122,MATCH(MIN(MAX(ROUND((MAX($A18-Inputs!$B$21,30))/5,0)*5,5),600),Baseline!$A$3:$A$122,0))+Inputs!$B$14)))</f>
        <v>3.14075136</v>
      </c>
      <c r="D18" s="10" t="n">
        <f aca="false">IF($A18&lt;=50,(INDEX('Scratch Data'!$P$5:$P$11,MATCH($A18,'Scratch Data'!$O$5:$O$11,1))+($A18-INDEX('Scratch Data'!$O$5:$O$11,MATCH($A18,'Scratch Data'!$O$5:$O$11,1)))*(INDEX('Scratch Data'!$P$5:$P$11,MIN(MATCH($A18,'Scratch Data'!$O$5:$O$11,1)+1,ROWS('Scratch Data'!$O$5:$O$11)))-INDEX('Scratch Data'!$P$5:$P$11,MATCH($A18,'Scratch Data'!$O$5:$O$11,1)))/MAX(INDEX('Scratch Data'!$O$5:$O$11,MIN(MATCH($A18,'Scratch Data'!$O$5:$O$11,1)+1,ROWS('Scratch Data'!$O$5:$O$11)))-INDEX('Scratch Data'!$O$5:$O$11,MATCH($A18,'Scratch Data'!$O$5:$O$11,1)),0.0001)),IF($A18&lt;=250,MIN((1+(INDEX('Scratch Data'!$H$5:$H$13,MATCH($A18,'Scratch Data'!$G$5:$G$13,1))+($A18-INDEX('Scratch Data'!$G$5:$G$13,MATCH($A18,'Scratch Data'!$G$5:$G$13,1)))*(INDEX('Scratch Data'!$H$5:$H$13,MIN(MATCH($A18,'Scratch Data'!$G$5:$G$13,1)+1,ROWS('Scratch Data'!$G$5:$G$13)))-INDEX('Scratch Data'!$H$5:$H$13,MATCH($A18,'Scratch Data'!$G$5:$G$13,1)))/MAX(INDEX('Scratch Data'!$G$5:$G$13,MIN(MATCH($A18,'Scratch Data'!$G$5:$G$13,1)+1,ROWS('Scratch Data'!$G$5:$G$13)))-INDEX('Scratch Data'!$G$5:$G$13,MATCH($A18,'Scratch Data'!$G$5:$G$13,1)),0.0001))*Inputs!$B$15*INDEX(Baseline!$I$3:$I$102,MIN(MAX(ROUND(Inputs!$B$11*(INDEX('Scratch Data'!$I$5:$I$13,MATCH($A18,'Scratch Data'!$G$5:$G$13,1))+($A18-INDEX('Scratch Data'!$G$5:$G$13,MATCH($A18,'Scratch Data'!$G$5:$G$13,1)))*(INDEX('Scratch Data'!$I$5:$I$13,MIN(MATCH($A18,'Scratch Data'!$G$5:$G$13,1)+1,ROWS('Scratch Data'!$G$5:$G$13)))-INDEX('Scratch Data'!$I$5:$I$13,MATCH($A18,'Scratch Data'!$G$5:$G$13,1)))/MAX(INDEX('Scratch Data'!$G$5:$G$13,MIN(MATCH($A18,'Scratch Data'!$G$5:$G$13,1)+1,ROWS('Scratch Data'!$G$5:$G$13)))-INDEX('Scratch Data'!$G$5:$G$13,MATCH($A18,'Scratch Data'!$G$5:$G$13,1)),0.0001))*Inputs!$B$16,0),1),100))+(1-(INDEX('Scratch Data'!$H$5:$H$13,MATCH($A18,'Scratch Data'!$G$5:$G$13,1))+($A18-INDEX('Scratch Data'!$G$5:$G$13,MATCH($A18,'Scratch Data'!$G$5:$G$13,1)))*(INDEX('Scratch Data'!$H$5:$H$13,MIN(MATCH($A18,'Scratch Data'!$G$5:$G$13,1)+1,ROWS('Scratch Data'!$G$5:$G$13)))-INDEX('Scratch Data'!$H$5:$H$13,MATCH($A18,'Scratch Data'!$G$5:$G$13,1)))/MAX(INDEX('Scratch Data'!$G$5:$G$13,MIN(MATCH($A18,'Scratch Data'!$G$5:$G$13,1)+1,ROWS('Scratch Data'!$G$5:$G$13)))-INDEX('Scratch Data'!$G$5:$G$13,MATCH($A18,'Scratch Data'!$G$5:$G$13,1)),0.0001))*Inputs!$B$15)*((INDEX('Scratch Data'!$J$5:$J$13,MATCH($A18,'Scratch Data'!$G$5:$G$13,1))+($A18-INDEX('Scratch Data'!$G$5:$G$13,MATCH($A18,'Scratch Data'!$G$5:$G$13,1)))*(INDEX('Scratch Data'!$J$5:$J$13,MIN(MATCH($A18,'Scratch Data'!$G$5:$G$13,1)+1,ROWS('Scratch Data'!$G$5:$G$13)))-INDEX('Scratch Data'!$J$5:$J$13,MATCH($A18,'Scratch Data'!$G$5:$G$13,1)))/MAX(INDEX('Scratch Data'!$G$5:$G$13,MIN(MATCH($A18,'Scratch Data'!$G$5:$G$13,1)+1,ROWS('Scratch Data'!$G$5:$G$13)))-INDEX('Scratch Data'!$G$5:$G$13,MATCH($A18,'Scratch Data'!$G$5:$G$13,1)),0.0001))+Inputs!$B$17)),(1+Inputs!$B$19*INDEX(Baseline!$B$3:$B$122,MATCH(MIN(MAX(ROUND((MAX($A18-Inputs!$B$22,30))/5,0)*5,5),600),Baseline!$A$3:$A$122,0))+(1-Inputs!$B$19)*INDEX(Baseline!$C$3:$C$122,MATCH(MIN(MAX(ROUND((MAX($A18-Inputs!$B$22,30))/5,0)*5,5),600),Baseline!$A$3:$A$122,0))+Inputs!$B$17)),(1+Inputs!$B$19*INDEX(Baseline!$B$3:$B$122,MATCH(MIN(MAX(ROUND((MAX($A18-Inputs!$B$22,30))/5,0)*5,5),600),Baseline!$A$3:$A$122,0))+(1-Inputs!$B$19)*INDEX(Baseline!$C$3:$C$122,MATCH(MIN(MAX(ROUND((MAX($A18-Inputs!$B$22,30))/5,0)*5,5),600),Baseline!$A$3:$A$122,0))+Inputs!$B$17)))</f>
        <v>3.27602048</v>
      </c>
      <c r="E18" s="10" t="n">
        <f aca="false">1+Inputs!$B$24+0.6*INDEX(Baseline!$B$3:$B$122,MATCH(MIN(MAX(ROUND((MAX($A18-Inputs!$B$23,15))/5,0)*5,5),600),Baseline!$A$3:$A$122,0))+0.4*INDEX(Baseline!$C$3:$C$122,MATCH(MIN(MAX(ROUND((MAX($A18-Inputs!$B$23,15))/5,0)*5,5),600),Baseline!$A$3:$A$122,0))</f>
        <v>3.56</v>
      </c>
      <c r="H18" s="7" t="n">
        <v>16</v>
      </c>
      <c r="I18" s="10" t="n">
        <f aca="false">(INDEX('Scratch Data'!$E$5:$E$22,MATCH($H18,'Scratch Data'!$A$5:$A$22,1))+($H18-INDEX('Scratch Data'!$A$5:$A$22,MATCH($H18,'Scratch Data'!$A$5:$A$22,1)))*(INDEX('Scratch Data'!$E$5:$E$22,MIN(MATCH($H18,'Scratch Data'!$A$5:$A$22,1)+1,ROWS('Scratch Data'!$A$5:$A$22)))-INDEX('Scratch Data'!$E$5:$E$22,MATCH($H18,'Scratch Data'!$A$5:$A$22,1)))/MAX(INDEX('Scratch Data'!$A$5:$A$22,MIN(MATCH($H18,'Scratch Data'!$A$5:$A$22,1)+1,ROWS('Scratch Data'!$A$5:$A$22)))-INDEX('Scratch Data'!$A$5:$A$22,MATCH($H18,'Scratch Data'!$A$5:$A$22,1)),0.0001))</f>
        <v>1.8312</v>
      </c>
    </row>
    <row r="19" customFormat="false" ht="15" hidden="false" customHeight="false" outlineLevel="0" collapsed="false">
      <c r="A19" s="7" t="n">
        <v>85</v>
      </c>
      <c r="B19" s="10" t="n">
        <f aca="false">IF($A19&lt;=50,(INDEX('Scratch Data'!$M$5:$M$12,MATCH($A19,'Scratch Data'!$L$5:$L$12,1))+($A19-INDEX('Scratch Data'!$L$5:$L$12,MATCH($A19,'Scratch Data'!$L$5:$L$12,1)))*(INDEX('Scratch Data'!$M$5:$M$12,MIN(MATCH($A19,'Scratch Data'!$L$5:$L$12,1)+1,ROWS('Scratch Data'!$L$5:$L$12)))-INDEX('Scratch Data'!$M$5:$M$12,MATCH($A19,'Scratch Data'!$L$5:$L$12,1)))/MAX(INDEX('Scratch Data'!$L$5:$L$12,MIN(MATCH($A19,'Scratch Data'!$L$5:$L$12,1)+1,ROWS('Scratch Data'!$L$5:$L$12)))-INDEX('Scratch Data'!$L$5:$L$12,MATCH($A19,'Scratch Data'!$L$5:$L$12,1)),0.0001)),IF($A19&lt;=250,MIN((1+(INDEX('Scratch Data'!$H$5:$H$13,MATCH($A19,'Scratch Data'!$G$5:$G$13,1))+($A19-INDEX('Scratch Data'!$G$5:$G$13,MATCH($A19,'Scratch Data'!$G$5:$G$13,1)))*(INDEX('Scratch Data'!$H$5:$H$13,MIN(MATCH($A19,'Scratch Data'!$G$5:$G$13,1)+1,ROWS('Scratch Data'!$G$5:$G$13)))-INDEX('Scratch Data'!$H$5:$H$13,MATCH($A19,'Scratch Data'!$G$5:$G$13,1)))/MAX(INDEX('Scratch Data'!$G$5:$G$13,MIN(MATCH($A19,'Scratch Data'!$G$5:$G$13,1)+1,ROWS('Scratch Data'!$G$5:$G$13)))-INDEX('Scratch Data'!$G$5:$G$13,MATCH($A19,'Scratch Data'!$G$5:$G$13,1)),0.0001))*INDEX(Baseline!$I$3:$I$102,MIN(MAX(ROUND(Inputs!$B$11*(INDEX('Scratch Data'!$I$5:$I$13,MATCH($A19,'Scratch Data'!$G$5:$G$13,1))+($A19-INDEX('Scratch Data'!$G$5:$G$13,MATCH($A19,'Scratch Data'!$G$5:$G$13,1)))*(INDEX('Scratch Data'!$I$5:$I$13,MIN(MATCH($A19,'Scratch Data'!$G$5:$G$13,1)+1,ROWS('Scratch Data'!$G$5:$G$13)))-INDEX('Scratch Data'!$I$5:$I$13,MATCH($A19,'Scratch Data'!$G$5:$G$13,1)))/MAX(INDEX('Scratch Data'!$G$5:$G$13,MIN(MATCH($A19,'Scratch Data'!$G$5:$G$13,1)+1,ROWS('Scratch Data'!$G$5:$G$13)))-INDEX('Scratch Data'!$G$5:$G$13,MATCH($A19,'Scratch Data'!$G$5:$G$13,1)),0.0001)),0),1),100))+(1-(INDEX('Scratch Data'!$H$5:$H$13,MATCH($A19,'Scratch Data'!$G$5:$G$13,1))+($A19-INDEX('Scratch Data'!$G$5:$G$13,MATCH($A19,'Scratch Data'!$G$5:$G$13,1)))*(INDEX('Scratch Data'!$H$5:$H$13,MIN(MATCH($A19,'Scratch Data'!$G$5:$G$13,1)+1,ROWS('Scratch Data'!$G$5:$G$13)))-INDEX('Scratch Data'!$H$5:$H$13,MATCH($A19,'Scratch Data'!$G$5:$G$13,1)))/MAX(INDEX('Scratch Data'!$G$5:$G$13,MIN(MATCH($A19,'Scratch Data'!$G$5:$G$13,1)+1,ROWS('Scratch Data'!$G$5:$G$13)))-INDEX('Scratch Data'!$G$5:$G$13,MATCH($A19,'Scratch Data'!$G$5:$G$13,1)),0.0001)))*(INDEX('Scratch Data'!$J$5:$J$13,MATCH($A19,'Scratch Data'!$G$5:$G$13,1))+($A19-INDEX('Scratch Data'!$G$5:$G$13,MATCH($A19,'Scratch Data'!$G$5:$G$13,1)))*(INDEX('Scratch Data'!$J$5:$J$13,MIN(MATCH($A19,'Scratch Data'!$G$5:$G$13,1)+1,ROWS('Scratch Data'!$G$5:$G$13)))-INDEX('Scratch Data'!$J$5:$J$13,MATCH($A19,'Scratch Data'!$G$5:$G$13,1)))/MAX(INDEX('Scratch Data'!$G$5:$G$13,MIN(MATCH($A19,'Scratch Data'!$G$5:$G$13,1)+1,ROWS('Scratch Data'!$G$5:$G$13)))-INDEX('Scratch Data'!$G$5:$G$13,MATCH($A19,'Scratch Data'!$G$5:$G$13,1)),0.0001))),(1+Inputs!$B$19*INDEX(Baseline!$B$3:$B$122,MATCH(MIN(MAX(ROUND((MAX($A19-Inputs!$B$20,30))/5,0)*5,5),600),Baseline!$A$3:$A$122,0))+(1-Inputs!$B$19)*INDEX(Baseline!$C$3:$C$122,MATCH(MIN(MAX(ROUND((MAX($A19-Inputs!$B$20,30))/5,0)*5,5),600),Baseline!$A$3:$A$122,0)))),(1+Inputs!$B$19*INDEX(Baseline!$B$3:$B$122,MATCH(MIN(MAX(ROUND((MAX($A19-Inputs!$B$20,30))/5,0)*5,5),600),Baseline!$A$3:$A$122,0))+(1-Inputs!$B$19)*INDEX(Baseline!$C$3:$C$122,MATCH(MIN(MAX(ROUND((MAX($A19-Inputs!$B$20,30))/5,0)*5,5),600),Baseline!$A$3:$A$122,0)))))</f>
        <v>2.95997733333333</v>
      </c>
      <c r="C19" s="10" t="n">
        <f aca="false">IF($A19&lt;=50,$B19+Inputs!$B$18,IF($A19&lt;=250,MIN((1+(INDEX('Scratch Data'!$H$5:$H$13,MATCH($A19,'Scratch Data'!$G$5:$G$13,1))+($A19-INDEX('Scratch Data'!$G$5:$G$13,MATCH($A19,'Scratch Data'!$G$5:$G$13,1)))*(INDEX('Scratch Data'!$H$5:$H$13,MIN(MATCH($A19,'Scratch Data'!$G$5:$G$13,1)+1,ROWS('Scratch Data'!$G$5:$G$13)))-INDEX('Scratch Data'!$H$5:$H$13,MATCH($A19,'Scratch Data'!$G$5:$G$13,1)))/MAX(INDEX('Scratch Data'!$G$5:$G$13,MIN(MATCH($A19,'Scratch Data'!$G$5:$G$13,1)+1,ROWS('Scratch Data'!$G$5:$G$13)))-INDEX('Scratch Data'!$G$5:$G$13,MATCH($A19,'Scratch Data'!$G$5:$G$13,1)),0.0001))*Inputs!$B$12*INDEX(Baseline!$I$3:$I$102,MIN(MAX(ROUND(Inputs!$B$11*(INDEX('Scratch Data'!$I$5:$I$13,MATCH($A19,'Scratch Data'!$G$5:$G$13,1))+($A19-INDEX('Scratch Data'!$G$5:$G$13,MATCH($A19,'Scratch Data'!$G$5:$G$13,1)))*(INDEX('Scratch Data'!$I$5:$I$13,MIN(MATCH($A19,'Scratch Data'!$G$5:$G$13,1)+1,ROWS('Scratch Data'!$G$5:$G$13)))-INDEX('Scratch Data'!$I$5:$I$13,MATCH($A19,'Scratch Data'!$G$5:$G$13,1)))/MAX(INDEX('Scratch Data'!$G$5:$G$13,MIN(MATCH($A19,'Scratch Data'!$G$5:$G$13,1)+1,ROWS('Scratch Data'!$G$5:$G$13)))-INDEX('Scratch Data'!$G$5:$G$13,MATCH($A19,'Scratch Data'!$G$5:$G$13,1)),0.0001))*Inputs!$B$13,0),1),100))+(1-(INDEX('Scratch Data'!$H$5:$H$13,MATCH($A19,'Scratch Data'!$G$5:$G$13,1))+($A19-INDEX('Scratch Data'!$G$5:$G$13,MATCH($A19,'Scratch Data'!$G$5:$G$13,1)))*(INDEX('Scratch Data'!$H$5:$H$13,MIN(MATCH($A19,'Scratch Data'!$G$5:$G$13,1)+1,ROWS('Scratch Data'!$G$5:$G$13)))-INDEX('Scratch Data'!$H$5:$H$13,MATCH($A19,'Scratch Data'!$G$5:$G$13,1)))/MAX(INDEX('Scratch Data'!$G$5:$G$13,MIN(MATCH($A19,'Scratch Data'!$G$5:$G$13,1)+1,ROWS('Scratch Data'!$G$5:$G$13)))-INDEX('Scratch Data'!$G$5:$G$13,MATCH($A19,'Scratch Data'!$G$5:$G$13,1)),0.0001))*Inputs!$B$12)*((INDEX('Scratch Data'!$J$5:$J$13,MATCH($A19,'Scratch Data'!$G$5:$G$13,1))+($A19-INDEX('Scratch Data'!$G$5:$G$13,MATCH($A19,'Scratch Data'!$G$5:$G$13,1)))*(INDEX('Scratch Data'!$J$5:$J$13,MIN(MATCH($A19,'Scratch Data'!$G$5:$G$13,1)+1,ROWS('Scratch Data'!$G$5:$G$13)))-INDEX('Scratch Data'!$J$5:$J$13,MATCH($A19,'Scratch Data'!$G$5:$G$13,1)))/MAX(INDEX('Scratch Data'!$G$5:$G$13,MIN(MATCH($A19,'Scratch Data'!$G$5:$G$13,1)+1,ROWS('Scratch Data'!$G$5:$G$13)))-INDEX('Scratch Data'!$G$5:$G$13,MATCH($A19,'Scratch Data'!$G$5:$G$13,1)),0.0001))+Inputs!$B$14)),(1+Inputs!$B$19*INDEX(Baseline!$B$3:$B$122,MATCH(MIN(MAX(ROUND((MAX($A19-Inputs!$B$21,30))/5,0)*5,5),600),Baseline!$A$3:$A$122,0))+(1-Inputs!$B$19)*INDEX(Baseline!$C$3:$C$122,MATCH(MIN(MAX(ROUND((MAX($A19-Inputs!$B$21,30))/5,0)*5,5),600),Baseline!$A$3:$A$122,0))+Inputs!$B$14)),(1+Inputs!$B$19*INDEX(Baseline!$B$3:$B$122,MATCH(MIN(MAX(ROUND((MAX($A19-Inputs!$B$21,30))/5,0)*5,5),600),Baseline!$A$3:$A$122,0))+(1-Inputs!$B$19)*INDEX(Baseline!$C$3:$C$122,MATCH(MIN(MAX(ROUND((MAX($A19-Inputs!$B$21,30))/5,0)*5,5),600),Baseline!$A$3:$A$122,0))+Inputs!$B$14)))</f>
        <v>3.15087232</v>
      </c>
      <c r="D19" s="10" t="n">
        <f aca="false">IF($A19&lt;=50,(INDEX('Scratch Data'!$P$5:$P$11,MATCH($A19,'Scratch Data'!$O$5:$O$11,1))+($A19-INDEX('Scratch Data'!$O$5:$O$11,MATCH($A19,'Scratch Data'!$O$5:$O$11,1)))*(INDEX('Scratch Data'!$P$5:$P$11,MIN(MATCH($A19,'Scratch Data'!$O$5:$O$11,1)+1,ROWS('Scratch Data'!$O$5:$O$11)))-INDEX('Scratch Data'!$P$5:$P$11,MATCH($A19,'Scratch Data'!$O$5:$O$11,1)))/MAX(INDEX('Scratch Data'!$O$5:$O$11,MIN(MATCH($A19,'Scratch Data'!$O$5:$O$11,1)+1,ROWS('Scratch Data'!$O$5:$O$11)))-INDEX('Scratch Data'!$O$5:$O$11,MATCH($A19,'Scratch Data'!$O$5:$O$11,1)),0.0001)),IF($A19&lt;=250,MIN((1+(INDEX('Scratch Data'!$H$5:$H$13,MATCH($A19,'Scratch Data'!$G$5:$G$13,1))+($A19-INDEX('Scratch Data'!$G$5:$G$13,MATCH($A19,'Scratch Data'!$G$5:$G$13,1)))*(INDEX('Scratch Data'!$H$5:$H$13,MIN(MATCH($A19,'Scratch Data'!$G$5:$G$13,1)+1,ROWS('Scratch Data'!$G$5:$G$13)))-INDEX('Scratch Data'!$H$5:$H$13,MATCH($A19,'Scratch Data'!$G$5:$G$13,1)))/MAX(INDEX('Scratch Data'!$G$5:$G$13,MIN(MATCH($A19,'Scratch Data'!$G$5:$G$13,1)+1,ROWS('Scratch Data'!$G$5:$G$13)))-INDEX('Scratch Data'!$G$5:$G$13,MATCH($A19,'Scratch Data'!$G$5:$G$13,1)),0.0001))*Inputs!$B$15*INDEX(Baseline!$I$3:$I$102,MIN(MAX(ROUND(Inputs!$B$11*(INDEX('Scratch Data'!$I$5:$I$13,MATCH($A19,'Scratch Data'!$G$5:$G$13,1))+($A19-INDEX('Scratch Data'!$G$5:$G$13,MATCH($A19,'Scratch Data'!$G$5:$G$13,1)))*(INDEX('Scratch Data'!$I$5:$I$13,MIN(MATCH($A19,'Scratch Data'!$G$5:$G$13,1)+1,ROWS('Scratch Data'!$G$5:$G$13)))-INDEX('Scratch Data'!$I$5:$I$13,MATCH($A19,'Scratch Data'!$G$5:$G$13,1)))/MAX(INDEX('Scratch Data'!$G$5:$G$13,MIN(MATCH($A19,'Scratch Data'!$G$5:$G$13,1)+1,ROWS('Scratch Data'!$G$5:$G$13)))-INDEX('Scratch Data'!$G$5:$G$13,MATCH($A19,'Scratch Data'!$G$5:$G$13,1)),0.0001))*Inputs!$B$16,0),1),100))+(1-(INDEX('Scratch Data'!$H$5:$H$13,MATCH($A19,'Scratch Data'!$G$5:$G$13,1))+($A19-INDEX('Scratch Data'!$G$5:$G$13,MATCH($A19,'Scratch Data'!$G$5:$G$13,1)))*(INDEX('Scratch Data'!$H$5:$H$13,MIN(MATCH($A19,'Scratch Data'!$G$5:$G$13,1)+1,ROWS('Scratch Data'!$G$5:$G$13)))-INDEX('Scratch Data'!$H$5:$H$13,MATCH($A19,'Scratch Data'!$G$5:$G$13,1)))/MAX(INDEX('Scratch Data'!$G$5:$G$13,MIN(MATCH($A19,'Scratch Data'!$G$5:$G$13,1)+1,ROWS('Scratch Data'!$G$5:$G$13)))-INDEX('Scratch Data'!$G$5:$G$13,MATCH($A19,'Scratch Data'!$G$5:$G$13,1)),0.0001))*Inputs!$B$15)*((INDEX('Scratch Data'!$J$5:$J$13,MATCH($A19,'Scratch Data'!$G$5:$G$13,1))+($A19-INDEX('Scratch Data'!$G$5:$G$13,MATCH($A19,'Scratch Data'!$G$5:$G$13,1)))*(INDEX('Scratch Data'!$J$5:$J$13,MIN(MATCH($A19,'Scratch Data'!$G$5:$G$13,1)+1,ROWS('Scratch Data'!$G$5:$G$13)))-INDEX('Scratch Data'!$J$5:$J$13,MATCH($A19,'Scratch Data'!$G$5:$G$13,1)))/MAX(INDEX('Scratch Data'!$G$5:$G$13,MIN(MATCH($A19,'Scratch Data'!$G$5:$G$13,1)+1,ROWS('Scratch Data'!$G$5:$G$13)))-INDEX('Scratch Data'!$G$5:$G$13,MATCH($A19,'Scratch Data'!$G$5:$G$13,1)),0.0001))+Inputs!$B$17)),(1+Inputs!$B$19*INDEX(Baseline!$B$3:$B$122,MATCH(MIN(MAX(ROUND((MAX($A19-Inputs!$B$22,30))/5,0)*5,5),600),Baseline!$A$3:$A$122,0))+(1-Inputs!$B$19)*INDEX(Baseline!$C$3:$C$122,MATCH(MIN(MAX(ROUND((MAX($A19-Inputs!$B$22,30))/5,0)*5,5),600),Baseline!$A$3:$A$122,0))+Inputs!$B$17)),(1+Inputs!$B$19*INDEX(Baseline!$B$3:$B$122,MATCH(MIN(MAX(ROUND((MAX($A19-Inputs!$B$22,30))/5,0)*5,5),600),Baseline!$A$3:$A$122,0))+(1-Inputs!$B$19)*INDEX(Baseline!$C$3:$C$122,MATCH(MIN(MAX(ROUND((MAX($A19-Inputs!$B$22,30))/5,0)*5,5),600),Baseline!$A$3:$A$122,0))+Inputs!$B$17)))</f>
        <v>3.29585292</v>
      </c>
      <c r="E19" s="10" t="n">
        <f aca="false">1+Inputs!$B$24+0.6*INDEX(Baseline!$B$3:$B$122,MATCH(MIN(MAX(ROUND((MAX($A19-Inputs!$B$23,15))/5,0)*5,5),600),Baseline!$A$3:$A$122,0))+0.4*INDEX(Baseline!$C$3:$C$122,MATCH(MIN(MAX(ROUND((MAX($A19-Inputs!$B$23,15))/5,0)*5,5),600),Baseline!$A$3:$A$122,0))</f>
        <v>3.56</v>
      </c>
      <c r="H19" s="7" t="n">
        <v>17</v>
      </c>
      <c r="I19" s="10" t="n">
        <f aca="false">(INDEX('Scratch Data'!$E$5:$E$22,MATCH($H19,'Scratch Data'!$A$5:$A$22,1))+($H19-INDEX('Scratch Data'!$A$5:$A$22,MATCH($H19,'Scratch Data'!$A$5:$A$22,1)))*(INDEX('Scratch Data'!$E$5:$E$22,MIN(MATCH($H19,'Scratch Data'!$A$5:$A$22,1)+1,ROWS('Scratch Data'!$A$5:$A$22)))-INDEX('Scratch Data'!$E$5:$E$22,MATCH($H19,'Scratch Data'!$A$5:$A$22,1)))/MAX(INDEX('Scratch Data'!$A$5:$A$22,MIN(MATCH($H19,'Scratch Data'!$A$5:$A$22,1)+1,ROWS('Scratch Data'!$A$5:$A$22)))-INDEX('Scratch Data'!$A$5:$A$22,MATCH($H19,'Scratch Data'!$A$5:$A$22,1)),0.0001))</f>
        <v>1.8524</v>
      </c>
    </row>
    <row r="20" customFormat="false" ht="15" hidden="false" customHeight="false" outlineLevel="0" collapsed="false">
      <c r="A20" s="7" t="n">
        <v>90</v>
      </c>
      <c r="B20" s="10" t="n">
        <f aca="false">IF($A20&lt;=50,(INDEX('Scratch Data'!$M$5:$M$12,MATCH($A20,'Scratch Data'!$L$5:$L$12,1))+($A20-INDEX('Scratch Data'!$L$5:$L$12,MATCH($A20,'Scratch Data'!$L$5:$L$12,1)))*(INDEX('Scratch Data'!$M$5:$M$12,MIN(MATCH($A20,'Scratch Data'!$L$5:$L$12,1)+1,ROWS('Scratch Data'!$L$5:$L$12)))-INDEX('Scratch Data'!$M$5:$M$12,MATCH($A20,'Scratch Data'!$L$5:$L$12,1)))/MAX(INDEX('Scratch Data'!$L$5:$L$12,MIN(MATCH($A20,'Scratch Data'!$L$5:$L$12,1)+1,ROWS('Scratch Data'!$L$5:$L$12)))-INDEX('Scratch Data'!$L$5:$L$12,MATCH($A20,'Scratch Data'!$L$5:$L$12,1)),0.0001)),IF($A20&lt;=250,MIN((1+(INDEX('Scratch Data'!$H$5:$H$13,MATCH($A20,'Scratch Data'!$G$5:$G$13,1))+($A20-INDEX('Scratch Data'!$G$5:$G$13,MATCH($A20,'Scratch Data'!$G$5:$G$13,1)))*(INDEX('Scratch Data'!$H$5:$H$13,MIN(MATCH($A20,'Scratch Data'!$G$5:$G$13,1)+1,ROWS('Scratch Data'!$G$5:$G$13)))-INDEX('Scratch Data'!$H$5:$H$13,MATCH($A20,'Scratch Data'!$G$5:$G$13,1)))/MAX(INDEX('Scratch Data'!$G$5:$G$13,MIN(MATCH($A20,'Scratch Data'!$G$5:$G$13,1)+1,ROWS('Scratch Data'!$G$5:$G$13)))-INDEX('Scratch Data'!$G$5:$G$13,MATCH($A20,'Scratch Data'!$G$5:$G$13,1)),0.0001))*INDEX(Baseline!$I$3:$I$102,MIN(MAX(ROUND(Inputs!$B$11*(INDEX('Scratch Data'!$I$5:$I$13,MATCH($A20,'Scratch Data'!$G$5:$G$13,1))+($A20-INDEX('Scratch Data'!$G$5:$G$13,MATCH($A20,'Scratch Data'!$G$5:$G$13,1)))*(INDEX('Scratch Data'!$I$5:$I$13,MIN(MATCH($A20,'Scratch Data'!$G$5:$G$13,1)+1,ROWS('Scratch Data'!$G$5:$G$13)))-INDEX('Scratch Data'!$I$5:$I$13,MATCH($A20,'Scratch Data'!$G$5:$G$13,1)))/MAX(INDEX('Scratch Data'!$G$5:$G$13,MIN(MATCH($A20,'Scratch Data'!$G$5:$G$13,1)+1,ROWS('Scratch Data'!$G$5:$G$13)))-INDEX('Scratch Data'!$G$5:$G$13,MATCH($A20,'Scratch Data'!$G$5:$G$13,1)),0.0001)),0),1),100))+(1-(INDEX('Scratch Data'!$H$5:$H$13,MATCH($A20,'Scratch Data'!$G$5:$G$13,1))+($A20-INDEX('Scratch Data'!$G$5:$G$13,MATCH($A20,'Scratch Data'!$G$5:$G$13,1)))*(INDEX('Scratch Data'!$H$5:$H$13,MIN(MATCH($A20,'Scratch Data'!$G$5:$G$13,1)+1,ROWS('Scratch Data'!$G$5:$G$13)))-INDEX('Scratch Data'!$H$5:$H$13,MATCH($A20,'Scratch Data'!$G$5:$G$13,1)))/MAX(INDEX('Scratch Data'!$G$5:$G$13,MIN(MATCH($A20,'Scratch Data'!$G$5:$G$13,1)+1,ROWS('Scratch Data'!$G$5:$G$13)))-INDEX('Scratch Data'!$G$5:$G$13,MATCH($A20,'Scratch Data'!$G$5:$G$13,1)),0.0001)))*(INDEX('Scratch Data'!$J$5:$J$13,MATCH($A20,'Scratch Data'!$G$5:$G$13,1))+($A20-INDEX('Scratch Data'!$G$5:$G$13,MATCH($A20,'Scratch Data'!$G$5:$G$13,1)))*(INDEX('Scratch Data'!$J$5:$J$13,MIN(MATCH($A20,'Scratch Data'!$G$5:$G$13,1)+1,ROWS('Scratch Data'!$G$5:$G$13)))-INDEX('Scratch Data'!$J$5:$J$13,MATCH($A20,'Scratch Data'!$G$5:$G$13,1)))/MAX(INDEX('Scratch Data'!$G$5:$G$13,MIN(MATCH($A20,'Scratch Data'!$G$5:$G$13,1)+1,ROWS('Scratch Data'!$G$5:$G$13)))-INDEX('Scratch Data'!$G$5:$G$13,MATCH($A20,'Scratch Data'!$G$5:$G$13,1)),0.0001))),(1+Inputs!$B$19*INDEX(Baseline!$B$3:$B$122,MATCH(MIN(MAX(ROUND((MAX($A20-Inputs!$B$20,30))/5,0)*5,5),600),Baseline!$A$3:$A$122,0))+(1-Inputs!$B$19)*INDEX(Baseline!$C$3:$C$122,MATCH(MIN(MAX(ROUND((MAX($A20-Inputs!$B$20,30))/5,0)*5,5),600),Baseline!$A$3:$A$122,0)))),(1+Inputs!$B$19*INDEX(Baseline!$B$3:$B$122,MATCH(MIN(MAX(ROUND((MAX($A20-Inputs!$B$20,30))/5,0)*5,5),600),Baseline!$A$3:$A$122,0))+(1-Inputs!$B$19)*INDEX(Baseline!$C$3:$C$122,MATCH(MIN(MAX(ROUND((MAX($A20-Inputs!$B$20,30))/5,0)*5,5),600),Baseline!$A$3:$A$122,0)))))</f>
        <v>2.990264</v>
      </c>
      <c r="C20" s="10" t="n">
        <f aca="false">IF($A20&lt;=50,$B20+Inputs!$B$18,IF($A20&lt;=250,MIN((1+(INDEX('Scratch Data'!$H$5:$H$13,MATCH($A20,'Scratch Data'!$G$5:$G$13,1))+($A20-INDEX('Scratch Data'!$G$5:$G$13,MATCH($A20,'Scratch Data'!$G$5:$G$13,1)))*(INDEX('Scratch Data'!$H$5:$H$13,MIN(MATCH($A20,'Scratch Data'!$G$5:$G$13,1)+1,ROWS('Scratch Data'!$G$5:$G$13)))-INDEX('Scratch Data'!$H$5:$H$13,MATCH($A20,'Scratch Data'!$G$5:$G$13,1)))/MAX(INDEX('Scratch Data'!$G$5:$G$13,MIN(MATCH($A20,'Scratch Data'!$G$5:$G$13,1)+1,ROWS('Scratch Data'!$G$5:$G$13)))-INDEX('Scratch Data'!$G$5:$G$13,MATCH($A20,'Scratch Data'!$G$5:$G$13,1)),0.0001))*Inputs!$B$12*INDEX(Baseline!$I$3:$I$102,MIN(MAX(ROUND(Inputs!$B$11*(INDEX('Scratch Data'!$I$5:$I$13,MATCH($A20,'Scratch Data'!$G$5:$G$13,1))+($A20-INDEX('Scratch Data'!$G$5:$G$13,MATCH($A20,'Scratch Data'!$G$5:$G$13,1)))*(INDEX('Scratch Data'!$I$5:$I$13,MIN(MATCH($A20,'Scratch Data'!$G$5:$G$13,1)+1,ROWS('Scratch Data'!$G$5:$G$13)))-INDEX('Scratch Data'!$I$5:$I$13,MATCH($A20,'Scratch Data'!$G$5:$G$13,1)))/MAX(INDEX('Scratch Data'!$G$5:$G$13,MIN(MATCH($A20,'Scratch Data'!$G$5:$G$13,1)+1,ROWS('Scratch Data'!$G$5:$G$13)))-INDEX('Scratch Data'!$G$5:$G$13,MATCH($A20,'Scratch Data'!$G$5:$G$13,1)),0.0001))*Inputs!$B$13,0),1),100))+(1-(INDEX('Scratch Data'!$H$5:$H$13,MATCH($A20,'Scratch Data'!$G$5:$G$13,1))+($A20-INDEX('Scratch Data'!$G$5:$G$13,MATCH($A20,'Scratch Data'!$G$5:$G$13,1)))*(INDEX('Scratch Data'!$H$5:$H$13,MIN(MATCH($A20,'Scratch Data'!$G$5:$G$13,1)+1,ROWS('Scratch Data'!$G$5:$G$13)))-INDEX('Scratch Data'!$H$5:$H$13,MATCH($A20,'Scratch Data'!$G$5:$G$13,1)))/MAX(INDEX('Scratch Data'!$G$5:$G$13,MIN(MATCH($A20,'Scratch Data'!$G$5:$G$13,1)+1,ROWS('Scratch Data'!$G$5:$G$13)))-INDEX('Scratch Data'!$G$5:$G$13,MATCH($A20,'Scratch Data'!$G$5:$G$13,1)),0.0001))*Inputs!$B$12)*((INDEX('Scratch Data'!$J$5:$J$13,MATCH($A20,'Scratch Data'!$G$5:$G$13,1))+($A20-INDEX('Scratch Data'!$G$5:$G$13,MATCH($A20,'Scratch Data'!$G$5:$G$13,1)))*(INDEX('Scratch Data'!$J$5:$J$13,MIN(MATCH($A20,'Scratch Data'!$G$5:$G$13,1)+1,ROWS('Scratch Data'!$G$5:$G$13)))-INDEX('Scratch Data'!$J$5:$J$13,MATCH($A20,'Scratch Data'!$G$5:$G$13,1)))/MAX(INDEX('Scratch Data'!$G$5:$G$13,MIN(MATCH($A20,'Scratch Data'!$G$5:$G$13,1)+1,ROWS('Scratch Data'!$G$5:$G$13)))-INDEX('Scratch Data'!$G$5:$G$13,MATCH($A20,'Scratch Data'!$G$5:$G$13,1)),0.0001))+Inputs!$B$14)),(1+Inputs!$B$19*INDEX(Baseline!$B$3:$B$122,MATCH(MIN(MAX(ROUND((MAX($A20-Inputs!$B$21,30))/5,0)*5,5),600),Baseline!$A$3:$A$122,0))+(1-Inputs!$B$19)*INDEX(Baseline!$C$3:$C$122,MATCH(MIN(MAX(ROUND((MAX($A20-Inputs!$B$21,30))/5,0)*5,5),600),Baseline!$A$3:$A$122,0))+Inputs!$B$14)),(1+Inputs!$B$19*INDEX(Baseline!$B$3:$B$122,MATCH(MIN(MAX(ROUND((MAX($A20-Inputs!$B$21,30))/5,0)*5,5),600),Baseline!$A$3:$A$122,0))+(1-Inputs!$B$19)*INDEX(Baseline!$C$3:$C$122,MATCH(MIN(MAX(ROUND((MAX($A20-Inputs!$B$21,30))/5,0)*5,5),600),Baseline!$A$3:$A$122,0))+Inputs!$B$14)))</f>
        <v>3.17309056</v>
      </c>
      <c r="D20" s="10" t="n">
        <f aca="false">IF($A20&lt;=50,(INDEX('Scratch Data'!$P$5:$P$11,MATCH($A20,'Scratch Data'!$O$5:$O$11,1))+($A20-INDEX('Scratch Data'!$O$5:$O$11,MATCH($A20,'Scratch Data'!$O$5:$O$11,1)))*(INDEX('Scratch Data'!$P$5:$P$11,MIN(MATCH($A20,'Scratch Data'!$O$5:$O$11,1)+1,ROWS('Scratch Data'!$O$5:$O$11)))-INDEX('Scratch Data'!$P$5:$P$11,MATCH($A20,'Scratch Data'!$O$5:$O$11,1)))/MAX(INDEX('Scratch Data'!$O$5:$O$11,MIN(MATCH($A20,'Scratch Data'!$O$5:$O$11,1)+1,ROWS('Scratch Data'!$O$5:$O$11)))-INDEX('Scratch Data'!$O$5:$O$11,MATCH($A20,'Scratch Data'!$O$5:$O$11,1)),0.0001)),IF($A20&lt;=250,MIN((1+(INDEX('Scratch Data'!$H$5:$H$13,MATCH($A20,'Scratch Data'!$G$5:$G$13,1))+($A20-INDEX('Scratch Data'!$G$5:$G$13,MATCH($A20,'Scratch Data'!$G$5:$G$13,1)))*(INDEX('Scratch Data'!$H$5:$H$13,MIN(MATCH($A20,'Scratch Data'!$G$5:$G$13,1)+1,ROWS('Scratch Data'!$G$5:$G$13)))-INDEX('Scratch Data'!$H$5:$H$13,MATCH($A20,'Scratch Data'!$G$5:$G$13,1)))/MAX(INDEX('Scratch Data'!$G$5:$G$13,MIN(MATCH($A20,'Scratch Data'!$G$5:$G$13,1)+1,ROWS('Scratch Data'!$G$5:$G$13)))-INDEX('Scratch Data'!$G$5:$G$13,MATCH($A20,'Scratch Data'!$G$5:$G$13,1)),0.0001))*Inputs!$B$15*INDEX(Baseline!$I$3:$I$102,MIN(MAX(ROUND(Inputs!$B$11*(INDEX('Scratch Data'!$I$5:$I$13,MATCH($A20,'Scratch Data'!$G$5:$G$13,1))+($A20-INDEX('Scratch Data'!$G$5:$G$13,MATCH($A20,'Scratch Data'!$G$5:$G$13,1)))*(INDEX('Scratch Data'!$I$5:$I$13,MIN(MATCH($A20,'Scratch Data'!$G$5:$G$13,1)+1,ROWS('Scratch Data'!$G$5:$G$13)))-INDEX('Scratch Data'!$I$5:$I$13,MATCH($A20,'Scratch Data'!$G$5:$G$13,1)))/MAX(INDEX('Scratch Data'!$G$5:$G$13,MIN(MATCH($A20,'Scratch Data'!$G$5:$G$13,1)+1,ROWS('Scratch Data'!$G$5:$G$13)))-INDEX('Scratch Data'!$G$5:$G$13,MATCH($A20,'Scratch Data'!$G$5:$G$13,1)),0.0001))*Inputs!$B$16,0),1),100))+(1-(INDEX('Scratch Data'!$H$5:$H$13,MATCH($A20,'Scratch Data'!$G$5:$G$13,1))+($A20-INDEX('Scratch Data'!$G$5:$G$13,MATCH($A20,'Scratch Data'!$G$5:$G$13,1)))*(INDEX('Scratch Data'!$H$5:$H$13,MIN(MATCH($A20,'Scratch Data'!$G$5:$G$13,1)+1,ROWS('Scratch Data'!$G$5:$G$13)))-INDEX('Scratch Data'!$H$5:$H$13,MATCH($A20,'Scratch Data'!$G$5:$G$13,1)))/MAX(INDEX('Scratch Data'!$G$5:$G$13,MIN(MATCH($A20,'Scratch Data'!$G$5:$G$13,1)+1,ROWS('Scratch Data'!$G$5:$G$13)))-INDEX('Scratch Data'!$G$5:$G$13,MATCH($A20,'Scratch Data'!$G$5:$G$13,1)),0.0001))*Inputs!$B$15)*((INDEX('Scratch Data'!$J$5:$J$13,MATCH($A20,'Scratch Data'!$G$5:$G$13,1))+($A20-INDEX('Scratch Data'!$G$5:$G$13,MATCH($A20,'Scratch Data'!$G$5:$G$13,1)))*(INDEX('Scratch Data'!$J$5:$J$13,MIN(MATCH($A20,'Scratch Data'!$G$5:$G$13,1)+1,ROWS('Scratch Data'!$G$5:$G$13)))-INDEX('Scratch Data'!$J$5:$J$13,MATCH($A20,'Scratch Data'!$G$5:$G$13,1)))/MAX(INDEX('Scratch Data'!$G$5:$G$13,MIN(MATCH($A20,'Scratch Data'!$G$5:$G$13,1)+1,ROWS('Scratch Data'!$G$5:$G$13)))-INDEX('Scratch Data'!$G$5:$G$13,MATCH($A20,'Scratch Data'!$G$5:$G$13,1)),0.0001))+Inputs!$B$17)),(1+Inputs!$B$19*INDEX(Baseline!$B$3:$B$122,MATCH(MIN(MAX(ROUND((MAX($A20-Inputs!$B$22,30))/5,0)*5,5),600),Baseline!$A$3:$A$122,0))+(1-Inputs!$B$19)*INDEX(Baseline!$C$3:$C$122,MATCH(MIN(MAX(ROUND((MAX($A20-Inputs!$B$22,30))/5,0)*5,5),600),Baseline!$A$3:$A$122,0))+Inputs!$B$17)),(1+Inputs!$B$19*INDEX(Baseline!$B$3:$B$122,MATCH(MIN(MAX(ROUND((MAX($A20-Inputs!$B$22,30))/5,0)*5,5),600),Baseline!$A$3:$A$122,0))+(1-Inputs!$B$19)*INDEX(Baseline!$C$3:$C$122,MATCH(MIN(MAX(ROUND((MAX($A20-Inputs!$B$22,30))/5,0)*5,5),600),Baseline!$A$3:$A$122,0))+Inputs!$B$17)))</f>
        <v>3.31537232</v>
      </c>
      <c r="E20" s="10" t="n">
        <f aca="false">1+Inputs!$B$24+0.6*INDEX(Baseline!$B$3:$B$122,MATCH(MIN(MAX(ROUND((MAX($A20-Inputs!$B$23,15))/5,0)*5,5),600),Baseline!$A$3:$A$122,0))+0.4*INDEX(Baseline!$C$3:$C$122,MATCH(MIN(MAX(ROUND((MAX($A20-Inputs!$B$23,15))/5,0)*5,5),600),Baseline!$A$3:$A$122,0))</f>
        <v>3.56</v>
      </c>
      <c r="H20" s="7" t="n">
        <v>18</v>
      </c>
      <c r="I20" s="10" t="n">
        <f aca="false">(INDEX('Scratch Data'!$E$5:$E$22,MATCH($H20,'Scratch Data'!$A$5:$A$22,1))+($H20-INDEX('Scratch Data'!$A$5:$A$22,MATCH($H20,'Scratch Data'!$A$5:$A$22,1)))*(INDEX('Scratch Data'!$E$5:$E$22,MIN(MATCH($H20,'Scratch Data'!$A$5:$A$22,1)+1,ROWS('Scratch Data'!$A$5:$A$22)))-INDEX('Scratch Data'!$E$5:$E$22,MATCH($H20,'Scratch Data'!$A$5:$A$22,1)))/MAX(INDEX('Scratch Data'!$A$5:$A$22,MIN(MATCH($H20,'Scratch Data'!$A$5:$A$22,1)+1,ROWS('Scratch Data'!$A$5:$A$22)))-INDEX('Scratch Data'!$A$5:$A$22,MATCH($H20,'Scratch Data'!$A$5:$A$22,1)),0.0001))</f>
        <v>1.8736</v>
      </c>
    </row>
    <row r="21" customFormat="false" ht="15" hidden="false" customHeight="false" outlineLevel="0" collapsed="false">
      <c r="A21" s="7" t="n">
        <v>95</v>
      </c>
      <c r="B21" s="10" t="n">
        <f aca="false">IF($A21&lt;=50,(INDEX('Scratch Data'!$M$5:$M$12,MATCH($A21,'Scratch Data'!$L$5:$L$12,1))+($A21-INDEX('Scratch Data'!$L$5:$L$12,MATCH($A21,'Scratch Data'!$L$5:$L$12,1)))*(INDEX('Scratch Data'!$M$5:$M$12,MIN(MATCH($A21,'Scratch Data'!$L$5:$L$12,1)+1,ROWS('Scratch Data'!$L$5:$L$12)))-INDEX('Scratch Data'!$M$5:$M$12,MATCH($A21,'Scratch Data'!$L$5:$L$12,1)))/MAX(INDEX('Scratch Data'!$L$5:$L$12,MIN(MATCH($A21,'Scratch Data'!$L$5:$L$12,1)+1,ROWS('Scratch Data'!$L$5:$L$12)))-INDEX('Scratch Data'!$L$5:$L$12,MATCH($A21,'Scratch Data'!$L$5:$L$12,1)),0.0001)),IF($A21&lt;=250,MIN((1+(INDEX('Scratch Data'!$H$5:$H$13,MATCH($A21,'Scratch Data'!$G$5:$G$13,1))+($A21-INDEX('Scratch Data'!$G$5:$G$13,MATCH($A21,'Scratch Data'!$G$5:$G$13,1)))*(INDEX('Scratch Data'!$H$5:$H$13,MIN(MATCH($A21,'Scratch Data'!$G$5:$G$13,1)+1,ROWS('Scratch Data'!$G$5:$G$13)))-INDEX('Scratch Data'!$H$5:$H$13,MATCH($A21,'Scratch Data'!$G$5:$G$13,1)))/MAX(INDEX('Scratch Data'!$G$5:$G$13,MIN(MATCH($A21,'Scratch Data'!$G$5:$G$13,1)+1,ROWS('Scratch Data'!$G$5:$G$13)))-INDEX('Scratch Data'!$G$5:$G$13,MATCH($A21,'Scratch Data'!$G$5:$G$13,1)),0.0001))*INDEX(Baseline!$I$3:$I$102,MIN(MAX(ROUND(Inputs!$B$11*(INDEX('Scratch Data'!$I$5:$I$13,MATCH($A21,'Scratch Data'!$G$5:$G$13,1))+($A21-INDEX('Scratch Data'!$G$5:$G$13,MATCH($A21,'Scratch Data'!$G$5:$G$13,1)))*(INDEX('Scratch Data'!$I$5:$I$13,MIN(MATCH($A21,'Scratch Data'!$G$5:$G$13,1)+1,ROWS('Scratch Data'!$G$5:$G$13)))-INDEX('Scratch Data'!$I$5:$I$13,MATCH($A21,'Scratch Data'!$G$5:$G$13,1)))/MAX(INDEX('Scratch Data'!$G$5:$G$13,MIN(MATCH($A21,'Scratch Data'!$G$5:$G$13,1)+1,ROWS('Scratch Data'!$G$5:$G$13)))-INDEX('Scratch Data'!$G$5:$G$13,MATCH($A21,'Scratch Data'!$G$5:$G$13,1)),0.0001)),0),1),100))+(1-(INDEX('Scratch Data'!$H$5:$H$13,MATCH($A21,'Scratch Data'!$G$5:$G$13,1))+($A21-INDEX('Scratch Data'!$G$5:$G$13,MATCH($A21,'Scratch Data'!$G$5:$G$13,1)))*(INDEX('Scratch Data'!$H$5:$H$13,MIN(MATCH($A21,'Scratch Data'!$G$5:$G$13,1)+1,ROWS('Scratch Data'!$G$5:$G$13)))-INDEX('Scratch Data'!$H$5:$H$13,MATCH($A21,'Scratch Data'!$G$5:$G$13,1)))/MAX(INDEX('Scratch Data'!$G$5:$G$13,MIN(MATCH($A21,'Scratch Data'!$G$5:$G$13,1)+1,ROWS('Scratch Data'!$G$5:$G$13)))-INDEX('Scratch Data'!$G$5:$G$13,MATCH($A21,'Scratch Data'!$G$5:$G$13,1)),0.0001)))*(INDEX('Scratch Data'!$J$5:$J$13,MATCH($A21,'Scratch Data'!$G$5:$G$13,1))+($A21-INDEX('Scratch Data'!$G$5:$G$13,MATCH($A21,'Scratch Data'!$G$5:$G$13,1)))*(INDEX('Scratch Data'!$J$5:$J$13,MIN(MATCH($A21,'Scratch Data'!$G$5:$G$13,1)+1,ROWS('Scratch Data'!$G$5:$G$13)))-INDEX('Scratch Data'!$J$5:$J$13,MATCH($A21,'Scratch Data'!$G$5:$G$13,1)))/MAX(INDEX('Scratch Data'!$G$5:$G$13,MIN(MATCH($A21,'Scratch Data'!$G$5:$G$13,1)+1,ROWS('Scratch Data'!$G$5:$G$13)))-INDEX('Scratch Data'!$G$5:$G$13,MATCH($A21,'Scratch Data'!$G$5:$G$13,1)),0.0001))),(1+Inputs!$B$19*INDEX(Baseline!$B$3:$B$122,MATCH(MIN(MAX(ROUND((MAX($A21-Inputs!$B$20,30))/5,0)*5,5),600),Baseline!$A$3:$A$122,0))+(1-Inputs!$B$19)*INDEX(Baseline!$C$3:$C$122,MATCH(MIN(MAX(ROUND((MAX($A21-Inputs!$B$20,30))/5,0)*5,5),600),Baseline!$A$3:$A$122,0)))),(1+Inputs!$B$19*INDEX(Baseline!$B$3:$B$122,MATCH(MIN(MAX(ROUND((MAX($A21-Inputs!$B$20,30))/5,0)*5,5),600),Baseline!$A$3:$A$122,0))+(1-Inputs!$B$19)*INDEX(Baseline!$C$3:$C$122,MATCH(MIN(MAX(ROUND((MAX($A21-Inputs!$B$20,30))/5,0)*5,5),600),Baseline!$A$3:$A$122,0)))))</f>
        <v>3.00140933333333</v>
      </c>
      <c r="C21" s="10" t="n">
        <f aca="false">IF($A21&lt;=50,$B21+Inputs!$B$18,IF($A21&lt;=250,MIN((1+(INDEX('Scratch Data'!$H$5:$H$13,MATCH($A21,'Scratch Data'!$G$5:$G$13,1))+($A21-INDEX('Scratch Data'!$G$5:$G$13,MATCH($A21,'Scratch Data'!$G$5:$G$13,1)))*(INDEX('Scratch Data'!$H$5:$H$13,MIN(MATCH($A21,'Scratch Data'!$G$5:$G$13,1)+1,ROWS('Scratch Data'!$G$5:$G$13)))-INDEX('Scratch Data'!$H$5:$H$13,MATCH($A21,'Scratch Data'!$G$5:$G$13,1)))/MAX(INDEX('Scratch Data'!$G$5:$G$13,MIN(MATCH($A21,'Scratch Data'!$G$5:$G$13,1)+1,ROWS('Scratch Data'!$G$5:$G$13)))-INDEX('Scratch Data'!$G$5:$G$13,MATCH($A21,'Scratch Data'!$G$5:$G$13,1)),0.0001))*Inputs!$B$12*INDEX(Baseline!$I$3:$I$102,MIN(MAX(ROUND(Inputs!$B$11*(INDEX('Scratch Data'!$I$5:$I$13,MATCH($A21,'Scratch Data'!$G$5:$G$13,1))+($A21-INDEX('Scratch Data'!$G$5:$G$13,MATCH($A21,'Scratch Data'!$G$5:$G$13,1)))*(INDEX('Scratch Data'!$I$5:$I$13,MIN(MATCH($A21,'Scratch Data'!$G$5:$G$13,1)+1,ROWS('Scratch Data'!$G$5:$G$13)))-INDEX('Scratch Data'!$I$5:$I$13,MATCH($A21,'Scratch Data'!$G$5:$G$13,1)))/MAX(INDEX('Scratch Data'!$G$5:$G$13,MIN(MATCH($A21,'Scratch Data'!$G$5:$G$13,1)+1,ROWS('Scratch Data'!$G$5:$G$13)))-INDEX('Scratch Data'!$G$5:$G$13,MATCH($A21,'Scratch Data'!$G$5:$G$13,1)),0.0001))*Inputs!$B$13,0),1),100))+(1-(INDEX('Scratch Data'!$H$5:$H$13,MATCH($A21,'Scratch Data'!$G$5:$G$13,1))+($A21-INDEX('Scratch Data'!$G$5:$G$13,MATCH($A21,'Scratch Data'!$G$5:$G$13,1)))*(INDEX('Scratch Data'!$H$5:$H$13,MIN(MATCH($A21,'Scratch Data'!$G$5:$G$13,1)+1,ROWS('Scratch Data'!$G$5:$G$13)))-INDEX('Scratch Data'!$H$5:$H$13,MATCH($A21,'Scratch Data'!$G$5:$G$13,1)))/MAX(INDEX('Scratch Data'!$G$5:$G$13,MIN(MATCH($A21,'Scratch Data'!$G$5:$G$13,1)+1,ROWS('Scratch Data'!$G$5:$G$13)))-INDEX('Scratch Data'!$G$5:$G$13,MATCH($A21,'Scratch Data'!$G$5:$G$13,1)),0.0001))*Inputs!$B$12)*((INDEX('Scratch Data'!$J$5:$J$13,MATCH($A21,'Scratch Data'!$G$5:$G$13,1))+($A21-INDEX('Scratch Data'!$G$5:$G$13,MATCH($A21,'Scratch Data'!$G$5:$G$13,1)))*(INDEX('Scratch Data'!$J$5:$J$13,MIN(MATCH($A21,'Scratch Data'!$G$5:$G$13,1)+1,ROWS('Scratch Data'!$G$5:$G$13)))-INDEX('Scratch Data'!$J$5:$J$13,MATCH($A21,'Scratch Data'!$G$5:$G$13,1)))/MAX(INDEX('Scratch Data'!$G$5:$G$13,MIN(MATCH($A21,'Scratch Data'!$G$5:$G$13,1)+1,ROWS('Scratch Data'!$G$5:$G$13)))-INDEX('Scratch Data'!$G$5:$G$13,MATCH($A21,'Scratch Data'!$G$5:$G$13,1)),0.0001))+Inputs!$B$14)),(1+Inputs!$B$19*INDEX(Baseline!$B$3:$B$122,MATCH(MIN(MAX(ROUND((MAX($A21-Inputs!$B$21,30))/5,0)*5,5),600),Baseline!$A$3:$A$122,0))+(1-Inputs!$B$19)*INDEX(Baseline!$C$3:$C$122,MATCH(MIN(MAX(ROUND((MAX($A21-Inputs!$B$21,30))/5,0)*5,5),600),Baseline!$A$3:$A$122,0))+Inputs!$B$14)),(1+Inputs!$B$19*INDEX(Baseline!$B$3:$B$122,MATCH(MIN(MAX(ROUND((MAX($A21-Inputs!$B$21,30))/5,0)*5,5),600),Baseline!$A$3:$A$122,0))+(1-Inputs!$B$19)*INDEX(Baseline!$C$3:$C$122,MATCH(MIN(MAX(ROUND((MAX($A21-Inputs!$B$21,30))/5,0)*5,5),600),Baseline!$A$3:$A$122,0))+Inputs!$B$14)))</f>
        <v>3.19492352</v>
      </c>
      <c r="D21" s="10" t="n">
        <f aca="false">IF($A21&lt;=50,(INDEX('Scratch Data'!$P$5:$P$11,MATCH($A21,'Scratch Data'!$O$5:$O$11,1))+($A21-INDEX('Scratch Data'!$O$5:$O$11,MATCH($A21,'Scratch Data'!$O$5:$O$11,1)))*(INDEX('Scratch Data'!$P$5:$P$11,MIN(MATCH($A21,'Scratch Data'!$O$5:$O$11,1)+1,ROWS('Scratch Data'!$O$5:$O$11)))-INDEX('Scratch Data'!$P$5:$P$11,MATCH($A21,'Scratch Data'!$O$5:$O$11,1)))/MAX(INDEX('Scratch Data'!$O$5:$O$11,MIN(MATCH($A21,'Scratch Data'!$O$5:$O$11,1)+1,ROWS('Scratch Data'!$O$5:$O$11)))-INDEX('Scratch Data'!$O$5:$O$11,MATCH($A21,'Scratch Data'!$O$5:$O$11,1)),0.0001)),IF($A21&lt;=250,MIN((1+(INDEX('Scratch Data'!$H$5:$H$13,MATCH($A21,'Scratch Data'!$G$5:$G$13,1))+($A21-INDEX('Scratch Data'!$G$5:$G$13,MATCH($A21,'Scratch Data'!$G$5:$G$13,1)))*(INDEX('Scratch Data'!$H$5:$H$13,MIN(MATCH($A21,'Scratch Data'!$G$5:$G$13,1)+1,ROWS('Scratch Data'!$G$5:$G$13)))-INDEX('Scratch Data'!$H$5:$H$13,MATCH($A21,'Scratch Data'!$G$5:$G$13,1)))/MAX(INDEX('Scratch Data'!$G$5:$G$13,MIN(MATCH($A21,'Scratch Data'!$G$5:$G$13,1)+1,ROWS('Scratch Data'!$G$5:$G$13)))-INDEX('Scratch Data'!$G$5:$G$13,MATCH($A21,'Scratch Data'!$G$5:$G$13,1)),0.0001))*Inputs!$B$15*INDEX(Baseline!$I$3:$I$102,MIN(MAX(ROUND(Inputs!$B$11*(INDEX('Scratch Data'!$I$5:$I$13,MATCH($A21,'Scratch Data'!$G$5:$G$13,1))+($A21-INDEX('Scratch Data'!$G$5:$G$13,MATCH($A21,'Scratch Data'!$G$5:$G$13,1)))*(INDEX('Scratch Data'!$I$5:$I$13,MIN(MATCH($A21,'Scratch Data'!$G$5:$G$13,1)+1,ROWS('Scratch Data'!$G$5:$G$13)))-INDEX('Scratch Data'!$I$5:$I$13,MATCH($A21,'Scratch Data'!$G$5:$G$13,1)))/MAX(INDEX('Scratch Data'!$G$5:$G$13,MIN(MATCH($A21,'Scratch Data'!$G$5:$G$13,1)+1,ROWS('Scratch Data'!$G$5:$G$13)))-INDEX('Scratch Data'!$G$5:$G$13,MATCH($A21,'Scratch Data'!$G$5:$G$13,1)),0.0001))*Inputs!$B$16,0),1),100))+(1-(INDEX('Scratch Data'!$H$5:$H$13,MATCH($A21,'Scratch Data'!$G$5:$G$13,1))+($A21-INDEX('Scratch Data'!$G$5:$G$13,MATCH($A21,'Scratch Data'!$G$5:$G$13,1)))*(INDEX('Scratch Data'!$H$5:$H$13,MIN(MATCH($A21,'Scratch Data'!$G$5:$G$13,1)+1,ROWS('Scratch Data'!$G$5:$G$13)))-INDEX('Scratch Data'!$H$5:$H$13,MATCH($A21,'Scratch Data'!$G$5:$G$13,1)))/MAX(INDEX('Scratch Data'!$G$5:$G$13,MIN(MATCH($A21,'Scratch Data'!$G$5:$G$13,1)+1,ROWS('Scratch Data'!$G$5:$G$13)))-INDEX('Scratch Data'!$G$5:$G$13,MATCH($A21,'Scratch Data'!$G$5:$G$13,1)),0.0001))*Inputs!$B$15)*((INDEX('Scratch Data'!$J$5:$J$13,MATCH($A21,'Scratch Data'!$G$5:$G$13,1))+($A21-INDEX('Scratch Data'!$G$5:$G$13,MATCH($A21,'Scratch Data'!$G$5:$G$13,1)))*(INDEX('Scratch Data'!$J$5:$J$13,MIN(MATCH($A21,'Scratch Data'!$G$5:$G$13,1)+1,ROWS('Scratch Data'!$G$5:$G$13)))-INDEX('Scratch Data'!$J$5:$J$13,MATCH($A21,'Scratch Data'!$G$5:$G$13,1)))/MAX(INDEX('Scratch Data'!$G$5:$G$13,MIN(MATCH($A21,'Scratch Data'!$G$5:$G$13,1)+1,ROWS('Scratch Data'!$G$5:$G$13)))-INDEX('Scratch Data'!$G$5:$G$13,MATCH($A21,'Scratch Data'!$G$5:$G$13,1)),0.0001))+Inputs!$B$17)),(1+Inputs!$B$19*INDEX(Baseline!$B$3:$B$122,MATCH(MIN(MAX(ROUND((MAX($A21-Inputs!$B$22,30))/5,0)*5,5),600),Baseline!$A$3:$A$122,0))+(1-Inputs!$B$19)*INDEX(Baseline!$C$3:$C$122,MATCH(MIN(MAX(ROUND((MAX($A21-Inputs!$B$22,30))/5,0)*5,5),600),Baseline!$A$3:$A$122,0))+Inputs!$B$17)),(1+Inputs!$B$19*INDEX(Baseline!$B$3:$B$122,MATCH(MIN(MAX(ROUND((MAX($A21-Inputs!$B$22,30))/5,0)*5,5),600),Baseline!$A$3:$A$122,0))+(1-Inputs!$B$19)*INDEX(Baseline!$C$3:$C$122,MATCH(MIN(MAX(ROUND((MAX($A21-Inputs!$B$22,30))/5,0)*5,5),600),Baseline!$A$3:$A$122,0))+Inputs!$B$17)))</f>
        <v>3.32501536</v>
      </c>
      <c r="E21" s="10" t="n">
        <f aca="false">1+Inputs!$B$24+0.6*INDEX(Baseline!$B$3:$B$122,MATCH(MIN(MAX(ROUND((MAX($A21-Inputs!$B$23,15))/5,0)*5,5),600),Baseline!$A$3:$A$122,0))+0.4*INDEX(Baseline!$C$3:$C$122,MATCH(MIN(MAX(ROUND((MAX($A21-Inputs!$B$23,15))/5,0)*5,5),600),Baseline!$A$3:$A$122,0))</f>
        <v>3.56</v>
      </c>
      <c r="H21" s="7" t="n">
        <v>19</v>
      </c>
      <c r="I21" s="10" t="n">
        <f aca="false">(INDEX('Scratch Data'!$E$5:$E$22,MATCH($H21,'Scratch Data'!$A$5:$A$22,1))+($H21-INDEX('Scratch Data'!$A$5:$A$22,MATCH($H21,'Scratch Data'!$A$5:$A$22,1)))*(INDEX('Scratch Data'!$E$5:$E$22,MIN(MATCH($H21,'Scratch Data'!$A$5:$A$22,1)+1,ROWS('Scratch Data'!$A$5:$A$22)))-INDEX('Scratch Data'!$E$5:$E$22,MATCH($H21,'Scratch Data'!$A$5:$A$22,1)))/MAX(INDEX('Scratch Data'!$A$5:$A$22,MIN(MATCH($H21,'Scratch Data'!$A$5:$A$22,1)+1,ROWS('Scratch Data'!$A$5:$A$22)))-INDEX('Scratch Data'!$A$5:$A$22,MATCH($H21,'Scratch Data'!$A$5:$A$22,1)),0.0001))</f>
        <v>1.8948</v>
      </c>
    </row>
    <row r="22" customFormat="false" ht="15" hidden="false" customHeight="false" outlineLevel="0" collapsed="false">
      <c r="A22" s="7" t="n">
        <v>100</v>
      </c>
      <c r="B22" s="10" t="n">
        <f aca="false">IF($A22&lt;=50,(INDEX('Scratch Data'!$M$5:$M$12,MATCH($A22,'Scratch Data'!$L$5:$L$12,1))+($A22-INDEX('Scratch Data'!$L$5:$L$12,MATCH($A22,'Scratch Data'!$L$5:$L$12,1)))*(INDEX('Scratch Data'!$M$5:$M$12,MIN(MATCH($A22,'Scratch Data'!$L$5:$L$12,1)+1,ROWS('Scratch Data'!$L$5:$L$12)))-INDEX('Scratch Data'!$M$5:$M$12,MATCH($A22,'Scratch Data'!$L$5:$L$12,1)))/MAX(INDEX('Scratch Data'!$L$5:$L$12,MIN(MATCH($A22,'Scratch Data'!$L$5:$L$12,1)+1,ROWS('Scratch Data'!$L$5:$L$12)))-INDEX('Scratch Data'!$L$5:$L$12,MATCH($A22,'Scratch Data'!$L$5:$L$12,1)),0.0001)),IF($A22&lt;=250,MIN((1+(INDEX('Scratch Data'!$H$5:$H$13,MATCH($A22,'Scratch Data'!$G$5:$G$13,1))+($A22-INDEX('Scratch Data'!$G$5:$G$13,MATCH($A22,'Scratch Data'!$G$5:$G$13,1)))*(INDEX('Scratch Data'!$H$5:$H$13,MIN(MATCH($A22,'Scratch Data'!$G$5:$G$13,1)+1,ROWS('Scratch Data'!$G$5:$G$13)))-INDEX('Scratch Data'!$H$5:$H$13,MATCH($A22,'Scratch Data'!$G$5:$G$13,1)))/MAX(INDEX('Scratch Data'!$G$5:$G$13,MIN(MATCH($A22,'Scratch Data'!$G$5:$G$13,1)+1,ROWS('Scratch Data'!$G$5:$G$13)))-INDEX('Scratch Data'!$G$5:$G$13,MATCH($A22,'Scratch Data'!$G$5:$G$13,1)),0.0001))*INDEX(Baseline!$I$3:$I$102,MIN(MAX(ROUND(Inputs!$B$11*(INDEX('Scratch Data'!$I$5:$I$13,MATCH($A22,'Scratch Data'!$G$5:$G$13,1))+($A22-INDEX('Scratch Data'!$G$5:$G$13,MATCH($A22,'Scratch Data'!$G$5:$G$13,1)))*(INDEX('Scratch Data'!$I$5:$I$13,MIN(MATCH($A22,'Scratch Data'!$G$5:$G$13,1)+1,ROWS('Scratch Data'!$G$5:$G$13)))-INDEX('Scratch Data'!$I$5:$I$13,MATCH($A22,'Scratch Data'!$G$5:$G$13,1)))/MAX(INDEX('Scratch Data'!$G$5:$G$13,MIN(MATCH($A22,'Scratch Data'!$G$5:$G$13,1)+1,ROWS('Scratch Data'!$G$5:$G$13)))-INDEX('Scratch Data'!$G$5:$G$13,MATCH($A22,'Scratch Data'!$G$5:$G$13,1)),0.0001)),0),1),100))+(1-(INDEX('Scratch Data'!$H$5:$H$13,MATCH($A22,'Scratch Data'!$G$5:$G$13,1))+($A22-INDEX('Scratch Data'!$G$5:$G$13,MATCH($A22,'Scratch Data'!$G$5:$G$13,1)))*(INDEX('Scratch Data'!$H$5:$H$13,MIN(MATCH($A22,'Scratch Data'!$G$5:$G$13,1)+1,ROWS('Scratch Data'!$G$5:$G$13)))-INDEX('Scratch Data'!$H$5:$H$13,MATCH($A22,'Scratch Data'!$G$5:$G$13,1)))/MAX(INDEX('Scratch Data'!$G$5:$G$13,MIN(MATCH($A22,'Scratch Data'!$G$5:$G$13,1)+1,ROWS('Scratch Data'!$G$5:$G$13)))-INDEX('Scratch Data'!$G$5:$G$13,MATCH($A22,'Scratch Data'!$G$5:$G$13,1)),0.0001)))*(INDEX('Scratch Data'!$J$5:$J$13,MATCH($A22,'Scratch Data'!$G$5:$G$13,1))+($A22-INDEX('Scratch Data'!$G$5:$G$13,MATCH($A22,'Scratch Data'!$G$5:$G$13,1)))*(INDEX('Scratch Data'!$J$5:$J$13,MIN(MATCH($A22,'Scratch Data'!$G$5:$G$13,1)+1,ROWS('Scratch Data'!$G$5:$G$13)))-INDEX('Scratch Data'!$J$5:$J$13,MATCH($A22,'Scratch Data'!$G$5:$G$13,1)))/MAX(INDEX('Scratch Data'!$G$5:$G$13,MIN(MATCH($A22,'Scratch Data'!$G$5:$G$13,1)+1,ROWS('Scratch Data'!$G$5:$G$13)))-INDEX('Scratch Data'!$G$5:$G$13,MATCH($A22,'Scratch Data'!$G$5:$G$13,1)),0.0001))),(1+Inputs!$B$19*INDEX(Baseline!$B$3:$B$122,MATCH(MIN(MAX(ROUND((MAX($A22-Inputs!$B$20,30))/5,0)*5,5),600),Baseline!$A$3:$A$122,0))+(1-Inputs!$B$19)*INDEX(Baseline!$C$3:$C$122,MATCH(MIN(MAX(ROUND((MAX($A22-Inputs!$B$20,30))/5,0)*5,5),600),Baseline!$A$3:$A$122,0)))),(1+Inputs!$B$19*INDEX(Baseline!$B$3:$B$122,MATCH(MIN(MAX(ROUND((MAX($A22-Inputs!$B$20,30))/5,0)*5,5),600),Baseline!$A$3:$A$122,0))+(1-Inputs!$B$19)*INDEX(Baseline!$C$3:$C$122,MATCH(MIN(MAX(ROUND((MAX($A22-Inputs!$B$20,30))/5,0)*5,5),600),Baseline!$A$3:$A$122,0)))))</f>
        <v>3.0308</v>
      </c>
      <c r="C22" s="10" t="n">
        <f aca="false">IF($A22&lt;=50,$B22+Inputs!$B$18,IF($A22&lt;=250,MIN((1+(INDEX('Scratch Data'!$H$5:$H$13,MATCH($A22,'Scratch Data'!$G$5:$G$13,1))+($A22-INDEX('Scratch Data'!$G$5:$G$13,MATCH($A22,'Scratch Data'!$G$5:$G$13,1)))*(INDEX('Scratch Data'!$H$5:$H$13,MIN(MATCH($A22,'Scratch Data'!$G$5:$G$13,1)+1,ROWS('Scratch Data'!$G$5:$G$13)))-INDEX('Scratch Data'!$H$5:$H$13,MATCH($A22,'Scratch Data'!$G$5:$G$13,1)))/MAX(INDEX('Scratch Data'!$G$5:$G$13,MIN(MATCH($A22,'Scratch Data'!$G$5:$G$13,1)+1,ROWS('Scratch Data'!$G$5:$G$13)))-INDEX('Scratch Data'!$G$5:$G$13,MATCH($A22,'Scratch Data'!$G$5:$G$13,1)),0.0001))*Inputs!$B$12*INDEX(Baseline!$I$3:$I$102,MIN(MAX(ROUND(Inputs!$B$11*(INDEX('Scratch Data'!$I$5:$I$13,MATCH($A22,'Scratch Data'!$G$5:$G$13,1))+($A22-INDEX('Scratch Data'!$G$5:$G$13,MATCH($A22,'Scratch Data'!$G$5:$G$13,1)))*(INDEX('Scratch Data'!$I$5:$I$13,MIN(MATCH($A22,'Scratch Data'!$G$5:$G$13,1)+1,ROWS('Scratch Data'!$G$5:$G$13)))-INDEX('Scratch Data'!$I$5:$I$13,MATCH($A22,'Scratch Data'!$G$5:$G$13,1)))/MAX(INDEX('Scratch Data'!$G$5:$G$13,MIN(MATCH($A22,'Scratch Data'!$G$5:$G$13,1)+1,ROWS('Scratch Data'!$G$5:$G$13)))-INDEX('Scratch Data'!$G$5:$G$13,MATCH($A22,'Scratch Data'!$G$5:$G$13,1)),0.0001))*Inputs!$B$13,0),1),100))+(1-(INDEX('Scratch Data'!$H$5:$H$13,MATCH($A22,'Scratch Data'!$G$5:$G$13,1))+($A22-INDEX('Scratch Data'!$G$5:$G$13,MATCH($A22,'Scratch Data'!$G$5:$G$13,1)))*(INDEX('Scratch Data'!$H$5:$H$13,MIN(MATCH($A22,'Scratch Data'!$G$5:$G$13,1)+1,ROWS('Scratch Data'!$G$5:$G$13)))-INDEX('Scratch Data'!$H$5:$H$13,MATCH($A22,'Scratch Data'!$G$5:$G$13,1)))/MAX(INDEX('Scratch Data'!$G$5:$G$13,MIN(MATCH($A22,'Scratch Data'!$G$5:$G$13,1)+1,ROWS('Scratch Data'!$G$5:$G$13)))-INDEX('Scratch Data'!$G$5:$G$13,MATCH($A22,'Scratch Data'!$G$5:$G$13,1)),0.0001))*Inputs!$B$12)*((INDEX('Scratch Data'!$J$5:$J$13,MATCH($A22,'Scratch Data'!$G$5:$G$13,1))+($A22-INDEX('Scratch Data'!$G$5:$G$13,MATCH($A22,'Scratch Data'!$G$5:$G$13,1)))*(INDEX('Scratch Data'!$J$5:$J$13,MIN(MATCH($A22,'Scratch Data'!$G$5:$G$13,1)+1,ROWS('Scratch Data'!$G$5:$G$13)))-INDEX('Scratch Data'!$J$5:$J$13,MATCH($A22,'Scratch Data'!$G$5:$G$13,1)))/MAX(INDEX('Scratch Data'!$G$5:$G$13,MIN(MATCH($A22,'Scratch Data'!$G$5:$G$13,1)+1,ROWS('Scratch Data'!$G$5:$G$13)))-INDEX('Scratch Data'!$G$5:$G$13,MATCH($A22,'Scratch Data'!$G$5:$G$13,1)),0.0001))+Inputs!$B$14)),(1+Inputs!$B$19*INDEX(Baseline!$B$3:$B$122,MATCH(MIN(MAX(ROUND((MAX($A22-Inputs!$B$21,30))/5,0)*5,5),600),Baseline!$A$3:$A$122,0))+(1-Inputs!$B$19)*INDEX(Baseline!$C$3:$C$122,MATCH(MIN(MAX(ROUND((MAX($A22-Inputs!$B$21,30))/5,0)*5,5),600),Baseline!$A$3:$A$122,0))+Inputs!$B$14)),(1+Inputs!$B$19*INDEX(Baseline!$B$3:$B$122,MATCH(MIN(MAX(ROUND((MAX($A22-Inputs!$B$21,30))/5,0)*5,5),600),Baseline!$A$3:$A$122,0))+(1-Inputs!$B$19)*INDEX(Baseline!$C$3:$C$122,MATCH(MIN(MAX(ROUND((MAX($A22-Inputs!$B$21,30))/5,0)*5,5),600),Baseline!$A$3:$A$122,0))+Inputs!$B$14)))</f>
        <v>3.2048384</v>
      </c>
      <c r="D22" s="10" t="n">
        <f aca="false">IF($A22&lt;=50,(INDEX('Scratch Data'!$P$5:$P$11,MATCH($A22,'Scratch Data'!$O$5:$O$11,1))+($A22-INDEX('Scratch Data'!$O$5:$O$11,MATCH($A22,'Scratch Data'!$O$5:$O$11,1)))*(INDEX('Scratch Data'!$P$5:$P$11,MIN(MATCH($A22,'Scratch Data'!$O$5:$O$11,1)+1,ROWS('Scratch Data'!$O$5:$O$11)))-INDEX('Scratch Data'!$P$5:$P$11,MATCH($A22,'Scratch Data'!$O$5:$O$11,1)))/MAX(INDEX('Scratch Data'!$O$5:$O$11,MIN(MATCH($A22,'Scratch Data'!$O$5:$O$11,1)+1,ROWS('Scratch Data'!$O$5:$O$11)))-INDEX('Scratch Data'!$O$5:$O$11,MATCH($A22,'Scratch Data'!$O$5:$O$11,1)),0.0001)),IF($A22&lt;=250,MIN((1+(INDEX('Scratch Data'!$H$5:$H$13,MATCH($A22,'Scratch Data'!$G$5:$G$13,1))+($A22-INDEX('Scratch Data'!$G$5:$G$13,MATCH($A22,'Scratch Data'!$G$5:$G$13,1)))*(INDEX('Scratch Data'!$H$5:$H$13,MIN(MATCH($A22,'Scratch Data'!$G$5:$G$13,1)+1,ROWS('Scratch Data'!$G$5:$G$13)))-INDEX('Scratch Data'!$H$5:$H$13,MATCH($A22,'Scratch Data'!$G$5:$G$13,1)))/MAX(INDEX('Scratch Data'!$G$5:$G$13,MIN(MATCH($A22,'Scratch Data'!$G$5:$G$13,1)+1,ROWS('Scratch Data'!$G$5:$G$13)))-INDEX('Scratch Data'!$G$5:$G$13,MATCH($A22,'Scratch Data'!$G$5:$G$13,1)),0.0001))*Inputs!$B$15*INDEX(Baseline!$I$3:$I$102,MIN(MAX(ROUND(Inputs!$B$11*(INDEX('Scratch Data'!$I$5:$I$13,MATCH($A22,'Scratch Data'!$G$5:$G$13,1))+($A22-INDEX('Scratch Data'!$G$5:$G$13,MATCH($A22,'Scratch Data'!$G$5:$G$13,1)))*(INDEX('Scratch Data'!$I$5:$I$13,MIN(MATCH($A22,'Scratch Data'!$G$5:$G$13,1)+1,ROWS('Scratch Data'!$G$5:$G$13)))-INDEX('Scratch Data'!$I$5:$I$13,MATCH($A22,'Scratch Data'!$G$5:$G$13,1)))/MAX(INDEX('Scratch Data'!$G$5:$G$13,MIN(MATCH($A22,'Scratch Data'!$G$5:$G$13,1)+1,ROWS('Scratch Data'!$G$5:$G$13)))-INDEX('Scratch Data'!$G$5:$G$13,MATCH($A22,'Scratch Data'!$G$5:$G$13,1)),0.0001))*Inputs!$B$16,0),1),100))+(1-(INDEX('Scratch Data'!$H$5:$H$13,MATCH($A22,'Scratch Data'!$G$5:$G$13,1))+($A22-INDEX('Scratch Data'!$G$5:$G$13,MATCH($A22,'Scratch Data'!$G$5:$G$13,1)))*(INDEX('Scratch Data'!$H$5:$H$13,MIN(MATCH($A22,'Scratch Data'!$G$5:$G$13,1)+1,ROWS('Scratch Data'!$G$5:$G$13)))-INDEX('Scratch Data'!$H$5:$H$13,MATCH($A22,'Scratch Data'!$G$5:$G$13,1)))/MAX(INDEX('Scratch Data'!$G$5:$G$13,MIN(MATCH($A22,'Scratch Data'!$G$5:$G$13,1)+1,ROWS('Scratch Data'!$G$5:$G$13)))-INDEX('Scratch Data'!$G$5:$G$13,MATCH($A22,'Scratch Data'!$G$5:$G$13,1)),0.0001))*Inputs!$B$15)*((INDEX('Scratch Data'!$J$5:$J$13,MATCH($A22,'Scratch Data'!$G$5:$G$13,1))+($A22-INDEX('Scratch Data'!$G$5:$G$13,MATCH($A22,'Scratch Data'!$G$5:$G$13,1)))*(INDEX('Scratch Data'!$J$5:$J$13,MIN(MATCH($A22,'Scratch Data'!$G$5:$G$13,1)+1,ROWS('Scratch Data'!$G$5:$G$13)))-INDEX('Scratch Data'!$J$5:$J$13,MATCH($A22,'Scratch Data'!$G$5:$G$13,1)))/MAX(INDEX('Scratch Data'!$G$5:$G$13,MIN(MATCH($A22,'Scratch Data'!$G$5:$G$13,1)+1,ROWS('Scratch Data'!$G$5:$G$13)))-INDEX('Scratch Data'!$G$5:$G$13,MATCH($A22,'Scratch Data'!$G$5:$G$13,1)),0.0001))+Inputs!$B$17)),(1+Inputs!$B$19*INDEX(Baseline!$B$3:$B$122,MATCH(MIN(MAX(ROUND((MAX($A22-Inputs!$B$22,30))/5,0)*5,5),600),Baseline!$A$3:$A$122,0))+(1-Inputs!$B$19)*INDEX(Baseline!$C$3:$C$122,MATCH(MIN(MAX(ROUND((MAX($A22-Inputs!$B$22,30))/5,0)*5,5),600),Baseline!$A$3:$A$122,0))+Inputs!$B$17)),(1+Inputs!$B$19*INDEX(Baseline!$B$3:$B$122,MATCH(MIN(MAX(ROUND((MAX($A22-Inputs!$B$22,30))/5,0)*5,5),600),Baseline!$A$3:$A$122,0))+(1-Inputs!$B$19)*INDEX(Baseline!$C$3:$C$122,MATCH(MIN(MAX(ROUND((MAX($A22-Inputs!$B$22,30))/5,0)*5,5),600),Baseline!$A$3:$A$122,0))+Inputs!$B$17)))</f>
        <v>3.3441016</v>
      </c>
      <c r="E22" s="10" t="n">
        <f aca="false">1+Inputs!$B$24+0.6*INDEX(Baseline!$B$3:$B$122,MATCH(MIN(MAX(ROUND((MAX($A22-Inputs!$B$23,15))/5,0)*5,5),600),Baseline!$A$3:$A$122,0))+0.4*INDEX(Baseline!$C$3:$C$122,MATCH(MIN(MAX(ROUND((MAX($A22-Inputs!$B$23,15))/5,0)*5,5),600),Baseline!$A$3:$A$122,0))</f>
        <v>3.56</v>
      </c>
      <c r="H22" s="7" t="n">
        <v>20</v>
      </c>
      <c r="I22" s="10" t="n">
        <f aca="false">(INDEX('Scratch Data'!$E$5:$E$22,MATCH($H22,'Scratch Data'!$A$5:$A$22,1))+($H22-INDEX('Scratch Data'!$A$5:$A$22,MATCH($H22,'Scratch Data'!$A$5:$A$22,1)))*(INDEX('Scratch Data'!$E$5:$E$22,MIN(MATCH($H22,'Scratch Data'!$A$5:$A$22,1)+1,ROWS('Scratch Data'!$A$5:$A$22)))-INDEX('Scratch Data'!$E$5:$E$22,MATCH($H22,'Scratch Data'!$A$5:$A$22,1)))/MAX(INDEX('Scratch Data'!$A$5:$A$22,MIN(MATCH($H22,'Scratch Data'!$A$5:$A$22,1)+1,ROWS('Scratch Data'!$A$5:$A$22)))-INDEX('Scratch Data'!$A$5:$A$22,MATCH($H22,'Scratch Data'!$A$5:$A$22,1)),0.0001))</f>
        <v>1.916</v>
      </c>
    </row>
    <row r="23" customFormat="false" ht="15" hidden="false" customHeight="false" outlineLevel="0" collapsed="false">
      <c r="A23" s="7" t="n">
        <v>105</v>
      </c>
      <c r="B23" s="10" t="n">
        <f aca="false">IF($A23&lt;=50,(INDEX('Scratch Data'!$M$5:$M$12,MATCH($A23,'Scratch Data'!$L$5:$L$12,1))+($A23-INDEX('Scratch Data'!$L$5:$L$12,MATCH($A23,'Scratch Data'!$L$5:$L$12,1)))*(INDEX('Scratch Data'!$M$5:$M$12,MIN(MATCH($A23,'Scratch Data'!$L$5:$L$12,1)+1,ROWS('Scratch Data'!$L$5:$L$12)))-INDEX('Scratch Data'!$M$5:$M$12,MATCH($A23,'Scratch Data'!$L$5:$L$12,1)))/MAX(INDEX('Scratch Data'!$L$5:$L$12,MIN(MATCH($A23,'Scratch Data'!$L$5:$L$12,1)+1,ROWS('Scratch Data'!$L$5:$L$12)))-INDEX('Scratch Data'!$L$5:$L$12,MATCH($A23,'Scratch Data'!$L$5:$L$12,1)),0.0001)),IF($A23&lt;=250,MIN((1+(INDEX('Scratch Data'!$H$5:$H$13,MATCH($A23,'Scratch Data'!$G$5:$G$13,1))+($A23-INDEX('Scratch Data'!$G$5:$G$13,MATCH($A23,'Scratch Data'!$G$5:$G$13,1)))*(INDEX('Scratch Data'!$H$5:$H$13,MIN(MATCH($A23,'Scratch Data'!$G$5:$G$13,1)+1,ROWS('Scratch Data'!$G$5:$G$13)))-INDEX('Scratch Data'!$H$5:$H$13,MATCH($A23,'Scratch Data'!$G$5:$G$13,1)))/MAX(INDEX('Scratch Data'!$G$5:$G$13,MIN(MATCH($A23,'Scratch Data'!$G$5:$G$13,1)+1,ROWS('Scratch Data'!$G$5:$G$13)))-INDEX('Scratch Data'!$G$5:$G$13,MATCH($A23,'Scratch Data'!$G$5:$G$13,1)),0.0001))*INDEX(Baseline!$I$3:$I$102,MIN(MAX(ROUND(Inputs!$B$11*(INDEX('Scratch Data'!$I$5:$I$13,MATCH($A23,'Scratch Data'!$G$5:$G$13,1))+($A23-INDEX('Scratch Data'!$G$5:$G$13,MATCH($A23,'Scratch Data'!$G$5:$G$13,1)))*(INDEX('Scratch Data'!$I$5:$I$13,MIN(MATCH($A23,'Scratch Data'!$G$5:$G$13,1)+1,ROWS('Scratch Data'!$G$5:$G$13)))-INDEX('Scratch Data'!$I$5:$I$13,MATCH($A23,'Scratch Data'!$G$5:$G$13,1)))/MAX(INDEX('Scratch Data'!$G$5:$G$13,MIN(MATCH($A23,'Scratch Data'!$G$5:$G$13,1)+1,ROWS('Scratch Data'!$G$5:$G$13)))-INDEX('Scratch Data'!$G$5:$G$13,MATCH($A23,'Scratch Data'!$G$5:$G$13,1)),0.0001)),0),1),100))+(1-(INDEX('Scratch Data'!$H$5:$H$13,MATCH($A23,'Scratch Data'!$G$5:$G$13,1))+($A23-INDEX('Scratch Data'!$G$5:$G$13,MATCH($A23,'Scratch Data'!$G$5:$G$13,1)))*(INDEX('Scratch Data'!$H$5:$H$13,MIN(MATCH($A23,'Scratch Data'!$G$5:$G$13,1)+1,ROWS('Scratch Data'!$G$5:$G$13)))-INDEX('Scratch Data'!$H$5:$H$13,MATCH($A23,'Scratch Data'!$G$5:$G$13,1)))/MAX(INDEX('Scratch Data'!$G$5:$G$13,MIN(MATCH($A23,'Scratch Data'!$G$5:$G$13,1)+1,ROWS('Scratch Data'!$G$5:$G$13)))-INDEX('Scratch Data'!$G$5:$G$13,MATCH($A23,'Scratch Data'!$G$5:$G$13,1)),0.0001)))*(INDEX('Scratch Data'!$J$5:$J$13,MATCH($A23,'Scratch Data'!$G$5:$G$13,1))+($A23-INDEX('Scratch Data'!$G$5:$G$13,MATCH($A23,'Scratch Data'!$G$5:$G$13,1)))*(INDEX('Scratch Data'!$J$5:$J$13,MIN(MATCH($A23,'Scratch Data'!$G$5:$G$13,1)+1,ROWS('Scratch Data'!$G$5:$G$13)))-INDEX('Scratch Data'!$J$5:$J$13,MATCH($A23,'Scratch Data'!$G$5:$G$13,1)))/MAX(INDEX('Scratch Data'!$G$5:$G$13,MIN(MATCH($A23,'Scratch Data'!$G$5:$G$13,1)+1,ROWS('Scratch Data'!$G$5:$G$13)))-INDEX('Scratch Data'!$G$5:$G$13,MATCH($A23,'Scratch Data'!$G$5:$G$13,1)),0.0001))),(1+Inputs!$B$19*INDEX(Baseline!$B$3:$B$122,MATCH(MIN(MAX(ROUND((MAX($A23-Inputs!$B$20,30))/5,0)*5,5),600),Baseline!$A$3:$A$122,0))+(1-Inputs!$B$19)*INDEX(Baseline!$C$3:$C$122,MATCH(MIN(MAX(ROUND((MAX($A23-Inputs!$B$20,30))/5,0)*5,5),600),Baseline!$A$3:$A$122,0)))),(1+Inputs!$B$19*INDEX(Baseline!$B$3:$B$122,MATCH(MIN(MAX(ROUND((MAX($A23-Inputs!$B$20,30))/5,0)*5,5),600),Baseline!$A$3:$A$122,0))+(1-Inputs!$B$19)*INDEX(Baseline!$C$3:$C$122,MATCH(MIN(MAX(ROUND((MAX($A23-Inputs!$B$20,30))/5,0)*5,5),600),Baseline!$A$3:$A$122,0)))))</f>
        <v>3.0424</v>
      </c>
      <c r="C23" s="10" t="n">
        <f aca="false">IF($A23&lt;=50,$B23+Inputs!$B$18,IF($A23&lt;=250,MIN((1+(INDEX('Scratch Data'!$H$5:$H$13,MATCH($A23,'Scratch Data'!$G$5:$G$13,1))+($A23-INDEX('Scratch Data'!$G$5:$G$13,MATCH($A23,'Scratch Data'!$G$5:$G$13,1)))*(INDEX('Scratch Data'!$H$5:$H$13,MIN(MATCH($A23,'Scratch Data'!$G$5:$G$13,1)+1,ROWS('Scratch Data'!$G$5:$G$13)))-INDEX('Scratch Data'!$H$5:$H$13,MATCH($A23,'Scratch Data'!$G$5:$G$13,1)))/MAX(INDEX('Scratch Data'!$G$5:$G$13,MIN(MATCH($A23,'Scratch Data'!$G$5:$G$13,1)+1,ROWS('Scratch Data'!$G$5:$G$13)))-INDEX('Scratch Data'!$G$5:$G$13,MATCH($A23,'Scratch Data'!$G$5:$G$13,1)),0.0001))*Inputs!$B$12*INDEX(Baseline!$I$3:$I$102,MIN(MAX(ROUND(Inputs!$B$11*(INDEX('Scratch Data'!$I$5:$I$13,MATCH($A23,'Scratch Data'!$G$5:$G$13,1))+($A23-INDEX('Scratch Data'!$G$5:$G$13,MATCH($A23,'Scratch Data'!$G$5:$G$13,1)))*(INDEX('Scratch Data'!$I$5:$I$13,MIN(MATCH($A23,'Scratch Data'!$G$5:$G$13,1)+1,ROWS('Scratch Data'!$G$5:$G$13)))-INDEX('Scratch Data'!$I$5:$I$13,MATCH($A23,'Scratch Data'!$G$5:$G$13,1)))/MAX(INDEX('Scratch Data'!$G$5:$G$13,MIN(MATCH($A23,'Scratch Data'!$G$5:$G$13,1)+1,ROWS('Scratch Data'!$G$5:$G$13)))-INDEX('Scratch Data'!$G$5:$G$13,MATCH($A23,'Scratch Data'!$G$5:$G$13,1)),0.0001))*Inputs!$B$13,0),1),100))+(1-(INDEX('Scratch Data'!$H$5:$H$13,MATCH($A23,'Scratch Data'!$G$5:$G$13,1))+($A23-INDEX('Scratch Data'!$G$5:$G$13,MATCH($A23,'Scratch Data'!$G$5:$G$13,1)))*(INDEX('Scratch Data'!$H$5:$H$13,MIN(MATCH($A23,'Scratch Data'!$G$5:$G$13,1)+1,ROWS('Scratch Data'!$G$5:$G$13)))-INDEX('Scratch Data'!$H$5:$H$13,MATCH($A23,'Scratch Data'!$G$5:$G$13,1)))/MAX(INDEX('Scratch Data'!$G$5:$G$13,MIN(MATCH($A23,'Scratch Data'!$G$5:$G$13,1)+1,ROWS('Scratch Data'!$G$5:$G$13)))-INDEX('Scratch Data'!$G$5:$G$13,MATCH($A23,'Scratch Data'!$G$5:$G$13,1)),0.0001))*Inputs!$B$12)*((INDEX('Scratch Data'!$J$5:$J$13,MATCH($A23,'Scratch Data'!$G$5:$G$13,1))+($A23-INDEX('Scratch Data'!$G$5:$G$13,MATCH($A23,'Scratch Data'!$G$5:$G$13,1)))*(INDEX('Scratch Data'!$J$5:$J$13,MIN(MATCH($A23,'Scratch Data'!$G$5:$G$13,1)+1,ROWS('Scratch Data'!$G$5:$G$13)))-INDEX('Scratch Data'!$J$5:$J$13,MATCH($A23,'Scratch Data'!$G$5:$G$13,1)))/MAX(INDEX('Scratch Data'!$G$5:$G$13,MIN(MATCH($A23,'Scratch Data'!$G$5:$G$13,1)+1,ROWS('Scratch Data'!$G$5:$G$13)))-INDEX('Scratch Data'!$G$5:$G$13,MATCH($A23,'Scratch Data'!$G$5:$G$13,1)),0.0001))+Inputs!$B$14)),(1+Inputs!$B$19*INDEX(Baseline!$B$3:$B$122,MATCH(MIN(MAX(ROUND((MAX($A23-Inputs!$B$21,30))/5,0)*5,5),600),Baseline!$A$3:$A$122,0))+(1-Inputs!$B$19)*INDEX(Baseline!$C$3:$C$122,MATCH(MIN(MAX(ROUND((MAX($A23-Inputs!$B$21,30))/5,0)*5,5),600),Baseline!$A$3:$A$122,0))+Inputs!$B$14)),(1+Inputs!$B$19*INDEX(Baseline!$B$3:$B$122,MATCH(MIN(MAX(ROUND((MAX($A23-Inputs!$B$21,30))/5,0)*5,5),600),Baseline!$A$3:$A$122,0))+(1-Inputs!$B$19)*INDEX(Baseline!$C$3:$C$122,MATCH(MIN(MAX(ROUND((MAX($A23-Inputs!$B$21,30))/5,0)*5,5),600),Baseline!$A$3:$A$122,0))+Inputs!$B$14)))</f>
        <v>3.22779712</v>
      </c>
      <c r="D23" s="10" t="n">
        <f aca="false">IF($A23&lt;=50,(INDEX('Scratch Data'!$P$5:$P$11,MATCH($A23,'Scratch Data'!$O$5:$O$11,1))+($A23-INDEX('Scratch Data'!$O$5:$O$11,MATCH($A23,'Scratch Data'!$O$5:$O$11,1)))*(INDEX('Scratch Data'!$P$5:$P$11,MIN(MATCH($A23,'Scratch Data'!$O$5:$O$11,1)+1,ROWS('Scratch Data'!$O$5:$O$11)))-INDEX('Scratch Data'!$P$5:$P$11,MATCH($A23,'Scratch Data'!$O$5:$O$11,1)))/MAX(INDEX('Scratch Data'!$O$5:$O$11,MIN(MATCH($A23,'Scratch Data'!$O$5:$O$11,1)+1,ROWS('Scratch Data'!$O$5:$O$11)))-INDEX('Scratch Data'!$O$5:$O$11,MATCH($A23,'Scratch Data'!$O$5:$O$11,1)),0.0001)),IF($A23&lt;=250,MIN((1+(INDEX('Scratch Data'!$H$5:$H$13,MATCH($A23,'Scratch Data'!$G$5:$G$13,1))+($A23-INDEX('Scratch Data'!$G$5:$G$13,MATCH($A23,'Scratch Data'!$G$5:$G$13,1)))*(INDEX('Scratch Data'!$H$5:$H$13,MIN(MATCH($A23,'Scratch Data'!$G$5:$G$13,1)+1,ROWS('Scratch Data'!$G$5:$G$13)))-INDEX('Scratch Data'!$H$5:$H$13,MATCH($A23,'Scratch Data'!$G$5:$G$13,1)))/MAX(INDEX('Scratch Data'!$G$5:$G$13,MIN(MATCH($A23,'Scratch Data'!$G$5:$G$13,1)+1,ROWS('Scratch Data'!$G$5:$G$13)))-INDEX('Scratch Data'!$G$5:$G$13,MATCH($A23,'Scratch Data'!$G$5:$G$13,1)),0.0001))*Inputs!$B$15*INDEX(Baseline!$I$3:$I$102,MIN(MAX(ROUND(Inputs!$B$11*(INDEX('Scratch Data'!$I$5:$I$13,MATCH($A23,'Scratch Data'!$G$5:$G$13,1))+($A23-INDEX('Scratch Data'!$G$5:$G$13,MATCH($A23,'Scratch Data'!$G$5:$G$13,1)))*(INDEX('Scratch Data'!$I$5:$I$13,MIN(MATCH($A23,'Scratch Data'!$G$5:$G$13,1)+1,ROWS('Scratch Data'!$G$5:$G$13)))-INDEX('Scratch Data'!$I$5:$I$13,MATCH($A23,'Scratch Data'!$G$5:$G$13,1)))/MAX(INDEX('Scratch Data'!$G$5:$G$13,MIN(MATCH($A23,'Scratch Data'!$G$5:$G$13,1)+1,ROWS('Scratch Data'!$G$5:$G$13)))-INDEX('Scratch Data'!$G$5:$G$13,MATCH($A23,'Scratch Data'!$G$5:$G$13,1)),0.0001))*Inputs!$B$16,0),1),100))+(1-(INDEX('Scratch Data'!$H$5:$H$13,MATCH($A23,'Scratch Data'!$G$5:$G$13,1))+($A23-INDEX('Scratch Data'!$G$5:$G$13,MATCH($A23,'Scratch Data'!$G$5:$G$13,1)))*(INDEX('Scratch Data'!$H$5:$H$13,MIN(MATCH($A23,'Scratch Data'!$G$5:$G$13,1)+1,ROWS('Scratch Data'!$G$5:$G$13)))-INDEX('Scratch Data'!$H$5:$H$13,MATCH($A23,'Scratch Data'!$G$5:$G$13,1)))/MAX(INDEX('Scratch Data'!$G$5:$G$13,MIN(MATCH($A23,'Scratch Data'!$G$5:$G$13,1)+1,ROWS('Scratch Data'!$G$5:$G$13)))-INDEX('Scratch Data'!$G$5:$G$13,MATCH($A23,'Scratch Data'!$G$5:$G$13,1)),0.0001))*Inputs!$B$15)*((INDEX('Scratch Data'!$J$5:$J$13,MATCH($A23,'Scratch Data'!$G$5:$G$13,1))+($A23-INDEX('Scratch Data'!$G$5:$G$13,MATCH($A23,'Scratch Data'!$G$5:$G$13,1)))*(INDEX('Scratch Data'!$J$5:$J$13,MIN(MATCH($A23,'Scratch Data'!$G$5:$G$13,1)+1,ROWS('Scratch Data'!$G$5:$G$13)))-INDEX('Scratch Data'!$J$5:$J$13,MATCH($A23,'Scratch Data'!$G$5:$G$13,1)))/MAX(INDEX('Scratch Data'!$G$5:$G$13,MIN(MATCH($A23,'Scratch Data'!$G$5:$G$13,1)+1,ROWS('Scratch Data'!$G$5:$G$13)))-INDEX('Scratch Data'!$G$5:$G$13,MATCH($A23,'Scratch Data'!$G$5:$G$13,1)),0.0001))+Inputs!$B$17)),(1+Inputs!$B$19*INDEX(Baseline!$B$3:$B$122,MATCH(MIN(MAX(ROUND((MAX($A23-Inputs!$B$22,30))/5,0)*5,5),600),Baseline!$A$3:$A$122,0))+(1-Inputs!$B$19)*INDEX(Baseline!$C$3:$C$122,MATCH(MIN(MAX(ROUND((MAX($A23-Inputs!$B$22,30))/5,0)*5,5),600),Baseline!$A$3:$A$122,0))+Inputs!$B$17)),(1+Inputs!$B$19*INDEX(Baseline!$B$3:$B$122,MATCH(MIN(MAX(ROUND((MAX($A23-Inputs!$B$22,30))/5,0)*5,5),600),Baseline!$A$3:$A$122,0))+(1-Inputs!$B$19)*INDEX(Baseline!$C$3:$C$122,MATCH(MIN(MAX(ROUND((MAX($A23-Inputs!$B$22,30))/5,0)*5,5),600),Baseline!$A$3:$A$122,0))+Inputs!$B$17)))</f>
        <v>3.3652452</v>
      </c>
      <c r="E23" s="10" t="n">
        <f aca="false">1+Inputs!$B$24+0.6*INDEX(Baseline!$B$3:$B$122,MATCH(MIN(MAX(ROUND((MAX($A23-Inputs!$B$23,15))/5,0)*5,5),600),Baseline!$A$3:$A$122,0))+0.4*INDEX(Baseline!$C$3:$C$122,MATCH(MIN(MAX(ROUND((MAX($A23-Inputs!$B$23,15))/5,0)*5,5),600),Baseline!$A$3:$A$122,0))</f>
        <v>3.56</v>
      </c>
      <c r="H23" s="7" t="n">
        <v>21</v>
      </c>
      <c r="I23" s="10" t="n">
        <f aca="false">(INDEX('Scratch Data'!$E$5:$E$22,MATCH($H23,'Scratch Data'!$A$5:$A$22,1))+($H23-INDEX('Scratch Data'!$A$5:$A$22,MATCH($H23,'Scratch Data'!$A$5:$A$22,1)))*(INDEX('Scratch Data'!$E$5:$E$22,MIN(MATCH($H23,'Scratch Data'!$A$5:$A$22,1)+1,ROWS('Scratch Data'!$A$5:$A$22)))-INDEX('Scratch Data'!$E$5:$E$22,MATCH($H23,'Scratch Data'!$A$5:$A$22,1)))/MAX(INDEX('Scratch Data'!$A$5:$A$22,MIN(MATCH($H23,'Scratch Data'!$A$5:$A$22,1)+1,ROWS('Scratch Data'!$A$5:$A$22)))-INDEX('Scratch Data'!$A$5:$A$22,MATCH($H23,'Scratch Data'!$A$5:$A$22,1)),0.0001))</f>
        <v>1.9322</v>
      </c>
    </row>
    <row r="24" customFormat="false" ht="15" hidden="false" customHeight="false" outlineLevel="0" collapsed="false">
      <c r="A24" s="7" t="n">
        <v>110</v>
      </c>
      <c r="B24" s="10" t="n">
        <f aca="false">IF($A24&lt;=50,(INDEX('Scratch Data'!$M$5:$M$12,MATCH($A24,'Scratch Data'!$L$5:$L$12,1))+($A24-INDEX('Scratch Data'!$L$5:$L$12,MATCH($A24,'Scratch Data'!$L$5:$L$12,1)))*(INDEX('Scratch Data'!$M$5:$M$12,MIN(MATCH($A24,'Scratch Data'!$L$5:$L$12,1)+1,ROWS('Scratch Data'!$L$5:$L$12)))-INDEX('Scratch Data'!$M$5:$M$12,MATCH($A24,'Scratch Data'!$L$5:$L$12,1)))/MAX(INDEX('Scratch Data'!$L$5:$L$12,MIN(MATCH($A24,'Scratch Data'!$L$5:$L$12,1)+1,ROWS('Scratch Data'!$L$5:$L$12)))-INDEX('Scratch Data'!$L$5:$L$12,MATCH($A24,'Scratch Data'!$L$5:$L$12,1)),0.0001)),IF($A24&lt;=250,MIN((1+(INDEX('Scratch Data'!$H$5:$H$13,MATCH($A24,'Scratch Data'!$G$5:$G$13,1))+($A24-INDEX('Scratch Data'!$G$5:$G$13,MATCH($A24,'Scratch Data'!$G$5:$G$13,1)))*(INDEX('Scratch Data'!$H$5:$H$13,MIN(MATCH($A24,'Scratch Data'!$G$5:$G$13,1)+1,ROWS('Scratch Data'!$G$5:$G$13)))-INDEX('Scratch Data'!$H$5:$H$13,MATCH($A24,'Scratch Data'!$G$5:$G$13,1)))/MAX(INDEX('Scratch Data'!$G$5:$G$13,MIN(MATCH($A24,'Scratch Data'!$G$5:$G$13,1)+1,ROWS('Scratch Data'!$G$5:$G$13)))-INDEX('Scratch Data'!$G$5:$G$13,MATCH($A24,'Scratch Data'!$G$5:$G$13,1)),0.0001))*INDEX(Baseline!$I$3:$I$102,MIN(MAX(ROUND(Inputs!$B$11*(INDEX('Scratch Data'!$I$5:$I$13,MATCH($A24,'Scratch Data'!$G$5:$G$13,1))+($A24-INDEX('Scratch Data'!$G$5:$G$13,MATCH($A24,'Scratch Data'!$G$5:$G$13,1)))*(INDEX('Scratch Data'!$I$5:$I$13,MIN(MATCH($A24,'Scratch Data'!$G$5:$G$13,1)+1,ROWS('Scratch Data'!$G$5:$G$13)))-INDEX('Scratch Data'!$I$5:$I$13,MATCH($A24,'Scratch Data'!$G$5:$G$13,1)))/MAX(INDEX('Scratch Data'!$G$5:$G$13,MIN(MATCH($A24,'Scratch Data'!$G$5:$G$13,1)+1,ROWS('Scratch Data'!$G$5:$G$13)))-INDEX('Scratch Data'!$G$5:$G$13,MATCH($A24,'Scratch Data'!$G$5:$G$13,1)),0.0001)),0),1),100))+(1-(INDEX('Scratch Data'!$H$5:$H$13,MATCH($A24,'Scratch Data'!$G$5:$G$13,1))+($A24-INDEX('Scratch Data'!$G$5:$G$13,MATCH($A24,'Scratch Data'!$G$5:$G$13,1)))*(INDEX('Scratch Data'!$H$5:$H$13,MIN(MATCH($A24,'Scratch Data'!$G$5:$G$13,1)+1,ROWS('Scratch Data'!$G$5:$G$13)))-INDEX('Scratch Data'!$H$5:$H$13,MATCH($A24,'Scratch Data'!$G$5:$G$13,1)))/MAX(INDEX('Scratch Data'!$G$5:$G$13,MIN(MATCH($A24,'Scratch Data'!$G$5:$G$13,1)+1,ROWS('Scratch Data'!$G$5:$G$13)))-INDEX('Scratch Data'!$G$5:$G$13,MATCH($A24,'Scratch Data'!$G$5:$G$13,1)),0.0001)))*(INDEX('Scratch Data'!$J$5:$J$13,MATCH($A24,'Scratch Data'!$G$5:$G$13,1))+($A24-INDEX('Scratch Data'!$G$5:$G$13,MATCH($A24,'Scratch Data'!$G$5:$G$13,1)))*(INDEX('Scratch Data'!$J$5:$J$13,MIN(MATCH($A24,'Scratch Data'!$G$5:$G$13,1)+1,ROWS('Scratch Data'!$G$5:$G$13)))-INDEX('Scratch Data'!$J$5:$J$13,MATCH($A24,'Scratch Data'!$G$5:$G$13,1)))/MAX(INDEX('Scratch Data'!$G$5:$G$13,MIN(MATCH($A24,'Scratch Data'!$G$5:$G$13,1)+1,ROWS('Scratch Data'!$G$5:$G$13)))-INDEX('Scratch Data'!$G$5:$G$13,MATCH($A24,'Scratch Data'!$G$5:$G$13,1)),0.0001))),(1+Inputs!$B$19*INDEX(Baseline!$B$3:$B$122,MATCH(MIN(MAX(ROUND((MAX($A24-Inputs!$B$20,30))/5,0)*5,5),600),Baseline!$A$3:$A$122,0))+(1-Inputs!$B$19)*INDEX(Baseline!$C$3:$C$122,MATCH(MIN(MAX(ROUND((MAX($A24-Inputs!$B$20,30))/5,0)*5,5),600),Baseline!$A$3:$A$122,0)))),(1+Inputs!$B$19*INDEX(Baseline!$B$3:$B$122,MATCH(MIN(MAX(ROUND((MAX($A24-Inputs!$B$20,30))/5,0)*5,5),600),Baseline!$A$3:$A$122,0))+(1-Inputs!$B$19)*INDEX(Baseline!$C$3:$C$122,MATCH(MIN(MAX(ROUND((MAX($A24-Inputs!$B$20,30))/5,0)*5,5),600),Baseline!$A$3:$A$122,0)))))</f>
        <v>3.0681472</v>
      </c>
      <c r="C24" s="10" t="n">
        <f aca="false">IF($A24&lt;=50,$B24+Inputs!$B$18,IF($A24&lt;=250,MIN((1+(INDEX('Scratch Data'!$H$5:$H$13,MATCH($A24,'Scratch Data'!$G$5:$G$13,1))+($A24-INDEX('Scratch Data'!$G$5:$G$13,MATCH($A24,'Scratch Data'!$G$5:$G$13,1)))*(INDEX('Scratch Data'!$H$5:$H$13,MIN(MATCH($A24,'Scratch Data'!$G$5:$G$13,1)+1,ROWS('Scratch Data'!$G$5:$G$13)))-INDEX('Scratch Data'!$H$5:$H$13,MATCH($A24,'Scratch Data'!$G$5:$G$13,1)))/MAX(INDEX('Scratch Data'!$G$5:$G$13,MIN(MATCH($A24,'Scratch Data'!$G$5:$G$13,1)+1,ROWS('Scratch Data'!$G$5:$G$13)))-INDEX('Scratch Data'!$G$5:$G$13,MATCH($A24,'Scratch Data'!$G$5:$G$13,1)),0.0001))*Inputs!$B$12*INDEX(Baseline!$I$3:$I$102,MIN(MAX(ROUND(Inputs!$B$11*(INDEX('Scratch Data'!$I$5:$I$13,MATCH($A24,'Scratch Data'!$G$5:$G$13,1))+($A24-INDEX('Scratch Data'!$G$5:$G$13,MATCH($A24,'Scratch Data'!$G$5:$G$13,1)))*(INDEX('Scratch Data'!$I$5:$I$13,MIN(MATCH($A24,'Scratch Data'!$G$5:$G$13,1)+1,ROWS('Scratch Data'!$G$5:$G$13)))-INDEX('Scratch Data'!$I$5:$I$13,MATCH($A24,'Scratch Data'!$G$5:$G$13,1)))/MAX(INDEX('Scratch Data'!$G$5:$G$13,MIN(MATCH($A24,'Scratch Data'!$G$5:$G$13,1)+1,ROWS('Scratch Data'!$G$5:$G$13)))-INDEX('Scratch Data'!$G$5:$G$13,MATCH($A24,'Scratch Data'!$G$5:$G$13,1)),0.0001))*Inputs!$B$13,0),1),100))+(1-(INDEX('Scratch Data'!$H$5:$H$13,MATCH($A24,'Scratch Data'!$G$5:$G$13,1))+($A24-INDEX('Scratch Data'!$G$5:$G$13,MATCH($A24,'Scratch Data'!$G$5:$G$13,1)))*(INDEX('Scratch Data'!$H$5:$H$13,MIN(MATCH($A24,'Scratch Data'!$G$5:$G$13,1)+1,ROWS('Scratch Data'!$G$5:$G$13)))-INDEX('Scratch Data'!$H$5:$H$13,MATCH($A24,'Scratch Data'!$G$5:$G$13,1)))/MAX(INDEX('Scratch Data'!$G$5:$G$13,MIN(MATCH($A24,'Scratch Data'!$G$5:$G$13,1)+1,ROWS('Scratch Data'!$G$5:$G$13)))-INDEX('Scratch Data'!$G$5:$G$13,MATCH($A24,'Scratch Data'!$G$5:$G$13,1)),0.0001))*Inputs!$B$12)*((INDEX('Scratch Data'!$J$5:$J$13,MATCH($A24,'Scratch Data'!$G$5:$G$13,1))+($A24-INDEX('Scratch Data'!$G$5:$G$13,MATCH($A24,'Scratch Data'!$G$5:$G$13,1)))*(INDEX('Scratch Data'!$J$5:$J$13,MIN(MATCH($A24,'Scratch Data'!$G$5:$G$13,1)+1,ROWS('Scratch Data'!$G$5:$G$13)))-INDEX('Scratch Data'!$J$5:$J$13,MATCH($A24,'Scratch Data'!$G$5:$G$13,1)))/MAX(INDEX('Scratch Data'!$G$5:$G$13,MIN(MATCH($A24,'Scratch Data'!$G$5:$G$13,1)+1,ROWS('Scratch Data'!$G$5:$G$13)))-INDEX('Scratch Data'!$G$5:$G$13,MATCH($A24,'Scratch Data'!$G$5:$G$13,1)),0.0001))+Inputs!$B$14)),(1+Inputs!$B$19*INDEX(Baseline!$B$3:$B$122,MATCH(MIN(MAX(ROUND((MAX($A24-Inputs!$B$21,30))/5,0)*5,5),600),Baseline!$A$3:$A$122,0))+(1-Inputs!$B$19)*INDEX(Baseline!$C$3:$C$122,MATCH(MIN(MAX(ROUND((MAX($A24-Inputs!$B$21,30))/5,0)*5,5),600),Baseline!$A$3:$A$122,0))+Inputs!$B$14)),(1+Inputs!$B$19*INDEX(Baseline!$B$3:$B$122,MATCH(MIN(MAX(ROUND((MAX($A24-Inputs!$B$21,30))/5,0)*5,5),600),Baseline!$A$3:$A$122,0))+(1-Inputs!$B$19)*INDEX(Baseline!$C$3:$C$122,MATCH(MIN(MAX(ROUND((MAX($A24-Inputs!$B$21,30))/5,0)*5,5),600),Baseline!$A$3:$A$122,0))+Inputs!$B$14)))</f>
        <v>3.2505408</v>
      </c>
      <c r="D24" s="10" t="n">
        <f aca="false">IF($A24&lt;=50,(INDEX('Scratch Data'!$P$5:$P$11,MATCH($A24,'Scratch Data'!$O$5:$O$11,1))+($A24-INDEX('Scratch Data'!$O$5:$O$11,MATCH($A24,'Scratch Data'!$O$5:$O$11,1)))*(INDEX('Scratch Data'!$P$5:$P$11,MIN(MATCH($A24,'Scratch Data'!$O$5:$O$11,1)+1,ROWS('Scratch Data'!$O$5:$O$11)))-INDEX('Scratch Data'!$P$5:$P$11,MATCH($A24,'Scratch Data'!$O$5:$O$11,1)))/MAX(INDEX('Scratch Data'!$O$5:$O$11,MIN(MATCH($A24,'Scratch Data'!$O$5:$O$11,1)+1,ROWS('Scratch Data'!$O$5:$O$11)))-INDEX('Scratch Data'!$O$5:$O$11,MATCH($A24,'Scratch Data'!$O$5:$O$11,1)),0.0001)),IF($A24&lt;=250,MIN((1+(INDEX('Scratch Data'!$H$5:$H$13,MATCH($A24,'Scratch Data'!$G$5:$G$13,1))+($A24-INDEX('Scratch Data'!$G$5:$G$13,MATCH($A24,'Scratch Data'!$G$5:$G$13,1)))*(INDEX('Scratch Data'!$H$5:$H$13,MIN(MATCH($A24,'Scratch Data'!$G$5:$G$13,1)+1,ROWS('Scratch Data'!$G$5:$G$13)))-INDEX('Scratch Data'!$H$5:$H$13,MATCH($A24,'Scratch Data'!$G$5:$G$13,1)))/MAX(INDEX('Scratch Data'!$G$5:$G$13,MIN(MATCH($A24,'Scratch Data'!$G$5:$G$13,1)+1,ROWS('Scratch Data'!$G$5:$G$13)))-INDEX('Scratch Data'!$G$5:$G$13,MATCH($A24,'Scratch Data'!$G$5:$G$13,1)),0.0001))*Inputs!$B$15*INDEX(Baseline!$I$3:$I$102,MIN(MAX(ROUND(Inputs!$B$11*(INDEX('Scratch Data'!$I$5:$I$13,MATCH($A24,'Scratch Data'!$G$5:$G$13,1))+($A24-INDEX('Scratch Data'!$G$5:$G$13,MATCH($A24,'Scratch Data'!$G$5:$G$13,1)))*(INDEX('Scratch Data'!$I$5:$I$13,MIN(MATCH($A24,'Scratch Data'!$G$5:$G$13,1)+1,ROWS('Scratch Data'!$G$5:$G$13)))-INDEX('Scratch Data'!$I$5:$I$13,MATCH($A24,'Scratch Data'!$G$5:$G$13,1)))/MAX(INDEX('Scratch Data'!$G$5:$G$13,MIN(MATCH($A24,'Scratch Data'!$G$5:$G$13,1)+1,ROWS('Scratch Data'!$G$5:$G$13)))-INDEX('Scratch Data'!$G$5:$G$13,MATCH($A24,'Scratch Data'!$G$5:$G$13,1)),0.0001))*Inputs!$B$16,0),1),100))+(1-(INDEX('Scratch Data'!$H$5:$H$13,MATCH($A24,'Scratch Data'!$G$5:$G$13,1))+($A24-INDEX('Scratch Data'!$G$5:$G$13,MATCH($A24,'Scratch Data'!$G$5:$G$13,1)))*(INDEX('Scratch Data'!$H$5:$H$13,MIN(MATCH($A24,'Scratch Data'!$G$5:$G$13,1)+1,ROWS('Scratch Data'!$G$5:$G$13)))-INDEX('Scratch Data'!$H$5:$H$13,MATCH($A24,'Scratch Data'!$G$5:$G$13,1)))/MAX(INDEX('Scratch Data'!$G$5:$G$13,MIN(MATCH($A24,'Scratch Data'!$G$5:$G$13,1)+1,ROWS('Scratch Data'!$G$5:$G$13)))-INDEX('Scratch Data'!$G$5:$G$13,MATCH($A24,'Scratch Data'!$G$5:$G$13,1)),0.0001))*Inputs!$B$15)*((INDEX('Scratch Data'!$J$5:$J$13,MATCH($A24,'Scratch Data'!$G$5:$G$13,1))+($A24-INDEX('Scratch Data'!$G$5:$G$13,MATCH($A24,'Scratch Data'!$G$5:$G$13,1)))*(INDEX('Scratch Data'!$J$5:$J$13,MIN(MATCH($A24,'Scratch Data'!$G$5:$G$13,1)+1,ROWS('Scratch Data'!$G$5:$G$13)))-INDEX('Scratch Data'!$J$5:$J$13,MATCH($A24,'Scratch Data'!$G$5:$G$13,1)))/MAX(INDEX('Scratch Data'!$G$5:$G$13,MIN(MATCH($A24,'Scratch Data'!$G$5:$G$13,1)+1,ROWS('Scratch Data'!$G$5:$G$13)))-INDEX('Scratch Data'!$G$5:$G$13,MATCH($A24,'Scratch Data'!$G$5:$G$13,1)),0.0001))+Inputs!$B$17)),(1+Inputs!$B$19*INDEX(Baseline!$B$3:$B$122,MATCH(MIN(MAX(ROUND((MAX($A24-Inputs!$B$22,30))/5,0)*5,5),600),Baseline!$A$3:$A$122,0))+(1-Inputs!$B$19)*INDEX(Baseline!$C$3:$C$122,MATCH(MIN(MAX(ROUND((MAX($A24-Inputs!$B$22,30))/5,0)*5,5),600),Baseline!$A$3:$A$122,0))+Inputs!$B$17)),(1+Inputs!$B$19*INDEX(Baseline!$B$3:$B$122,MATCH(MIN(MAX(ROUND((MAX($A24-Inputs!$B$22,30))/5,0)*5,5),600),Baseline!$A$3:$A$122,0))+(1-Inputs!$B$19)*INDEX(Baseline!$C$3:$C$122,MATCH(MIN(MAX(ROUND((MAX($A24-Inputs!$B$22,30))/5,0)*5,5),600),Baseline!$A$3:$A$122,0))+Inputs!$B$17)))</f>
        <v>3.38408208</v>
      </c>
      <c r="E24" s="10" t="n">
        <f aca="false">1+Inputs!$B$24+0.6*INDEX(Baseline!$B$3:$B$122,MATCH(MIN(MAX(ROUND((MAX($A24-Inputs!$B$23,15))/5,0)*5,5),600),Baseline!$A$3:$A$122,0))+0.4*INDEX(Baseline!$C$3:$C$122,MATCH(MIN(MAX(ROUND((MAX($A24-Inputs!$B$23,15))/5,0)*5,5),600),Baseline!$A$3:$A$122,0))</f>
        <v>3.56</v>
      </c>
      <c r="H24" s="7" t="n">
        <v>22</v>
      </c>
      <c r="I24" s="10" t="n">
        <f aca="false">(INDEX('Scratch Data'!$E$5:$E$22,MATCH($H24,'Scratch Data'!$A$5:$A$22,1))+($H24-INDEX('Scratch Data'!$A$5:$A$22,MATCH($H24,'Scratch Data'!$A$5:$A$22,1)))*(INDEX('Scratch Data'!$E$5:$E$22,MIN(MATCH($H24,'Scratch Data'!$A$5:$A$22,1)+1,ROWS('Scratch Data'!$A$5:$A$22)))-INDEX('Scratch Data'!$E$5:$E$22,MATCH($H24,'Scratch Data'!$A$5:$A$22,1)))/MAX(INDEX('Scratch Data'!$A$5:$A$22,MIN(MATCH($H24,'Scratch Data'!$A$5:$A$22,1)+1,ROWS('Scratch Data'!$A$5:$A$22)))-INDEX('Scratch Data'!$A$5:$A$22,MATCH($H24,'Scratch Data'!$A$5:$A$22,1)),0.0001))</f>
        <v>1.9484</v>
      </c>
    </row>
    <row r="25" customFormat="false" ht="15" hidden="false" customHeight="false" outlineLevel="0" collapsed="false">
      <c r="A25" s="7" t="n">
        <v>115</v>
      </c>
      <c r="B25" s="10" t="n">
        <f aca="false">IF($A25&lt;=50,(INDEX('Scratch Data'!$M$5:$M$12,MATCH($A25,'Scratch Data'!$L$5:$L$12,1))+($A25-INDEX('Scratch Data'!$L$5:$L$12,MATCH($A25,'Scratch Data'!$L$5:$L$12,1)))*(INDEX('Scratch Data'!$M$5:$M$12,MIN(MATCH($A25,'Scratch Data'!$L$5:$L$12,1)+1,ROWS('Scratch Data'!$L$5:$L$12)))-INDEX('Scratch Data'!$M$5:$M$12,MATCH($A25,'Scratch Data'!$L$5:$L$12,1)))/MAX(INDEX('Scratch Data'!$L$5:$L$12,MIN(MATCH($A25,'Scratch Data'!$L$5:$L$12,1)+1,ROWS('Scratch Data'!$L$5:$L$12)))-INDEX('Scratch Data'!$L$5:$L$12,MATCH($A25,'Scratch Data'!$L$5:$L$12,1)),0.0001)),IF($A25&lt;=250,MIN((1+(INDEX('Scratch Data'!$H$5:$H$13,MATCH($A25,'Scratch Data'!$G$5:$G$13,1))+($A25-INDEX('Scratch Data'!$G$5:$G$13,MATCH($A25,'Scratch Data'!$G$5:$G$13,1)))*(INDEX('Scratch Data'!$H$5:$H$13,MIN(MATCH($A25,'Scratch Data'!$G$5:$G$13,1)+1,ROWS('Scratch Data'!$G$5:$G$13)))-INDEX('Scratch Data'!$H$5:$H$13,MATCH($A25,'Scratch Data'!$G$5:$G$13,1)))/MAX(INDEX('Scratch Data'!$G$5:$G$13,MIN(MATCH($A25,'Scratch Data'!$G$5:$G$13,1)+1,ROWS('Scratch Data'!$G$5:$G$13)))-INDEX('Scratch Data'!$G$5:$G$13,MATCH($A25,'Scratch Data'!$G$5:$G$13,1)),0.0001))*INDEX(Baseline!$I$3:$I$102,MIN(MAX(ROUND(Inputs!$B$11*(INDEX('Scratch Data'!$I$5:$I$13,MATCH($A25,'Scratch Data'!$G$5:$G$13,1))+($A25-INDEX('Scratch Data'!$G$5:$G$13,MATCH($A25,'Scratch Data'!$G$5:$G$13,1)))*(INDEX('Scratch Data'!$I$5:$I$13,MIN(MATCH($A25,'Scratch Data'!$G$5:$G$13,1)+1,ROWS('Scratch Data'!$G$5:$G$13)))-INDEX('Scratch Data'!$I$5:$I$13,MATCH($A25,'Scratch Data'!$G$5:$G$13,1)))/MAX(INDEX('Scratch Data'!$G$5:$G$13,MIN(MATCH($A25,'Scratch Data'!$G$5:$G$13,1)+1,ROWS('Scratch Data'!$G$5:$G$13)))-INDEX('Scratch Data'!$G$5:$G$13,MATCH($A25,'Scratch Data'!$G$5:$G$13,1)),0.0001)),0),1),100))+(1-(INDEX('Scratch Data'!$H$5:$H$13,MATCH($A25,'Scratch Data'!$G$5:$G$13,1))+($A25-INDEX('Scratch Data'!$G$5:$G$13,MATCH($A25,'Scratch Data'!$G$5:$G$13,1)))*(INDEX('Scratch Data'!$H$5:$H$13,MIN(MATCH($A25,'Scratch Data'!$G$5:$G$13,1)+1,ROWS('Scratch Data'!$G$5:$G$13)))-INDEX('Scratch Data'!$H$5:$H$13,MATCH($A25,'Scratch Data'!$G$5:$G$13,1)))/MAX(INDEX('Scratch Data'!$G$5:$G$13,MIN(MATCH($A25,'Scratch Data'!$G$5:$G$13,1)+1,ROWS('Scratch Data'!$G$5:$G$13)))-INDEX('Scratch Data'!$G$5:$G$13,MATCH($A25,'Scratch Data'!$G$5:$G$13,1)),0.0001)))*(INDEX('Scratch Data'!$J$5:$J$13,MATCH($A25,'Scratch Data'!$G$5:$G$13,1))+($A25-INDEX('Scratch Data'!$G$5:$G$13,MATCH($A25,'Scratch Data'!$G$5:$G$13,1)))*(INDEX('Scratch Data'!$J$5:$J$13,MIN(MATCH($A25,'Scratch Data'!$G$5:$G$13,1)+1,ROWS('Scratch Data'!$G$5:$G$13)))-INDEX('Scratch Data'!$J$5:$J$13,MATCH($A25,'Scratch Data'!$G$5:$G$13,1)))/MAX(INDEX('Scratch Data'!$G$5:$G$13,MIN(MATCH($A25,'Scratch Data'!$G$5:$G$13,1)+1,ROWS('Scratch Data'!$G$5:$G$13)))-INDEX('Scratch Data'!$G$5:$G$13,MATCH($A25,'Scratch Data'!$G$5:$G$13,1)),0.0001))),(1+Inputs!$B$19*INDEX(Baseline!$B$3:$B$122,MATCH(MIN(MAX(ROUND((MAX($A25-Inputs!$B$20,30))/5,0)*5,5),600),Baseline!$A$3:$A$122,0))+(1-Inputs!$B$19)*INDEX(Baseline!$C$3:$C$122,MATCH(MIN(MAX(ROUND((MAX($A25-Inputs!$B$20,30))/5,0)*5,5),600),Baseline!$A$3:$A$122,0)))),(1+Inputs!$B$19*INDEX(Baseline!$B$3:$B$122,MATCH(MIN(MAX(ROUND((MAX($A25-Inputs!$B$20,30))/5,0)*5,5),600),Baseline!$A$3:$A$122,0))+(1-Inputs!$B$19)*INDEX(Baseline!$C$3:$C$122,MATCH(MIN(MAX(ROUND((MAX($A25-Inputs!$B$20,30))/5,0)*5,5),600),Baseline!$A$3:$A$122,0)))))</f>
        <v>3.0799728</v>
      </c>
      <c r="C25" s="10" t="n">
        <f aca="false">IF($A25&lt;=50,$B25+Inputs!$B$18,IF($A25&lt;=250,MIN((1+(INDEX('Scratch Data'!$H$5:$H$13,MATCH($A25,'Scratch Data'!$G$5:$G$13,1))+($A25-INDEX('Scratch Data'!$G$5:$G$13,MATCH($A25,'Scratch Data'!$G$5:$G$13,1)))*(INDEX('Scratch Data'!$H$5:$H$13,MIN(MATCH($A25,'Scratch Data'!$G$5:$G$13,1)+1,ROWS('Scratch Data'!$G$5:$G$13)))-INDEX('Scratch Data'!$H$5:$H$13,MATCH($A25,'Scratch Data'!$G$5:$G$13,1)))/MAX(INDEX('Scratch Data'!$G$5:$G$13,MIN(MATCH($A25,'Scratch Data'!$G$5:$G$13,1)+1,ROWS('Scratch Data'!$G$5:$G$13)))-INDEX('Scratch Data'!$G$5:$G$13,MATCH($A25,'Scratch Data'!$G$5:$G$13,1)),0.0001))*Inputs!$B$12*INDEX(Baseline!$I$3:$I$102,MIN(MAX(ROUND(Inputs!$B$11*(INDEX('Scratch Data'!$I$5:$I$13,MATCH($A25,'Scratch Data'!$G$5:$G$13,1))+($A25-INDEX('Scratch Data'!$G$5:$G$13,MATCH($A25,'Scratch Data'!$G$5:$G$13,1)))*(INDEX('Scratch Data'!$I$5:$I$13,MIN(MATCH($A25,'Scratch Data'!$G$5:$G$13,1)+1,ROWS('Scratch Data'!$G$5:$G$13)))-INDEX('Scratch Data'!$I$5:$I$13,MATCH($A25,'Scratch Data'!$G$5:$G$13,1)))/MAX(INDEX('Scratch Data'!$G$5:$G$13,MIN(MATCH($A25,'Scratch Data'!$G$5:$G$13,1)+1,ROWS('Scratch Data'!$G$5:$G$13)))-INDEX('Scratch Data'!$G$5:$G$13,MATCH($A25,'Scratch Data'!$G$5:$G$13,1)),0.0001))*Inputs!$B$13,0),1),100))+(1-(INDEX('Scratch Data'!$H$5:$H$13,MATCH($A25,'Scratch Data'!$G$5:$G$13,1))+($A25-INDEX('Scratch Data'!$G$5:$G$13,MATCH($A25,'Scratch Data'!$G$5:$G$13,1)))*(INDEX('Scratch Data'!$H$5:$H$13,MIN(MATCH($A25,'Scratch Data'!$G$5:$G$13,1)+1,ROWS('Scratch Data'!$G$5:$G$13)))-INDEX('Scratch Data'!$H$5:$H$13,MATCH($A25,'Scratch Data'!$G$5:$G$13,1)))/MAX(INDEX('Scratch Data'!$G$5:$G$13,MIN(MATCH($A25,'Scratch Data'!$G$5:$G$13,1)+1,ROWS('Scratch Data'!$G$5:$G$13)))-INDEX('Scratch Data'!$G$5:$G$13,MATCH($A25,'Scratch Data'!$G$5:$G$13,1)),0.0001))*Inputs!$B$12)*((INDEX('Scratch Data'!$J$5:$J$13,MATCH($A25,'Scratch Data'!$G$5:$G$13,1))+($A25-INDEX('Scratch Data'!$G$5:$G$13,MATCH($A25,'Scratch Data'!$G$5:$G$13,1)))*(INDEX('Scratch Data'!$J$5:$J$13,MIN(MATCH($A25,'Scratch Data'!$G$5:$G$13,1)+1,ROWS('Scratch Data'!$G$5:$G$13)))-INDEX('Scratch Data'!$J$5:$J$13,MATCH($A25,'Scratch Data'!$G$5:$G$13,1)))/MAX(INDEX('Scratch Data'!$G$5:$G$13,MIN(MATCH($A25,'Scratch Data'!$G$5:$G$13,1)+1,ROWS('Scratch Data'!$G$5:$G$13)))-INDEX('Scratch Data'!$G$5:$G$13,MATCH($A25,'Scratch Data'!$G$5:$G$13,1)),0.0001))+Inputs!$B$14)),(1+Inputs!$B$19*INDEX(Baseline!$B$3:$B$122,MATCH(MIN(MAX(ROUND((MAX($A25-Inputs!$B$21,30))/5,0)*5,5),600),Baseline!$A$3:$A$122,0))+(1-Inputs!$B$19)*INDEX(Baseline!$C$3:$C$122,MATCH(MIN(MAX(ROUND((MAX($A25-Inputs!$B$21,30))/5,0)*5,5),600),Baseline!$A$3:$A$122,0))+Inputs!$B$14)),(1+Inputs!$B$19*INDEX(Baseline!$B$3:$B$122,MATCH(MIN(MAX(ROUND((MAX($A25-Inputs!$B$21,30))/5,0)*5,5),600),Baseline!$A$3:$A$122,0))+(1-Inputs!$B$19)*INDEX(Baseline!$C$3:$C$122,MATCH(MIN(MAX(ROUND((MAX($A25-Inputs!$B$21,30))/5,0)*5,5),600),Baseline!$A$3:$A$122,0))+Inputs!$B$14)))</f>
        <v>3.2621472</v>
      </c>
      <c r="D25" s="10" t="n">
        <f aca="false">IF($A25&lt;=50,(INDEX('Scratch Data'!$P$5:$P$11,MATCH($A25,'Scratch Data'!$O$5:$O$11,1))+($A25-INDEX('Scratch Data'!$O$5:$O$11,MATCH($A25,'Scratch Data'!$O$5:$O$11,1)))*(INDEX('Scratch Data'!$P$5:$P$11,MIN(MATCH($A25,'Scratch Data'!$O$5:$O$11,1)+1,ROWS('Scratch Data'!$O$5:$O$11)))-INDEX('Scratch Data'!$P$5:$P$11,MATCH($A25,'Scratch Data'!$O$5:$O$11,1)))/MAX(INDEX('Scratch Data'!$O$5:$O$11,MIN(MATCH($A25,'Scratch Data'!$O$5:$O$11,1)+1,ROWS('Scratch Data'!$O$5:$O$11)))-INDEX('Scratch Data'!$O$5:$O$11,MATCH($A25,'Scratch Data'!$O$5:$O$11,1)),0.0001)),IF($A25&lt;=250,MIN((1+(INDEX('Scratch Data'!$H$5:$H$13,MATCH($A25,'Scratch Data'!$G$5:$G$13,1))+($A25-INDEX('Scratch Data'!$G$5:$G$13,MATCH($A25,'Scratch Data'!$G$5:$G$13,1)))*(INDEX('Scratch Data'!$H$5:$H$13,MIN(MATCH($A25,'Scratch Data'!$G$5:$G$13,1)+1,ROWS('Scratch Data'!$G$5:$G$13)))-INDEX('Scratch Data'!$H$5:$H$13,MATCH($A25,'Scratch Data'!$G$5:$G$13,1)))/MAX(INDEX('Scratch Data'!$G$5:$G$13,MIN(MATCH($A25,'Scratch Data'!$G$5:$G$13,1)+1,ROWS('Scratch Data'!$G$5:$G$13)))-INDEX('Scratch Data'!$G$5:$G$13,MATCH($A25,'Scratch Data'!$G$5:$G$13,1)),0.0001))*Inputs!$B$15*INDEX(Baseline!$I$3:$I$102,MIN(MAX(ROUND(Inputs!$B$11*(INDEX('Scratch Data'!$I$5:$I$13,MATCH($A25,'Scratch Data'!$G$5:$G$13,1))+($A25-INDEX('Scratch Data'!$G$5:$G$13,MATCH($A25,'Scratch Data'!$G$5:$G$13,1)))*(INDEX('Scratch Data'!$I$5:$I$13,MIN(MATCH($A25,'Scratch Data'!$G$5:$G$13,1)+1,ROWS('Scratch Data'!$G$5:$G$13)))-INDEX('Scratch Data'!$I$5:$I$13,MATCH($A25,'Scratch Data'!$G$5:$G$13,1)))/MAX(INDEX('Scratch Data'!$G$5:$G$13,MIN(MATCH($A25,'Scratch Data'!$G$5:$G$13,1)+1,ROWS('Scratch Data'!$G$5:$G$13)))-INDEX('Scratch Data'!$G$5:$G$13,MATCH($A25,'Scratch Data'!$G$5:$G$13,1)),0.0001))*Inputs!$B$16,0),1),100))+(1-(INDEX('Scratch Data'!$H$5:$H$13,MATCH($A25,'Scratch Data'!$G$5:$G$13,1))+($A25-INDEX('Scratch Data'!$G$5:$G$13,MATCH($A25,'Scratch Data'!$G$5:$G$13,1)))*(INDEX('Scratch Data'!$H$5:$H$13,MIN(MATCH($A25,'Scratch Data'!$G$5:$G$13,1)+1,ROWS('Scratch Data'!$G$5:$G$13)))-INDEX('Scratch Data'!$H$5:$H$13,MATCH($A25,'Scratch Data'!$G$5:$G$13,1)))/MAX(INDEX('Scratch Data'!$G$5:$G$13,MIN(MATCH($A25,'Scratch Data'!$G$5:$G$13,1)+1,ROWS('Scratch Data'!$G$5:$G$13)))-INDEX('Scratch Data'!$G$5:$G$13,MATCH($A25,'Scratch Data'!$G$5:$G$13,1)),0.0001))*Inputs!$B$15)*((INDEX('Scratch Data'!$J$5:$J$13,MATCH($A25,'Scratch Data'!$G$5:$G$13,1))+($A25-INDEX('Scratch Data'!$G$5:$G$13,MATCH($A25,'Scratch Data'!$G$5:$G$13,1)))*(INDEX('Scratch Data'!$J$5:$J$13,MIN(MATCH($A25,'Scratch Data'!$G$5:$G$13,1)+1,ROWS('Scratch Data'!$G$5:$G$13)))-INDEX('Scratch Data'!$J$5:$J$13,MATCH($A25,'Scratch Data'!$G$5:$G$13,1)))/MAX(INDEX('Scratch Data'!$G$5:$G$13,MIN(MATCH($A25,'Scratch Data'!$G$5:$G$13,1)+1,ROWS('Scratch Data'!$G$5:$G$13)))-INDEX('Scratch Data'!$G$5:$G$13,MATCH($A25,'Scratch Data'!$G$5:$G$13,1)),0.0001))+Inputs!$B$17)),(1+Inputs!$B$19*INDEX(Baseline!$B$3:$B$122,MATCH(MIN(MAX(ROUND((MAX($A25-Inputs!$B$22,30))/5,0)*5,5),600),Baseline!$A$3:$A$122,0))+(1-Inputs!$B$19)*INDEX(Baseline!$C$3:$C$122,MATCH(MIN(MAX(ROUND((MAX($A25-Inputs!$B$22,30))/5,0)*5,5),600),Baseline!$A$3:$A$122,0))+Inputs!$B$17)),(1+Inputs!$B$19*INDEX(Baseline!$B$3:$B$122,MATCH(MIN(MAX(ROUND((MAX($A25-Inputs!$B$22,30))/5,0)*5,5),600),Baseline!$A$3:$A$122,0))+(1-Inputs!$B$19)*INDEX(Baseline!$C$3:$C$122,MATCH(MIN(MAX(ROUND((MAX($A25-Inputs!$B$22,30))/5,0)*5,5),600),Baseline!$A$3:$A$122,0))+Inputs!$B$17)))</f>
        <v>3.39604092</v>
      </c>
      <c r="E25" s="10" t="n">
        <f aca="false">1+Inputs!$B$24+0.6*INDEX(Baseline!$B$3:$B$122,MATCH(MIN(MAX(ROUND((MAX($A25-Inputs!$B$23,15))/5,0)*5,5),600),Baseline!$A$3:$A$122,0))+0.4*INDEX(Baseline!$C$3:$C$122,MATCH(MIN(MAX(ROUND((MAX($A25-Inputs!$B$23,15))/5,0)*5,5),600),Baseline!$A$3:$A$122,0))</f>
        <v>3.56</v>
      </c>
      <c r="H25" s="7" t="n">
        <v>23</v>
      </c>
      <c r="I25" s="10" t="n">
        <f aca="false">(INDEX('Scratch Data'!$E$5:$E$22,MATCH($H25,'Scratch Data'!$A$5:$A$22,1))+($H25-INDEX('Scratch Data'!$A$5:$A$22,MATCH($H25,'Scratch Data'!$A$5:$A$22,1)))*(INDEX('Scratch Data'!$E$5:$E$22,MIN(MATCH($H25,'Scratch Data'!$A$5:$A$22,1)+1,ROWS('Scratch Data'!$A$5:$A$22)))-INDEX('Scratch Data'!$E$5:$E$22,MATCH($H25,'Scratch Data'!$A$5:$A$22,1)))/MAX(INDEX('Scratch Data'!$A$5:$A$22,MIN(MATCH($H25,'Scratch Data'!$A$5:$A$22,1)+1,ROWS('Scratch Data'!$A$5:$A$22)))-INDEX('Scratch Data'!$A$5:$A$22,MATCH($H25,'Scratch Data'!$A$5:$A$22,1)),0.0001))</f>
        <v>1.9646</v>
      </c>
    </row>
    <row r="26" customFormat="false" ht="15" hidden="false" customHeight="false" outlineLevel="0" collapsed="false">
      <c r="A26" s="7" t="n">
        <v>120</v>
      </c>
      <c r="B26" s="10" t="n">
        <f aca="false">IF($A26&lt;=50,(INDEX('Scratch Data'!$M$5:$M$12,MATCH($A26,'Scratch Data'!$L$5:$L$12,1))+($A26-INDEX('Scratch Data'!$L$5:$L$12,MATCH($A26,'Scratch Data'!$L$5:$L$12,1)))*(INDEX('Scratch Data'!$M$5:$M$12,MIN(MATCH($A26,'Scratch Data'!$L$5:$L$12,1)+1,ROWS('Scratch Data'!$L$5:$L$12)))-INDEX('Scratch Data'!$M$5:$M$12,MATCH($A26,'Scratch Data'!$L$5:$L$12,1)))/MAX(INDEX('Scratch Data'!$L$5:$L$12,MIN(MATCH($A26,'Scratch Data'!$L$5:$L$12,1)+1,ROWS('Scratch Data'!$L$5:$L$12)))-INDEX('Scratch Data'!$L$5:$L$12,MATCH($A26,'Scratch Data'!$L$5:$L$12,1)),0.0001)),IF($A26&lt;=250,MIN((1+(INDEX('Scratch Data'!$H$5:$H$13,MATCH($A26,'Scratch Data'!$G$5:$G$13,1))+($A26-INDEX('Scratch Data'!$G$5:$G$13,MATCH($A26,'Scratch Data'!$G$5:$G$13,1)))*(INDEX('Scratch Data'!$H$5:$H$13,MIN(MATCH($A26,'Scratch Data'!$G$5:$G$13,1)+1,ROWS('Scratch Data'!$G$5:$G$13)))-INDEX('Scratch Data'!$H$5:$H$13,MATCH($A26,'Scratch Data'!$G$5:$G$13,1)))/MAX(INDEX('Scratch Data'!$G$5:$G$13,MIN(MATCH($A26,'Scratch Data'!$G$5:$G$13,1)+1,ROWS('Scratch Data'!$G$5:$G$13)))-INDEX('Scratch Data'!$G$5:$G$13,MATCH($A26,'Scratch Data'!$G$5:$G$13,1)),0.0001))*INDEX(Baseline!$I$3:$I$102,MIN(MAX(ROUND(Inputs!$B$11*(INDEX('Scratch Data'!$I$5:$I$13,MATCH($A26,'Scratch Data'!$G$5:$G$13,1))+($A26-INDEX('Scratch Data'!$G$5:$G$13,MATCH($A26,'Scratch Data'!$G$5:$G$13,1)))*(INDEX('Scratch Data'!$I$5:$I$13,MIN(MATCH($A26,'Scratch Data'!$G$5:$G$13,1)+1,ROWS('Scratch Data'!$G$5:$G$13)))-INDEX('Scratch Data'!$I$5:$I$13,MATCH($A26,'Scratch Data'!$G$5:$G$13,1)))/MAX(INDEX('Scratch Data'!$G$5:$G$13,MIN(MATCH($A26,'Scratch Data'!$G$5:$G$13,1)+1,ROWS('Scratch Data'!$G$5:$G$13)))-INDEX('Scratch Data'!$G$5:$G$13,MATCH($A26,'Scratch Data'!$G$5:$G$13,1)),0.0001)),0),1),100))+(1-(INDEX('Scratch Data'!$H$5:$H$13,MATCH($A26,'Scratch Data'!$G$5:$G$13,1))+($A26-INDEX('Scratch Data'!$G$5:$G$13,MATCH($A26,'Scratch Data'!$G$5:$G$13,1)))*(INDEX('Scratch Data'!$H$5:$H$13,MIN(MATCH($A26,'Scratch Data'!$G$5:$G$13,1)+1,ROWS('Scratch Data'!$G$5:$G$13)))-INDEX('Scratch Data'!$H$5:$H$13,MATCH($A26,'Scratch Data'!$G$5:$G$13,1)))/MAX(INDEX('Scratch Data'!$G$5:$G$13,MIN(MATCH($A26,'Scratch Data'!$G$5:$G$13,1)+1,ROWS('Scratch Data'!$G$5:$G$13)))-INDEX('Scratch Data'!$G$5:$G$13,MATCH($A26,'Scratch Data'!$G$5:$G$13,1)),0.0001)))*(INDEX('Scratch Data'!$J$5:$J$13,MATCH($A26,'Scratch Data'!$G$5:$G$13,1))+($A26-INDEX('Scratch Data'!$G$5:$G$13,MATCH($A26,'Scratch Data'!$G$5:$G$13,1)))*(INDEX('Scratch Data'!$J$5:$J$13,MIN(MATCH($A26,'Scratch Data'!$G$5:$G$13,1)+1,ROWS('Scratch Data'!$G$5:$G$13)))-INDEX('Scratch Data'!$J$5:$J$13,MATCH($A26,'Scratch Data'!$G$5:$G$13,1)))/MAX(INDEX('Scratch Data'!$G$5:$G$13,MIN(MATCH($A26,'Scratch Data'!$G$5:$G$13,1)+1,ROWS('Scratch Data'!$G$5:$G$13)))-INDEX('Scratch Data'!$G$5:$G$13,MATCH($A26,'Scratch Data'!$G$5:$G$13,1)),0.0001))),(1+Inputs!$B$19*INDEX(Baseline!$B$3:$B$122,MATCH(MIN(MAX(ROUND((MAX($A26-Inputs!$B$20,30))/5,0)*5,5),600),Baseline!$A$3:$A$122,0))+(1-Inputs!$B$19)*INDEX(Baseline!$C$3:$C$122,MATCH(MIN(MAX(ROUND((MAX($A26-Inputs!$B$20,30))/5,0)*5,5),600),Baseline!$A$3:$A$122,0)))),(1+Inputs!$B$19*INDEX(Baseline!$B$3:$B$122,MATCH(MIN(MAX(ROUND((MAX($A26-Inputs!$B$20,30))/5,0)*5,5),600),Baseline!$A$3:$A$122,0))+(1-Inputs!$B$19)*INDEX(Baseline!$C$3:$C$122,MATCH(MIN(MAX(ROUND((MAX($A26-Inputs!$B$20,30))/5,0)*5,5),600),Baseline!$A$3:$A$122,0)))))</f>
        <v>3.1054368</v>
      </c>
      <c r="C26" s="10" t="n">
        <f aca="false">IF($A26&lt;=50,$B26+Inputs!$B$18,IF($A26&lt;=250,MIN((1+(INDEX('Scratch Data'!$H$5:$H$13,MATCH($A26,'Scratch Data'!$G$5:$G$13,1))+($A26-INDEX('Scratch Data'!$G$5:$G$13,MATCH($A26,'Scratch Data'!$G$5:$G$13,1)))*(INDEX('Scratch Data'!$H$5:$H$13,MIN(MATCH($A26,'Scratch Data'!$G$5:$G$13,1)+1,ROWS('Scratch Data'!$G$5:$G$13)))-INDEX('Scratch Data'!$H$5:$H$13,MATCH($A26,'Scratch Data'!$G$5:$G$13,1)))/MAX(INDEX('Scratch Data'!$G$5:$G$13,MIN(MATCH($A26,'Scratch Data'!$G$5:$G$13,1)+1,ROWS('Scratch Data'!$G$5:$G$13)))-INDEX('Scratch Data'!$G$5:$G$13,MATCH($A26,'Scratch Data'!$G$5:$G$13,1)),0.0001))*Inputs!$B$12*INDEX(Baseline!$I$3:$I$102,MIN(MAX(ROUND(Inputs!$B$11*(INDEX('Scratch Data'!$I$5:$I$13,MATCH($A26,'Scratch Data'!$G$5:$G$13,1))+($A26-INDEX('Scratch Data'!$G$5:$G$13,MATCH($A26,'Scratch Data'!$G$5:$G$13,1)))*(INDEX('Scratch Data'!$I$5:$I$13,MIN(MATCH($A26,'Scratch Data'!$G$5:$G$13,1)+1,ROWS('Scratch Data'!$G$5:$G$13)))-INDEX('Scratch Data'!$I$5:$I$13,MATCH($A26,'Scratch Data'!$G$5:$G$13,1)))/MAX(INDEX('Scratch Data'!$G$5:$G$13,MIN(MATCH($A26,'Scratch Data'!$G$5:$G$13,1)+1,ROWS('Scratch Data'!$G$5:$G$13)))-INDEX('Scratch Data'!$G$5:$G$13,MATCH($A26,'Scratch Data'!$G$5:$G$13,1)),0.0001))*Inputs!$B$13,0),1),100))+(1-(INDEX('Scratch Data'!$H$5:$H$13,MATCH($A26,'Scratch Data'!$G$5:$G$13,1))+($A26-INDEX('Scratch Data'!$G$5:$G$13,MATCH($A26,'Scratch Data'!$G$5:$G$13,1)))*(INDEX('Scratch Data'!$H$5:$H$13,MIN(MATCH($A26,'Scratch Data'!$G$5:$G$13,1)+1,ROWS('Scratch Data'!$G$5:$G$13)))-INDEX('Scratch Data'!$H$5:$H$13,MATCH($A26,'Scratch Data'!$G$5:$G$13,1)))/MAX(INDEX('Scratch Data'!$G$5:$G$13,MIN(MATCH($A26,'Scratch Data'!$G$5:$G$13,1)+1,ROWS('Scratch Data'!$G$5:$G$13)))-INDEX('Scratch Data'!$G$5:$G$13,MATCH($A26,'Scratch Data'!$G$5:$G$13,1)),0.0001))*Inputs!$B$12)*((INDEX('Scratch Data'!$J$5:$J$13,MATCH($A26,'Scratch Data'!$G$5:$G$13,1))+($A26-INDEX('Scratch Data'!$G$5:$G$13,MATCH($A26,'Scratch Data'!$G$5:$G$13,1)))*(INDEX('Scratch Data'!$J$5:$J$13,MIN(MATCH($A26,'Scratch Data'!$G$5:$G$13,1)+1,ROWS('Scratch Data'!$G$5:$G$13)))-INDEX('Scratch Data'!$J$5:$J$13,MATCH($A26,'Scratch Data'!$G$5:$G$13,1)))/MAX(INDEX('Scratch Data'!$G$5:$G$13,MIN(MATCH($A26,'Scratch Data'!$G$5:$G$13,1)+1,ROWS('Scratch Data'!$G$5:$G$13)))-INDEX('Scratch Data'!$G$5:$G$13,MATCH($A26,'Scratch Data'!$G$5:$G$13,1)),0.0001))+Inputs!$B$14)),(1+Inputs!$B$19*INDEX(Baseline!$B$3:$B$122,MATCH(MIN(MAX(ROUND((MAX($A26-Inputs!$B$21,30))/5,0)*5,5),600),Baseline!$A$3:$A$122,0))+(1-Inputs!$B$19)*INDEX(Baseline!$C$3:$C$122,MATCH(MIN(MAX(ROUND((MAX($A26-Inputs!$B$21,30))/5,0)*5,5),600),Baseline!$A$3:$A$122,0))+Inputs!$B$14)),(1+Inputs!$B$19*INDEX(Baseline!$B$3:$B$122,MATCH(MIN(MAX(ROUND((MAX($A26-Inputs!$B$21,30))/5,0)*5,5),600),Baseline!$A$3:$A$122,0))+(1-Inputs!$B$19)*INDEX(Baseline!$C$3:$C$122,MATCH(MIN(MAX(ROUND((MAX($A26-Inputs!$B$21,30))/5,0)*5,5),600),Baseline!$A$3:$A$122,0))+Inputs!$B$14)))</f>
        <v>3.28213632</v>
      </c>
      <c r="D26" s="10" t="n">
        <f aca="false">IF($A26&lt;=50,(INDEX('Scratch Data'!$P$5:$P$11,MATCH($A26,'Scratch Data'!$O$5:$O$11,1))+($A26-INDEX('Scratch Data'!$O$5:$O$11,MATCH($A26,'Scratch Data'!$O$5:$O$11,1)))*(INDEX('Scratch Data'!$P$5:$P$11,MIN(MATCH($A26,'Scratch Data'!$O$5:$O$11,1)+1,ROWS('Scratch Data'!$O$5:$O$11)))-INDEX('Scratch Data'!$P$5:$P$11,MATCH($A26,'Scratch Data'!$O$5:$O$11,1)))/MAX(INDEX('Scratch Data'!$O$5:$O$11,MIN(MATCH($A26,'Scratch Data'!$O$5:$O$11,1)+1,ROWS('Scratch Data'!$O$5:$O$11)))-INDEX('Scratch Data'!$O$5:$O$11,MATCH($A26,'Scratch Data'!$O$5:$O$11,1)),0.0001)),IF($A26&lt;=250,MIN((1+(INDEX('Scratch Data'!$H$5:$H$13,MATCH($A26,'Scratch Data'!$G$5:$G$13,1))+($A26-INDEX('Scratch Data'!$G$5:$G$13,MATCH($A26,'Scratch Data'!$G$5:$G$13,1)))*(INDEX('Scratch Data'!$H$5:$H$13,MIN(MATCH($A26,'Scratch Data'!$G$5:$G$13,1)+1,ROWS('Scratch Data'!$G$5:$G$13)))-INDEX('Scratch Data'!$H$5:$H$13,MATCH($A26,'Scratch Data'!$G$5:$G$13,1)))/MAX(INDEX('Scratch Data'!$G$5:$G$13,MIN(MATCH($A26,'Scratch Data'!$G$5:$G$13,1)+1,ROWS('Scratch Data'!$G$5:$G$13)))-INDEX('Scratch Data'!$G$5:$G$13,MATCH($A26,'Scratch Data'!$G$5:$G$13,1)),0.0001))*Inputs!$B$15*INDEX(Baseline!$I$3:$I$102,MIN(MAX(ROUND(Inputs!$B$11*(INDEX('Scratch Data'!$I$5:$I$13,MATCH($A26,'Scratch Data'!$G$5:$G$13,1))+($A26-INDEX('Scratch Data'!$G$5:$G$13,MATCH($A26,'Scratch Data'!$G$5:$G$13,1)))*(INDEX('Scratch Data'!$I$5:$I$13,MIN(MATCH($A26,'Scratch Data'!$G$5:$G$13,1)+1,ROWS('Scratch Data'!$G$5:$G$13)))-INDEX('Scratch Data'!$I$5:$I$13,MATCH($A26,'Scratch Data'!$G$5:$G$13,1)))/MAX(INDEX('Scratch Data'!$G$5:$G$13,MIN(MATCH($A26,'Scratch Data'!$G$5:$G$13,1)+1,ROWS('Scratch Data'!$G$5:$G$13)))-INDEX('Scratch Data'!$G$5:$G$13,MATCH($A26,'Scratch Data'!$G$5:$G$13,1)),0.0001))*Inputs!$B$16,0),1),100))+(1-(INDEX('Scratch Data'!$H$5:$H$13,MATCH($A26,'Scratch Data'!$G$5:$G$13,1))+($A26-INDEX('Scratch Data'!$G$5:$G$13,MATCH($A26,'Scratch Data'!$G$5:$G$13,1)))*(INDEX('Scratch Data'!$H$5:$H$13,MIN(MATCH($A26,'Scratch Data'!$G$5:$G$13,1)+1,ROWS('Scratch Data'!$G$5:$G$13)))-INDEX('Scratch Data'!$H$5:$H$13,MATCH($A26,'Scratch Data'!$G$5:$G$13,1)))/MAX(INDEX('Scratch Data'!$G$5:$G$13,MIN(MATCH($A26,'Scratch Data'!$G$5:$G$13,1)+1,ROWS('Scratch Data'!$G$5:$G$13)))-INDEX('Scratch Data'!$G$5:$G$13,MATCH($A26,'Scratch Data'!$G$5:$G$13,1)),0.0001))*Inputs!$B$15)*((INDEX('Scratch Data'!$J$5:$J$13,MATCH($A26,'Scratch Data'!$G$5:$G$13,1))+($A26-INDEX('Scratch Data'!$G$5:$G$13,MATCH($A26,'Scratch Data'!$G$5:$G$13,1)))*(INDEX('Scratch Data'!$J$5:$J$13,MIN(MATCH($A26,'Scratch Data'!$G$5:$G$13,1)+1,ROWS('Scratch Data'!$G$5:$G$13)))-INDEX('Scratch Data'!$J$5:$J$13,MATCH($A26,'Scratch Data'!$G$5:$G$13,1)))/MAX(INDEX('Scratch Data'!$G$5:$G$13,MIN(MATCH($A26,'Scratch Data'!$G$5:$G$13,1)+1,ROWS('Scratch Data'!$G$5:$G$13)))-INDEX('Scratch Data'!$G$5:$G$13,MATCH($A26,'Scratch Data'!$G$5:$G$13,1)),0.0001))+Inputs!$B$17)),(1+Inputs!$B$19*INDEX(Baseline!$B$3:$B$122,MATCH(MIN(MAX(ROUND((MAX($A26-Inputs!$B$22,30))/5,0)*5,5),600),Baseline!$A$3:$A$122,0))+(1-Inputs!$B$19)*INDEX(Baseline!$C$3:$C$122,MATCH(MIN(MAX(ROUND((MAX($A26-Inputs!$B$22,30))/5,0)*5,5),600),Baseline!$A$3:$A$122,0))+Inputs!$B$17)),(1+Inputs!$B$19*INDEX(Baseline!$B$3:$B$122,MATCH(MIN(MAX(ROUND((MAX($A26-Inputs!$B$22,30))/5,0)*5,5),600),Baseline!$A$3:$A$122,0))+(1-Inputs!$B$19)*INDEX(Baseline!$C$3:$C$122,MATCH(MIN(MAX(ROUND((MAX($A26-Inputs!$B$22,30))/5,0)*5,5),600),Baseline!$A$3:$A$122,0))+Inputs!$B$17)))</f>
        <v>3.41481072</v>
      </c>
      <c r="E26" s="10" t="n">
        <f aca="false">1+Inputs!$B$24+0.6*INDEX(Baseline!$B$3:$B$122,MATCH(MIN(MAX(ROUND((MAX($A26-Inputs!$B$23,15))/5,0)*5,5),600),Baseline!$A$3:$A$122,0))+0.4*INDEX(Baseline!$C$3:$C$122,MATCH(MIN(MAX(ROUND((MAX($A26-Inputs!$B$23,15))/5,0)*5,5),600),Baseline!$A$3:$A$122,0))</f>
        <v>3.62</v>
      </c>
      <c r="H26" s="7" t="n">
        <v>24</v>
      </c>
      <c r="I26" s="10" t="n">
        <f aca="false">(INDEX('Scratch Data'!$E$5:$E$22,MATCH($H26,'Scratch Data'!$A$5:$A$22,1))+($H26-INDEX('Scratch Data'!$A$5:$A$22,MATCH($H26,'Scratch Data'!$A$5:$A$22,1)))*(INDEX('Scratch Data'!$E$5:$E$22,MIN(MATCH($H26,'Scratch Data'!$A$5:$A$22,1)+1,ROWS('Scratch Data'!$A$5:$A$22)))-INDEX('Scratch Data'!$E$5:$E$22,MATCH($H26,'Scratch Data'!$A$5:$A$22,1)))/MAX(INDEX('Scratch Data'!$A$5:$A$22,MIN(MATCH($H26,'Scratch Data'!$A$5:$A$22,1)+1,ROWS('Scratch Data'!$A$5:$A$22)))-INDEX('Scratch Data'!$A$5:$A$22,MATCH($H26,'Scratch Data'!$A$5:$A$22,1)),0.0001))</f>
        <v>1.9808</v>
      </c>
    </row>
    <row r="27" customFormat="false" ht="15" hidden="false" customHeight="false" outlineLevel="0" collapsed="false">
      <c r="A27" s="7" t="n">
        <v>125</v>
      </c>
      <c r="B27" s="10" t="n">
        <f aca="false">IF($A27&lt;=50,(INDEX('Scratch Data'!$M$5:$M$12,MATCH($A27,'Scratch Data'!$L$5:$L$12,1))+($A27-INDEX('Scratch Data'!$L$5:$L$12,MATCH($A27,'Scratch Data'!$L$5:$L$12,1)))*(INDEX('Scratch Data'!$M$5:$M$12,MIN(MATCH($A27,'Scratch Data'!$L$5:$L$12,1)+1,ROWS('Scratch Data'!$L$5:$L$12)))-INDEX('Scratch Data'!$M$5:$M$12,MATCH($A27,'Scratch Data'!$L$5:$L$12,1)))/MAX(INDEX('Scratch Data'!$L$5:$L$12,MIN(MATCH($A27,'Scratch Data'!$L$5:$L$12,1)+1,ROWS('Scratch Data'!$L$5:$L$12)))-INDEX('Scratch Data'!$L$5:$L$12,MATCH($A27,'Scratch Data'!$L$5:$L$12,1)),0.0001)),IF($A27&lt;=250,MIN((1+(INDEX('Scratch Data'!$H$5:$H$13,MATCH($A27,'Scratch Data'!$G$5:$G$13,1))+($A27-INDEX('Scratch Data'!$G$5:$G$13,MATCH($A27,'Scratch Data'!$G$5:$G$13,1)))*(INDEX('Scratch Data'!$H$5:$H$13,MIN(MATCH($A27,'Scratch Data'!$G$5:$G$13,1)+1,ROWS('Scratch Data'!$G$5:$G$13)))-INDEX('Scratch Data'!$H$5:$H$13,MATCH($A27,'Scratch Data'!$G$5:$G$13,1)))/MAX(INDEX('Scratch Data'!$G$5:$G$13,MIN(MATCH($A27,'Scratch Data'!$G$5:$G$13,1)+1,ROWS('Scratch Data'!$G$5:$G$13)))-INDEX('Scratch Data'!$G$5:$G$13,MATCH($A27,'Scratch Data'!$G$5:$G$13,1)),0.0001))*INDEX(Baseline!$I$3:$I$102,MIN(MAX(ROUND(Inputs!$B$11*(INDEX('Scratch Data'!$I$5:$I$13,MATCH($A27,'Scratch Data'!$G$5:$G$13,1))+($A27-INDEX('Scratch Data'!$G$5:$G$13,MATCH($A27,'Scratch Data'!$G$5:$G$13,1)))*(INDEX('Scratch Data'!$I$5:$I$13,MIN(MATCH($A27,'Scratch Data'!$G$5:$G$13,1)+1,ROWS('Scratch Data'!$G$5:$G$13)))-INDEX('Scratch Data'!$I$5:$I$13,MATCH($A27,'Scratch Data'!$G$5:$G$13,1)))/MAX(INDEX('Scratch Data'!$G$5:$G$13,MIN(MATCH($A27,'Scratch Data'!$G$5:$G$13,1)+1,ROWS('Scratch Data'!$G$5:$G$13)))-INDEX('Scratch Data'!$G$5:$G$13,MATCH($A27,'Scratch Data'!$G$5:$G$13,1)),0.0001)),0),1),100))+(1-(INDEX('Scratch Data'!$H$5:$H$13,MATCH($A27,'Scratch Data'!$G$5:$G$13,1))+($A27-INDEX('Scratch Data'!$G$5:$G$13,MATCH($A27,'Scratch Data'!$G$5:$G$13,1)))*(INDEX('Scratch Data'!$H$5:$H$13,MIN(MATCH($A27,'Scratch Data'!$G$5:$G$13,1)+1,ROWS('Scratch Data'!$G$5:$G$13)))-INDEX('Scratch Data'!$H$5:$H$13,MATCH($A27,'Scratch Data'!$G$5:$G$13,1)))/MAX(INDEX('Scratch Data'!$G$5:$G$13,MIN(MATCH($A27,'Scratch Data'!$G$5:$G$13,1)+1,ROWS('Scratch Data'!$G$5:$G$13)))-INDEX('Scratch Data'!$G$5:$G$13,MATCH($A27,'Scratch Data'!$G$5:$G$13,1)),0.0001)))*(INDEX('Scratch Data'!$J$5:$J$13,MATCH($A27,'Scratch Data'!$G$5:$G$13,1))+($A27-INDEX('Scratch Data'!$G$5:$G$13,MATCH($A27,'Scratch Data'!$G$5:$G$13,1)))*(INDEX('Scratch Data'!$J$5:$J$13,MIN(MATCH($A27,'Scratch Data'!$G$5:$G$13,1)+1,ROWS('Scratch Data'!$G$5:$G$13)))-INDEX('Scratch Data'!$J$5:$J$13,MATCH($A27,'Scratch Data'!$G$5:$G$13,1)))/MAX(INDEX('Scratch Data'!$G$5:$G$13,MIN(MATCH($A27,'Scratch Data'!$G$5:$G$13,1)+1,ROWS('Scratch Data'!$G$5:$G$13)))-INDEX('Scratch Data'!$G$5:$G$13,MATCH($A27,'Scratch Data'!$G$5:$G$13,1)),0.0001))),(1+Inputs!$B$19*INDEX(Baseline!$B$3:$B$122,MATCH(MIN(MAX(ROUND((MAX($A27-Inputs!$B$20,30))/5,0)*5,5),600),Baseline!$A$3:$A$122,0))+(1-Inputs!$B$19)*INDEX(Baseline!$C$3:$C$122,MATCH(MIN(MAX(ROUND((MAX($A27-Inputs!$B$20,30))/5,0)*5,5),600),Baseline!$A$3:$A$122,0)))),(1+Inputs!$B$19*INDEX(Baseline!$B$3:$B$122,MATCH(MIN(MAX(ROUND((MAX($A27-Inputs!$B$20,30))/5,0)*5,5),600),Baseline!$A$3:$A$122,0))+(1-Inputs!$B$19)*INDEX(Baseline!$C$3:$C$122,MATCH(MIN(MAX(ROUND((MAX($A27-Inputs!$B$20,30))/5,0)*5,5),600),Baseline!$A$3:$A$122,0)))))</f>
        <v>3.130632</v>
      </c>
      <c r="C27" s="10" t="n">
        <f aca="false">IF($A27&lt;=50,$B27+Inputs!$B$18,IF($A27&lt;=250,MIN((1+(INDEX('Scratch Data'!$H$5:$H$13,MATCH($A27,'Scratch Data'!$G$5:$G$13,1))+($A27-INDEX('Scratch Data'!$G$5:$G$13,MATCH($A27,'Scratch Data'!$G$5:$G$13,1)))*(INDEX('Scratch Data'!$H$5:$H$13,MIN(MATCH($A27,'Scratch Data'!$G$5:$G$13,1)+1,ROWS('Scratch Data'!$G$5:$G$13)))-INDEX('Scratch Data'!$H$5:$H$13,MATCH($A27,'Scratch Data'!$G$5:$G$13,1)))/MAX(INDEX('Scratch Data'!$G$5:$G$13,MIN(MATCH($A27,'Scratch Data'!$G$5:$G$13,1)+1,ROWS('Scratch Data'!$G$5:$G$13)))-INDEX('Scratch Data'!$G$5:$G$13,MATCH($A27,'Scratch Data'!$G$5:$G$13,1)),0.0001))*Inputs!$B$12*INDEX(Baseline!$I$3:$I$102,MIN(MAX(ROUND(Inputs!$B$11*(INDEX('Scratch Data'!$I$5:$I$13,MATCH($A27,'Scratch Data'!$G$5:$G$13,1))+($A27-INDEX('Scratch Data'!$G$5:$G$13,MATCH($A27,'Scratch Data'!$G$5:$G$13,1)))*(INDEX('Scratch Data'!$I$5:$I$13,MIN(MATCH($A27,'Scratch Data'!$G$5:$G$13,1)+1,ROWS('Scratch Data'!$G$5:$G$13)))-INDEX('Scratch Data'!$I$5:$I$13,MATCH($A27,'Scratch Data'!$G$5:$G$13,1)))/MAX(INDEX('Scratch Data'!$G$5:$G$13,MIN(MATCH($A27,'Scratch Data'!$G$5:$G$13,1)+1,ROWS('Scratch Data'!$G$5:$G$13)))-INDEX('Scratch Data'!$G$5:$G$13,MATCH($A27,'Scratch Data'!$G$5:$G$13,1)),0.0001))*Inputs!$B$13,0),1),100))+(1-(INDEX('Scratch Data'!$H$5:$H$13,MATCH($A27,'Scratch Data'!$G$5:$G$13,1))+($A27-INDEX('Scratch Data'!$G$5:$G$13,MATCH($A27,'Scratch Data'!$G$5:$G$13,1)))*(INDEX('Scratch Data'!$H$5:$H$13,MIN(MATCH($A27,'Scratch Data'!$G$5:$G$13,1)+1,ROWS('Scratch Data'!$G$5:$G$13)))-INDEX('Scratch Data'!$H$5:$H$13,MATCH($A27,'Scratch Data'!$G$5:$G$13,1)))/MAX(INDEX('Scratch Data'!$G$5:$G$13,MIN(MATCH($A27,'Scratch Data'!$G$5:$G$13,1)+1,ROWS('Scratch Data'!$G$5:$G$13)))-INDEX('Scratch Data'!$G$5:$G$13,MATCH($A27,'Scratch Data'!$G$5:$G$13,1)),0.0001))*Inputs!$B$12)*((INDEX('Scratch Data'!$J$5:$J$13,MATCH($A27,'Scratch Data'!$G$5:$G$13,1))+($A27-INDEX('Scratch Data'!$G$5:$G$13,MATCH($A27,'Scratch Data'!$G$5:$G$13,1)))*(INDEX('Scratch Data'!$J$5:$J$13,MIN(MATCH($A27,'Scratch Data'!$G$5:$G$13,1)+1,ROWS('Scratch Data'!$G$5:$G$13)))-INDEX('Scratch Data'!$J$5:$J$13,MATCH($A27,'Scratch Data'!$G$5:$G$13,1)))/MAX(INDEX('Scratch Data'!$G$5:$G$13,MIN(MATCH($A27,'Scratch Data'!$G$5:$G$13,1)+1,ROWS('Scratch Data'!$G$5:$G$13)))-INDEX('Scratch Data'!$G$5:$G$13,MATCH($A27,'Scratch Data'!$G$5:$G$13,1)),0.0001))+Inputs!$B$14)),(1+Inputs!$B$19*INDEX(Baseline!$B$3:$B$122,MATCH(MIN(MAX(ROUND((MAX($A27-Inputs!$B$21,30))/5,0)*5,5),600),Baseline!$A$3:$A$122,0))+(1-Inputs!$B$19)*INDEX(Baseline!$C$3:$C$122,MATCH(MIN(MAX(ROUND((MAX($A27-Inputs!$B$21,30))/5,0)*5,5),600),Baseline!$A$3:$A$122,0))+Inputs!$B$14)),(1+Inputs!$B$19*INDEX(Baseline!$B$3:$B$122,MATCH(MIN(MAX(ROUND((MAX($A27-Inputs!$B$21,30))/5,0)*5,5),600),Baseline!$A$3:$A$122,0))+(1-Inputs!$B$19)*INDEX(Baseline!$C$3:$C$122,MATCH(MIN(MAX(ROUND((MAX($A27-Inputs!$B$21,30))/5,0)*5,5),600),Baseline!$A$3:$A$122,0))+Inputs!$B$14)))</f>
        <v>3.3020064</v>
      </c>
      <c r="D27" s="10" t="n">
        <f aca="false">IF($A27&lt;=50,(INDEX('Scratch Data'!$P$5:$P$11,MATCH($A27,'Scratch Data'!$O$5:$O$11,1))+($A27-INDEX('Scratch Data'!$O$5:$O$11,MATCH($A27,'Scratch Data'!$O$5:$O$11,1)))*(INDEX('Scratch Data'!$P$5:$P$11,MIN(MATCH($A27,'Scratch Data'!$O$5:$O$11,1)+1,ROWS('Scratch Data'!$O$5:$O$11)))-INDEX('Scratch Data'!$P$5:$P$11,MATCH($A27,'Scratch Data'!$O$5:$O$11,1)))/MAX(INDEX('Scratch Data'!$O$5:$O$11,MIN(MATCH($A27,'Scratch Data'!$O$5:$O$11,1)+1,ROWS('Scratch Data'!$O$5:$O$11)))-INDEX('Scratch Data'!$O$5:$O$11,MATCH($A27,'Scratch Data'!$O$5:$O$11,1)),0.0001)),IF($A27&lt;=250,MIN((1+(INDEX('Scratch Data'!$H$5:$H$13,MATCH($A27,'Scratch Data'!$G$5:$G$13,1))+($A27-INDEX('Scratch Data'!$G$5:$G$13,MATCH($A27,'Scratch Data'!$G$5:$G$13,1)))*(INDEX('Scratch Data'!$H$5:$H$13,MIN(MATCH($A27,'Scratch Data'!$G$5:$G$13,1)+1,ROWS('Scratch Data'!$G$5:$G$13)))-INDEX('Scratch Data'!$H$5:$H$13,MATCH($A27,'Scratch Data'!$G$5:$G$13,1)))/MAX(INDEX('Scratch Data'!$G$5:$G$13,MIN(MATCH($A27,'Scratch Data'!$G$5:$G$13,1)+1,ROWS('Scratch Data'!$G$5:$G$13)))-INDEX('Scratch Data'!$G$5:$G$13,MATCH($A27,'Scratch Data'!$G$5:$G$13,1)),0.0001))*Inputs!$B$15*INDEX(Baseline!$I$3:$I$102,MIN(MAX(ROUND(Inputs!$B$11*(INDEX('Scratch Data'!$I$5:$I$13,MATCH($A27,'Scratch Data'!$G$5:$G$13,1))+($A27-INDEX('Scratch Data'!$G$5:$G$13,MATCH($A27,'Scratch Data'!$G$5:$G$13,1)))*(INDEX('Scratch Data'!$I$5:$I$13,MIN(MATCH($A27,'Scratch Data'!$G$5:$G$13,1)+1,ROWS('Scratch Data'!$G$5:$G$13)))-INDEX('Scratch Data'!$I$5:$I$13,MATCH($A27,'Scratch Data'!$G$5:$G$13,1)))/MAX(INDEX('Scratch Data'!$G$5:$G$13,MIN(MATCH($A27,'Scratch Data'!$G$5:$G$13,1)+1,ROWS('Scratch Data'!$G$5:$G$13)))-INDEX('Scratch Data'!$G$5:$G$13,MATCH($A27,'Scratch Data'!$G$5:$G$13,1)),0.0001))*Inputs!$B$16,0),1),100))+(1-(INDEX('Scratch Data'!$H$5:$H$13,MATCH($A27,'Scratch Data'!$G$5:$G$13,1))+($A27-INDEX('Scratch Data'!$G$5:$G$13,MATCH($A27,'Scratch Data'!$G$5:$G$13,1)))*(INDEX('Scratch Data'!$H$5:$H$13,MIN(MATCH($A27,'Scratch Data'!$G$5:$G$13,1)+1,ROWS('Scratch Data'!$G$5:$G$13)))-INDEX('Scratch Data'!$H$5:$H$13,MATCH($A27,'Scratch Data'!$G$5:$G$13,1)))/MAX(INDEX('Scratch Data'!$G$5:$G$13,MIN(MATCH($A27,'Scratch Data'!$G$5:$G$13,1)+1,ROWS('Scratch Data'!$G$5:$G$13)))-INDEX('Scratch Data'!$G$5:$G$13,MATCH($A27,'Scratch Data'!$G$5:$G$13,1)),0.0001))*Inputs!$B$15)*((INDEX('Scratch Data'!$J$5:$J$13,MATCH($A27,'Scratch Data'!$G$5:$G$13,1))+($A27-INDEX('Scratch Data'!$G$5:$G$13,MATCH($A27,'Scratch Data'!$G$5:$G$13,1)))*(INDEX('Scratch Data'!$J$5:$J$13,MIN(MATCH($A27,'Scratch Data'!$G$5:$G$13,1)+1,ROWS('Scratch Data'!$G$5:$G$13)))-INDEX('Scratch Data'!$J$5:$J$13,MATCH($A27,'Scratch Data'!$G$5:$G$13,1)))/MAX(INDEX('Scratch Data'!$G$5:$G$13,MIN(MATCH($A27,'Scratch Data'!$G$5:$G$13,1)+1,ROWS('Scratch Data'!$G$5:$G$13)))-INDEX('Scratch Data'!$G$5:$G$13,MATCH($A27,'Scratch Data'!$G$5:$G$13,1)),0.0001))+Inputs!$B$17)),(1+Inputs!$B$19*INDEX(Baseline!$B$3:$B$122,MATCH(MIN(MAX(ROUND((MAX($A27-Inputs!$B$22,30))/5,0)*5,5),600),Baseline!$A$3:$A$122,0))+(1-Inputs!$B$19)*INDEX(Baseline!$C$3:$C$122,MATCH(MIN(MAX(ROUND((MAX($A27-Inputs!$B$22,30))/5,0)*5,5),600),Baseline!$A$3:$A$122,0))+Inputs!$B$17)),(1+Inputs!$B$19*INDEX(Baseline!$B$3:$B$122,MATCH(MIN(MAX(ROUND((MAX($A27-Inputs!$B$22,30))/5,0)*5,5),600),Baseline!$A$3:$A$122,0))+(1-Inputs!$B$19)*INDEX(Baseline!$C$3:$C$122,MATCH(MIN(MAX(ROUND((MAX($A27-Inputs!$B$22,30))/5,0)*5,5),600),Baseline!$A$3:$A$122,0))+Inputs!$B$17)))</f>
        <v>3.4334838</v>
      </c>
      <c r="E27" s="10" t="n">
        <f aca="false">1+Inputs!$B$24+0.6*INDEX(Baseline!$B$3:$B$122,MATCH(MIN(MAX(ROUND((MAX($A27-Inputs!$B$23,15))/5,0)*5,5),600),Baseline!$A$3:$A$122,0))+0.4*INDEX(Baseline!$C$3:$C$122,MATCH(MIN(MAX(ROUND((MAX($A27-Inputs!$B$23,15))/5,0)*5,5),600),Baseline!$A$3:$A$122,0))</f>
        <v>3.68</v>
      </c>
      <c r="H27" s="7" t="n">
        <v>25</v>
      </c>
      <c r="I27" s="10" t="n">
        <f aca="false">(INDEX('Scratch Data'!$E$5:$E$22,MATCH($H27,'Scratch Data'!$A$5:$A$22,1))+($H27-INDEX('Scratch Data'!$A$5:$A$22,MATCH($H27,'Scratch Data'!$A$5:$A$22,1)))*(INDEX('Scratch Data'!$E$5:$E$22,MIN(MATCH($H27,'Scratch Data'!$A$5:$A$22,1)+1,ROWS('Scratch Data'!$A$5:$A$22)))-INDEX('Scratch Data'!$E$5:$E$22,MATCH($H27,'Scratch Data'!$A$5:$A$22,1)))/MAX(INDEX('Scratch Data'!$A$5:$A$22,MIN(MATCH($H27,'Scratch Data'!$A$5:$A$22,1)+1,ROWS('Scratch Data'!$A$5:$A$22)))-INDEX('Scratch Data'!$A$5:$A$22,MATCH($H27,'Scratch Data'!$A$5:$A$22,1)),0.0001))</f>
        <v>1.997</v>
      </c>
    </row>
    <row r="28" customFormat="false" ht="15" hidden="false" customHeight="false" outlineLevel="0" collapsed="false">
      <c r="A28" s="7" t="n">
        <v>130</v>
      </c>
      <c r="B28" s="10" t="n">
        <f aca="false">IF($A28&lt;=50,(INDEX('Scratch Data'!$M$5:$M$12,MATCH($A28,'Scratch Data'!$L$5:$L$12,1))+($A28-INDEX('Scratch Data'!$L$5:$L$12,MATCH($A28,'Scratch Data'!$L$5:$L$12,1)))*(INDEX('Scratch Data'!$M$5:$M$12,MIN(MATCH($A28,'Scratch Data'!$L$5:$L$12,1)+1,ROWS('Scratch Data'!$L$5:$L$12)))-INDEX('Scratch Data'!$M$5:$M$12,MATCH($A28,'Scratch Data'!$L$5:$L$12,1)))/MAX(INDEX('Scratch Data'!$L$5:$L$12,MIN(MATCH($A28,'Scratch Data'!$L$5:$L$12,1)+1,ROWS('Scratch Data'!$L$5:$L$12)))-INDEX('Scratch Data'!$L$5:$L$12,MATCH($A28,'Scratch Data'!$L$5:$L$12,1)),0.0001)),IF($A28&lt;=250,MIN((1+(INDEX('Scratch Data'!$H$5:$H$13,MATCH($A28,'Scratch Data'!$G$5:$G$13,1))+($A28-INDEX('Scratch Data'!$G$5:$G$13,MATCH($A28,'Scratch Data'!$G$5:$G$13,1)))*(INDEX('Scratch Data'!$H$5:$H$13,MIN(MATCH($A28,'Scratch Data'!$G$5:$G$13,1)+1,ROWS('Scratch Data'!$G$5:$G$13)))-INDEX('Scratch Data'!$H$5:$H$13,MATCH($A28,'Scratch Data'!$G$5:$G$13,1)))/MAX(INDEX('Scratch Data'!$G$5:$G$13,MIN(MATCH($A28,'Scratch Data'!$G$5:$G$13,1)+1,ROWS('Scratch Data'!$G$5:$G$13)))-INDEX('Scratch Data'!$G$5:$G$13,MATCH($A28,'Scratch Data'!$G$5:$G$13,1)),0.0001))*INDEX(Baseline!$I$3:$I$102,MIN(MAX(ROUND(Inputs!$B$11*(INDEX('Scratch Data'!$I$5:$I$13,MATCH($A28,'Scratch Data'!$G$5:$G$13,1))+($A28-INDEX('Scratch Data'!$G$5:$G$13,MATCH($A28,'Scratch Data'!$G$5:$G$13,1)))*(INDEX('Scratch Data'!$I$5:$I$13,MIN(MATCH($A28,'Scratch Data'!$G$5:$G$13,1)+1,ROWS('Scratch Data'!$G$5:$G$13)))-INDEX('Scratch Data'!$I$5:$I$13,MATCH($A28,'Scratch Data'!$G$5:$G$13,1)))/MAX(INDEX('Scratch Data'!$G$5:$G$13,MIN(MATCH($A28,'Scratch Data'!$G$5:$G$13,1)+1,ROWS('Scratch Data'!$G$5:$G$13)))-INDEX('Scratch Data'!$G$5:$G$13,MATCH($A28,'Scratch Data'!$G$5:$G$13,1)),0.0001)),0),1),100))+(1-(INDEX('Scratch Data'!$H$5:$H$13,MATCH($A28,'Scratch Data'!$G$5:$G$13,1))+($A28-INDEX('Scratch Data'!$G$5:$G$13,MATCH($A28,'Scratch Data'!$G$5:$G$13,1)))*(INDEX('Scratch Data'!$H$5:$H$13,MIN(MATCH($A28,'Scratch Data'!$G$5:$G$13,1)+1,ROWS('Scratch Data'!$G$5:$G$13)))-INDEX('Scratch Data'!$H$5:$H$13,MATCH($A28,'Scratch Data'!$G$5:$G$13,1)))/MAX(INDEX('Scratch Data'!$G$5:$G$13,MIN(MATCH($A28,'Scratch Data'!$G$5:$G$13,1)+1,ROWS('Scratch Data'!$G$5:$G$13)))-INDEX('Scratch Data'!$G$5:$G$13,MATCH($A28,'Scratch Data'!$G$5:$G$13,1)),0.0001)))*(INDEX('Scratch Data'!$J$5:$J$13,MATCH($A28,'Scratch Data'!$G$5:$G$13,1))+($A28-INDEX('Scratch Data'!$G$5:$G$13,MATCH($A28,'Scratch Data'!$G$5:$G$13,1)))*(INDEX('Scratch Data'!$J$5:$J$13,MIN(MATCH($A28,'Scratch Data'!$G$5:$G$13,1)+1,ROWS('Scratch Data'!$G$5:$G$13)))-INDEX('Scratch Data'!$J$5:$J$13,MATCH($A28,'Scratch Data'!$G$5:$G$13,1)))/MAX(INDEX('Scratch Data'!$G$5:$G$13,MIN(MATCH($A28,'Scratch Data'!$G$5:$G$13,1)+1,ROWS('Scratch Data'!$G$5:$G$13)))-INDEX('Scratch Data'!$G$5:$G$13,MATCH($A28,'Scratch Data'!$G$5:$G$13,1)),0.0001))),(1+Inputs!$B$19*INDEX(Baseline!$B$3:$B$122,MATCH(MIN(MAX(ROUND((MAX($A28-Inputs!$B$20,30))/5,0)*5,5),600),Baseline!$A$3:$A$122,0))+(1-Inputs!$B$19)*INDEX(Baseline!$C$3:$C$122,MATCH(MIN(MAX(ROUND((MAX($A28-Inputs!$B$20,30))/5,0)*5,5),600),Baseline!$A$3:$A$122,0)))),(1+Inputs!$B$19*INDEX(Baseline!$B$3:$B$122,MATCH(MIN(MAX(ROUND((MAX($A28-Inputs!$B$20,30))/5,0)*5,5),600),Baseline!$A$3:$A$122,0))+(1-Inputs!$B$19)*INDEX(Baseline!$C$3:$C$122,MATCH(MIN(MAX(ROUND((MAX($A28-Inputs!$B$20,30))/5,0)*5,5),600),Baseline!$A$3:$A$122,0)))))</f>
        <v>3.1440416</v>
      </c>
      <c r="C28" s="10" t="n">
        <f aca="false">IF($A28&lt;=50,$B28+Inputs!$B$18,IF($A28&lt;=250,MIN((1+(INDEX('Scratch Data'!$H$5:$H$13,MATCH($A28,'Scratch Data'!$G$5:$G$13,1))+($A28-INDEX('Scratch Data'!$G$5:$G$13,MATCH($A28,'Scratch Data'!$G$5:$G$13,1)))*(INDEX('Scratch Data'!$H$5:$H$13,MIN(MATCH($A28,'Scratch Data'!$G$5:$G$13,1)+1,ROWS('Scratch Data'!$G$5:$G$13)))-INDEX('Scratch Data'!$H$5:$H$13,MATCH($A28,'Scratch Data'!$G$5:$G$13,1)))/MAX(INDEX('Scratch Data'!$G$5:$G$13,MIN(MATCH($A28,'Scratch Data'!$G$5:$G$13,1)+1,ROWS('Scratch Data'!$G$5:$G$13)))-INDEX('Scratch Data'!$G$5:$G$13,MATCH($A28,'Scratch Data'!$G$5:$G$13,1)),0.0001))*Inputs!$B$12*INDEX(Baseline!$I$3:$I$102,MIN(MAX(ROUND(Inputs!$B$11*(INDEX('Scratch Data'!$I$5:$I$13,MATCH($A28,'Scratch Data'!$G$5:$G$13,1))+($A28-INDEX('Scratch Data'!$G$5:$G$13,MATCH($A28,'Scratch Data'!$G$5:$G$13,1)))*(INDEX('Scratch Data'!$I$5:$I$13,MIN(MATCH($A28,'Scratch Data'!$G$5:$G$13,1)+1,ROWS('Scratch Data'!$G$5:$G$13)))-INDEX('Scratch Data'!$I$5:$I$13,MATCH($A28,'Scratch Data'!$G$5:$G$13,1)))/MAX(INDEX('Scratch Data'!$G$5:$G$13,MIN(MATCH($A28,'Scratch Data'!$G$5:$G$13,1)+1,ROWS('Scratch Data'!$G$5:$G$13)))-INDEX('Scratch Data'!$G$5:$G$13,MATCH($A28,'Scratch Data'!$G$5:$G$13,1)),0.0001))*Inputs!$B$13,0),1),100))+(1-(INDEX('Scratch Data'!$H$5:$H$13,MATCH($A28,'Scratch Data'!$G$5:$G$13,1))+($A28-INDEX('Scratch Data'!$G$5:$G$13,MATCH($A28,'Scratch Data'!$G$5:$G$13,1)))*(INDEX('Scratch Data'!$H$5:$H$13,MIN(MATCH($A28,'Scratch Data'!$G$5:$G$13,1)+1,ROWS('Scratch Data'!$G$5:$G$13)))-INDEX('Scratch Data'!$H$5:$H$13,MATCH($A28,'Scratch Data'!$G$5:$G$13,1)))/MAX(INDEX('Scratch Data'!$G$5:$G$13,MIN(MATCH($A28,'Scratch Data'!$G$5:$G$13,1)+1,ROWS('Scratch Data'!$G$5:$G$13)))-INDEX('Scratch Data'!$G$5:$G$13,MATCH($A28,'Scratch Data'!$G$5:$G$13,1)),0.0001))*Inputs!$B$12)*((INDEX('Scratch Data'!$J$5:$J$13,MATCH($A28,'Scratch Data'!$G$5:$G$13,1))+($A28-INDEX('Scratch Data'!$G$5:$G$13,MATCH($A28,'Scratch Data'!$G$5:$G$13,1)))*(INDEX('Scratch Data'!$J$5:$J$13,MIN(MATCH($A28,'Scratch Data'!$G$5:$G$13,1)+1,ROWS('Scratch Data'!$G$5:$G$13)))-INDEX('Scratch Data'!$J$5:$J$13,MATCH($A28,'Scratch Data'!$G$5:$G$13,1)))/MAX(INDEX('Scratch Data'!$G$5:$G$13,MIN(MATCH($A28,'Scratch Data'!$G$5:$G$13,1)+1,ROWS('Scratch Data'!$G$5:$G$13)))-INDEX('Scratch Data'!$G$5:$G$13,MATCH($A28,'Scratch Data'!$G$5:$G$13,1)),0.0001))+Inputs!$B$14)),(1+Inputs!$B$19*INDEX(Baseline!$B$3:$B$122,MATCH(MIN(MAX(ROUND((MAX($A28-Inputs!$B$21,30))/5,0)*5,5),600),Baseline!$A$3:$A$122,0))+(1-Inputs!$B$19)*INDEX(Baseline!$C$3:$C$122,MATCH(MIN(MAX(ROUND((MAX($A28-Inputs!$B$21,30))/5,0)*5,5),600),Baseline!$A$3:$A$122,0))+Inputs!$B$14)),(1+Inputs!$B$19*INDEX(Baseline!$B$3:$B$122,MATCH(MIN(MAX(ROUND((MAX($A28-Inputs!$B$21,30))/5,0)*5,5),600),Baseline!$A$3:$A$122,0))+(1-Inputs!$B$19)*INDEX(Baseline!$C$3:$C$122,MATCH(MIN(MAX(ROUND((MAX($A28-Inputs!$B$21,30))/5,0)*5,5),600),Baseline!$A$3:$A$122,0))+Inputs!$B$14)))</f>
        <v>3.32287008</v>
      </c>
      <c r="D28" s="10" t="n">
        <f aca="false">IF($A28&lt;=50,(INDEX('Scratch Data'!$P$5:$P$11,MATCH($A28,'Scratch Data'!$O$5:$O$11,1))+($A28-INDEX('Scratch Data'!$O$5:$O$11,MATCH($A28,'Scratch Data'!$O$5:$O$11,1)))*(INDEX('Scratch Data'!$P$5:$P$11,MIN(MATCH($A28,'Scratch Data'!$O$5:$O$11,1)+1,ROWS('Scratch Data'!$O$5:$O$11)))-INDEX('Scratch Data'!$P$5:$P$11,MATCH($A28,'Scratch Data'!$O$5:$O$11,1)))/MAX(INDEX('Scratch Data'!$O$5:$O$11,MIN(MATCH($A28,'Scratch Data'!$O$5:$O$11,1)+1,ROWS('Scratch Data'!$O$5:$O$11)))-INDEX('Scratch Data'!$O$5:$O$11,MATCH($A28,'Scratch Data'!$O$5:$O$11,1)),0.0001)),IF($A28&lt;=250,MIN((1+(INDEX('Scratch Data'!$H$5:$H$13,MATCH($A28,'Scratch Data'!$G$5:$G$13,1))+($A28-INDEX('Scratch Data'!$G$5:$G$13,MATCH($A28,'Scratch Data'!$G$5:$G$13,1)))*(INDEX('Scratch Data'!$H$5:$H$13,MIN(MATCH($A28,'Scratch Data'!$G$5:$G$13,1)+1,ROWS('Scratch Data'!$G$5:$G$13)))-INDEX('Scratch Data'!$H$5:$H$13,MATCH($A28,'Scratch Data'!$G$5:$G$13,1)))/MAX(INDEX('Scratch Data'!$G$5:$G$13,MIN(MATCH($A28,'Scratch Data'!$G$5:$G$13,1)+1,ROWS('Scratch Data'!$G$5:$G$13)))-INDEX('Scratch Data'!$G$5:$G$13,MATCH($A28,'Scratch Data'!$G$5:$G$13,1)),0.0001))*Inputs!$B$15*INDEX(Baseline!$I$3:$I$102,MIN(MAX(ROUND(Inputs!$B$11*(INDEX('Scratch Data'!$I$5:$I$13,MATCH($A28,'Scratch Data'!$G$5:$G$13,1))+($A28-INDEX('Scratch Data'!$G$5:$G$13,MATCH($A28,'Scratch Data'!$G$5:$G$13,1)))*(INDEX('Scratch Data'!$I$5:$I$13,MIN(MATCH($A28,'Scratch Data'!$G$5:$G$13,1)+1,ROWS('Scratch Data'!$G$5:$G$13)))-INDEX('Scratch Data'!$I$5:$I$13,MATCH($A28,'Scratch Data'!$G$5:$G$13,1)))/MAX(INDEX('Scratch Data'!$G$5:$G$13,MIN(MATCH($A28,'Scratch Data'!$G$5:$G$13,1)+1,ROWS('Scratch Data'!$G$5:$G$13)))-INDEX('Scratch Data'!$G$5:$G$13,MATCH($A28,'Scratch Data'!$G$5:$G$13,1)),0.0001))*Inputs!$B$16,0),1),100))+(1-(INDEX('Scratch Data'!$H$5:$H$13,MATCH($A28,'Scratch Data'!$G$5:$G$13,1))+($A28-INDEX('Scratch Data'!$G$5:$G$13,MATCH($A28,'Scratch Data'!$G$5:$G$13,1)))*(INDEX('Scratch Data'!$H$5:$H$13,MIN(MATCH($A28,'Scratch Data'!$G$5:$G$13,1)+1,ROWS('Scratch Data'!$G$5:$G$13)))-INDEX('Scratch Data'!$H$5:$H$13,MATCH($A28,'Scratch Data'!$G$5:$G$13,1)))/MAX(INDEX('Scratch Data'!$G$5:$G$13,MIN(MATCH($A28,'Scratch Data'!$G$5:$G$13,1)+1,ROWS('Scratch Data'!$G$5:$G$13)))-INDEX('Scratch Data'!$G$5:$G$13,MATCH($A28,'Scratch Data'!$G$5:$G$13,1)),0.0001))*Inputs!$B$15)*((INDEX('Scratch Data'!$J$5:$J$13,MATCH($A28,'Scratch Data'!$G$5:$G$13,1))+($A28-INDEX('Scratch Data'!$G$5:$G$13,MATCH($A28,'Scratch Data'!$G$5:$G$13,1)))*(INDEX('Scratch Data'!$J$5:$J$13,MIN(MATCH($A28,'Scratch Data'!$G$5:$G$13,1)+1,ROWS('Scratch Data'!$G$5:$G$13)))-INDEX('Scratch Data'!$J$5:$J$13,MATCH($A28,'Scratch Data'!$G$5:$G$13,1)))/MAX(INDEX('Scratch Data'!$G$5:$G$13,MIN(MATCH($A28,'Scratch Data'!$G$5:$G$13,1)+1,ROWS('Scratch Data'!$G$5:$G$13)))-INDEX('Scratch Data'!$G$5:$G$13,MATCH($A28,'Scratch Data'!$G$5:$G$13,1)),0.0001))+Inputs!$B$17)),(1+Inputs!$B$19*INDEX(Baseline!$B$3:$B$122,MATCH(MIN(MAX(ROUND((MAX($A28-Inputs!$B$22,30))/5,0)*5,5),600),Baseline!$A$3:$A$122,0))+(1-Inputs!$B$19)*INDEX(Baseline!$C$3:$C$122,MATCH(MIN(MAX(ROUND((MAX($A28-Inputs!$B$22,30))/5,0)*5,5),600),Baseline!$A$3:$A$122,0))+Inputs!$B$17)),(1+Inputs!$B$19*INDEX(Baseline!$B$3:$B$122,MATCH(MIN(MAX(ROUND((MAX($A28-Inputs!$B$22,30))/5,0)*5,5),600),Baseline!$A$3:$A$122,0))+(1-Inputs!$B$19)*INDEX(Baseline!$C$3:$C$122,MATCH(MIN(MAX(ROUND((MAX($A28-Inputs!$B$22,30))/5,0)*5,5),600),Baseline!$A$3:$A$122,0))+Inputs!$B$17)))</f>
        <v>3.45307312</v>
      </c>
      <c r="E28" s="10" t="n">
        <f aca="false">1+Inputs!$B$24+0.6*INDEX(Baseline!$B$3:$B$122,MATCH(MIN(MAX(ROUND((MAX($A28-Inputs!$B$23,15))/5,0)*5,5),600),Baseline!$A$3:$A$122,0))+0.4*INDEX(Baseline!$C$3:$C$122,MATCH(MIN(MAX(ROUND((MAX($A28-Inputs!$B$23,15))/5,0)*5,5),600),Baseline!$A$3:$A$122,0))</f>
        <v>3.76</v>
      </c>
      <c r="H28" s="7" t="n">
        <v>26</v>
      </c>
      <c r="I28" s="10" t="n">
        <f aca="false">(INDEX('Scratch Data'!$E$5:$E$22,MATCH($H28,'Scratch Data'!$A$5:$A$22,1))+($H28-INDEX('Scratch Data'!$A$5:$A$22,MATCH($H28,'Scratch Data'!$A$5:$A$22,1)))*(INDEX('Scratch Data'!$E$5:$E$22,MIN(MATCH($H28,'Scratch Data'!$A$5:$A$22,1)+1,ROWS('Scratch Data'!$A$5:$A$22)))-INDEX('Scratch Data'!$E$5:$E$22,MATCH($H28,'Scratch Data'!$A$5:$A$22,1)))/MAX(INDEX('Scratch Data'!$A$5:$A$22,MIN(MATCH($H28,'Scratch Data'!$A$5:$A$22,1)+1,ROWS('Scratch Data'!$A$5:$A$22)))-INDEX('Scratch Data'!$A$5:$A$22,MATCH($H28,'Scratch Data'!$A$5:$A$22,1)),0.0001))</f>
        <v>2.0112</v>
      </c>
    </row>
    <row r="29" customFormat="false" ht="15" hidden="false" customHeight="false" outlineLevel="0" collapsed="false">
      <c r="A29" s="7" t="n">
        <v>135</v>
      </c>
      <c r="B29" s="10" t="n">
        <f aca="false">IF($A29&lt;=50,(INDEX('Scratch Data'!$M$5:$M$12,MATCH($A29,'Scratch Data'!$L$5:$L$12,1))+($A29-INDEX('Scratch Data'!$L$5:$L$12,MATCH($A29,'Scratch Data'!$L$5:$L$12,1)))*(INDEX('Scratch Data'!$M$5:$M$12,MIN(MATCH($A29,'Scratch Data'!$L$5:$L$12,1)+1,ROWS('Scratch Data'!$L$5:$L$12)))-INDEX('Scratch Data'!$M$5:$M$12,MATCH($A29,'Scratch Data'!$L$5:$L$12,1)))/MAX(INDEX('Scratch Data'!$L$5:$L$12,MIN(MATCH($A29,'Scratch Data'!$L$5:$L$12,1)+1,ROWS('Scratch Data'!$L$5:$L$12)))-INDEX('Scratch Data'!$L$5:$L$12,MATCH($A29,'Scratch Data'!$L$5:$L$12,1)),0.0001)),IF($A29&lt;=250,MIN((1+(INDEX('Scratch Data'!$H$5:$H$13,MATCH($A29,'Scratch Data'!$G$5:$G$13,1))+($A29-INDEX('Scratch Data'!$G$5:$G$13,MATCH($A29,'Scratch Data'!$G$5:$G$13,1)))*(INDEX('Scratch Data'!$H$5:$H$13,MIN(MATCH($A29,'Scratch Data'!$G$5:$G$13,1)+1,ROWS('Scratch Data'!$G$5:$G$13)))-INDEX('Scratch Data'!$H$5:$H$13,MATCH($A29,'Scratch Data'!$G$5:$G$13,1)))/MAX(INDEX('Scratch Data'!$G$5:$G$13,MIN(MATCH($A29,'Scratch Data'!$G$5:$G$13,1)+1,ROWS('Scratch Data'!$G$5:$G$13)))-INDEX('Scratch Data'!$G$5:$G$13,MATCH($A29,'Scratch Data'!$G$5:$G$13,1)),0.0001))*INDEX(Baseline!$I$3:$I$102,MIN(MAX(ROUND(Inputs!$B$11*(INDEX('Scratch Data'!$I$5:$I$13,MATCH($A29,'Scratch Data'!$G$5:$G$13,1))+($A29-INDEX('Scratch Data'!$G$5:$G$13,MATCH($A29,'Scratch Data'!$G$5:$G$13,1)))*(INDEX('Scratch Data'!$I$5:$I$13,MIN(MATCH($A29,'Scratch Data'!$G$5:$G$13,1)+1,ROWS('Scratch Data'!$G$5:$G$13)))-INDEX('Scratch Data'!$I$5:$I$13,MATCH($A29,'Scratch Data'!$G$5:$G$13,1)))/MAX(INDEX('Scratch Data'!$G$5:$G$13,MIN(MATCH($A29,'Scratch Data'!$G$5:$G$13,1)+1,ROWS('Scratch Data'!$G$5:$G$13)))-INDEX('Scratch Data'!$G$5:$G$13,MATCH($A29,'Scratch Data'!$G$5:$G$13,1)),0.0001)),0),1),100))+(1-(INDEX('Scratch Data'!$H$5:$H$13,MATCH($A29,'Scratch Data'!$G$5:$G$13,1))+($A29-INDEX('Scratch Data'!$G$5:$G$13,MATCH($A29,'Scratch Data'!$G$5:$G$13,1)))*(INDEX('Scratch Data'!$H$5:$H$13,MIN(MATCH($A29,'Scratch Data'!$G$5:$G$13,1)+1,ROWS('Scratch Data'!$G$5:$G$13)))-INDEX('Scratch Data'!$H$5:$H$13,MATCH($A29,'Scratch Data'!$G$5:$G$13,1)))/MAX(INDEX('Scratch Data'!$G$5:$G$13,MIN(MATCH($A29,'Scratch Data'!$G$5:$G$13,1)+1,ROWS('Scratch Data'!$G$5:$G$13)))-INDEX('Scratch Data'!$G$5:$G$13,MATCH($A29,'Scratch Data'!$G$5:$G$13,1)),0.0001)))*(INDEX('Scratch Data'!$J$5:$J$13,MATCH($A29,'Scratch Data'!$G$5:$G$13,1))+($A29-INDEX('Scratch Data'!$G$5:$G$13,MATCH($A29,'Scratch Data'!$G$5:$G$13,1)))*(INDEX('Scratch Data'!$J$5:$J$13,MIN(MATCH($A29,'Scratch Data'!$G$5:$G$13,1)+1,ROWS('Scratch Data'!$G$5:$G$13)))-INDEX('Scratch Data'!$J$5:$J$13,MATCH($A29,'Scratch Data'!$G$5:$G$13,1)))/MAX(INDEX('Scratch Data'!$G$5:$G$13,MIN(MATCH($A29,'Scratch Data'!$G$5:$G$13,1)+1,ROWS('Scratch Data'!$G$5:$G$13)))-INDEX('Scratch Data'!$G$5:$G$13,MATCH($A29,'Scratch Data'!$G$5:$G$13,1)),0.0001))),(1+Inputs!$B$19*INDEX(Baseline!$B$3:$B$122,MATCH(MIN(MAX(ROUND((MAX($A29-Inputs!$B$20,30))/5,0)*5,5),600),Baseline!$A$3:$A$122,0))+(1-Inputs!$B$19)*INDEX(Baseline!$C$3:$C$122,MATCH(MIN(MAX(ROUND((MAX($A29-Inputs!$B$20,30))/5,0)*5,5),600),Baseline!$A$3:$A$122,0)))),(1+Inputs!$B$19*INDEX(Baseline!$B$3:$B$122,MATCH(MIN(MAX(ROUND((MAX($A29-Inputs!$B$20,30))/5,0)*5,5),600),Baseline!$A$3:$A$122,0))+(1-Inputs!$B$19)*INDEX(Baseline!$C$3:$C$122,MATCH(MIN(MAX(ROUND((MAX($A29-Inputs!$B$20,30))/5,0)*5,5),600),Baseline!$A$3:$A$122,0)))))</f>
        <v>3.1702816</v>
      </c>
      <c r="C29" s="10" t="n">
        <f aca="false">IF($A29&lt;=50,$B29+Inputs!$B$18,IF($A29&lt;=250,MIN((1+(INDEX('Scratch Data'!$H$5:$H$13,MATCH($A29,'Scratch Data'!$G$5:$G$13,1))+($A29-INDEX('Scratch Data'!$G$5:$G$13,MATCH($A29,'Scratch Data'!$G$5:$G$13,1)))*(INDEX('Scratch Data'!$H$5:$H$13,MIN(MATCH($A29,'Scratch Data'!$G$5:$G$13,1)+1,ROWS('Scratch Data'!$G$5:$G$13)))-INDEX('Scratch Data'!$H$5:$H$13,MATCH($A29,'Scratch Data'!$G$5:$G$13,1)))/MAX(INDEX('Scratch Data'!$G$5:$G$13,MIN(MATCH($A29,'Scratch Data'!$G$5:$G$13,1)+1,ROWS('Scratch Data'!$G$5:$G$13)))-INDEX('Scratch Data'!$G$5:$G$13,MATCH($A29,'Scratch Data'!$G$5:$G$13,1)),0.0001))*Inputs!$B$12*INDEX(Baseline!$I$3:$I$102,MIN(MAX(ROUND(Inputs!$B$11*(INDEX('Scratch Data'!$I$5:$I$13,MATCH($A29,'Scratch Data'!$G$5:$G$13,1))+($A29-INDEX('Scratch Data'!$G$5:$G$13,MATCH($A29,'Scratch Data'!$G$5:$G$13,1)))*(INDEX('Scratch Data'!$I$5:$I$13,MIN(MATCH($A29,'Scratch Data'!$G$5:$G$13,1)+1,ROWS('Scratch Data'!$G$5:$G$13)))-INDEX('Scratch Data'!$I$5:$I$13,MATCH($A29,'Scratch Data'!$G$5:$G$13,1)))/MAX(INDEX('Scratch Data'!$G$5:$G$13,MIN(MATCH($A29,'Scratch Data'!$G$5:$G$13,1)+1,ROWS('Scratch Data'!$G$5:$G$13)))-INDEX('Scratch Data'!$G$5:$G$13,MATCH($A29,'Scratch Data'!$G$5:$G$13,1)),0.0001))*Inputs!$B$13,0),1),100))+(1-(INDEX('Scratch Data'!$H$5:$H$13,MATCH($A29,'Scratch Data'!$G$5:$G$13,1))+($A29-INDEX('Scratch Data'!$G$5:$G$13,MATCH($A29,'Scratch Data'!$G$5:$G$13,1)))*(INDEX('Scratch Data'!$H$5:$H$13,MIN(MATCH($A29,'Scratch Data'!$G$5:$G$13,1)+1,ROWS('Scratch Data'!$G$5:$G$13)))-INDEX('Scratch Data'!$H$5:$H$13,MATCH($A29,'Scratch Data'!$G$5:$G$13,1)))/MAX(INDEX('Scratch Data'!$G$5:$G$13,MIN(MATCH($A29,'Scratch Data'!$G$5:$G$13,1)+1,ROWS('Scratch Data'!$G$5:$G$13)))-INDEX('Scratch Data'!$G$5:$G$13,MATCH($A29,'Scratch Data'!$G$5:$G$13,1)),0.0001))*Inputs!$B$12)*((INDEX('Scratch Data'!$J$5:$J$13,MATCH($A29,'Scratch Data'!$G$5:$G$13,1))+($A29-INDEX('Scratch Data'!$G$5:$G$13,MATCH($A29,'Scratch Data'!$G$5:$G$13,1)))*(INDEX('Scratch Data'!$J$5:$J$13,MIN(MATCH($A29,'Scratch Data'!$G$5:$G$13,1)+1,ROWS('Scratch Data'!$G$5:$G$13)))-INDEX('Scratch Data'!$J$5:$J$13,MATCH($A29,'Scratch Data'!$G$5:$G$13,1)))/MAX(INDEX('Scratch Data'!$G$5:$G$13,MIN(MATCH($A29,'Scratch Data'!$G$5:$G$13,1)+1,ROWS('Scratch Data'!$G$5:$G$13)))-INDEX('Scratch Data'!$G$5:$G$13,MATCH($A29,'Scratch Data'!$G$5:$G$13,1)),0.0001))+Inputs!$B$14)),(1+Inputs!$B$19*INDEX(Baseline!$B$3:$B$122,MATCH(MIN(MAX(ROUND((MAX($A29-Inputs!$B$21,30))/5,0)*5,5),600),Baseline!$A$3:$A$122,0))+(1-Inputs!$B$19)*INDEX(Baseline!$C$3:$C$122,MATCH(MIN(MAX(ROUND((MAX($A29-Inputs!$B$21,30))/5,0)*5,5),600),Baseline!$A$3:$A$122,0))+Inputs!$B$14)),(1+Inputs!$B$19*INDEX(Baseline!$B$3:$B$122,MATCH(MIN(MAX(ROUND((MAX($A29-Inputs!$B$21,30))/5,0)*5,5),600),Baseline!$A$3:$A$122,0))+(1-Inputs!$B$19)*INDEX(Baseline!$C$3:$C$122,MATCH(MIN(MAX(ROUND((MAX($A29-Inputs!$B$21,30))/5,0)*5,5),600),Baseline!$A$3:$A$122,0))+Inputs!$B$14)))</f>
        <v>3.34359488</v>
      </c>
      <c r="D29" s="10" t="n">
        <f aca="false">IF($A29&lt;=50,(INDEX('Scratch Data'!$P$5:$P$11,MATCH($A29,'Scratch Data'!$O$5:$O$11,1))+($A29-INDEX('Scratch Data'!$O$5:$O$11,MATCH($A29,'Scratch Data'!$O$5:$O$11,1)))*(INDEX('Scratch Data'!$P$5:$P$11,MIN(MATCH($A29,'Scratch Data'!$O$5:$O$11,1)+1,ROWS('Scratch Data'!$O$5:$O$11)))-INDEX('Scratch Data'!$P$5:$P$11,MATCH($A29,'Scratch Data'!$O$5:$O$11,1)))/MAX(INDEX('Scratch Data'!$O$5:$O$11,MIN(MATCH($A29,'Scratch Data'!$O$5:$O$11,1)+1,ROWS('Scratch Data'!$O$5:$O$11)))-INDEX('Scratch Data'!$O$5:$O$11,MATCH($A29,'Scratch Data'!$O$5:$O$11,1)),0.0001)),IF($A29&lt;=250,MIN((1+(INDEX('Scratch Data'!$H$5:$H$13,MATCH($A29,'Scratch Data'!$G$5:$G$13,1))+($A29-INDEX('Scratch Data'!$G$5:$G$13,MATCH($A29,'Scratch Data'!$G$5:$G$13,1)))*(INDEX('Scratch Data'!$H$5:$H$13,MIN(MATCH($A29,'Scratch Data'!$G$5:$G$13,1)+1,ROWS('Scratch Data'!$G$5:$G$13)))-INDEX('Scratch Data'!$H$5:$H$13,MATCH($A29,'Scratch Data'!$G$5:$G$13,1)))/MAX(INDEX('Scratch Data'!$G$5:$G$13,MIN(MATCH($A29,'Scratch Data'!$G$5:$G$13,1)+1,ROWS('Scratch Data'!$G$5:$G$13)))-INDEX('Scratch Data'!$G$5:$G$13,MATCH($A29,'Scratch Data'!$G$5:$G$13,1)),0.0001))*Inputs!$B$15*INDEX(Baseline!$I$3:$I$102,MIN(MAX(ROUND(Inputs!$B$11*(INDEX('Scratch Data'!$I$5:$I$13,MATCH($A29,'Scratch Data'!$G$5:$G$13,1))+($A29-INDEX('Scratch Data'!$G$5:$G$13,MATCH($A29,'Scratch Data'!$G$5:$G$13,1)))*(INDEX('Scratch Data'!$I$5:$I$13,MIN(MATCH($A29,'Scratch Data'!$G$5:$G$13,1)+1,ROWS('Scratch Data'!$G$5:$G$13)))-INDEX('Scratch Data'!$I$5:$I$13,MATCH($A29,'Scratch Data'!$G$5:$G$13,1)))/MAX(INDEX('Scratch Data'!$G$5:$G$13,MIN(MATCH($A29,'Scratch Data'!$G$5:$G$13,1)+1,ROWS('Scratch Data'!$G$5:$G$13)))-INDEX('Scratch Data'!$G$5:$G$13,MATCH($A29,'Scratch Data'!$G$5:$G$13,1)),0.0001))*Inputs!$B$16,0),1),100))+(1-(INDEX('Scratch Data'!$H$5:$H$13,MATCH($A29,'Scratch Data'!$G$5:$G$13,1))+($A29-INDEX('Scratch Data'!$G$5:$G$13,MATCH($A29,'Scratch Data'!$G$5:$G$13,1)))*(INDEX('Scratch Data'!$H$5:$H$13,MIN(MATCH($A29,'Scratch Data'!$G$5:$G$13,1)+1,ROWS('Scratch Data'!$G$5:$G$13)))-INDEX('Scratch Data'!$H$5:$H$13,MATCH($A29,'Scratch Data'!$G$5:$G$13,1)))/MAX(INDEX('Scratch Data'!$G$5:$G$13,MIN(MATCH($A29,'Scratch Data'!$G$5:$G$13,1)+1,ROWS('Scratch Data'!$G$5:$G$13)))-INDEX('Scratch Data'!$G$5:$G$13,MATCH($A29,'Scratch Data'!$G$5:$G$13,1)),0.0001))*Inputs!$B$15)*((INDEX('Scratch Data'!$J$5:$J$13,MATCH($A29,'Scratch Data'!$G$5:$G$13,1))+($A29-INDEX('Scratch Data'!$G$5:$G$13,MATCH($A29,'Scratch Data'!$G$5:$G$13,1)))*(INDEX('Scratch Data'!$J$5:$J$13,MIN(MATCH($A29,'Scratch Data'!$G$5:$G$13,1)+1,ROWS('Scratch Data'!$G$5:$G$13)))-INDEX('Scratch Data'!$J$5:$J$13,MATCH($A29,'Scratch Data'!$G$5:$G$13,1)))/MAX(INDEX('Scratch Data'!$G$5:$G$13,MIN(MATCH($A29,'Scratch Data'!$G$5:$G$13,1)+1,ROWS('Scratch Data'!$G$5:$G$13)))-INDEX('Scratch Data'!$G$5:$G$13,MATCH($A29,'Scratch Data'!$G$5:$G$13,1)),0.0001))+Inputs!$B$17)),(1+Inputs!$B$19*INDEX(Baseline!$B$3:$B$122,MATCH(MIN(MAX(ROUND((MAX($A29-Inputs!$B$22,30))/5,0)*5,5),600),Baseline!$A$3:$A$122,0))+(1-Inputs!$B$19)*INDEX(Baseline!$C$3:$C$122,MATCH(MIN(MAX(ROUND((MAX($A29-Inputs!$B$22,30))/5,0)*5,5),600),Baseline!$A$3:$A$122,0))+Inputs!$B$17)),(1+Inputs!$B$19*INDEX(Baseline!$B$3:$B$122,MATCH(MIN(MAX(ROUND((MAX($A29-Inputs!$B$22,30))/5,0)*5,5),600),Baseline!$A$3:$A$122,0))+(1-Inputs!$B$19)*INDEX(Baseline!$C$3:$C$122,MATCH(MIN(MAX(ROUND((MAX($A29-Inputs!$B$22,30))/5,0)*5,5),600),Baseline!$A$3:$A$122,0))+Inputs!$B$17)))</f>
        <v>3.4725496</v>
      </c>
      <c r="E29" s="10" t="n">
        <f aca="false">1+Inputs!$B$24+0.6*INDEX(Baseline!$B$3:$B$122,MATCH(MIN(MAX(ROUND((MAX($A29-Inputs!$B$23,15))/5,0)*5,5),600),Baseline!$A$3:$A$122,0))+0.4*INDEX(Baseline!$C$3:$C$122,MATCH(MIN(MAX(ROUND((MAX($A29-Inputs!$B$23,15))/5,0)*5,5),600),Baseline!$A$3:$A$122,0))</f>
        <v>3.81</v>
      </c>
      <c r="H29" s="7" t="n">
        <v>27</v>
      </c>
      <c r="I29" s="10" t="n">
        <f aca="false">(INDEX('Scratch Data'!$E$5:$E$22,MATCH($H29,'Scratch Data'!$A$5:$A$22,1))+($H29-INDEX('Scratch Data'!$A$5:$A$22,MATCH($H29,'Scratch Data'!$A$5:$A$22,1)))*(INDEX('Scratch Data'!$E$5:$E$22,MIN(MATCH($H29,'Scratch Data'!$A$5:$A$22,1)+1,ROWS('Scratch Data'!$A$5:$A$22)))-INDEX('Scratch Data'!$E$5:$E$22,MATCH($H29,'Scratch Data'!$A$5:$A$22,1)))/MAX(INDEX('Scratch Data'!$A$5:$A$22,MIN(MATCH($H29,'Scratch Data'!$A$5:$A$22,1)+1,ROWS('Scratch Data'!$A$5:$A$22)))-INDEX('Scratch Data'!$A$5:$A$22,MATCH($H29,'Scratch Data'!$A$5:$A$22,1)),0.0001))</f>
        <v>2.0254</v>
      </c>
    </row>
    <row r="30" customFormat="false" ht="15" hidden="false" customHeight="false" outlineLevel="0" collapsed="false">
      <c r="A30" s="7" t="n">
        <v>140</v>
      </c>
      <c r="B30" s="10" t="n">
        <f aca="false">IF($A30&lt;=50,(INDEX('Scratch Data'!$M$5:$M$12,MATCH($A30,'Scratch Data'!$L$5:$L$12,1))+($A30-INDEX('Scratch Data'!$L$5:$L$12,MATCH($A30,'Scratch Data'!$L$5:$L$12,1)))*(INDEX('Scratch Data'!$M$5:$M$12,MIN(MATCH($A30,'Scratch Data'!$L$5:$L$12,1)+1,ROWS('Scratch Data'!$L$5:$L$12)))-INDEX('Scratch Data'!$M$5:$M$12,MATCH($A30,'Scratch Data'!$L$5:$L$12,1)))/MAX(INDEX('Scratch Data'!$L$5:$L$12,MIN(MATCH($A30,'Scratch Data'!$L$5:$L$12,1)+1,ROWS('Scratch Data'!$L$5:$L$12)))-INDEX('Scratch Data'!$L$5:$L$12,MATCH($A30,'Scratch Data'!$L$5:$L$12,1)),0.0001)),IF($A30&lt;=250,MIN((1+(INDEX('Scratch Data'!$H$5:$H$13,MATCH($A30,'Scratch Data'!$G$5:$G$13,1))+($A30-INDEX('Scratch Data'!$G$5:$G$13,MATCH($A30,'Scratch Data'!$G$5:$G$13,1)))*(INDEX('Scratch Data'!$H$5:$H$13,MIN(MATCH($A30,'Scratch Data'!$G$5:$G$13,1)+1,ROWS('Scratch Data'!$G$5:$G$13)))-INDEX('Scratch Data'!$H$5:$H$13,MATCH($A30,'Scratch Data'!$G$5:$G$13,1)))/MAX(INDEX('Scratch Data'!$G$5:$G$13,MIN(MATCH($A30,'Scratch Data'!$G$5:$G$13,1)+1,ROWS('Scratch Data'!$G$5:$G$13)))-INDEX('Scratch Data'!$G$5:$G$13,MATCH($A30,'Scratch Data'!$G$5:$G$13,1)),0.0001))*INDEX(Baseline!$I$3:$I$102,MIN(MAX(ROUND(Inputs!$B$11*(INDEX('Scratch Data'!$I$5:$I$13,MATCH($A30,'Scratch Data'!$G$5:$G$13,1))+($A30-INDEX('Scratch Data'!$G$5:$G$13,MATCH($A30,'Scratch Data'!$G$5:$G$13,1)))*(INDEX('Scratch Data'!$I$5:$I$13,MIN(MATCH($A30,'Scratch Data'!$G$5:$G$13,1)+1,ROWS('Scratch Data'!$G$5:$G$13)))-INDEX('Scratch Data'!$I$5:$I$13,MATCH($A30,'Scratch Data'!$G$5:$G$13,1)))/MAX(INDEX('Scratch Data'!$G$5:$G$13,MIN(MATCH($A30,'Scratch Data'!$G$5:$G$13,1)+1,ROWS('Scratch Data'!$G$5:$G$13)))-INDEX('Scratch Data'!$G$5:$G$13,MATCH($A30,'Scratch Data'!$G$5:$G$13,1)),0.0001)),0),1),100))+(1-(INDEX('Scratch Data'!$H$5:$H$13,MATCH($A30,'Scratch Data'!$G$5:$G$13,1))+($A30-INDEX('Scratch Data'!$G$5:$G$13,MATCH($A30,'Scratch Data'!$G$5:$G$13,1)))*(INDEX('Scratch Data'!$H$5:$H$13,MIN(MATCH($A30,'Scratch Data'!$G$5:$G$13,1)+1,ROWS('Scratch Data'!$G$5:$G$13)))-INDEX('Scratch Data'!$H$5:$H$13,MATCH($A30,'Scratch Data'!$G$5:$G$13,1)))/MAX(INDEX('Scratch Data'!$G$5:$G$13,MIN(MATCH($A30,'Scratch Data'!$G$5:$G$13,1)+1,ROWS('Scratch Data'!$G$5:$G$13)))-INDEX('Scratch Data'!$G$5:$G$13,MATCH($A30,'Scratch Data'!$G$5:$G$13,1)),0.0001)))*(INDEX('Scratch Data'!$J$5:$J$13,MATCH($A30,'Scratch Data'!$G$5:$G$13,1))+($A30-INDEX('Scratch Data'!$G$5:$G$13,MATCH($A30,'Scratch Data'!$G$5:$G$13,1)))*(INDEX('Scratch Data'!$J$5:$J$13,MIN(MATCH($A30,'Scratch Data'!$G$5:$G$13,1)+1,ROWS('Scratch Data'!$G$5:$G$13)))-INDEX('Scratch Data'!$J$5:$J$13,MATCH($A30,'Scratch Data'!$G$5:$G$13,1)))/MAX(INDEX('Scratch Data'!$G$5:$G$13,MIN(MATCH($A30,'Scratch Data'!$G$5:$G$13,1)+1,ROWS('Scratch Data'!$G$5:$G$13)))-INDEX('Scratch Data'!$G$5:$G$13,MATCH($A30,'Scratch Data'!$G$5:$G$13,1)),0.0001))),(1+Inputs!$B$19*INDEX(Baseline!$B$3:$B$122,MATCH(MIN(MAX(ROUND((MAX($A30-Inputs!$B$20,30))/5,0)*5,5),600),Baseline!$A$3:$A$122,0))+(1-Inputs!$B$19)*INDEX(Baseline!$C$3:$C$122,MATCH(MIN(MAX(ROUND((MAX($A30-Inputs!$B$20,30))/5,0)*5,5),600),Baseline!$A$3:$A$122,0)))),(1+Inputs!$B$19*INDEX(Baseline!$B$3:$B$122,MATCH(MIN(MAX(ROUND((MAX($A30-Inputs!$B$20,30))/5,0)*5,5),600),Baseline!$A$3:$A$122,0))+(1-Inputs!$B$19)*INDEX(Baseline!$C$3:$C$122,MATCH(MIN(MAX(ROUND((MAX($A30-Inputs!$B$20,30))/5,0)*5,5),600),Baseline!$A$3:$A$122,0)))))</f>
        <v>3.196208</v>
      </c>
      <c r="C30" s="10" t="n">
        <f aca="false">IF($A30&lt;=50,$B30+Inputs!$B$18,IF($A30&lt;=250,MIN((1+(INDEX('Scratch Data'!$H$5:$H$13,MATCH($A30,'Scratch Data'!$G$5:$G$13,1))+($A30-INDEX('Scratch Data'!$G$5:$G$13,MATCH($A30,'Scratch Data'!$G$5:$G$13,1)))*(INDEX('Scratch Data'!$H$5:$H$13,MIN(MATCH($A30,'Scratch Data'!$G$5:$G$13,1)+1,ROWS('Scratch Data'!$G$5:$G$13)))-INDEX('Scratch Data'!$H$5:$H$13,MATCH($A30,'Scratch Data'!$G$5:$G$13,1)))/MAX(INDEX('Scratch Data'!$G$5:$G$13,MIN(MATCH($A30,'Scratch Data'!$G$5:$G$13,1)+1,ROWS('Scratch Data'!$G$5:$G$13)))-INDEX('Scratch Data'!$G$5:$G$13,MATCH($A30,'Scratch Data'!$G$5:$G$13,1)),0.0001))*Inputs!$B$12*INDEX(Baseline!$I$3:$I$102,MIN(MAX(ROUND(Inputs!$B$11*(INDEX('Scratch Data'!$I$5:$I$13,MATCH($A30,'Scratch Data'!$G$5:$G$13,1))+($A30-INDEX('Scratch Data'!$G$5:$G$13,MATCH($A30,'Scratch Data'!$G$5:$G$13,1)))*(INDEX('Scratch Data'!$I$5:$I$13,MIN(MATCH($A30,'Scratch Data'!$G$5:$G$13,1)+1,ROWS('Scratch Data'!$G$5:$G$13)))-INDEX('Scratch Data'!$I$5:$I$13,MATCH($A30,'Scratch Data'!$G$5:$G$13,1)))/MAX(INDEX('Scratch Data'!$G$5:$G$13,MIN(MATCH($A30,'Scratch Data'!$G$5:$G$13,1)+1,ROWS('Scratch Data'!$G$5:$G$13)))-INDEX('Scratch Data'!$G$5:$G$13,MATCH($A30,'Scratch Data'!$G$5:$G$13,1)),0.0001))*Inputs!$B$13,0),1),100))+(1-(INDEX('Scratch Data'!$H$5:$H$13,MATCH($A30,'Scratch Data'!$G$5:$G$13,1))+($A30-INDEX('Scratch Data'!$G$5:$G$13,MATCH($A30,'Scratch Data'!$G$5:$G$13,1)))*(INDEX('Scratch Data'!$H$5:$H$13,MIN(MATCH($A30,'Scratch Data'!$G$5:$G$13,1)+1,ROWS('Scratch Data'!$G$5:$G$13)))-INDEX('Scratch Data'!$H$5:$H$13,MATCH($A30,'Scratch Data'!$G$5:$G$13,1)))/MAX(INDEX('Scratch Data'!$G$5:$G$13,MIN(MATCH($A30,'Scratch Data'!$G$5:$G$13,1)+1,ROWS('Scratch Data'!$G$5:$G$13)))-INDEX('Scratch Data'!$G$5:$G$13,MATCH($A30,'Scratch Data'!$G$5:$G$13,1)),0.0001))*Inputs!$B$12)*((INDEX('Scratch Data'!$J$5:$J$13,MATCH($A30,'Scratch Data'!$G$5:$G$13,1))+($A30-INDEX('Scratch Data'!$G$5:$G$13,MATCH($A30,'Scratch Data'!$G$5:$G$13,1)))*(INDEX('Scratch Data'!$J$5:$J$13,MIN(MATCH($A30,'Scratch Data'!$G$5:$G$13,1)+1,ROWS('Scratch Data'!$G$5:$G$13)))-INDEX('Scratch Data'!$J$5:$J$13,MATCH($A30,'Scratch Data'!$G$5:$G$13,1)))/MAX(INDEX('Scratch Data'!$G$5:$G$13,MIN(MATCH($A30,'Scratch Data'!$G$5:$G$13,1)+1,ROWS('Scratch Data'!$G$5:$G$13)))-INDEX('Scratch Data'!$G$5:$G$13,MATCH($A30,'Scratch Data'!$G$5:$G$13,1)),0.0001))+Inputs!$B$14)),(1+Inputs!$B$19*INDEX(Baseline!$B$3:$B$122,MATCH(MIN(MAX(ROUND((MAX($A30-Inputs!$B$21,30))/5,0)*5,5),600),Baseline!$A$3:$A$122,0))+(1-Inputs!$B$19)*INDEX(Baseline!$C$3:$C$122,MATCH(MIN(MAX(ROUND((MAX($A30-Inputs!$B$21,30))/5,0)*5,5),600),Baseline!$A$3:$A$122,0))+Inputs!$B$14)),(1+Inputs!$B$19*INDEX(Baseline!$B$3:$B$122,MATCH(MIN(MAX(ROUND((MAX($A30-Inputs!$B$21,30))/5,0)*5,5),600),Baseline!$A$3:$A$122,0))+(1-Inputs!$B$19)*INDEX(Baseline!$C$3:$C$122,MATCH(MIN(MAX(ROUND((MAX($A30-Inputs!$B$21,30))/5,0)*5,5),600),Baseline!$A$3:$A$122,0))+Inputs!$B$14)))</f>
        <v>3.35668992</v>
      </c>
      <c r="D30" s="10" t="n">
        <f aca="false">IF($A30&lt;=50,(INDEX('Scratch Data'!$P$5:$P$11,MATCH($A30,'Scratch Data'!$O$5:$O$11,1))+($A30-INDEX('Scratch Data'!$O$5:$O$11,MATCH($A30,'Scratch Data'!$O$5:$O$11,1)))*(INDEX('Scratch Data'!$P$5:$P$11,MIN(MATCH($A30,'Scratch Data'!$O$5:$O$11,1)+1,ROWS('Scratch Data'!$O$5:$O$11)))-INDEX('Scratch Data'!$P$5:$P$11,MATCH($A30,'Scratch Data'!$O$5:$O$11,1)))/MAX(INDEX('Scratch Data'!$O$5:$O$11,MIN(MATCH($A30,'Scratch Data'!$O$5:$O$11,1)+1,ROWS('Scratch Data'!$O$5:$O$11)))-INDEX('Scratch Data'!$O$5:$O$11,MATCH($A30,'Scratch Data'!$O$5:$O$11,1)),0.0001)),IF($A30&lt;=250,MIN((1+(INDEX('Scratch Data'!$H$5:$H$13,MATCH($A30,'Scratch Data'!$G$5:$G$13,1))+($A30-INDEX('Scratch Data'!$G$5:$G$13,MATCH($A30,'Scratch Data'!$G$5:$G$13,1)))*(INDEX('Scratch Data'!$H$5:$H$13,MIN(MATCH($A30,'Scratch Data'!$G$5:$G$13,1)+1,ROWS('Scratch Data'!$G$5:$G$13)))-INDEX('Scratch Data'!$H$5:$H$13,MATCH($A30,'Scratch Data'!$G$5:$G$13,1)))/MAX(INDEX('Scratch Data'!$G$5:$G$13,MIN(MATCH($A30,'Scratch Data'!$G$5:$G$13,1)+1,ROWS('Scratch Data'!$G$5:$G$13)))-INDEX('Scratch Data'!$G$5:$G$13,MATCH($A30,'Scratch Data'!$G$5:$G$13,1)),0.0001))*Inputs!$B$15*INDEX(Baseline!$I$3:$I$102,MIN(MAX(ROUND(Inputs!$B$11*(INDEX('Scratch Data'!$I$5:$I$13,MATCH($A30,'Scratch Data'!$G$5:$G$13,1))+($A30-INDEX('Scratch Data'!$G$5:$G$13,MATCH($A30,'Scratch Data'!$G$5:$G$13,1)))*(INDEX('Scratch Data'!$I$5:$I$13,MIN(MATCH($A30,'Scratch Data'!$G$5:$G$13,1)+1,ROWS('Scratch Data'!$G$5:$G$13)))-INDEX('Scratch Data'!$I$5:$I$13,MATCH($A30,'Scratch Data'!$G$5:$G$13,1)))/MAX(INDEX('Scratch Data'!$G$5:$G$13,MIN(MATCH($A30,'Scratch Data'!$G$5:$G$13,1)+1,ROWS('Scratch Data'!$G$5:$G$13)))-INDEX('Scratch Data'!$G$5:$G$13,MATCH($A30,'Scratch Data'!$G$5:$G$13,1)),0.0001))*Inputs!$B$16,0),1),100))+(1-(INDEX('Scratch Data'!$H$5:$H$13,MATCH($A30,'Scratch Data'!$G$5:$G$13,1))+($A30-INDEX('Scratch Data'!$G$5:$G$13,MATCH($A30,'Scratch Data'!$G$5:$G$13,1)))*(INDEX('Scratch Data'!$H$5:$H$13,MIN(MATCH($A30,'Scratch Data'!$G$5:$G$13,1)+1,ROWS('Scratch Data'!$G$5:$G$13)))-INDEX('Scratch Data'!$H$5:$H$13,MATCH($A30,'Scratch Data'!$G$5:$G$13,1)))/MAX(INDEX('Scratch Data'!$G$5:$G$13,MIN(MATCH($A30,'Scratch Data'!$G$5:$G$13,1)+1,ROWS('Scratch Data'!$G$5:$G$13)))-INDEX('Scratch Data'!$G$5:$G$13,MATCH($A30,'Scratch Data'!$G$5:$G$13,1)),0.0001))*Inputs!$B$15)*((INDEX('Scratch Data'!$J$5:$J$13,MATCH($A30,'Scratch Data'!$G$5:$G$13,1))+($A30-INDEX('Scratch Data'!$G$5:$G$13,MATCH($A30,'Scratch Data'!$G$5:$G$13,1)))*(INDEX('Scratch Data'!$J$5:$J$13,MIN(MATCH($A30,'Scratch Data'!$G$5:$G$13,1)+1,ROWS('Scratch Data'!$G$5:$G$13)))-INDEX('Scratch Data'!$J$5:$J$13,MATCH($A30,'Scratch Data'!$G$5:$G$13,1)))/MAX(INDEX('Scratch Data'!$G$5:$G$13,MIN(MATCH($A30,'Scratch Data'!$G$5:$G$13,1)+1,ROWS('Scratch Data'!$G$5:$G$13)))-INDEX('Scratch Data'!$G$5:$G$13,MATCH($A30,'Scratch Data'!$G$5:$G$13,1)),0.0001))+Inputs!$B$17)),(1+Inputs!$B$19*INDEX(Baseline!$B$3:$B$122,MATCH(MIN(MAX(ROUND((MAX($A30-Inputs!$B$22,30))/5,0)*5,5),600),Baseline!$A$3:$A$122,0))+(1-Inputs!$B$19)*INDEX(Baseline!$C$3:$C$122,MATCH(MIN(MAX(ROUND((MAX($A30-Inputs!$B$22,30))/5,0)*5,5),600),Baseline!$A$3:$A$122,0))+Inputs!$B$17)),(1+Inputs!$B$19*INDEX(Baseline!$B$3:$B$122,MATCH(MIN(MAX(ROUND((MAX($A30-Inputs!$B$22,30))/5,0)*5,5),600),Baseline!$A$3:$A$122,0))+(1-Inputs!$B$19)*INDEX(Baseline!$C$3:$C$122,MATCH(MIN(MAX(ROUND((MAX($A30-Inputs!$B$22,30))/5,0)*5,5),600),Baseline!$A$3:$A$122,0))+Inputs!$B$17)))</f>
        <v>3.4858269</v>
      </c>
      <c r="E30" s="10" t="n">
        <f aca="false">1+Inputs!$B$24+0.6*INDEX(Baseline!$B$3:$B$122,MATCH(MIN(MAX(ROUND((MAX($A30-Inputs!$B$23,15))/5,0)*5,5),600),Baseline!$A$3:$A$122,0))+0.4*INDEX(Baseline!$C$3:$C$122,MATCH(MIN(MAX(ROUND((MAX($A30-Inputs!$B$23,15))/5,0)*5,5),600),Baseline!$A$3:$A$122,0))</f>
        <v>3.86</v>
      </c>
      <c r="H30" s="7" t="n">
        <v>28</v>
      </c>
      <c r="I30" s="10" t="n">
        <f aca="false">(INDEX('Scratch Data'!$E$5:$E$22,MATCH($H30,'Scratch Data'!$A$5:$A$22,1))+($H30-INDEX('Scratch Data'!$A$5:$A$22,MATCH($H30,'Scratch Data'!$A$5:$A$22,1)))*(INDEX('Scratch Data'!$E$5:$E$22,MIN(MATCH($H30,'Scratch Data'!$A$5:$A$22,1)+1,ROWS('Scratch Data'!$A$5:$A$22)))-INDEX('Scratch Data'!$E$5:$E$22,MATCH($H30,'Scratch Data'!$A$5:$A$22,1)))/MAX(INDEX('Scratch Data'!$A$5:$A$22,MIN(MATCH($H30,'Scratch Data'!$A$5:$A$22,1)+1,ROWS('Scratch Data'!$A$5:$A$22)))-INDEX('Scratch Data'!$A$5:$A$22,MATCH($H30,'Scratch Data'!$A$5:$A$22,1)),0.0001))</f>
        <v>2.0396</v>
      </c>
    </row>
    <row r="31" customFormat="false" ht="15" hidden="false" customHeight="false" outlineLevel="0" collapsed="false">
      <c r="A31" s="7" t="n">
        <v>145</v>
      </c>
      <c r="B31" s="10" t="n">
        <f aca="false">IF($A31&lt;=50,(INDEX('Scratch Data'!$M$5:$M$12,MATCH($A31,'Scratch Data'!$L$5:$L$12,1))+($A31-INDEX('Scratch Data'!$L$5:$L$12,MATCH($A31,'Scratch Data'!$L$5:$L$12,1)))*(INDEX('Scratch Data'!$M$5:$M$12,MIN(MATCH($A31,'Scratch Data'!$L$5:$L$12,1)+1,ROWS('Scratch Data'!$L$5:$L$12)))-INDEX('Scratch Data'!$M$5:$M$12,MATCH($A31,'Scratch Data'!$L$5:$L$12,1)))/MAX(INDEX('Scratch Data'!$L$5:$L$12,MIN(MATCH($A31,'Scratch Data'!$L$5:$L$12,1)+1,ROWS('Scratch Data'!$L$5:$L$12)))-INDEX('Scratch Data'!$L$5:$L$12,MATCH($A31,'Scratch Data'!$L$5:$L$12,1)),0.0001)),IF($A31&lt;=250,MIN((1+(INDEX('Scratch Data'!$H$5:$H$13,MATCH($A31,'Scratch Data'!$G$5:$G$13,1))+($A31-INDEX('Scratch Data'!$G$5:$G$13,MATCH($A31,'Scratch Data'!$G$5:$G$13,1)))*(INDEX('Scratch Data'!$H$5:$H$13,MIN(MATCH($A31,'Scratch Data'!$G$5:$G$13,1)+1,ROWS('Scratch Data'!$G$5:$G$13)))-INDEX('Scratch Data'!$H$5:$H$13,MATCH($A31,'Scratch Data'!$G$5:$G$13,1)))/MAX(INDEX('Scratch Data'!$G$5:$G$13,MIN(MATCH($A31,'Scratch Data'!$G$5:$G$13,1)+1,ROWS('Scratch Data'!$G$5:$G$13)))-INDEX('Scratch Data'!$G$5:$G$13,MATCH($A31,'Scratch Data'!$G$5:$G$13,1)),0.0001))*INDEX(Baseline!$I$3:$I$102,MIN(MAX(ROUND(Inputs!$B$11*(INDEX('Scratch Data'!$I$5:$I$13,MATCH($A31,'Scratch Data'!$G$5:$G$13,1))+($A31-INDEX('Scratch Data'!$G$5:$G$13,MATCH($A31,'Scratch Data'!$G$5:$G$13,1)))*(INDEX('Scratch Data'!$I$5:$I$13,MIN(MATCH($A31,'Scratch Data'!$G$5:$G$13,1)+1,ROWS('Scratch Data'!$G$5:$G$13)))-INDEX('Scratch Data'!$I$5:$I$13,MATCH($A31,'Scratch Data'!$G$5:$G$13,1)))/MAX(INDEX('Scratch Data'!$G$5:$G$13,MIN(MATCH($A31,'Scratch Data'!$G$5:$G$13,1)+1,ROWS('Scratch Data'!$G$5:$G$13)))-INDEX('Scratch Data'!$G$5:$G$13,MATCH($A31,'Scratch Data'!$G$5:$G$13,1)),0.0001)),0),1),100))+(1-(INDEX('Scratch Data'!$H$5:$H$13,MATCH($A31,'Scratch Data'!$G$5:$G$13,1))+($A31-INDEX('Scratch Data'!$G$5:$G$13,MATCH($A31,'Scratch Data'!$G$5:$G$13,1)))*(INDEX('Scratch Data'!$H$5:$H$13,MIN(MATCH($A31,'Scratch Data'!$G$5:$G$13,1)+1,ROWS('Scratch Data'!$G$5:$G$13)))-INDEX('Scratch Data'!$H$5:$H$13,MATCH($A31,'Scratch Data'!$G$5:$G$13,1)))/MAX(INDEX('Scratch Data'!$G$5:$G$13,MIN(MATCH($A31,'Scratch Data'!$G$5:$G$13,1)+1,ROWS('Scratch Data'!$G$5:$G$13)))-INDEX('Scratch Data'!$G$5:$G$13,MATCH($A31,'Scratch Data'!$G$5:$G$13,1)),0.0001)))*(INDEX('Scratch Data'!$J$5:$J$13,MATCH($A31,'Scratch Data'!$G$5:$G$13,1))+($A31-INDEX('Scratch Data'!$G$5:$G$13,MATCH($A31,'Scratch Data'!$G$5:$G$13,1)))*(INDEX('Scratch Data'!$J$5:$J$13,MIN(MATCH($A31,'Scratch Data'!$G$5:$G$13,1)+1,ROWS('Scratch Data'!$G$5:$G$13)))-INDEX('Scratch Data'!$J$5:$J$13,MATCH($A31,'Scratch Data'!$G$5:$G$13,1)))/MAX(INDEX('Scratch Data'!$G$5:$G$13,MIN(MATCH($A31,'Scratch Data'!$G$5:$G$13,1)+1,ROWS('Scratch Data'!$G$5:$G$13)))-INDEX('Scratch Data'!$G$5:$G$13,MATCH($A31,'Scratch Data'!$G$5:$G$13,1)),0.0001))),(1+Inputs!$B$19*INDEX(Baseline!$B$3:$B$122,MATCH(MIN(MAX(ROUND((MAX($A31-Inputs!$B$20,30))/5,0)*5,5),600),Baseline!$A$3:$A$122,0))+(1-Inputs!$B$19)*INDEX(Baseline!$C$3:$C$122,MATCH(MIN(MAX(ROUND((MAX($A31-Inputs!$B$20,30))/5,0)*5,5),600),Baseline!$A$3:$A$122,0)))),(1+Inputs!$B$19*INDEX(Baseline!$B$3:$B$122,MATCH(MIN(MAX(ROUND((MAX($A31-Inputs!$B$20,30))/5,0)*5,5),600),Baseline!$A$3:$A$122,0))+(1-Inputs!$B$19)*INDEX(Baseline!$C$3:$C$122,MATCH(MIN(MAX(ROUND((MAX($A31-Inputs!$B$20,30))/5,0)*5,5),600),Baseline!$A$3:$A$122,0)))))</f>
        <v>3.209864</v>
      </c>
      <c r="C31" s="10" t="n">
        <f aca="false">IF($A31&lt;=50,$B31+Inputs!$B$18,IF($A31&lt;=250,MIN((1+(INDEX('Scratch Data'!$H$5:$H$13,MATCH($A31,'Scratch Data'!$G$5:$G$13,1))+($A31-INDEX('Scratch Data'!$G$5:$G$13,MATCH($A31,'Scratch Data'!$G$5:$G$13,1)))*(INDEX('Scratch Data'!$H$5:$H$13,MIN(MATCH($A31,'Scratch Data'!$G$5:$G$13,1)+1,ROWS('Scratch Data'!$G$5:$G$13)))-INDEX('Scratch Data'!$H$5:$H$13,MATCH($A31,'Scratch Data'!$G$5:$G$13,1)))/MAX(INDEX('Scratch Data'!$G$5:$G$13,MIN(MATCH($A31,'Scratch Data'!$G$5:$G$13,1)+1,ROWS('Scratch Data'!$G$5:$G$13)))-INDEX('Scratch Data'!$G$5:$G$13,MATCH($A31,'Scratch Data'!$G$5:$G$13,1)),0.0001))*Inputs!$B$12*INDEX(Baseline!$I$3:$I$102,MIN(MAX(ROUND(Inputs!$B$11*(INDEX('Scratch Data'!$I$5:$I$13,MATCH($A31,'Scratch Data'!$G$5:$G$13,1))+($A31-INDEX('Scratch Data'!$G$5:$G$13,MATCH($A31,'Scratch Data'!$G$5:$G$13,1)))*(INDEX('Scratch Data'!$I$5:$I$13,MIN(MATCH($A31,'Scratch Data'!$G$5:$G$13,1)+1,ROWS('Scratch Data'!$G$5:$G$13)))-INDEX('Scratch Data'!$I$5:$I$13,MATCH($A31,'Scratch Data'!$G$5:$G$13,1)))/MAX(INDEX('Scratch Data'!$G$5:$G$13,MIN(MATCH($A31,'Scratch Data'!$G$5:$G$13,1)+1,ROWS('Scratch Data'!$G$5:$G$13)))-INDEX('Scratch Data'!$G$5:$G$13,MATCH($A31,'Scratch Data'!$G$5:$G$13,1)),0.0001))*Inputs!$B$13,0),1),100))+(1-(INDEX('Scratch Data'!$H$5:$H$13,MATCH($A31,'Scratch Data'!$G$5:$G$13,1))+($A31-INDEX('Scratch Data'!$G$5:$G$13,MATCH($A31,'Scratch Data'!$G$5:$G$13,1)))*(INDEX('Scratch Data'!$H$5:$H$13,MIN(MATCH($A31,'Scratch Data'!$G$5:$G$13,1)+1,ROWS('Scratch Data'!$G$5:$G$13)))-INDEX('Scratch Data'!$H$5:$H$13,MATCH($A31,'Scratch Data'!$G$5:$G$13,1)))/MAX(INDEX('Scratch Data'!$G$5:$G$13,MIN(MATCH($A31,'Scratch Data'!$G$5:$G$13,1)+1,ROWS('Scratch Data'!$G$5:$G$13)))-INDEX('Scratch Data'!$G$5:$G$13,MATCH($A31,'Scratch Data'!$G$5:$G$13,1)),0.0001))*Inputs!$B$12)*((INDEX('Scratch Data'!$J$5:$J$13,MATCH($A31,'Scratch Data'!$G$5:$G$13,1))+($A31-INDEX('Scratch Data'!$G$5:$G$13,MATCH($A31,'Scratch Data'!$G$5:$G$13,1)))*(INDEX('Scratch Data'!$J$5:$J$13,MIN(MATCH($A31,'Scratch Data'!$G$5:$G$13,1)+1,ROWS('Scratch Data'!$G$5:$G$13)))-INDEX('Scratch Data'!$J$5:$J$13,MATCH($A31,'Scratch Data'!$G$5:$G$13,1)))/MAX(INDEX('Scratch Data'!$G$5:$G$13,MIN(MATCH($A31,'Scratch Data'!$G$5:$G$13,1)+1,ROWS('Scratch Data'!$G$5:$G$13)))-INDEX('Scratch Data'!$G$5:$G$13,MATCH($A31,'Scratch Data'!$G$5:$G$13,1)),0.0001))+Inputs!$B$14)),(1+Inputs!$B$19*INDEX(Baseline!$B$3:$B$122,MATCH(MIN(MAX(ROUND((MAX($A31-Inputs!$B$21,30))/5,0)*5,5),600),Baseline!$A$3:$A$122,0))+(1-Inputs!$B$19)*INDEX(Baseline!$C$3:$C$122,MATCH(MIN(MAX(ROUND((MAX($A31-Inputs!$B$21,30))/5,0)*5,5),600),Baseline!$A$3:$A$122,0))+Inputs!$B$14)),(1+Inputs!$B$19*INDEX(Baseline!$B$3:$B$122,MATCH(MIN(MAX(ROUND((MAX($A31-Inputs!$B$21,30))/5,0)*5,5),600),Baseline!$A$3:$A$122,0))+(1-Inputs!$B$19)*INDEX(Baseline!$C$3:$C$122,MATCH(MIN(MAX(ROUND((MAX($A31-Inputs!$B$21,30))/5,0)*5,5),600),Baseline!$A$3:$A$122,0))+Inputs!$B$14)))</f>
        <v>3.3773184</v>
      </c>
      <c r="D31" s="10" t="n">
        <f aca="false">IF($A31&lt;=50,(INDEX('Scratch Data'!$P$5:$P$11,MATCH($A31,'Scratch Data'!$O$5:$O$11,1))+($A31-INDEX('Scratch Data'!$O$5:$O$11,MATCH($A31,'Scratch Data'!$O$5:$O$11,1)))*(INDEX('Scratch Data'!$P$5:$P$11,MIN(MATCH($A31,'Scratch Data'!$O$5:$O$11,1)+1,ROWS('Scratch Data'!$O$5:$O$11)))-INDEX('Scratch Data'!$P$5:$P$11,MATCH($A31,'Scratch Data'!$O$5:$O$11,1)))/MAX(INDEX('Scratch Data'!$O$5:$O$11,MIN(MATCH($A31,'Scratch Data'!$O$5:$O$11,1)+1,ROWS('Scratch Data'!$O$5:$O$11)))-INDEX('Scratch Data'!$O$5:$O$11,MATCH($A31,'Scratch Data'!$O$5:$O$11,1)),0.0001)),IF($A31&lt;=250,MIN((1+(INDEX('Scratch Data'!$H$5:$H$13,MATCH($A31,'Scratch Data'!$G$5:$G$13,1))+($A31-INDEX('Scratch Data'!$G$5:$G$13,MATCH($A31,'Scratch Data'!$G$5:$G$13,1)))*(INDEX('Scratch Data'!$H$5:$H$13,MIN(MATCH($A31,'Scratch Data'!$G$5:$G$13,1)+1,ROWS('Scratch Data'!$G$5:$G$13)))-INDEX('Scratch Data'!$H$5:$H$13,MATCH($A31,'Scratch Data'!$G$5:$G$13,1)))/MAX(INDEX('Scratch Data'!$G$5:$G$13,MIN(MATCH($A31,'Scratch Data'!$G$5:$G$13,1)+1,ROWS('Scratch Data'!$G$5:$G$13)))-INDEX('Scratch Data'!$G$5:$G$13,MATCH($A31,'Scratch Data'!$G$5:$G$13,1)),0.0001))*Inputs!$B$15*INDEX(Baseline!$I$3:$I$102,MIN(MAX(ROUND(Inputs!$B$11*(INDEX('Scratch Data'!$I$5:$I$13,MATCH($A31,'Scratch Data'!$G$5:$G$13,1))+($A31-INDEX('Scratch Data'!$G$5:$G$13,MATCH($A31,'Scratch Data'!$G$5:$G$13,1)))*(INDEX('Scratch Data'!$I$5:$I$13,MIN(MATCH($A31,'Scratch Data'!$G$5:$G$13,1)+1,ROWS('Scratch Data'!$G$5:$G$13)))-INDEX('Scratch Data'!$I$5:$I$13,MATCH($A31,'Scratch Data'!$G$5:$G$13,1)))/MAX(INDEX('Scratch Data'!$G$5:$G$13,MIN(MATCH($A31,'Scratch Data'!$G$5:$G$13,1)+1,ROWS('Scratch Data'!$G$5:$G$13)))-INDEX('Scratch Data'!$G$5:$G$13,MATCH($A31,'Scratch Data'!$G$5:$G$13,1)),0.0001))*Inputs!$B$16,0),1),100))+(1-(INDEX('Scratch Data'!$H$5:$H$13,MATCH($A31,'Scratch Data'!$G$5:$G$13,1))+($A31-INDEX('Scratch Data'!$G$5:$G$13,MATCH($A31,'Scratch Data'!$G$5:$G$13,1)))*(INDEX('Scratch Data'!$H$5:$H$13,MIN(MATCH($A31,'Scratch Data'!$G$5:$G$13,1)+1,ROWS('Scratch Data'!$G$5:$G$13)))-INDEX('Scratch Data'!$H$5:$H$13,MATCH($A31,'Scratch Data'!$G$5:$G$13,1)))/MAX(INDEX('Scratch Data'!$G$5:$G$13,MIN(MATCH($A31,'Scratch Data'!$G$5:$G$13,1)+1,ROWS('Scratch Data'!$G$5:$G$13)))-INDEX('Scratch Data'!$G$5:$G$13,MATCH($A31,'Scratch Data'!$G$5:$G$13,1)),0.0001))*Inputs!$B$15)*((INDEX('Scratch Data'!$J$5:$J$13,MATCH($A31,'Scratch Data'!$G$5:$G$13,1))+($A31-INDEX('Scratch Data'!$G$5:$G$13,MATCH($A31,'Scratch Data'!$G$5:$G$13,1)))*(INDEX('Scratch Data'!$J$5:$J$13,MIN(MATCH($A31,'Scratch Data'!$G$5:$G$13,1)+1,ROWS('Scratch Data'!$G$5:$G$13)))-INDEX('Scratch Data'!$J$5:$J$13,MATCH($A31,'Scratch Data'!$G$5:$G$13,1)))/MAX(INDEX('Scratch Data'!$G$5:$G$13,MIN(MATCH($A31,'Scratch Data'!$G$5:$G$13,1)+1,ROWS('Scratch Data'!$G$5:$G$13)))-INDEX('Scratch Data'!$G$5:$G$13,MATCH($A31,'Scratch Data'!$G$5:$G$13,1)),0.0001))+Inputs!$B$17)),(1+Inputs!$B$19*INDEX(Baseline!$B$3:$B$122,MATCH(MIN(MAX(ROUND((MAX($A31-Inputs!$B$22,30))/5,0)*5,5),600),Baseline!$A$3:$A$122,0))+(1-Inputs!$B$19)*INDEX(Baseline!$C$3:$C$122,MATCH(MIN(MAX(ROUND((MAX($A31-Inputs!$B$22,30))/5,0)*5,5),600),Baseline!$A$3:$A$122,0))+Inputs!$B$17)),(1+Inputs!$B$19*INDEX(Baseline!$B$3:$B$122,MATCH(MIN(MAX(ROUND((MAX($A31-Inputs!$B$22,30))/5,0)*5,5),600),Baseline!$A$3:$A$122,0))+(1-Inputs!$B$19)*INDEX(Baseline!$C$3:$C$122,MATCH(MIN(MAX(ROUND((MAX($A31-Inputs!$B$22,30))/5,0)*5,5),600),Baseline!$A$3:$A$122,0))+Inputs!$B$17)))</f>
        <v>3.50449192</v>
      </c>
      <c r="E31" s="10" t="n">
        <f aca="false">1+Inputs!$B$24+0.6*INDEX(Baseline!$B$3:$B$122,MATCH(MIN(MAX(ROUND((MAX($A31-Inputs!$B$23,15))/5,0)*5,5),600),Baseline!$A$3:$A$122,0))+0.4*INDEX(Baseline!$C$3:$C$122,MATCH(MIN(MAX(ROUND((MAX($A31-Inputs!$B$23,15))/5,0)*5,5),600),Baseline!$A$3:$A$122,0))</f>
        <v>3.92</v>
      </c>
      <c r="H31" s="7" t="n">
        <v>29</v>
      </c>
      <c r="I31" s="10" t="n">
        <f aca="false">(INDEX('Scratch Data'!$E$5:$E$22,MATCH($H31,'Scratch Data'!$A$5:$A$22,1))+($H31-INDEX('Scratch Data'!$A$5:$A$22,MATCH($H31,'Scratch Data'!$A$5:$A$22,1)))*(INDEX('Scratch Data'!$E$5:$E$22,MIN(MATCH($H31,'Scratch Data'!$A$5:$A$22,1)+1,ROWS('Scratch Data'!$A$5:$A$22)))-INDEX('Scratch Data'!$E$5:$E$22,MATCH($H31,'Scratch Data'!$A$5:$A$22,1)))/MAX(INDEX('Scratch Data'!$A$5:$A$22,MIN(MATCH($H31,'Scratch Data'!$A$5:$A$22,1)+1,ROWS('Scratch Data'!$A$5:$A$22)))-INDEX('Scratch Data'!$A$5:$A$22,MATCH($H31,'Scratch Data'!$A$5:$A$22,1)),0.0001))</f>
        <v>2.0538</v>
      </c>
    </row>
    <row r="32" customFormat="false" ht="15" hidden="false" customHeight="false" outlineLevel="0" collapsed="false">
      <c r="A32" s="7" t="n">
        <v>150</v>
      </c>
      <c r="B32" s="10" t="n">
        <f aca="false">IF($A32&lt;=50,(INDEX('Scratch Data'!$M$5:$M$12,MATCH($A32,'Scratch Data'!$L$5:$L$12,1))+($A32-INDEX('Scratch Data'!$L$5:$L$12,MATCH($A32,'Scratch Data'!$L$5:$L$12,1)))*(INDEX('Scratch Data'!$M$5:$M$12,MIN(MATCH($A32,'Scratch Data'!$L$5:$L$12,1)+1,ROWS('Scratch Data'!$L$5:$L$12)))-INDEX('Scratch Data'!$M$5:$M$12,MATCH($A32,'Scratch Data'!$L$5:$L$12,1)))/MAX(INDEX('Scratch Data'!$L$5:$L$12,MIN(MATCH($A32,'Scratch Data'!$L$5:$L$12,1)+1,ROWS('Scratch Data'!$L$5:$L$12)))-INDEX('Scratch Data'!$L$5:$L$12,MATCH($A32,'Scratch Data'!$L$5:$L$12,1)),0.0001)),IF($A32&lt;=250,MIN((1+(INDEX('Scratch Data'!$H$5:$H$13,MATCH($A32,'Scratch Data'!$G$5:$G$13,1))+($A32-INDEX('Scratch Data'!$G$5:$G$13,MATCH($A32,'Scratch Data'!$G$5:$G$13,1)))*(INDEX('Scratch Data'!$H$5:$H$13,MIN(MATCH($A32,'Scratch Data'!$G$5:$G$13,1)+1,ROWS('Scratch Data'!$G$5:$G$13)))-INDEX('Scratch Data'!$H$5:$H$13,MATCH($A32,'Scratch Data'!$G$5:$G$13,1)))/MAX(INDEX('Scratch Data'!$G$5:$G$13,MIN(MATCH($A32,'Scratch Data'!$G$5:$G$13,1)+1,ROWS('Scratch Data'!$G$5:$G$13)))-INDEX('Scratch Data'!$G$5:$G$13,MATCH($A32,'Scratch Data'!$G$5:$G$13,1)),0.0001))*INDEX(Baseline!$I$3:$I$102,MIN(MAX(ROUND(Inputs!$B$11*(INDEX('Scratch Data'!$I$5:$I$13,MATCH($A32,'Scratch Data'!$G$5:$G$13,1))+($A32-INDEX('Scratch Data'!$G$5:$G$13,MATCH($A32,'Scratch Data'!$G$5:$G$13,1)))*(INDEX('Scratch Data'!$I$5:$I$13,MIN(MATCH($A32,'Scratch Data'!$G$5:$G$13,1)+1,ROWS('Scratch Data'!$G$5:$G$13)))-INDEX('Scratch Data'!$I$5:$I$13,MATCH($A32,'Scratch Data'!$G$5:$G$13,1)))/MAX(INDEX('Scratch Data'!$G$5:$G$13,MIN(MATCH($A32,'Scratch Data'!$G$5:$G$13,1)+1,ROWS('Scratch Data'!$G$5:$G$13)))-INDEX('Scratch Data'!$G$5:$G$13,MATCH($A32,'Scratch Data'!$G$5:$G$13,1)),0.0001)),0),1),100))+(1-(INDEX('Scratch Data'!$H$5:$H$13,MATCH($A32,'Scratch Data'!$G$5:$G$13,1))+($A32-INDEX('Scratch Data'!$G$5:$G$13,MATCH($A32,'Scratch Data'!$G$5:$G$13,1)))*(INDEX('Scratch Data'!$H$5:$H$13,MIN(MATCH($A32,'Scratch Data'!$G$5:$G$13,1)+1,ROWS('Scratch Data'!$G$5:$G$13)))-INDEX('Scratch Data'!$H$5:$H$13,MATCH($A32,'Scratch Data'!$G$5:$G$13,1)))/MAX(INDEX('Scratch Data'!$G$5:$G$13,MIN(MATCH($A32,'Scratch Data'!$G$5:$G$13,1)+1,ROWS('Scratch Data'!$G$5:$G$13)))-INDEX('Scratch Data'!$G$5:$G$13,MATCH($A32,'Scratch Data'!$G$5:$G$13,1)),0.0001)))*(INDEX('Scratch Data'!$J$5:$J$13,MATCH($A32,'Scratch Data'!$G$5:$G$13,1))+($A32-INDEX('Scratch Data'!$G$5:$G$13,MATCH($A32,'Scratch Data'!$G$5:$G$13,1)))*(INDEX('Scratch Data'!$J$5:$J$13,MIN(MATCH($A32,'Scratch Data'!$G$5:$G$13,1)+1,ROWS('Scratch Data'!$G$5:$G$13)))-INDEX('Scratch Data'!$J$5:$J$13,MATCH($A32,'Scratch Data'!$G$5:$G$13,1)))/MAX(INDEX('Scratch Data'!$G$5:$G$13,MIN(MATCH($A32,'Scratch Data'!$G$5:$G$13,1)+1,ROWS('Scratch Data'!$G$5:$G$13)))-INDEX('Scratch Data'!$G$5:$G$13,MATCH($A32,'Scratch Data'!$G$5:$G$13,1)),0.0001))),(1+Inputs!$B$19*INDEX(Baseline!$B$3:$B$122,MATCH(MIN(MAX(ROUND((MAX($A32-Inputs!$B$20,30))/5,0)*5,5),600),Baseline!$A$3:$A$122,0))+(1-Inputs!$B$19)*INDEX(Baseline!$C$3:$C$122,MATCH(MIN(MAX(ROUND((MAX($A32-Inputs!$B$20,30))/5,0)*5,5),600),Baseline!$A$3:$A$122,0)))),(1+Inputs!$B$19*INDEX(Baseline!$B$3:$B$122,MATCH(MIN(MAX(ROUND((MAX($A32-Inputs!$B$20,30))/5,0)*5,5),600),Baseline!$A$3:$A$122,0))+(1-Inputs!$B$19)*INDEX(Baseline!$C$3:$C$122,MATCH(MIN(MAX(ROUND((MAX($A32-Inputs!$B$20,30))/5,0)*5,5),600),Baseline!$A$3:$A$122,0)))))</f>
        <v>3.23271</v>
      </c>
      <c r="C32" s="10" t="n">
        <f aca="false">IF($A32&lt;=50,$B32+Inputs!$B$18,IF($A32&lt;=250,MIN((1+(INDEX('Scratch Data'!$H$5:$H$13,MATCH($A32,'Scratch Data'!$G$5:$G$13,1))+($A32-INDEX('Scratch Data'!$G$5:$G$13,MATCH($A32,'Scratch Data'!$G$5:$G$13,1)))*(INDEX('Scratch Data'!$H$5:$H$13,MIN(MATCH($A32,'Scratch Data'!$G$5:$G$13,1)+1,ROWS('Scratch Data'!$G$5:$G$13)))-INDEX('Scratch Data'!$H$5:$H$13,MATCH($A32,'Scratch Data'!$G$5:$G$13,1)))/MAX(INDEX('Scratch Data'!$G$5:$G$13,MIN(MATCH($A32,'Scratch Data'!$G$5:$G$13,1)+1,ROWS('Scratch Data'!$G$5:$G$13)))-INDEX('Scratch Data'!$G$5:$G$13,MATCH($A32,'Scratch Data'!$G$5:$G$13,1)),0.0001))*Inputs!$B$12*INDEX(Baseline!$I$3:$I$102,MIN(MAX(ROUND(Inputs!$B$11*(INDEX('Scratch Data'!$I$5:$I$13,MATCH($A32,'Scratch Data'!$G$5:$G$13,1))+($A32-INDEX('Scratch Data'!$G$5:$G$13,MATCH($A32,'Scratch Data'!$G$5:$G$13,1)))*(INDEX('Scratch Data'!$I$5:$I$13,MIN(MATCH($A32,'Scratch Data'!$G$5:$G$13,1)+1,ROWS('Scratch Data'!$G$5:$G$13)))-INDEX('Scratch Data'!$I$5:$I$13,MATCH($A32,'Scratch Data'!$G$5:$G$13,1)))/MAX(INDEX('Scratch Data'!$G$5:$G$13,MIN(MATCH($A32,'Scratch Data'!$G$5:$G$13,1)+1,ROWS('Scratch Data'!$G$5:$G$13)))-INDEX('Scratch Data'!$G$5:$G$13,MATCH($A32,'Scratch Data'!$G$5:$G$13,1)),0.0001))*Inputs!$B$13,0),1),100))+(1-(INDEX('Scratch Data'!$H$5:$H$13,MATCH($A32,'Scratch Data'!$G$5:$G$13,1))+($A32-INDEX('Scratch Data'!$G$5:$G$13,MATCH($A32,'Scratch Data'!$G$5:$G$13,1)))*(INDEX('Scratch Data'!$H$5:$H$13,MIN(MATCH($A32,'Scratch Data'!$G$5:$G$13,1)+1,ROWS('Scratch Data'!$G$5:$G$13)))-INDEX('Scratch Data'!$H$5:$H$13,MATCH($A32,'Scratch Data'!$G$5:$G$13,1)))/MAX(INDEX('Scratch Data'!$G$5:$G$13,MIN(MATCH($A32,'Scratch Data'!$G$5:$G$13,1)+1,ROWS('Scratch Data'!$G$5:$G$13)))-INDEX('Scratch Data'!$G$5:$G$13,MATCH($A32,'Scratch Data'!$G$5:$G$13,1)),0.0001))*Inputs!$B$12)*((INDEX('Scratch Data'!$J$5:$J$13,MATCH($A32,'Scratch Data'!$G$5:$G$13,1))+($A32-INDEX('Scratch Data'!$G$5:$G$13,MATCH($A32,'Scratch Data'!$G$5:$G$13,1)))*(INDEX('Scratch Data'!$J$5:$J$13,MIN(MATCH($A32,'Scratch Data'!$G$5:$G$13,1)+1,ROWS('Scratch Data'!$G$5:$G$13)))-INDEX('Scratch Data'!$J$5:$J$13,MATCH($A32,'Scratch Data'!$G$5:$G$13,1)))/MAX(INDEX('Scratch Data'!$G$5:$G$13,MIN(MATCH($A32,'Scratch Data'!$G$5:$G$13,1)+1,ROWS('Scratch Data'!$G$5:$G$13)))-INDEX('Scratch Data'!$G$5:$G$13,MATCH($A32,'Scratch Data'!$G$5:$G$13,1)),0.0001))+Inputs!$B$14)),(1+Inputs!$B$19*INDEX(Baseline!$B$3:$B$122,MATCH(MIN(MAX(ROUND((MAX($A32-Inputs!$B$21,30))/5,0)*5,5),600),Baseline!$A$3:$A$122,0))+(1-Inputs!$B$19)*INDEX(Baseline!$C$3:$C$122,MATCH(MIN(MAX(ROUND((MAX($A32-Inputs!$B$21,30))/5,0)*5,5),600),Baseline!$A$3:$A$122,0))+Inputs!$B$14)),(1+Inputs!$B$19*INDEX(Baseline!$B$3:$B$122,MATCH(MIN(MAX(ROUND((MAX($A32-Inputs!$B$21,30))/5,0)*5,5),600),Baseline!$A$3:$A$122,0))+(1-Inputs!$B$19)*INDEX(Baseline!$C$3:$C$122,MATCH(MIN(MAX(ROUND((MAX($A32-Inputs!$B$21,30))/5,0)*5,5),600),Baseline!$A$3:$A$122,0))+Inputs!$B$14)))</f>
        <v>3.396928</v>
      </c>
      <c r="D32" s="10" t="n">
        <f aca="false">IF($A32&lt;=50,(INDEX('Scratch Data'!$P$5:$P$11,MATCH($A32,'Scratch Data'!$O$5:$O$11,1))+($A32-INDEX('Scratch Data'!$O$5:$O$11,MATCH($A32,'Scratch Data'!$O$5:$O$11,1)))*(INDEX('Scratch Data'!$P$5:$P$11,MIN(MATCH($A32,'Scratch Data'!$O$5:$O$11,1)+1,ROWS('Scratch Data'!$O$5:$O$11)))-INDEX('Scratch Data'!$P$5:$P$11,MATCH($A32,'Scratch Data'!$O$5:$O$11,1)))/MAX(INDEX('Scratch Data'!$O$5:$O$11,MIN(MATCH($A32,'Scratch Data'!$O$5:$O$11,1)+1,ROWS('Scratch Data'!$O$5:$O$11)))-INDEX('Scratch Data'!$O$5:$O$11,MATCH($A32,'Scratch Data'!$O$5:$O$11,1)),0.0001)),IF($A32&lt;=250,MIN((1+(INDEX('Scratch Data'!$H$5:$H$13,MATCH($A32,'Scratch Data'!$G$5:$G$13,1))+($A32-INDEX('Scratch Data'!$G$5:$G$13,MATCH($A32,'Scratch Data'!$G$5:$G$13,1)))*(INDEX('Scratch Data'!$H$5:$H$13,MIN(MATCH($A32,'Scratch Data'!$G$5:$G$13,1)+1,ROWS('Scratch Data'!$G$5:$G$13)))-INDEX('Scratch Data'!$H$5:$H$13,MATCH($A32,'Scratch Data'!$G$5:$G$13,1)))/MAX(INDEX('Scratch Data'!$G$5:$G$13,MIN(MATCH($A32,'Scratch Data'!$G$5:$G$13,1)+1,ROWS('Scratch Data'!$G$5:$G$13)))-INDEX('Scratch Data'!$G$5:$G$13,MATCH($A32,'Scratch Data'!$G$5:$G$13,1)),0.0001))*Inputs!$B$15*INDEX(Baseline!$I$3:$I$102,MIN(MAX(ROUND(Inputs!$B$11*(INDEX('Scratch Data'!$I$5:$I$13,MATCH($A32,'Scratch Data'!$G$5:$G$13,1))+($A32-INDEX('Scratch Data'!$G$5:$G$13,MATCH($A32,'Scratch Data'!$G$5:$G$13,1)))*(INDEX('Scratch Data'!$I$5:$I$13,MIN(MATCH($A32,'Scratch Data'!$G$5:$G$13,1)+1,ROWS('Scratch Data'!$G$5:$G$13)))-INDEX('Scratch Data'!$I$5:$I$13,MATCH($A32,'Scratch Data'!$G$5:$G$13,1)))/MAX(INDEX('Scratch Data'!$G$5:$G$13,MIN(MATCH($A32,'Scratch Data'!$G$5:$G$13,1)+1,ROWS('Scratch Data'!$G$5:$G$13)))-INDEX('Scratch Data'!$G$5:$G$13,MATCH($A32,'Scratch Data'!$G$5:$G$13,1)),0.0001))*Inputs!$B$16,0),1),100))+(1-(INDEX('Scratch Data'!$H$5:$H$13,MATCH($A32,'Scratch Data'!$G$5:$G$13,1))+($A32-INDEX('Scratch Data'!$G$5:$G$13,MATCH($A32,'Scratch Data'!$G$5:$G$13,1)))*(INDEX('Scratch Data'!$H$5:$H$13,MIN(MATCH($A32,'Scratch Data'!$G$5:$G$13,1)+1,ROWS('Scratch Data'!$G$5:$G$13)))-INDEX('Scratch Data'!$H$5:$H$13,MATCH($A32,'Scratch Data'!$G$5:$G$13,1)))/MAX(INDEX('Scratch Data'!$G$5:$G$13,MIN(MATCH($A32,'Scratch Data'!$G$5:$G$13,1)+1,ROWS('Scratch Data'!$G$5:$G$13)))-INDEX('Scratch Data'!$G$5:$G$13,MATCH($A32,'Scratch Data'!$G$5:$G$13,1)),0.0001))*Inputs!$B$15)*((INDEX('Scratch Data'!$J$5:$J$13,MATCH($A32,'Scratch Data'!$G$5:$G$13,1))+($A32-INDEX('Scratch Data'!$G$5:$G$13,MATCH($A32,'Scratch Data'!$G$5:$G$13,1)))*(INDEX('Scratch Data'!$J$5:$J$13,MIN(MATCH($A32,'Scratch Data'!$G$5:$G$13,1)+1,ROWS('Scratch Data'!$G$5:$G$13)))-INDEX('Scratch Data'!$J$5:$J$13,MATCH($A32,'Scratch Data'!$G$5:$G$13,1)))/MAX(INDEX('Scratch Data'!$G$5:$G$13,MIN(MATCH($A32,'Scratch Data'!$G$5:$G$13,1)+1,ROWS('Scratch Data'!$G$5:$G$13)))-INDEX('Scratch Data'!$G$5:$G$13,MATCH($A32,'Scratch Data'!$G$5:$G$13,1)),0.0001))+Inputs!$B$17)),(1+Inputs!$B$19*INDEX(Baseline!$B$3:$B$122,MATCH(MIN(MAX(ROUND((MAX($A32-Inputs!$B$22,30))/5,0)*5,5),600),Baseline!$A$3:$A$122,0))+(1-Inputs!$B$19)*INDEX(Baseline!$C$3:$C$122,MATCH(MIN(MAX(ROUND((MAX($A32-Inputs!$B$22,30))/5,0)*5,5),600),Baseline!$A$3:$A$122,0))+Inputs!$B$17)),(1+Inputs!$B$19*INDEX(Baseline!$B$3:$B$122,MATCH(MIN(MAX(ROUND((MAX($A32-Inputs!$B$22,30))/5,0)*5,5),600),Baseline!$A$3:$A$122,0))+(1-Inputs!$B$19)*INDEX(Baseline!$C$3:$C$122,MATCH(MIN(MAX(ROUND((MAX($A32-Inputs!$B$22,30))/5,0)*5,5),600),Baseline!$A$3:$A$122,0))+Inputs!$B$17)))</f>
        <v>3.5230805</v>
      </c>
      <c r="E32" s="10" t="n">
        <f aca="false">1+Inputs!$B$24+0.6*INDEX(Baseline!$B$3:$B$122,MATCH(MIN(MAX(ROUND((MAX($A32-Inputs!$B$23,15))/5,0)*5,5),600),Baseline!$A$3:$A$122,0))+0.4*INDEX(Baseline!$C$3:$C$122,MATCH(MIN(MAX(ROUND((MAX($A32-Inputs!$B$23,15))/5,0)*5,5),600),Baseline!$A$3:$A$122,0))</f>
        <v>3.98</v>
      </c>
      <c r="H32" s="7" t="n">
        <v>30</v>
      </c>
      <c r="I32" s="10" t="n">
        <f aca="false">(INDEX('Scratch Data'!$E$5:$E$22,MATCH($H32,'Scratch Data'!$A$5:$A$22,1))+($H32-INDEX('Scratch Data'!$A$5:$A$22,MATCH($H32,'Scratch Data'!$A$5:$A$22,1)))*(INDEX('Scratch Data'!$E$5:$E$22,MIN(MATCH($H32,'Scratch Data'!$A$5:$A$22,1)+1,ROWS('Scratch Data'!$A$5:$A$22)))-INDEX('Scratch Data'!$E$5:$E$22,MATCH($H32,'Scratch Data'!$A$5:$A$22,1)))/MAX(INDEX('Scratch Data'!$A$5:$A$22,MIN(MATCH($H32,'Scratch Data'!$A$5:$A$22,1)+1,ROWS('Scratch Data'!$A$5:$A$22)))-INDEX('Scratch Data'!$A$5:$A$22,MATCH($H32,'Scratch Data'!$A$5:$A$22,1)),0.0001))</f>
        <v>2.068</v>
      </c>
    </row>
    <row r="33" customFormat="false" ht="15" hidden="false" customHeight="false" outlineLevel="0" collapsed="false">
      <c r="A33" s="7" t="n">
        <v>155</v>
      </c>
      <c r="B33" s="10" t="n">
        <f aca="false">IF($A33&lt;=50,(INDEX('Scratch Data'!$M$5:$M$12,MATCH($A33,'Scratch Data'!$L$5:$L$12,1))+($A33-INDEX('Scratch Data'!$L$5:$L$12,MATCH($A33,'Scratch Data'!$L$5:$L$12,1)))*(INDEX('Scratch Data'!$M$5:$M$12,MIN(MATCH($A33,'Scratch Data'!$L$5:$L$12,1)+1,ROWS('Scratch Data'!$L$5:$L$12)))-INDEX('Scratch Data'!$M$5:$M$12,MATCH($A33,'Scratch Data'!$L$5:$L$12,1)))/MAX(INDEX('Scratch Data'!$L$5:$L$12,MIN(MATCH($A33,'Scratch Data'!$L$5:$L$12,1)+1,ROWS('Scratch Data'!$L$5:$L$12)))-INDEX('Scratch Data'!$L$5:$L$12,MATCH($A33,'Scratch Data'!$L$5:$L$12,1)),0.0001)),IF($A33&lt;=250,MIN((1+(INDEX('Scratch Data'!$H$5:$H$13,MATCH($A33,'Scratch Data'!$G$5:$G$13,1))+($A33-INDEX('Scratch Data'!$G$5:$G$13,MATCH($A33,'Scratch Data'!$G$5:$G$13,1)))*(INDEX('Scratch Data'!$H$5:$H$13,MIN(MATCH($A33,'Scratch Data'!$G$5:$G$13,1)+1,ROWS('Scratch Data'!$G$5:$G$13)))-INDEX('Scratch Data'!$H$5:$H$13,MATCH($A33,'Scratch Data'!$G$5:$G$13,1)))/MAX(INDEX('Scratch Data'!$G$5:$G$13,MIN(MATCH($A33,'Scratch Data'!$G$5:$G$13,1)+1,ROWS('Scratch Data'!$G$5:$G$13)))-INDEX('Scratch Data'!$G$5:$G$13,MATCH($A33,'Scratch Data'!$G$5:$G$13,1)),0.0001))*INDEX(Baseline!$I$3:$I$102,MIN(MAX(ROUND(Inputs!$B$11*(INDEX('Scratch Data'!$I$5:$I$13,MATCH($A33,'Scratch Data'!$G$5:$G$13,1))+($A33-INDEX('Scratch Data'!$G$5:$G$13,MATCH($A33,'Scratch Data'!$G$5:$G$13,1)))*(INDEX('Scratch Data'!$I$5:$I$13,MIN(MATCH($A33,'Scratch Data'!$G$5:$G$13,1)+1,ROWS('Scratch Data'!$G$5:$G$13)))-INDEX('Scratch Data'!$I$5:$I$13,MATCH($A33,'Scratch Data'!$G$5:$G$13,1)))/MAX(INDEX('Scratch Data'!$G$5:$G$13,MIN(MATCH($A33,'Scratch Data'!$G$5:$G$13,1)+1,ROWS('Scratch Data'!$G$5:$G$13)))-INDEX('Scratch Data'!$G$5:$G$13,MATCH($A33,'Scratch Data'!$G$5:$G$13,1)),0.0001)),0),1),100))+(1-(INDEX('Scratch Data'!$H$5:$H$13,MATCH($A33,'Scratch Data'!$G$5:$G$13,1))+($A33-INDEX('Scratch Data'!$G$5:$G$13,MATCH($A33,'Scratch Data'!$G$5:$G$13,1)))*(INDEX('Scratch Data'!$H$5:$H$13,MIN(MATCH($A33,'Scratch Data'!$G$5:$G$13,1)+1,ROWS('Scratch Data'!$G$5:$G$13)))-INDEX('Scratch Data'!$H$5:$H$13,MATCH($A33,'Scratch Data'!$G$5:$G$13,1)))/MAX(INDEX('Scratch Data'!$G$5:$G$13,MIN(MATCH($A33,'Scratch Data'!$G$5:$G$13,1)+1,ROWS('Scratch Data'!$G$5:$G$13)))-INDEX('Scratch Data'!$G$5:$G$13,MATCH($A33,'Scratch Data'!$G$5:$G$13,1)),0.0001)))*(INDEX('Scratch Data'!$J$5:$J$13,MATCH($A33,'Scratch Data'!$G$5:$G$13,1))+($A33-INDEX('Scratch Data'!$G$5:$G$13,MATCH($A33,'Scratch Data'!$G$5:$G$13,1)))*(INDEX('Scratch Data'!$J$5:$J$13,MIN(MATCH($A33,'Scratch Data'!$G$5:$G$13,1)+1,ROWS('Scratch Data'!$G$5:$G$13)))-INDEX('Scratch Data'!$J$5:$J$13,MATCH($A33,'Scratch Data'!$G$5:$G$13,1)))/MAX(INDEX('Scratch Data'!$G$5:$G$13,MIN(MATCH($A33,'Scratch Data'!$G$5:$G$13,1)+1,ROWS('Scratch Data'!$G$5:$G$13)))-INDEX('Scratch Data'!$G$5:$G$13,MATCH($A33,'Scratch Data'!$G$5:$G$13,1)),0.0001))),(1+Inputs!$B$19*INDEX(Baseline!$B$3:$B$122,MATCH(MIN(MAX(ROUND((MAX($A33-Inputs!$B$20,30))/5,0)*5,5),600),Baseline!$A$3:$A$122,0))+(1-Inputs!$B$19)*INDEX(Baseline!$C$3:$C$122,MATCH(MIN(MAX(ROUND((MAX($A33-Inputs!$B$20,30))/5,0)*5,5),600),Baseline!$A$3:$A$122,0)))),(1+Inputs!$B$19*INDEX(Baseline!$B$3:$B$122,MATCH(MIN(MAX(ROUND((MAX($A33-Inputs!$B$20,30))/5,0)*5,5),600),Baseline!$A$3:$A$122,0))+(1-Inputs!$B$19)*INDEX(Baseline!$C$3:$C$122,MATCH(MIN(MAX(ROUND((MAX($A33-Inputs!$B$20,30))/5,0)*5,5),600),Baseline!$A$3:$A$122,0)))))</f>
        <v>3.2567056</v>
      </c>
      <c r="C33" s="10" t="n">
        <f aca="false">IF($A33&lt;=50,$B33+Inputs!$B$18,IF($A33&lt;=250,MIN((1+(INDEX('Scratch Data'!$H$5:$H$13,MATCH($A33,'Scratch Data'!$G$5:$G$13,1))+($A33-INDEX('Scratch Data'!$G$5:$G$13,MATCH($A33,'Scratch Data'!$G$5:$G$13,1)))*(INDEX('Scratch Data'!$H$5:$H$13,MIN(MATCH($A33,'Scratch Data'!$G$5:$G$13,1)+1,ROWS('Scratch Data'!$G$5:$G$13)))-INDEX('Scratch Data'!$H$5:$H$13,MATCH($A33,'Scratch Data'!$G$5:$G$13,1)))/MAX(INDEX('Scratch Data'!$G$5:$G$13,MIN(MATCH($A33,'Scratch Data'!$G$5:$G$13,1)+1,ROWS('Scratch Data'!$G$5:$G$13)))-INDEX('Scratch Data'!$G$5:$G$13,MATCH($A33,'Scratch Data'!$G$5:$G$13,1)),0.0001))*Inputs!$B$12*INDEX(Baseline!$I$3:$I$102,MIN(MAX(ROUND(Inputs!$B$11*(INDEX('Scratch Data'!$I$5:$I$13,MATCH($A33,'Scratch Data'!$G$5:$G$13,1))+($A33-INDEX('Scratch Data'!$G$5:$G$13,MATCH($A33,'Scratch Data'!$G$5:$G$13,1)))*(INDEX('Scratch Data'!$I$5:$I$13,MIN(MATCH($A33,'Scratch Data'!$G$5:$G$13,1)+1,ROWS('Scratch Data'!$G$5:$G$13)))-INDEX('Scratch Data'!$I$5:$I$13,MATCH($A33,'Scratch Data'!$G$5:$G$13,1)))/MAX(INDEX('Scratch Data'!$G$5:$G$13,MIN(MATCH($A33,'Scratch Data'!$G$5:$G$13,1)+1,ROWS('Scratch Data'!$G$5:$G$13)))-INDEX('Scratch Data'!$G$5:$G$13,MATCH($A33,'Scratch Data'!$G$5:$G$13,1)),0.0001))*Inputs!$B$13,0),1),100))+(1-(INDEX('Scratch Data'!$H$5:$H$13,MATCH($A33,'Scratch Data'!$G$5:$G$13,1))+($A33-INDEX('Scratch Data'!$G$5:$G$13,MATCH($A33,'Scratch Data'!$G$5:$G$13,1)))*(INDEX('Scratch Data'!$H$5:$H$13,MIN(MATCH($A33,'Scratch Data'!$G$5:$G$13,1)+1,ROWS('Scratch Data'!$G$5:$G$13)))-INDEX('Scratch Data'!$H$5:$H$13,MATCH($A33,'Scratch Data'!$G$5:$G$13,1)))/MAX(INDEX('Scratch Data'!$G$5:$G$13,MIN(MATCH($A33,'Scratch Data'!$G$5:$G$13,1)+1,ROWS('Scratch Data'!$G$5:$G$13)))-INDEX('Scratch Data'!$G$5:$G$13,MATCH($A33,'Scratch Data'!$G$5:$G$13,1)),0.0001))*Inputs!$B$12)*((INDEX('Scratch Data'!$J$5:$J$13,MATCH($A33,'Scratch Data'!$G$5:$G$13,1))+($A33-INDEX('Scratch Data'!$G$5:$G$13,MATCH($A33,'Scratch Data'!$G$5:$G$13,1)))*(INDEX('Scratch Data'!$J$5:$J$13,MIN(MATCH($A33,'Scratch Data'!$G$5:$G$13,1)+1,ROWS('Scratch Data'!$G$5:$G$13)))-INDEX('Scratch Data'!$J$5:$J$13,MATCH($A33,'Scratch Data'!$G$5:$G$13,1)))/MAX(INDEX('Scratch Data'!$G$5:$G$13,MIN(MATCH($A33,'Scratch Data'!$G$5:$G$13,1)+1,ROWS('Scratch Data'!$G$5:$G$13)))-INDEX('Scratch Data'!$G$5:$G$13,MATCH($A33,'Scratch Data'!$G$5:$G$13,1)),0.0001))+Inputs!$B$14)),(1+Inputs!$B$19*INDEX(Baseline!$B$3:$B$122,MATCH(MIN(MAX(ROUND((MAX($A33-Inputs!$B$21,30))/5,0)*5,5),600),Baseline!$A$3:$A$122,0))+(1-Inputs!$B$19)*INDEX(Baseline!$C$3:$C$122,MATCH(MIN(MAX(ROUND((MAX($A33-Inputs!$B$21,30))/5,0)*5,5),600),Baseline!$A$3:$A$122,0))+Inputs!$B$14)),(1+Inputs!$B$19*INDEX(Baseline!$B$3:$B$122,MATCH(MIN(MAX(ROUND((MAX($A33-Inputs!$B$21,30))/5,0)*5,5),600),Baseline!$A$3:$A$122,0))+(1-Inputs!$B$19)*INDEX(Baseline!$C$3:$C$122,MATCH(MIN(MAX(ROUND((MAX($A33-Inputs!$B$21,30))/5,0)*5,5),600),Baseline!$A$3:$A$122,0))+Inputs!$B$14)))</f>
        <v>3.41753888</v>
      </c>
      <c r="D33" s="10" t="n">
        <f aca="false">IF($A33&lt;=50,(INDEX('Scratch Data'!$P$5:$P$11,MATCH($A33,'Scratch Data'!$O$5:$O$11,1))+($A33-INDEX('Scratch Data'!$O$5:$O$11,MATCH($A33,'Scratch Data'!$O$5:$O$11,1)))*(INDEX('Scratch Data'!$P$5:$P$11,MIN(MATCH($A33,'Scratch Data'!$O$5:$O$11,1)+1,ROWS('Scratch Data'!$O$5:$O$11)))-INDEX('Scratch Data'!$P$5:$P$11,MATCH($A33,'Scratch Data'!$O$5:$O$11,1)))/MAX(INDEX('Scratch Data'!$O$5:$O$11,MIN(MATCH($A33,'Scratch Data'!$O$5:$O$11,1)+1,ROWS('Scratch Data'!$O$5:$O$11)))-INDEX('Scratch Data'!$O$5:$O$11,MATCH($A33,'Scratch Data'!$O$5:$O$11,1)),0.0001)),IF($A33&lt;=250,MIN((1+(INDEX('Scratch Data'!$H$5:$H$13,MATCH($A33,'Scratch Data'!$G$5:$G$13,1))+($A33-INDEX('Scratch Data'!$G$5:$G$13,MATCH($A33,'Scratch Data'!$G$5:$G$13,1)))*(INDEX('Scratch Data'!$H$5:$H$13,MIN(MATCH($A33,'Scratch Data'!$G$5:$G$13,1)+1,ROWS('Scratch Data'!$G$5:$G$13)))-INDEX('Scratch Data'!$H$5:$H$13,MATCH($A33,'Scratch Data'!$G$5:$G$13,1)))/MAX(INDEX('Scratch Data'!$G$5:$G$13,MIN(MATCH($A33,'Scratch Data'!$G$5:$G$13,1)+1,ROWS('Scratch Data'!$G$5:$G$13)))-INDEX('Scratch Data'!$G$5:$G$13,MATCH($A33,'Scratch Data'!$G$5:$G$13,1)),0.0001))*Inputs!$B$15*INDEX(Baseline!$I$3:$I$102,MIN(MAX(ROUND(Inputs!$B$11*(INDEX('Scratch Data'!$I$5:$I$13,MATCH($A33,'Scratch Data'!$G$5:$G$13,1))+($A33-INDEX('Scratch Data'!$G$5:$G$13,MATCH($A33,'Scratch Data'!$G$5:$G$13,1)))*(INDEX('Scratch Data'!$I$5:$I$13,MIN(MATCH($A33,'Scratch Data'!$G$5:$G$13,1)+1,ROWS('Scratch Data'!$G$5:$G$13)))-INDEX('Scratch Data'!$I$5:$I$13,MATCH($A33,'Scratch Data'!$G$5:$G$13,1)))/MAX(INDEX('Scratch Data'!$G$5:$G$13,MIN(MATCH($A33,'Scratch Data'!$G$5:$G$13,1)+1,ROWS('Scratch Data'!$G$5:$G$13)))-INDEX('Scratch Data'!$G$5:$G$13,MATCH($A33,'Scratch Data'!$G$5:$G$13,1)),0.0001))*Inputs!$B$16,0),1),100))+(1-(INDEX('Scratch Data'!$H$5:$H$13,MATCH($A33,'Scratch Data'!$G$5:$G$13,1))+($A33-INDEX('Scratch Data'!$G$5:$G$13,MATCH($A33,'Scratch Data'!$G$5:$G$13,1)))*(INDEX('Scratch Data'!$H$5:$H$13,MIN(MATCH($A33,'Scratch Data'!$G$5:$G$13,1)+1,ROWS('Scratch Data'!$G$5:$G$13)))-INDEX('Scratch Data'!$H$5:$H$13,MATCH($A33,'Scratch Data'!$G$5:$G$13,1)))/MAX(INDEX('Scratch Data'!$G$5:$G$13,MIN(MATCH($A33,'Scratch Data'!$G$5:$G$13,1)+1,ROWS('Scratch Data'!$G$5:$G$13)))-INDEX('Scratch Data'!$G$5:$G$13,MATCH($A33,'Scratch Data'!$G$5:$G$13,1)),0.0001))*Inputs!$B$15)*((INDEX('Scratch Data'!$J$5:$J$13,MATCH($A33,'Scratch Data'!$G$5:$G$13,1))+($A33-INDEX('Scratch Data'!$G$5:$G$13,MATCH($A33,'Scratch Data'!$G$5:$G$13,1)))*(INDEX('Scratch Data'!$J$5:$J$13,MIN(MATCH($A33,'Scratch Data'!$G$5:$G$13,1)+1,ROWS('Scratch Data'!$G$5:$G$13)))-INDEX('Scratch Data'!$J$5:$J$13,MATCH($A33,'Scratch Data'!$G$5:$G$13,1)))/MAX(INDEX('Scratch Data'!$G$5:$G$13,MIN(MATCH($A33,'Scratch Data'!$G$5:$G$13,1)+1,ROWS('Scratch Data'!$G$5:$G$13)))-INDEX('Scratch Data'!$G$5:$G$13,MATCH($A33,'Scratch Data'!$G$5:$G$13,1)),0.0001))+Inputs!$B$17)),(1+Inputs!$B$19*INDEX(Baseline!$B$3:$B$122,MATCH(MIN(MAX(ROUND((MAX($A33-Inputs!$B$22,30))/5,0)*5,5),600),Baseline!$A$3:$A$122,0))+(1-Inputs!$B$19)*INDEX(Baseline!$C$3:$C$122,MATCH(MIN(MAX(ROUND((MAX($A33-Inputs!$B$22,30))/5,0)*5,5),600),Baseline!$A$3:$A$122,0))+Inputs!$B$17)),(1+Inputs!$B$19*INDEX(Baseline!$B$3:$B$122,MATCH(MIN(MAX(ROUND((MAX($A33-Inputs!$B$22,30))/5,0)*5,5),600),Baseline!$A$3:$A$122,0))+(1-Inputs!$B$19)*INDEX(Baseline!$C$3:$C$122,MATCH(MIN(MAX(ROUND((MAX($A33-Inputs!$B$22,30))/5,0)*5,5),600),Baseline!$A$3:$A$122,0))+Inputs!$B$17)))</f>
        <v>3.54259416</v>
      </c>
      <c r="E33" s="10" t="n">
        <f aca="false">1+Inputs!$B$24+0.6*INDEX(Baseline!$B$3:$B$122,MATCH(MIN(MAX(ROUND((MAX($A33-Inputs!$B$23,15))/5,0)*5,5),600),Baseline!$A$3:$A$122,0))+0.4*INDEX(Baseline!$C$3:$C$122,MATCH(MIN(MAX(ROUND((MAX($A33-Inputs!$B$23,15))/5,0)*5,5),600),Baseline!$A$3:$A$122,0))</f>
        <v>4.01283253333333</v>
      </c>
      <c r="H33" s="7" t="n">
        <v>31</v>
      </c>
      <c r="I33" s="10" t="n">
        <f aca="false">(INDEX('Scratch Data'!$E$5:$E$22,MATCH($H33,'Scratch Data'!$A$5:$A$22,1))+($H33-INDEX('Scratch Data'!$A$5:$A$22,MATCH($H33,'Scratch Data'!$A$5:$A$22,1)))*(INDEX('Scratch Data'!$E$5:$E$22,MIN(MATCH($H33,'Scratch Data'!$A$5:$A$22,1)+1,ROWS('Scratch Data'!$A$5:$A$22)))-INDEX('Scratch Data'!$E$5:$E$22,MATCH($H33,'Scratch Data'!$A$5:$A$22,1)))/MAX(INDEX('Scratch Data'!$A$5:$A$22,MIN(MATCH($H33,'Scratch Data'!$A$5:$A$22,1)+1,ROWS('Scratch Data'!$A$5:$A$22)))-INDEX('Scratch Data'!$A$5:$A$22,MATCH($H33,'Scratch Data'!$A$5:$A$22,1)),0.0001))</f>
        <v>2.0782</v>
      </c>
    </row>
    <row r="34" customFormat="false" ht="15" hidden="false" customHeight="false" outlineLevel="0" collapsed="false">
      <c r="A34" s="7" t="n">
        <v>160</v>
      </c>
      <c r="B34" s="10" t="n">
        <f aca="false">IF($A34&lt;=50,(INDEX('Scratch Data'!$M$5:$M$12,MATCH($A34,'Scratch Data'!$L$5:$L$12,1))+($A34-INDEX('Scratch Data'!$L$5:$L$12,MATCH($A34,'Scratch Data'!$L$5:$L$12,1)))*(INDEX('Scratch Data'!$M$5:$M$12,MIN(MATCH($A34,'Scratch Data'!$L$5:$L$12,1)+1,ROWS('Scratch Data'!$L$5:$L$12)))-INDEX('Scratch Data'!$M$5:$M$12,MATCH($A34,'Scratch Data'!$L$5:$L$12,1)))/MAX(INDEX('Scratch Data'!$L$5:$L$12,MIN(MATCH($A34,'Scratch Data'!$L$5:$L$12,1)+1,ROWS('Scratch Data'!$L$5:$L$12)))-INDEX('Scratch Data'!$L$5:$L$12,MATCH($A34,'Scratch Data'!$L$5:$L$12,1)),0.0001)),IF($A34&lt;=250,MIN((1+(INDEX('Scratch Data'!$H$5:$H$13,MATCH($A34,'Scratch Data'!$G$5:$G$13,1))+($A34-INDEX('Scratch Data'!$G$5:$G$13,MATCH($A34,'Scratch Data'!$G$5:$G$13,1)))*(INDEX('Scratch Data'!$H$5:$H$13,MIN(MATCH($A34,'Scratch Data'!$G$5:$G$13,1)+1,ROWS('Scratch Data'!$G$5:$G$13)))-INDEX('Scratch Data'!$H$5:$H$13,MATCH($A34,'Scratch Data'!$G$5:$G$13,1)))/MAX(INDEX('Scratch Data'!$G$5:$G$13,MIN(MATCH($A34,'Scratch Data'!$G$5:$G$13,1)+1,ROWS('Scratch Data'!$G$5:$G$13)))-INDEX('Scratch Data'!$G$5:$G$13,MATCH($A34,'Scratch Data'!$G$5:$G$13,1)),0.0001))*INDEX(Baseline!$I$3:$I$102,MIN(MAX(ROUND(Inputs!$B$11*(INDEX('Scratch Data'!$I$5:$I$13,MATCH($A34,'Scratch Data'!$G$5:$G$13,1))+($A34-INDEX('Scratch Data'!$G$5:$G$13,MATCH($A34,'Scratch Data'!$G$5:$G$13,1)))*(INDEX('Scratch Data'!$I$5:$I$13,MIN(MATCH($A34,'Scratch Data'!$G$5:$G$13,1)+1,ROWS('Scratch Data'!$G$5:$G$13)))-INDEX('Scratch Data'!$I$5:$I$13,MATCH($A34,'Scratch Data'!$G$5:$G$13,1)))/MAX(INDEX('Scratch Data'!$G$5:$G$13,MIN(MATCH($A34,'Scratch Data'!$G$5:$G$13,1)+1,ROWS('Scratch Data'!$G$5:$G$13)))-INDEX('Scratch Data'!$G$5:$G$13,MATCH($A34,'Scratch Data'!$G$5:$G$13,1)),0.0001)),0),1),100))+(1-(INDEX('Scratch Data'!$H$5:$H$13,MATCH($A34,'Scratch Data'!$G$5:$G$13,1))+($A34-INDEX('Scratch Data'!$G$5:$G$13,MATCH($A34,'Scratch Data'!$G$5:$G$13,1)))*(INDEX('Scratch Data'!$H$5:$H$13,MIN(MATCH($A34,'Scratch Data'!$G$5:$G$13,1)+1,ROWS('Scratch Data'!$G$5:$G$13)))-INDEX('Scratch Data'!$H$5:$H$13,MATCH($A34,'Scratch Data'!$G$5:$G$13,1)))/MAX(INDEX('Scratch Data'!$G$5:$G$13,MIN(MATCH($A34,'Scratch Data'!$G$5:$G$13,1)+1,ROWS('Scratch Data'!$G$5:$G$13)))-INDEX('Scratch Data'!$G$5:$G$13,MATCH($A34,'Scratch Data'!$G$5:$G$13,1)),0.0001)))*(INDEX('Scratch Data'!$J$5:$J$13,MATCH($A34,'Scratch Data'!$G$5:$G$13,1))+($A34-INDEX('Scratch Data'!$G$5:$G$13,MATCH($A34,'Scratch Data'!$G$5:$G$13,1)))*(INDEX('Scratch Data'!$J$5:$J$13,MIN(MATCH($A34,'Scratch Data'!$G$5:$G$13,1)+1,ROWS('Scratch Data'!$G$5:$G$13)))-INDEX('Scratch Data'!$J$5:$J$13,MATCH($A34,'Scratch Data'!$G$5:$G$13,1)))/MAX(INDEX('Scratch Data'!$G$5:$G$13,MIN(MATCH($A34,'Scratch Data'!$G$5:$G$13,1)+1,ROWS('Scratch Data'!$G$5:$G$13)))-INDEX('Scratch Data'!$G$5:$G$13,MATCH($A34,'Scratch Data'!$G$5:$G$13,1)),0.0001))),(1+Inputs!$B$19*INDEX(Baseline!$B$3:$B$122,MATCH(MIN(MAX(ROUND((MAX($A34-Inputs!$B$20,30))/5,0)*5,5),600),Baseline!$A$3:$A$122,0))+(1-Inputs!$B$19)*INDEX(Baseline!$C$3:$C$122,MATCH(MIN(MAX(ROUND((MAX($A34-Inputs!$B$20,30))/5,0)*5,5),600),Baseline!$A$3:$A$122,0)))),(1+Inputs!$B$19*INDEX(Baseline!$B$3:$B$122,MATCH(MIN(MAX(ROUND((MAX($A34-Inputs!$B$20,30))/5,0)*5,5),600),Baseline!$A$3:$A$122,0))+(1-Inputs!$B$19)*INDEX(Baseline!$C$3:$C$122,MATCH(MIN(MAX(ROUND((MAX($A34-Inputs!$B$20,30))/5,0)*5,5),600),Baseline!$A$3:$A$122,0)))))</f>
        <v>3.2805028</v>
      </c>
      <c r="C34" s="10" t="n">
        <f aca="false">IF($A34&lt;=50,$B34+Inputs!$B$18,IF($A34&lt;=250,MIN((1+(INDEX('Scratch Data'!$H$5:$H$13,MATCH($A34,'Scratch Data'!$G$5:$G$13,1))+($A34-INDEX('Scratch Data'!$G$5:$G$13,MATCH($A34,'Scratch Data'!$G$5:$G$13,1)))*(INDEX('Scratch Data'!$H$5:$H$13,MIN(MATCH($A34,'Scratch Data'!$G$5:$G$13,1)+1,ROWS('Scratch Data'!$G$5:$G$13)))-INDEX('Scratch Data'!$H$5:$H$13,MATCH($A34,'Scratch Data'!$G$5:$G$13,1)))/MAX(INDEX('Scratch Data'!$G$5:$G$13,MIN(MATCH($A34,'Scratch Data'!$G$5:$G$13,1)+1,ROWS('Scratch Data'!$G$5:$G$13)))-INDEX('Scratch Data'!$G$5:$G$13,MATCH($A34,'Scratch Data'!$G$5:$G$13,1)),0.0001))*Inputs!$B$12*INDEX(Baseline!$I$3:$I$102,MIN(MAX(ROUND(Inputs!$B$11*(INDEX('Scratch Data'!$I$5:$I$13,MATCH($A34,'Scratch Data'!$G$5:$G$13,1))+($A34-INDEX('Scratch Data'!$G$5:$G$13,MATCH($A34,'Scratch Data'!$G$5:$G$13,1)))*(INDEX('Scratch Data'!$I$5:$I$13,MIN(MATCH($A34,'Scratch Data'!$G$5:$G$13,1)+1,ROWS('Scratch Data'!$G$5:$G$13)))-INDEX('Scratch Data'!$I$5:$I$13,MATCH($A34,'Scratch Data'!$G$5:$G$13,1)))/MAX(INDEX('Scratch Data'!$G$5:$G$13,MIN(MATCH($A34,'Scratch Data'!$G$5:$G$13,1)+1,ROWS('Scratch Data'!$G$5:$G$13)))-INDEX('Scratch Data'!$G$5:$G$13,MATCH($A34,'Scratch Data'!$G$5:$G$13,1)),0.0001))*Inputs!$B$13,0),1),100))+(1-(INDEX('Scratch Data'!$H$5:$H$13,MATCH($A34,'Scratch Data'!$G$5:$G$13,1))+($A34-INDEX('Scratch Data'!$G$5:$G$13,MATCH($A34,'Scratch Data'!$G$5:$G$13,1)))*(INDEX('Scratch Data'!$H$5:$H$13,MIN(MATCH($A34,'Scratch Data'!$G$5:$G$13,1)+1,ROWS('Scratch Data'!$G$5:$G$13)))-INDEX('Scratch Data'!$H$5:$H$13,MATCH($A34,'Scratch Data'!$G$5:$G$13,1)))/MAX(INDEX('Scratch Data'!$G$5:$G$13,MIN(MATCH($A34,'Scratch Data'!$G$5:$G$13,1)+1,ROWS('Scratch Data'!$G$5:$G$13)))-INDEX('Scratch Data'!$G$5:$G$13,MATCH($A34,'Scratch Data'!$G$5:$G$13,1)),0.0001))*Inputs!$B$12)*((INDEX('Scratch Data'!$J$5:$J$13,MATCH($A34,'Scratch Data'!$G$5:$G$13,1))+($A34-INDEX('Scratch Data'!$G$5:$G$13,MATCH($A34,'Scratch Data'!$G$5:$G$13,1)))*(INDEX('Scratch Data'!$J$5:$J$13,MIN(MATCH($A34,'Scratch Data'!$G$5:$G$13,1)+1,ROWS('Scratch Data'!$G$5:$G$13)))-INDEX('Scratch Data'!$J$5:$J$13,MATCH($A34,'Scratch Data'!$G$5:$G$13,1)))/MAX(INDEX('Scratch Data'!$G$5:$G$13,MIN(MATCH($A34,'Scratch Data'!$G$5:$G$13,1)+1,ROWS('Scratch Data'!$G$5:$G$13)))-INDEX('Scratch Data'!$G$5:$G$13,MATCH($A34,'Scratch Data'!$G$5:$G$13,1)),0.0001))+Inputs!$B$14)),(1+Inputs!$B$19*INDEX(Baseline!$B$3:$B$122,MATCH(MIN(MAX(ROUND((MAX($A34-Inputs!$B$21,30))/5,0)*5,5),600),Baseline!$A$3:$A$122,0))+(1-Inputs!$B$19)*INDEX(Baseline!$C$3:$C$122,MATCH(MIN(MAX(ROUND((MAX($A34-Inputs!$B$21,30))/5,0)*5,5),600),Baseline!$A$3:$A$122,0))+Inputs!$B$14)),(1+Inputs!$B$19*INDEX(Baseline!$B$3:$B$122,MATCH(MIN(MAX(ROUND((MAX($A34-Inputs!$B$21,30))/5,0)*5,5),600),Baseline!$A$3:$A$122,0))+(1-Inputs!$B$19)*INDEX(Baseline!$C$3:$C$122,MATCH(MIN(MAX(ROUND((MAX($A34-Inputs!$B$21,30))/5,0)*5,5),600),Baseline!$A$3:$A$122,0))+Inputs!$B$14)))</f>
        <v>3.43804224</v>
      </c>
      <c r="D34" s="10" t="n">
        <f aca="false">IF($A34&lt;=50,(INDEX('Scratch Data'!$P$5:$P$11,MATCH($A34,'Scratch Data'!$O$5:$O$11,1))+($A34-INDEX('Scratch Data'!$O$5:$O$11,MATCH($A34,'Scratch Data'!$O$5:$O$11,1)))*(INDEX('Scratch Data'!$P$5:$P$11,MIN(MATCH($A34,'Scratch Data'!$O$5:$O$11,1)+1,ROWS('Scratch Data'!$O$5:$O$11)))-INDEX('Scratch Data'!$P$5:$P$11,MATCH($A34,'Scratch Data'!$O$5:$O$11,1)))/MAX(INDEX('Scratch Data'!$O$5:$O$11,MIN(MATCH($A34,'Scratch Data'!$O$5:$O$11,1)+1,ROWS('Scratch Data'!$O$5:$O$11)))-INDEX('Scratch Data'!$O$5:$O$11,MATCH($A34,'Scratch Data'!$O$5:$O$11,1)),0.0001)),IF($A34&lt;=250,MIN((1+(INDEX('Scratch Data'!$H$5:$H$13,MATCH($A34,'Scratch Data'!$G$5:$G$13,1))+($A34-INDEX('Scratch Data'!$G$5:$G$13,MATCH($A34,'Scratch Data'!$G$5:$G$13,1)))*(INDEX('Scratch Data'!$H$5:$H$13,MIN(MATCH($A34,'Scratch Data'!$G$5:$G$13,1)+1,ROWS('Scratch Data'!$G$5:$G$13)))-INDEX('Scratch Data'!$H$5:$H$13,MATCH($A34,'Scratch Data'!$G$5:$G$13,1)))/MAX(INDEX('Scratch Data'!$G$5:$G$13,MIN(MATCH($A34,'Scratch Data'!$G$5:$G$13,1)+1,ROWS('Scratch Data'!$G$5:$G$13)))-INDEX('Scratch Data'!$G$5:$G$13,MATCH($A34,'Scratch Data'!$G$5:$G$13,1)),0.0001))*Inputs!$B$15*INDEX(Baseline!$I$3:$I$102,MIN(MAX(ROUND(Inputs!$B$11*(INDEX('Scratch Data'!$I$5:$I$13,MATCH($A34,'Scratch Data'!$G$5:$G$13,1))+($A34-INDEX('Scratch Data'!$G$5:$G$13,MATCH($A34,'Scratch Data'!$G$5:$G$13,1)))*(INDEX('Scratch Data'!$I$5:$I$13,MIN(MATCH($A34,'Scratch Data'!$G$5:$G$13,1)+1,ROWS('Scratch Data'!$G$5:$G$13)))-INDEX('Scratch Data'!$I$5:$I$13,MATCH($A34,'Scratch Data'!$G$5:$G$13,1)))/MAX(INDEX('Scratch Data'!$G$5:$G$13,MIN(MATCH($A34,'Scratch Data'!$G$5:$G$13,1)+1,ROWS('Scratch Data'!$G$5:$G$13)))-INDEX('Scratch Data'!$G$5:$G$13,MATCH($A34,'Scratch Data'!$G$5:$G$13,1)),0.0001))*Inputs!$B$16,0),1),100))+(1-(INDEX('Scratch Data'!$H$5:$H$13,MATCH($A34,'Scratch Data'!$G$5:$G$13,1))+($A34-INDEX('Scratch Data'!$G$5:$G$13,MATCH($A34,'Scratch Data'!$G$5:$G$13,1)))*(INDEX('Scratch Data'!$H$5:$H$13,MIN(MATCH($A34,'Scratch Data'!$G$5:$G$13,1)+1,ROWS('Scratch Data'!$G$5:$G$13)))-INDEX('Scratch Data'!$H$5:$H$13,MATCH($A34,'Scratch Data'!$G$5:$G$13,1)))/MAX(INDEX('Scratch Data'!$G$5:$G$13,MIN(MATCH($A34,'Scratch Data'!$G$5:$G$13,1)+1,ROWS('Scratch Data'!$G$5:$G$13)))-INDEX('Scratch Data'!$G$5:$G$13,MATCH($A34,'Scratch Data'!$G$5:$G$13,1)),0.0001))*Inputs!$B$15)*((INDEX('Scratch Data'!$J$5:$J$13,MATCH($A34,'Scratch Data'!$G$5:$G$13,1))+($A34-INDEX('Scratch Data'!$G$5:$G$13,MATCH($A34,'Scratch Data'!$G$5:$G$13,1)))*(INDEX('Scratch Data'!$J$5:$J$13,MIN(MATCH($A34,'Scratch Data'!$G$5:$G$13,1)+1,ROWS('Scratch Data'!$G$5:$G$13)))-INDEX('Scratch Data'!$J$5:$J$13,MATCH($A34,'Scratch Data'!$G$5:$G$13,1)))/MAX(INDEX('Scratch Data'!$G$5:$G$13,MIN(MATCH($A34,'Scratch Data'!$G$5:$G$13,1)+1,ROWS('Scratch Data'!$G$5:$G$13)))-INDEX('Scratch Data'!$G$5:$G$13,MATCH($A34,'Scratch Data'!$G$5:$G$13,1)),0.0001))+Inputs!$B$17)),(1+Inputs!$B$19*INDEX(Baseline!$B$3:$B$122,MATCH(MIN(MAX(ROUND((MAX($A34-Inputs!$B$22,30))/5,0)*5,5),600),Baseline!$A$3:$A$122,0))+(1-Inputs!$B$19)*INDEX(Baseline!$C$3:$C$122,MATCH(MIN(MAX(ROUND((MAX($A34-Inputs!$B$22,30))/5,0)*5,5),600),Baseline!$A$3:$A$122,0))+Inputs!$B$17)),(1+Inputs!$B$19*INDEX(Baseline!$B$3:$B$122,MATCH(MIN(MAX(ROUND((MAX($A34-Inputs!$B$22,30))/5,0)*5,5),600),Baseline!$A$3:$A$122,0))+(1-Inputs!$B$19)*INDEX(Baseline!$C$3:$C$122,MATCH(MIN(MAX(ROUND((MAX($A34-Inputs!$B$22,30))/5,0)*5,5),600),Baseline!$A$3:$A$122,0))+Inputs!$B$17)))</f>
        <v>3.56202046</v>
      </c>
      <c r="E34" s="10" t="n">
        <f aca="false">1+Inputs!$B$24+0.6*INDEX(Baseline!$B$3:$B$122,MATCH(MIN(MAX(ROUND((MAX($A34-Inputs!$B$23,15))/5,0)*5,5),600),Baseline!$A$3:$A$122,0))+0.4*INDEX(Baseline!$C$3:$C$122,MATCH(MIN(MAX(ROUND((MAX($A34-Inputs!$B$23,15))/5,0)*5,5),600),Baseline!$A$3:$A$122,0))</f>
        <v>4.0401608</v>
      </c>
      <c r="H34" s="7" t="n">
        <v>32</v>
      </c>
      <c r="I34" s="10" t="n">
        <f aca="false">(INDEX('Scratch Data'!$E$5:$E$22,MATCH($H34,'Scratch Data'!$A$5:$A$22,1))+($H34-INDEX('Scratch Data'!$A$5:$A$22,MATCH($H34,'Scratch Data'!$A$5:$A$22,1)))*(INDEX('Scratch Data'!$E$5:$E$22,MIN(MATCH($H34,'Scratch Data'!$A$5:$A$22,1)+1,ROWS('Scratch Data'!$A$5:$A$22)))-INDEX('Scratch Data'!$E$5:$E$22,MATCH($H34,'Scratch Data'!$A$5:$A$22,1)))/MAX(INDEX('Scratch Data'!$A$5:$A$22,MIN(MATCH($H34,'Scratch Data'!$A$5:$A$22,1)+1,ROWS('Scratch Data'!$A$5:$A$22)))-INDEX('Scratch Data'!$A$5:$A$22,MATCH($H34,'Scratch Data'!$A$5:$A$22,1)),0.0001))</f>
        <v>2.0884</v>
      </c>
    </row>
    <row r="35" customFormat="false" ht="15" hidden="false" customHeight="false" outlineLevel="0" collapsed="false">
      <c r="A35" s="7" t="n">
        <v>165</v>
      </c>
      <c r="B35" s="10" t="n">
        <f aca="false">IF($A35&lt;=50,(INDEX('Scratch Data'!$M$5:$M$12,MATCH($A35,'Scratch Data'!$L$5:$L$12,1))+($A35-INDEX('Scratch Data'!$L$5:$L$12,MATCH($A35,'Scratch Data'!$L$5:$L$12,1)))*(INDEX('Scratch Data'!$M$5:$M$12,MIN(MATCH($A35,'Scratch Data'!$L$5:$L$12,1)+1,ROWS('Scratch Data'!$L$5:$L$12)))-INDEX('Scratch Data'!$M$5:$M$12,MATCH($A35,'Scratch Data'!$L$5:$L$12,1)))/MAX(INDEX('Scratch Data'!$L$5:$L$12,MIN(MATCH($A35,'Scratch Data'!$L$5:$L$12,1)+1,ROWS('Scratch Data'!$L$5:$L$12)))-INDEX('Scratch Data'!$L$5:$L$12,MATCH($A35,'Scratch Data'!$L$5:$L$12,1)),0.0001)),IF($A35&lt;=250,MIN((1+(INDEX('Scratch Data'!$H$5:$H$13,MATCH($A35,'Scratch Data'!$G$5:$G$13,1))+($A35-INDEX('Scratch Data'!$G$5:$G$13,MATCH($A35,'Scratch Data'!$G$5:$G$13,1)))*(INDEX('Scratch Data'!$H$5:$H$13,MIN(MATCH($A35,'Scratch Data'!$G$5:$G$13,1)+1,ROWS('Scratch Data'!$G$5:$G$13)))-INDEX('Scratch Data'!$H$5:$H$13,MATCH($A35,'Scratch Data'!$G$5:$G$13,1)))/MAX(INDEX('Scratch Data'!$G$5:$G$13,MIN(MATCH($A35,'Scratch Data'!$G$5:$G$13,1)+1,ROWS('Scratch Data'!$G$5:$G$13)))-INDEX('Scratch Data'!$G$5:$G$13,MATCH($A35,'Scratch Data'!$G$5:$G$13,1)),0.0001))*INDEX(Baseline!$I$3:$I$102,MIN(MAX(ROUND(Inputs!$B$11*(INDEX('Scratch Data'!$I$5:$I$13,MATCH($A35,'Scratch Data'!$G$5:$G$13,1))+($A35-INDEX('Scratch Data'!$G$5:$G$13,MATCH($A35,'Scratch Data'!$G$5:$G$13,1)))*(INDEX('Scratch Data'!$I$5:$I$13,MIN(MATCH($A35,'Scratch Data'!$G$5:$G$13,1)+1,ROWS('Scratch Data'!$G$5:$G$13)))-INDEX('Scratch Data'!$I$5:$I$13,MATCH($A35,'Scratch Data'!$G$5:$G$13,1)))/MAX(INDEX('Scratch Data'!$G$5:$G$13,MIN(MATCH($A35,'Scratch Data'!$G$5:$G$13,1)+1,ROWS('Scratch Data'!$G$5:$G$13)))-INDEX('Scratch Data'!$G$5:$G$13,MATCH($A35,'Scratch Data'!$G$5:$G$13,1)),0.0001)),0),1),100))+(1-(INDEX('Scratch Data'!$H$5:$H$13,MATCH($A35,'Scratch Data'!$G$5:$G$13,1))+($A35-INDEX('Scratch Data'!$G$5:$G$13,MATCH($A35,'Scratch Data'!$G$5:$G$13,1)))*(INDEX('Scratch Data'!$H$5:$H$13,MIN(MATCH($A35,'Scratch Data'!$G$5:$G$13,1)+1,ROWS('Scratch Data'!$G$5:$G$13)))-INDEX('Scratch Data'!$H$5:$H$13,MATCH($A35,'Scratch Data'!$G$5:$G$13,1)))/MAX(INDEX('Scratch Data'!$G$5:$G$13,MIN(MATCH($A35,'Scratch Data'!$G$5:$G$13,1)+1,ROWS('Scratch Data'!$G$5:$G$13)))-INDEX('Scratch Data'!$G$5:$G$13,MATCH($A35,'Scratch Data'!$G$5:$G$13,1)),0.0001)))*(INDEX('Scratch Data'!$J$5:$J$13,MATCH($A35,'Scratch Data'!$G$5:$G$13,1))+($A35-INDEX('Scratch Data'!$G$5:$G$13,MATCH($A35,'Scratch Data'!$G$5:$G$13,1)))*(INDEX('Scratch Data'!$J$5:$J$13,MIN(MATCH($A35,'Scratch Data'!$G$5:$G$13,1)+1,ROWS('Scratch Data'!$G$5:$G$13)))-INDEX('Scratch Data'!$J$5:$J$13,MATCH($A35,'Scratch Data'!$G$5:$G$13,1)))/MAX(INDEX('Scratch Data'!$G$5:$G$13,MIN(MATCH($A35,'Scratch Data'!$G$5:$G$13,1)+1,ROWS('Scratch Data'!$G$5:$G$13)))-INDEX('Scratch Data'!$G$5:$G$13,MATCH($A35,'Scratch Data'!$G$5:$G$13,1)),0.0001))),(1+Inputs!$B$19*INDEX(Baseline!$B$3:$B$122,MATCH(MIN(MAX(ROUND((MAX($A35-Inputs!$B$20,30))/5,0)*5,5),600),Baseline!$A$3:$A$122,0))+(1-Inputs!$B$19)*INDEX(Baseline!$C$3:$C$122,MATCH(MIN(MAX(ROUND((MAX($A35-Inputs!$B$20,30))/5,0)*5,5),600),Baseline!$A$3:$A$122,0)))),(1+Inputs!$B$19*INDEX(Baseline!$B$3:$B$122,MATCH(MIN(MAX(ROUND((MAX($A35-Inputs!$B$20,30))/5,0)*5,5),600),Baseline!$A$3:$A$122,0))+(1-Inputs!$B$19)*INDEX(Baseline!$C$3:$C$122,MATCH(MIN(MAX(ROUND((MAX($A35-Inputs!$B$20,30))/5,0)*5,5),600),Baseline!$A$3:$A$122,0)))))</f>
        <v>3.3041016</v>
      </c>
      <c r="C35" s="10" t="n">
        <f aca="false">IF($A35&lt;=50,$B35+Inputs!$B$18,IF($A35&lt;=250,MIN((1+(INDEX('Scratch Data'!$H$5:$H$13,MATCH($A35,'Scratch Data'!$G$5:$G$13,1))+($A35-INDEX('Scratch Data'!$G$5:$G$13,MATCH($A35,'Scratch Data'!$G$5:$G$13,1)))*(INDEX('Scratch Data'!$H$5:$H$13,MIN(MATCH($A35,'Scratch Data'!$G$5:$G$13,1)+1,ROWS('Scratch Data'!$G$5:$G$13)))-INDEX('Scratch Data'!$H$5:$H$13,MATCH($A35,'Scratch Data'!$G$5:$G$13,1)))/MAX(INDEX('Scratch Data'!$G$5:$G$13,MIN(MATCH($A35,'Scratch Data'!$G$5:$G$13,1)+1,ROWS('Scratch Data'!$G$5:$G$13)))-INDEX('Scratch Data'!$G$5:$G$13,MATCH($A35,'Scratch Data'!$G$5:$G$13,1)),0.0001))*Inputs!$B$12*INDEX(Baseline!$I$3:$I$102,MIN(MAX(ROUND(Inputs!$B$11*(INDEX('Scratch Data'!$I$5:$I$13,MATCH($A35,'Scratch Data'!$G$5:$G$13,1))+($A35-INDEX('Scratch Data'!$G$5:$G$13,MATCH($A35,'Scratch Data'!$G$5:$G$13,1)))*(INDEX('Scratch Data'!$I$5:$I$13,MIN(MATCH($A35,'Scratch Data'!$G$5:$G$13,1)+1,ROWS('Scratch Data'!$G$5:$G$13)))-INDEX('Scratch Data'!$I$5:$I$13,MATCH($A35,'Scratch Data'!$G$5:$G$13,1)))/MAX(INDEX('Scratch Data'!$G$5:$G$13,MIN(MATCH($A35,'Scratch Data'!$G$5:$G$13,1)+1,ROWS('Scratch Data'!$G$5:$G$13)))-INDEX('Scratch Data'!$G$5:$G$13,MATCH($A35,'Scratch Data'!$G$5:$G$13,1)),0.0001))*Inputs!$B$13,0),1),100))+(1-(INDEX('Scratch Data'!$H$5:$H$13,MATCH($A35,'Scratch Data'!$G$5:$G$13,1))+($A35-INDEX('Scratch Data'!$G$5:$G$13,MATCH($A35,'Scratch Data'!$G$5:$G$13,1)))*(INDEX('Scratch Data'!$H$5:$H$13,MIN(MATCH($A35,'Scratch Data'!$G$5:$G$13,1)+1,ROWS('Scratch Data'!$G$5:$G$13)))-INDEX('Scratch Data'!$H$5:$H$13,MATCH($A35,'Scratch Data'!$G$5:$G$13,1)))/MAX(INDEX('Scratch Data'!$G$5:$G$13,MIN(MATCH($A35,'Scratch Data'!$G$5:$G$13,1)+1,ROWS('Scratch Data'!$G$5:$G$13)))-INDEX('Scratch Data'!$G$5:$G$13,MATCH($A35,'Scratch Data'!$G$5:$G$13,1)),0.0001))*Inputs!$B$12)*((INDEX('Scratch Data'!$J$5:$J$13,MATCH($A35,'Scratch Data'!$G$5:$G$13,1))+($A35-INDEX('Scratch Data'!$G$5:$G$13,MATCH($A35,'Scratch Data'!$G$5:$G$13,1)))*(INDEX('Scratch Data'!$J$5:$J$13,MIN(MATCH($A35,'Scratch Data'!$G$5:$G$13,1)+1,ROWS('Scratch Data'!$G$5:$G$13)))-INDEX('Scratch Data'!$J$5:$J$13,MATCH($A35,'Scratch Data'!$G$5:$G$13,1)))/MAX(INDEX('Scratch Data'!$G$5:$G$13,MIN(MATCH($A35,'Scratch Data'!$G$5:$G$13,1)+1,ROWS('Scratch Data'!$G$5:$G$13)))-INDEX('Scratch Data'!$G$5:$G$13,MATCH($A35,'Scratch Data'!$G$5:$G$13,1)),0.0001))+Inputs!$B$14)),(1+Inputs!$B$19*INDEX(Baseline!$B$3:$B$122,MATCH(MIN(MAX(ROUND((MAX($A35-Inputs!$B$21,30))/5,0)*5,5),600),Baseline!$A$3:$A$122,0))+(1-Inputs!$B$19)*INDEX(Baseline!$C$3:$C$122,MATCH(MIN(MAX(ROUND((MAX($A35-Inputs!$B$21,30))/5,0)*5,5),600),Baseline!$A$3:$A$122,0))+Inputs!$B$14)),(1+Inputs!$B$19*INDEX(Baseline!$B$3:$B$122,MATCH(MIN(MAX(ROUND((MAX($A35-Inputs!$B$21,30))/5,0)*5,5),600),Baseline!$A$3:$A$122,0))+(1-Inputs!$B$19)*INDEX(Baseline!$C$3:$C$122,MATCH(MIN(MAX(ROUND((MAX($A35-Inputs!$B$21,30))/5,0)*5,5),600),Baseline!$A$3:$A$122,0))+Inputs!$B$14)))</f>
        <v>3.45843808</v>
      </c>
      <c r="D35" s="10" t="n">
        <f aca="false">IF($A35&lt;=50,(INDEX('Scratch Data'!$P$5:$P$11,MATCH($A35,'Scratch Data'!$O$5:$O$11,1))+($A35-INDEX('Scratch Data'!$O$5:$O$11,MATCH($A35,'Scratch Data'!$O$5:$O$11,1)))*(INDEX('Scratch Data'!$P$5:$P$11,MIN(MATCH($A35,'Scratch Data'!$O$5:$O$11,1)+1,ROWS('Scratch Data'!$O$5:$O$11)))-INDEX('Scratch Data'!$P$5:$P$11,MATCH($A35,'Scratch Data'!$O$5:$O$11,1)))/MAX(INDEX('Scratch Data'!$O$5:$O$11,MIN(MATCH($A35,'Scratch Data'!$O$5:$O$11,1)+1,ROWS('Scratch Data'!$O$5:$O$11)))-INDEX('Scratch Data'!$O$5:$O$11,MATCH($A35,'Scratch Data'!$O$5:$O$11,1)),0.0001)),IF($A35&lt;=250,MIN((1+(INDEX('Scratch Data'!$H$5:$H$13,MATCH($A35,'Scratch Data'!$G$5:$G$13,1))+($A35-INDEX('Scratch Data'!$G$5:$G$13,MATCH($A35,'Scratch Data'!$G$5:$G$13,1)))*(INDEX('Scratch Data'!$H$5:$H$13,MIN(MATCH($A35,'Scratch Data'!$G$5:$G$13,1)+1,ROWS('Scratch Data'!$G$5:$G$13)))-INDEX('Scratch Data'!$H$5:$H$13,MATCH($A35,'Scratch Data'!$G$5:$G$13,1)))/MAX(INDEX('Scratch Data'!$G$5:$G$13,MIN(MATCH($A35,'Scratch Data'!$G$5:$G$13,1)+1,ROWS('Scratch Data'!$G$5:$G$13)))-INDEX('Scratch Data'!$G$5:$G$13,MATCH($A35,'Scratch Data'!$G$5:$G$13,1)),0.0001))*Inputs!$B$15*INDEX(Baseline!$I$3:$I$102,MIN(MAX(ROUND(Inputs!$B$11*(INDEX('Scratch Data'!$I$5:$I$13,MATCH($A35,'Scratch Data'!$G$5:$G$13,1))+($A35-INDEX('Scratch Data'!$G$5:$G$13,MATCH($A35,'Scratch Data'!$G$5:$G$13,1)))*(INDEX('Scratch Data'!$I$5:$I$13,MIN(MATCH($A35,'Scratch Data'!$G$5:$G$13,1)+1,ROWS('Scratch Data'!$G$5:$G$13)))-INDEX('Scratch Data'!$I$5:$I$13,MATCH($A35,'Scratch Data'!$G$5:$G$13,1)))/MAX(INDEX('Scratch Data'!$G$5:$G$13,MIN(MATCH($A35,'Scratch Data'!$G$5:$G$13,1)+1,ROWS('Scratch Data'!$G$5:$G$13)))-INDEX('Scratch Data'!$G$5:$G$13,MATCH($A35,'Scratch Data'!$G$5:$G$13,1)),0.0001))*Inputs!$B$16,0),1),100))+(1-(INDEX('Scratch Data'!$H$5:$H$13,MATCH($A35,'Scratch Data'!$G$5:$G$13,1))+($A35-INDEX('Scratch Data'!$G$5:$G$13,MATCH($A35,'Scratch Data'!$G$5:$G$13,1)))*(INDEX('Scratch Data'!$H$5:$H$13,MIN(MATCH($A35,'Scratch Data'!$G$5:$G$13,1)+1,ROWS('Scratch Data'!$G$5:$G$13)))-INDEX('Scratch Data'!$H$5:$H$13,MATCH($A35,'Scratch Data'!$G$5:$G$13,1)))/MAX(INDEX('Scratch Data'!$G$5:$G$13,MIN(MATCH($A35,'Scratch Data'!$G$5:$G$13,1)+1,ROWS('Scratch Data'!$G$5:$G$13)))-INDEX('Scratch Data'!$G$5:$G$13,MATCH($A35,'Scratch Data'!$G$5:$G$13,1)),0.0001))*Inputs!$B$15)*((INDEX('Scratch Data'!$J$5:$J$13,MATCH($A35,'Scratch Data'!$G$5:$G$13,1))+($A35-INDEX('Scratch Data'!$G$5:$G$13,MATCH($A35,'Scratch Data'!$G$5:$G$13,1)))*(INDEX('Scratch Data'!$J$5:$J$13,MIN(MATCH($A35,'Scratch Data'!$G$5:$G$13,1)+1,ROWS('Scratch Data'!$G$5:$G$13)))-INDEX('Scratch Data'!$J$5:$J$13,MATCH($A35,'Scratch Data'!$G$5:$G$13,1)))/MAX(INDEX('Scratch Data'!$G$5:$G$13,MIN(MATCH($A35,'Scratch Data'!$G$5:$G$13,1)+1,ROWS('Scratch Data'!$G$5:$G$13)))-INDEX('Scratch Data'!$G$5:$G$13,MATCH($A35,'Scratch Data'!$G$5:$G$13,1)),0.0001))+Inputs!$B$17)),(1+Inputs!$B$19*INDEX(Baseline!$B$3:$B$122,MATCH(MIN(MAX(ROUND((MAX($A35-Inputs!$B$22,30))/5,0)*5,5),600),Baseline!$A$3:$A$122,0))+(1-Inputs!$B$19)*INDEX(Baseline!$C$3:$C$122,MATCH(MIN(MAX(ROUND((MAX($A35-Inputs!$B$22,30))/5,0)*5,5),600),Baseline!$A$3:$A$122,0))+Inputs!$B$17)),(1+Inputs!$B$19*INDEX(Baseline!$B$3:$B$122,MATCH(MIN(MAX(ROUND((MAX($A35-Inputs!$B$22,30))/5,0)*5,5),600),Baseline!$A$3:$A$122,0))+(1-Inputs!$B$19)*INDEX(Baseline!$C$3:$C$122,MATCH(MIN(MAX(ROUND((MAX($A35-Inputs!$B$22,30))/5,0)*5,5),600),Baseline!$A$3:$A$122,0))+Inputs!$B$17)))</f>
        <v>3.58468766</v>
      </c>
      <c r="E35" s="10" t="n">
        <f aca="false">1+Inputs!$B$24+0.6*INDEX(Baseline!$B$3:$B$122,MATCH(MIN(MAX(ROUND((MAX($A35-Inputs!$B$23,15))/5,0)*5,5),600),Baseline!$A$3:$A$122,0))+0.4*INDEX(Baseline!$C$3:$C$122,MATCH(MIN(MAX(ROUND((MAX($A35-Inputs!$B$23,15))/5,0)*5,5),600),Baseline!$A$3:$A$122,0))</f>
        <v>4.05568413333333</v>
      </c>
      <c r="H35" s="7" t="n">
        <v>33</v>
      </c>
      <c r="I35" s="10" t="n">
        <f aca="false">(INDEX('Scratch Data'!$E$5:$E$22,MATCH($H35,'Scratch Data'!$A$5:$A$22,1))+($H35-INDEX('Scratch Data'!$A$5:$A$22,MATCH($H35,'Scratch Data'!$A$5:$A$22,1)))*(INDEX('Scratch Data'!$E$5:$E$22,MIN(MATCH($H35,'Scratch Data'!$A$5:$A$22,1)+1,ROWS('Scratch Data'!$A$5:$A$22)))-INDEX('Scratch Data'!$E$5:$E$22,MATCH($H35,'Scratch Data'!$A$5:$A$22,1)))/MAX(INDEX('Scratch Data'!$A$5:$A$22,MIN(MATCH($H35,'Scratch Data'!$A$5:$A$22,1)+1,ROWS('Scratch Data'!$A$5:$A$22)))-INDEX('Scratch Data'!$A$5:$A$22,MATCH($H35,'Scratch Data'!$A$5:$A$22,1)),0.0001))</f>
        <v>2.0986</v>
      </c>
    </row>
    <row r="36" customFormat="false" ht="15" hidden="false" customHeight="false" outlineLevel="0" collapsed="false">
      <c r="A36" s="7" t="n">
        <v>170</v>
      </c>
      <c r="B36" s="10" t="n">
        <f aca="false">IF($A36&lt;=50,(INDEX('Scratch Data'!$M$5:$M$12,MATCH($A36,'Scratch Data'!$L$5:$L$12,1))+($A36-INDEX('Scratch Data'!$L$5:$L$12,MATCH($A36,'Scratch Data'!$L$5:$L$12,1)))*(INDEX('Scratch Data'!$M$5:$M$12,MIN(MATCH($A36,'Scratch Data'!$L$5:$L$12,1)+1,ROWS('Scratch Data'!$L$5:$L$12)))-INDEX('Scratch Data'!$M$5:$M$12,MATCH($A36,'Scratch Data'!$L$5:$L$12,1)))/MAX(INDEX('Scratch Data'!$L$5:$L$12,MIN(MATCH($A36,'Scratch Data'!$L$5:$L$12,1)+1,ROWS('Scratch Data'!$L$5:$L$12)))-INDEX('Scratch Data'!$L$5:$L$12,MATCH($A36,'Scratch Data'!$L$5:$L$12,1)),0.0001)),IF($A36&lt;=250,MIN((1+(INDEX('Scratch Data'!$H$5:$H$13,MATCH($A36,'Scratch Data'!$G$5:$G$13,1))+($A36-INDEX('Scratch Data'!$G$5:$G$13,MATCH($A36,'Scratch Data'!$G$5:$G$13,1)))*(INDEX('Scratch Data'!$H$5:$H$13,MIN(MATCH($A36,'Scratch Data'!$G$5:$G$13,1)+1,ROWS('Scratch Data'!$G$5:$G$13)))-INDEX('Scratch Data'!$H$5:$H$13,MATCH($A36,'Scratch Data'!$G$5:$G$13,1)))/MAX(INDEX('Scratch Data'!$G$5:$G$13,MIN(MATCH($A36,'Scratch Data'!$G$5:$G$13,1)+1,ROWS('Scratch Data'!$G$5:$G$13)))-INDEX('Scratch Data'!$G$5:$G$13,MATCH($A36,'Scratch Data'!$G$5:$G$13,1)),0.0001))*INDEX(Baseline!$I$3:$I$102,MIN(MAX(ROUND(Inputs!$B$11*(INDEX('Scratch Data'!$I$5:$I$13,MATCH($A36,'Scratch Data'!$G$5:$G$13,1))+($A36-INDEX('Scratch Data'!$G$5:$G$13,MATCH($A36,'Scratch Data'!$G$5:$G$13,1)))*(INDEX('Scratch Data'!$I$5:$I$13,MIN(MATCH($A36,'Scratch Data'!$G$5:$G$13,1)+1,ROWS('Scratch Data'!$G$5:$G$13)))-INDEX('Scratch Data'!$I$5:$I$13,MATCH($A36,'Scratch Data'!$G$5:$G$13,1)))/MAX(INDEX('Scratch Data'!$G$5:$G$13,MIN(MATCH($A36,'Scratch Data'!$G$5:$G$13,1)+1,ROWS('Scratch Data'!$G$5:$G$13)))-INDEX('Scratch Data'!$G$5:$G$13,MATCH($A36,'Scratch Data'!$G$5:$G$13,1)),0.0001)),0),1),100))+(1-(INDEX('Scratch Data'!$H$5:$H$13,MATCH($A36,'Scratch Data'!$G$5:$G$13,1))+($A36-INDEX('Scratch Data'!$G$5:$G$13,MATCH($A36,'Scratch Data'!$G$5:$G$13,1)))*(INDEX('Scratch Data'!$H$5:$H$13,MIN(MATCH($A36,'Scratch Data'!$G$5:$G$13,1)+1,ROWS('Scratch Data'!$G$5:$G$13)))-INDEX('Scratch Data'!$H$5:$H$13,MATCH($A36,'Scratch Data'!$G$5:$G$13,1)))/MAX(INDEX('Scratch Data'!$G$5:$G$13,MIN(MATCH($A36,'Scratch Data'!$G$5:$G$13,1)+1,ROWS('Scratch Data'!$G$5:$G$13)))-INDEX('Scratch Data'!$G$5:$G$13,MATCH($A36,'Scratch Data'!$G$5:$G$13,1)),0.0001)))*(INDEX('Scratch Data'!$J$5:$J$13,MATCH($A36,'Scratch Data'!$G$5:$G$13,1))+($A36-INDEX('Scratch Data'!$G$5:$G$13,MATCH($A36,'Scratch Data'!$G$5:$G$13,1)))*(INDEX('Scratch Data'!$J$5:$J$13,MIN(MATCH($A36,'Scratch Data'!$G$5:$G$13,1)+1,ROWS('Scratch Data'!$G$5:$G$13)))-INDEX('Scratch Data'!$J$5:$J$13,MATCH($A36,'Scratch Data'!$G$5:$G$13,1)))/MAX(INDEX('Scratch Data'!$G$5:$G$13,MIN(MATCH($A36,'Scratch Data'!$G$5:$G$13,1)+1,ROWS('Scratch Data'!$G$5:$G$13)))-INDEX('Scratch Data'!$G$5:$G$13,MATCH($A36,'Scratch Data'!$G$5:$G$13,1)),0.0001))),(1+Inputs!$B$19*INDEX(Baseline!$B$3:$B$122,MATCH(MIN(MAX(ROUND((MAX($A36-Inputs!$B$20,30))/5,0)*5,5),600),Baseline!$A$3:$A$122,0))+(1-Inputs!$B$19)*INDEX(Baseline!$C$3:$C$122,MATCH(MIN(MAX(ROUND((MAX($A36-Inputs!$B$20,30))/5,0)*5,5),600),Baseline!$A$3:$A$122,0)))),(1+Inputs!$B$19*INDEX(Baseline!$B$3:$B$122,MATCH(MIN(MAX(ROUND((MAX($A36-Inputs!$B$20,30))/5,0)*5,5),600),Baseline!$A$3:$A$122,0))+(1-Inputs!$B$19)*INDEX(Baseline!$C$3:$C$122,MATCH(MIN(MAX(ROUND((MAX($A36-Inputs!$B$20,30))/5,0)*5,5),600),Baseline!$A$3:$A$122,0)))))</f>
        <v>3.3196288</v>
      </c>
      <c r="C36" s="10" t="n">
        <f aca="false">IF($A36&lt;=50,$B36+Inputs!$B$18,IF($A36&lt;=250,MIN((1+(INDEX('Scratch Data'!$H$5:$H$13,MATCH($A36,'Scratch Data'!$G$5:$G$13,1))+($A36-INDEX('Scratch Data'!$G$5:$G$13,MATCH($A36,'Scratch Data'!$G$5:$G$13,1)))*(INDEX('Scratch Data'!$H$5:$H$13,MIN(MATCH($A36,'Scratch Data'!$G$5:$G$13,1)+1,ROWS('Scratch Data'!$G$5:$G$13)))-INDEX('Scratch Data'!$H$5:$H$13,MATCH($A36,'Scratch Data'!$G$5:$G$13,1)))/MAX(INDEX('Scratch Data'!$G$5:$G$13,MIN(MATCH($A36,'Scratch Data'!$G$5:$G$13,1)+1,ROWS('Scratch Data'!$G$5:$G$13)))-INDEX('Scratch Data'!$G$5:$G$13,MATCH($A36,'Scratch Data'!$G$5:$G$13,1)),0.0001))*Inputs!$B$12*INDEX(Baseline!$I$3:$I$102,MIN(MAX(ROUND(Inputs!$B$11*(INDEX('Scratch Data'!$I$5:$I$13,MATCH($A36,'Scratch Data'!$G$5:$G$13,1))+($A36-INDEX('Scratch Data'!$G$5:$G$13,MATCH($A36,'Scratch Data'!$G$5:$G$13,1)))*(INDEX('Scratch Data'!$I$5:$I$13,MIN(MATCH($A36,'Scratch Data'!$G$5:$G$13,1)+1,ROWS('Scratch Data'!$G$5:$G$13)))-INDEX('Scratch Data'!$I$5:$I$13,MATCH($A36,'Scratch Data'!$G$5:$G$13,1)))/MAX(INDEX('Scratch Data'!$G$5:$G$13,MIN(MATCH($A36,'Scratch Data'!$G$5:$G$13,1)+1,ROWS('Scratch Data'!$G$5:$G$13)))-INDEX('Scratch Data'!$G$5:$G$13,MATCH($A36,'Scratch Data'!$G$5:$G$13,1)),0.0001))*Inputs!$B$13,0),1),100))+(1-(INDEX('Scratch Data'!$H$5:$H$13,MATCH($A36,'Scratch Data'!$G$5:$G$13,1))+($A36-INDEX('Scratch Data'!$G$5:$G$13,MATCH($A36,'Scratch Data'!$G$5:$G$13,1)))*(INDEX('Scratch Data'!$H$5:$H$13,MIN(MATCH($A36,'Scratch Data'!$G$5:$G$13,1)+1,ROWS('Scratch Data'!$G$5:$G$13)))-INDEX('Scratch Data'!$H$5:$H$13,MATCH($A36,'Scratch Data'!$G$5:$G$13,1)))/MAX(INDEX('Scratch Data'!$G$5:$G$13,MIN(MATCH($A36,'Scratch Data'!$G$5:$G$13,1)+1,ROWS('Scratch Data'!$G$5:$G$13)))-INDEX('Scratch Data'!$G$5:$G$13,MATCH($A36,'Scratch Data'!$G$5:$G$13,1)),0.0001))*Inputs!$B$12)*((INDEX('Scratch Data'!$J$5:$J$13,MATCH($A36,'Scratch Data'!$G$5:$G$13,1))+($A36-INDEX('Scratch Data'!$G$5:$G$13,MATCH($A36,'Scratch Data'!$G$5:$G$13,1)))*(INDEX('Scratch Data'!$J$5:$J$13,MIN(MATCH($A36,'Scratch Data'!$G$5:$G$13,1)+1,ROWS('Scratch Data'!$G$5:$G$13)))-INDEX('Scratch Data'!$J$5:$J$13,MATCH($A36,'Scratch Data'!$G$5:$G$13,1)))/MAX(INDEX('Scratch Data'!$G$5:$G$13,MIN(MATCH($A36,'Scratch Data'!$G$5:$G$13,1)+1,ROWS('Scratch Data'!$G$5:$G$13)))-INDEX('Scratch Data'!$G$5:$G$13,MATCH($A36,'Scratch Data'!$G$5:$G$13,1)),0.0001))+Inputs!$B$14)),(1+Inputs!$B$19*INDEX(Baseline!$B$3:$B$122,MATCH(MIN(MAX(ROUND((MAX($A36-Inputs!$B$21,30))/5,0)*5,5),600),Baseline!$A$3:$A$122,0))+(1-Inputs!$B$19)*INDEX(Baseline!$C$3:$C$122,MATCH(MIN(MAX(ROUND((MAX($A36-Inputs!$B$21,30))/5,0)*5,5),600),Baseline!$A$3:$A$122,0))+Inputs!$B$14)),(1+Inputs!$B$19*INDEX(Baseline!$B$3:$B$122,MATCH(MIN(MAX(ROUND((MAX($A36-Inputs!$B$21,30))/5,0)*5,5),600),Baseline!$A$3:$A$122,0))+(1-Inputs!$B$19)*INDEX(Baseline!$C$3:$C$122,MATCH(MIN(MAX(ROUND((MAX($A36-Inputs!$B$21,30))/5,0)*5,5),600),Baseline!$A$3:$A$122,0))+Inputs!$B$14)))</f>
        <v>3.4787264</v>
      </c>
      <c r="D36" s="10" t="n">
        <f aca="false">IF($A36&lt;=50,(INDEX('Scratch Data'!$P$5:$P$11,MATCH($A36,'Scratch Data'!$O$5:$O$11,1))+($A36-INDEX('Scratch Data'!$O$5:$O$11,MATCH($A36,'Scratch Data'!$O$5:$O$11,1)))*(INDEX('Scratch Data'!$P$5:$P$11,MIN(MATCH($A36,'Scratch Data'!$O$5:$O$11,1)+1,ROWS('Scratch Data'!$O$5:$O$11)))-INDEX('Scratch Data'!$P$5:$P$11,MATCH($A36,'Scratch Data'!$O$5:$O$11,1)))/MAX(INDEX('Scratch Data'!$O$5:$O$11,MIN(MATCH($A36,'Scratch Data'!$O$5:$O$11,1)+1,ROWS('Scratch Data'!$O$5:$O$11)))-INDEX('Scratch Data'!$O$5:$O$11,MATCH($A36,'Scratch Data'!$O$5:$O$11,1)),0.0001)),IF($A36&lt;=250,MIN((1+(INDEX('Scratch Data'!$H$5:$H$13,MATCH($A36,'Scratch Data'!$G$5:$G$13,1))+($A36-INDEX('Scratch Data'!$G$5:$G$13,MATCH($A36,'Scratch Data'!$G$5:$G$13,1)))*(INDEX('Scratch Data'!$H$5:$H$13,MIN(MATCH($A36,'Scratch Data'!$G$5:$G$13,1)+1,ROWS('Scratch Data'!$G$5:$G$13)))-INDEX('Scratch Data'!$H$5:$H$13,MATCH($A36,'Scratch Data'!$G$5:$G$13,1)))/MAX(INDEX('Scratch Data'!$G$5:$G$13,MIN(MATCH($A36,'Scratch Data'!$G$5:$G$13,1)+1,ROWS('Scratch Data'!$G$5:$G$13)))-INDEX('Scratch Data'!$G$5:$G$13,MATCH($A36,'Scratch Data'!$G$5:$G$13,1)),0.0001))*Inputs!$B$15*INDEX(Baseline!$I$3:$I$102,MIN(MAX(ROUND(Inputs!$B$11*(INDEX('Scratch Data'!$I$5:$I$13,MATCH($A36,'Scratch Data'!$G$5:$G$13,1))+($A36-INDEX('Scratch Data'!$G$5:$G$13,MATCH($A36,'Scratch Data'!$G$5:$G$13,1)))*(INDEX('Scratch Data'!$I$5:$I$13,MIN(MATCH($A36,'Scratch Data'!$G$5:$G$13,1)+1,ROWS('Scratch Data'!$G$5:$G$13)))-INDEX('Scratch Data'!$I$5:$I$13,MATCH($A36,'Scratch Data'!$G$5:$G$13,1)))/MAX(INDEX('Scratch Data'!$G$5:$G$13,MIN(MATCH($A36,'Scratch Data'!$G$5:$G$13,1)+1,ROWS('Scratch Data'!$G$5:$G$13)))-INDEX('Scratch Data'!$G$5:$G$13,MATCH($A36,'Scratch Data'!$G$5:$G$13,1)),0.0001))*Inputs!$B$16,0),1),100))+(1-(INDEX('Scratch Data'!$H$5:$H$13,MATCH($A36,'Scratch Data'!$G$5:$G$13,1))+($A36-INDEX('Scratch Data'!$G$5:$G$13,MATCH($A36,'Scratch Data'!$G$5:$G$13,1)))*(INDEX('Scratch Data'!$H$5:$H$13,MIN(MATCH($A36,'Scratch Data'!$G$5:$G$13,1)+1,ROWS('Scratch Data'!$G$5:$G$13)))-INDEX('Scratch Data'!$H$5:$H$13,MATCH($A36,'Scratch Data'!$G$5:$G$13,1)))/MAX(INDEX('Scratch Data'!$G$5:$G$13,MIN(MATCH($A36,'Scratch Data'!$G$5:$G$13,1)+1,ROWS('Scratch Data'!$G$5:$G$13)))-INDEX('Scratch Data'!$G$5:$G$13,MATCH($A36,'Scratch Data'!$G$5:$G$13,1)),0.0001))*Inputs!$B$15)*((INDEX('Scratch Data'!$J$5:$J$13,MATCH($A36,'Scratch Data'!$G$5:$G$13,1))+($A36-INDEX('Scratch Data'!$G$5:$G$13,MATCH($A36,'Scratch Data'!$G$5:$G$13,1)))*(INDEX('Scratch Data'!$J$5:$J$13,MIN(MATCH($A36,'Scratch Data'!$G$5:$G$13,1)+1,ROWS('Scratch Data'!$G$5:$G$13)))-INDEX('Scratch Data'!$J$5:$J$13,MATCH($A36,'Scratch Data'!$G$5:$G$13,1)))/MAX(INDEX('Scratch Data'!$G$5:$G$13,MIN(MATCH($A36,'Scratch Data'!$G$5:$G$13,1)+1,ROWS('Scratch Data'!$G$5:$G$13)))-INDEX('Scratch Data'!$G$5:$G$13,MATCH($A36,'Scratch Data'!$G$5:$G$13,1)),0.0001))+Inputs!$B$17)),(1+Inputs!$B$19*INDEX(Baseline!$B$3:$B$122,MATCH(MIN(MAX(ROUND((MAX($A36-Inputs!$B$22,30))/5,0)*5,5),600),Baseline!$A$3:$A$122,0))+(1-Inputs!$B$19)*INDEX(Baseline!$C$3:$C$122,MATCH(MIN(MAX(ROUND((MAX($A36-Inputs!$B$22,30))/5,0)*5,5),600),Baseline!$A$3:$A$122,0))+Inputs!$B$17)),(1+Inputs!$B$19*INDEX(Baseline!$B$3:$B$122,MATCH(MIN(MAX(ROUND((MAX($A36-Inputs!$B$22,30))/5,0)*5,5),600),Baseline!$A$3:$A$122,0))+(1-Inputs!$B$19)*INDEX(Baseline!$C$3:$C$122,MATCH(MIN(MAX(ROUND((MAX($A36-Inputs!$B$22,30))/5,0)*5,5),600),Baseline!$A$3:$A$122,0))+Inputs!$B$17)))</f>
        <v>3.60256956</v>
      </c>
      <c r="E36" s="10" t="n">
        <f aca="false">1+Inputs!$B$24+0.6*INDEX(Baseline!$B$3:$B$122,MATCH(MIN(MAX(ROUND((MAX($A36-Inputs!$B$23,15))/5,0)*5,5),600),Baseline!$A$3:$A$122,0))+0.4*INDEX(Baseline!$C$3:$C$122,MATCH(MIN(MAX(ROUND((MAX($A36-Inputs!$B$23,15))/5,0)*5,5),600),Baseline!$A$3:$A$122,0))</f>
        <v>4.06466186666667</v>
      </c>
      <c r="H36" s="7" t="n">
        <v>34</v>
      </c>
      <c r="I36" s="10" t="n">
        <f aca="false">(INDEX('Scratch Data'!$E$5:$E$22,MATCH($H36,'Scratch Data'!$A$5:$A$22,1))+($H36-INDEX('Scratch Data'!$A$5:$A$22,MATCH($H36,'Scratch Data'!$A$5:$A$22,1)))*(INDEX('Scratch Data'!$E$5:$E$22,MIN(MATCH($H36,'Scratch Data'!$A$5:$A$22,1)+1,ROWS('Scratch Data'!$A$5:$A$22)))-INDEX('Scratch Data'!$E$5:$E$22,MATCH($H36,'Scratch Data'!$A$5:$A$22,1)))/MAX(INDEX('Scratch Data'!$A$5:$A$22,MIN(MATCH($H36,'Scratch Data'!$A$5:$A$22,1)+1,ROWS('Scratch Data'!$A$5:$A$22)))-INDEX('Scratch Data'!$A$5:$A$22,MATCH($H36,'Scratch Data'!$A$5:$A$22,1)),0.0001))</f>
        <v>2.1088</v>
      </c>
    </row>
    <row r="37" customFormat="false" ht="15" hidden="false" customHeight="false" outlineLevel="0" collapsed="false">
      <c r="A37" s="7" t="n">
        <v>175</v>
      </c>
      <c r="B37" s="10" t="n">
        <f aca="false">IF($A37&lt;=50,(INDEX('Scratch Data'!$M$5:$M$12,MATCH($A37,'Scratch Data'!$L$5:$L$12,1))+($A37-INDEX('Scratch Data'!$L$5:$L$12,MATCH($A37,'Scratch Data'!$L$5:$L$12,1)))*(INDEX('Scratch Data'!$M$5:$M$12,MIN(MATCH($A37,'Scratch Data'!$L$5:$L$12,1)+1,ROWS('Scratch Data'!$L$5:$L$12)))-INDEX('Scratch Data'!$M$5:$M$12,MATCH($A37,'Scratch Data'!$L$5:$L$12,1)))/MAX(INDEX('Scratch Data'!$L$5:$L$12,MIN(MATCH($A37,'Scratch Data'!$L$5:$L$12,1)+1,ROWS('Scratch Data'!$L$5:$L$12)))-INDEX('Scratch Data'!$L$5:$L$12,MATCH($A37,'Scratch Data'!$L$5:$L$12,1)),0.0001)),IF($A37&lt;=250,MIN((1+(INDEX('Scratch Data'!$H$5:$H$13,MATCH($A37,'Scratch Data'!$G$5:$G$13,1))+($A37-INDEX('Scratch Data'!$G$5:$G$13,MATCH($A37,'Scratch Data'!$G$5:$G$13,1)))*(INDEX('Scratch Data'!$H$5:$H$13,MIN(MATCH($A37,'Scratch Data'!$G$5:$G$13,1)+1,ROWS('Scratch Data'!$G$5:$G$13)))-INDEX('Scratch Data'!$H$5:$H$13,MATCH($A37,'Scratch Data'!$G$5:$G$13,1)))/MAX(INDEX('Scratch Data'!$G$5:$G$13,MIN(MATCH($A37,'Scratch Data'!$G$5:$G$13,1)+1,ROWS('Scratch Data'!$G$5:$G$13)))-INDEX('Scratch Data'!$G$5:$G$13,MATCH($A37,'Scratch Data'!$G$5:$G$13,1)),0.0001))*INDEX(Baseline!$I$3:$I$102,MIN(MAX(ROUND(Inputs!$B$11*(INDEX('Scratch Data'!$I$5:$I$13,MATCH($A37,'Scratch Data'!$G$5:$G$13,1))+($A37-INDEX('Scratch Data'!$G$5:$G$13,MATCH($A37,'Scratch Data'!$G$5:$G$13,1)))*(INDEX('Scratch Data'!$I$5:$I$13,MIN(MATCH($A37,'Scratch Data'!$G$5:$G$13,1)+1,ROWS('Scratch Data'!$G$5:$G$13)))-INDEX('Scratch Data'!$I$5:$I$13,MATCH($A37,'Scratch Data'!$G$5:$G$13,1)))/MAX(INDEX('Scratch Data'!$G$5:$G$13,MIN(MATCH($A37,'Scratch Data'!$G$5:$G$13,1)+1,ROWS('Scratch Data'!$G$5:$G$13)))-INDEX('Scratch Data'!$G$5:$G$13,MATCH($A37,'Scratch Data'!$G$5:$G$13,1)),0.0001)),0),1),100))+(1-(INDEX('Scratch Data'!$H$5:$H$13,MATCH($A37,'Scratch Data'!$G$5:$G$13,1))+($A37-INDEX('Scratch Data'!$G$5:$G$13,MATCH($A37,'Scratch Data'!$G$5:$G$13,1)))*(INDEX('Scratch Data'!$H$5:$H$13,MIN(MATCH($A37,'Scratch Data'!$G$5:$G$13,1)+1,ROWS('Scratch Data'!$G$5:$G$13)))-INDEX('Scratch Data'!$H$5:$H$13,MATCH($A37,'Scratch Data'!$G$5:$G$13,1)))/MAX(INDEX('Scratch Data'!$G$5:$G$13,MIN(MATCH($A37,'Scratch Data'!$G$5:$G$13,1)+1,ROWS('Scratch Data'!$G$5:$G$13)))-INDEX('Scratch Data'!$G$5:$G$13,MATCH($A37,'Scratch Data'!$G$5:$G$13,1)),0.0001)))*(INDEX('Scratch Data'!$J$5:$J$13,MATCH($A37,'Scratch Data'!$G$5:$G$13,1))+($A37-INDEX('Scratch Data'!$G$5:$G$13,MATCH($A37,'Scratch Data'!$G$5:$G$13,1)))*(INDEX('Scratch Data'!$J$5:$J$13,MIN(MATCH($A37,'Scratch Data'!$G$5:$G$13,1)+1,ROWS('Scratch Data'!$G$5:$G$13)))-INDEX('Scratch Data'!$J$5:$J$13,MATCH($A37,'Scratch Data'!$G$5:$G$13,1)))/MAX(INDEX('Scratch Data'!$G$5:$G$13,MIN(MATCH($A37,'Scratch Data'!$G$5:$G$13,1)+1,ROWS('Scratch Data'!$G$5:$G$13)))-INDEX('Scratch Data'!$G$5:$G$13,MATCH($A37,'Scratch Data'!$G$5:$G$13,1)),0.0001))),(1+Inputs!$B$19*INDEX(Baseline!$B$3:$B$122,MATCH(MIN(MAX(ROUND((MAX($A37-Inputs!$B$20,30))/5,0)*5,5),600),Baseline!$A$3:$A$122,0))+(1-Inputs!$B$19)*INDEX(Baseline!$C$3:$C$122,MATCH(MIN(MAX(ROUND((MAX($A37-Inputs!$B$20,30))/5,0)*5,5),600),Baseline!$A$3:$A$122,0)))),(1+Inputs!$B$19*INDEX(Baseline!$B$3:$B$122,MATCH(MIN(MAX(ROUND((MAX($A37-Inputs!$B$20,30))/5,0)*5,5),600),Baseline!$A$3:$A$122,0))+(1-Inputs!$B$19)*INDEX(Baseline!$C$3:$C$122,MATCH(MIN(MAX(ROUND((MAX($A37-Inputs!$B$20,30))/5,0)*5,5),600),Baseline!$A$3:$A$122,0)))))</f>
        <v>3.34309</v>
      </c>
      <c r="C37" s="10" t="n">
        <f aca="false">IF($A37&lt;=50,$B37+Inputs!$B$18,IF($A37&lt;=250,MIN((1+(INDEX('Scratch Data'!$H$5:$H$13,MATCH($A37,'Scratch Data'!$G$5:$G$13,1))+($A37-INDEX('Scratch Data'!$G$5:$G$13,MATCH($A37,'Scratch Data'!$G$5:$G$13,1)))*(INDEX('Scratch Data'!$H$5:$H$13,MIN(MATCH($A37,'Scratch Data'!$G$5:$G$13,1)+1,ROWS('Scratch Data'!$G$5:$G$13)))-INDEX('Scratch Data'!$H$5:$H$13,MATCH($A37,'Scratch Data'!$G$5:$G$13,1)))/MAX(INDEX('Scratch Data'!$G$5:$G$13,MIN(MATCH($A37,'Scratch Data'!$G$5:$G$13,1)+1,ROWS('Scratch Data'!$G$5:$G$13)))-INDEX('Scratch Data'!$G$5:$G$13,MATCH($A37,'Scratch Data'!$G$5:$G$13,1)),0.0001))*Inputs!$B$12*INDEX(Baseline!$I$3:$I$102,MIN(MAX(ROUND(Inputs!$B$11*(INDEX('Scratch Data'!$I$5:$I$13,MATCH($A37,'Scratch Data'!$G$5:$G$13,1))+($A37-INDEX('Scratch Data'!$G$5:$G$13,MATCH($A37,'Scratch Data'!$G$5:$G$13,1)))*(INDEX('Scratch Data'!$I$5:$I$13,MIN(MATCH($A37,'Scratch Data'!$G$5:$G$13,1)+1,ROWS('Scratch Data'!$G$5:$G$13)))-INDEX('Scratch Data'!$I$5:$I$13,MATCH($A37,'Scratch Data'!$G$5:$G$13,1)))/MAX(INDEX('Scratch Data'!$G$5:$G$13,MIN(MATCH($A37,'Scratch Data'!$G$5:$G$13,1)+1,ROWS('Scratch Data'!$G$5:$G$13)))-INDEX('Scratch Data'!$G$5:$G$13,MATCH($A37,'Scratch Data'!$G$5:$G$13,1)),0.0001))*Inputs!$B$13,0),1),100))+(1-(INDEX('Scratch Data'!$H$5:$H$13,MATCH($A37,'Scratch Data'!$G$5:$G$13,1))+($A37-INDEX('Scratch Data'!$G$5:$G$13,MATCH($A37,'Scratch Data'!$G$5:$G$13,1)))*(INDEX('Scratch Data'!$H$5:$H$13,MIN(MATCH($A37,'Scratch Data'!$G$5:$G$13,1)+1,ROWS('Scratch Data'!$G$5:$G$13)))-INDEX('Scratch Data'!$H$5:$H$13,MATCH($A37,'Scratch Data'!$G$5:$G$13,1)))/MAX(INDEX('Scratch Data'!$G$5:$G$13,MIN(MATCH($A37,'Scratch Data'!$G$5:$G$13,1)+1,ROWS('Scratch Data'!$G$5:$G$13)))-INDEX('Scratch Data'!$G$5:$G$13,MATCH($A37,'Scratch Data'!$G$5:$G$13,1)),0.0001))*Inputs!$B$12)*((INDEX('Scratch Data'!$J$5:$J$13,MATCH($A37,'Scratch Data'!$G$5:$G$13,1))+($A37-INDEX('Scratch Data'!$G$5:$G$13,MATCH($A37,'Scratch Data'!$G$5:$G$13,1)))*(INDEX('Scratch Data'!$J$5:$J$13,MIN(MATCH($A37,'Scratch Data'!$G$5:$G$13,1)+1,ROWS('Scratch Data'!$G$5:$G$13)))-INDEX('Scratch Data'!$J$5:$J$13,MATCH($A37,'Scratch Data'!$G$5:$G$13,1)))/MAX(INDEX('Scratch Data'!$G$5:$G$13,MIN(MATCH($A37,'Scratch Data'!$G$5:$G$13,1)+1,ROWS('Scratch Data'!$G$5:$G$13)))-INDEX('Scratch Data'!$G$5:$G$13,MATCH($A37,'Scratch Data'!$G$5:$G$13,1)),0.0001))+Inputs!$B$14)),(1+Inputs!$B$19*INDEX(Baseline!$B$3:$B$122,MATCH(MIN(MAX(ROUND((MAX($A37-Inputs!$B$21,30))/5,0)*5,5),600),Baseline!$A$3:$A$122,0))+(1-Inputs!$B$19)*INDEX(Baseline!$C$3:$C$122,MATCH(MIN(MAX(ROUND((MAX($A37-Inputs!$B$21,30))/5,0)*5,5),600),Baseline!$A$3:$A$122,0))+Inputs!$B$14)),(1+Inputs!$B$19*INDEX(Baseline!$B$3:$B$122,MATCH(MIN(MAX(ROUND((MAX($A37-Inputs!$B$21,30))/5,0)*5,5),600),Baseline!$A$3:$A$122,0))+(1-Inputs!$B$19)*INDEX(Baseline!$C$3:$C$122,MATCH(MIN(MAX(ROUND((MAX($A37-Inputs!$B$21,30))/5,0)*5,5),600),Baseline!$A$3:$A$122,0))+Inputs!$B$14)))</f>
        <v>3.5012384</v>
      </c>
      <c r="D37" s="10" t="n">
        <f aca="false">IF($A37&lt;=50,(INDEX('Scratch Data'!$P$5:$P$11,MATCH($A37,'Scratch Data'!$O$5:$O$11,1))+($A37-INDEX('Scratch Data'!$O$5:$O$11,MATCH($A37,'Scratch Data'!$O$5:$O$11,1)))*(INDEX('Scratch Data'!$P$5:$P$11,MIN(MATCH($A37,'Scratch Data'!$O$5:$O$11,1)+1,ROWS('Scratch Data'!$O$5:$O$11)))-INDEX('Scratch Data'!$P$5:$P$11,MATCH($A37,'Scratch Data'!$O$5:$O$11,1)))/MAX(INDEX('Scratch Data'!$O$5:$O$11,MIN(MATCH($A37,'Scratch Data'!$O$5:$O$11,1)+1,ROWS('Scratch Data'!$O$5:$O$11)))-INDEX('Scratch Data'!$O$5:$O$11,MATCH($A37,'Scratch Data'!$O$5:$O$11,1)),0.0001)),IF($A37&lt;=250,MIN((1+(INDEX('Scratch Data'!$H$5:$H$13,MATCH($A37,'Scratch Data'!$G$5:$G$13,1))+($A37-INDEX('Scratch Data'!$G$5:$G$13,MATCH($A37,'Scratch Data'!$G$5:$G$13,1)))*(INDEX('Scratch Data'!$H$5:$H$13,MIN(MATCH($A37,'Scratch Data'!$G$5:$G$13,1)+1,ROWS('Scratch Data'!$G$5:$G$13)))-INDEX('Scratch Data'!$H$5:$H$13,MATCH($A37,'Scratch Data'!$G$5:$G$13,1)))/MAX(INDEX('Scratch Data'!$G$5:$G$13,MIN(MATCH($A37,'Scratch Data'!$G$5:$G$13,1)+1,ROWS('Scratch Data'!$G$5:$G$13)))-INDEX('Scratch Data'!$G$5:$G$13,MATCH($A37,'Scratch Data'!$G$5:$G$13,1)),0.0001))*Inputs!$B$15*INDEX(Baseline!$I$3:$I$102,MIN(MAX(ROUND(Inputs!$B$11*(INDEX('Scratch Data'!$I$5:$I$13,MATCH($A37,'Scratch Data'!$G$5:$G$13,1))+($A37-INDEX('Scratch Data'!$G$5:$G$13,MATCH($A37,'Scratch Data'!$G$5:$G$13,1)))*(INDEX('Scratch Data'!$I$5:$I$13,MIN(MATCH($A37,'Scratch Data'!$G$5:$G$13,1)+1,ROWS('Scratch Data'!$G$5:$G$13)))-INDEX('Scratch Data'!$I$5:$I$13,MATCH($A37,'Scratch Data'!$G$5:$G$13,1)))/MAX(INDEX('Scratch Data'!$G$5:$G$13,MIN(MATCH($A37,'Scratch Data'!$G$5:$G$13,1)+1,ROWS('Scratch Data'!$G$5:$G$13)))-INDEX('Scratch Data'!$G$5:$G$13,MATCH($A37,'Scratch Data'!$G$5:$G$13,1)),0.0001))*Inputs!$B$16,0),1),100))+(1-(INDEX('Scratch Data'!$H$5:$H$13,MATCH($A37,'Scratch Data'!$G$5:$G$13,1))+($A37-INDEX('Scratch Data'!$G$5:$G$13,MATCH($A37,'Scratch Data'!$G$5:$G$13,1)))*(INDEX('Scratch Data'!$H$5:$H$13,MIN(MATCH($A37,'Scratch Data'!$G$5:$G$13,1)+1,ROWS('Scratch Data'!$G$5:$G$13)))-INDEX('Scratch Data'!$H$5:$H$13,MATCH($A37,'Scratch Data'!$G$5:$G$13,1)))/MAX(INDEX('Scratch Data'!$G$5:$G$13,MIN(MATCH($A37,'Scratch Data'!$G$5:$G$13,1)+1,ROWS('Scratch Data'!$G$5:$G$13)))-INDEX('Scratch Data'!$G$5:$G$13,MATCH($A37,'Scratch Data'!$G$5:$G$13,1)),0.0001))*Inputs!$B$15)*((INDEX('Scratch Data'!$J$5:$J$13,MATCH($A37,'Scratch Data'!$G$5:$G$13,1))+($A37-INDEX('Scratch Data'!$G$5:$G$13,MATCH($A37,'Scratch Data'!$G$5:$G$13,1)))*(INDEX('Scratch Data'!$J$5:$J$13,MIN(MATCH($A37,'Scratch Data'!$G$5:$G$13,1)+1,ROWS('Scratch Data'!$G$5:$G$13)))-INDEX('Scratch Data'!$J$5:$J$13,MATCH($A37,'Scratch Data'!$G$5:$G$13,1)))/MAX(INDEX('Scratch Data'!$G$5:$G$13,MIN(MATCH($A37,'Scratch Data'!$G$5:$G$13,1)+1,ROWS('Scratch Data'!$G$5:$G$13)))-INDEX('Scratch Data'!$G$5:$G$13,MATCH($A37,'Scratch Data'!$G$5:$G$13,1)),0.0001))+Inputs!$B$17)),(1+Inputs!$B$19*INDEX(Baseline!$B$3:$B$122,MATCH(MIN(MAX(ROUND((MAX($A37-Inputs!$B$22,30))/5,0)*5,5),600),Baseline!$A$3:$A$122,0))+(1-Inputs!$B$19)*INDEX(Baseline!$C$3:$C$122,MATCH(MIN(MAX(ROUND((MAX($A37-Inputs!$B$22,30))/5,0)*5,5),600),Baseline!$A$3:$A$122,0))+Inputs!$B$17)),(1+Inputs!$B$19*INDEX(Baseline!$B$3:$B$122,MATCH(MIN(MAX(ROUND((MAX($A37-Inputs!$B$22,30))/5,0)*5,5),600),Baseline!$A$3:$A$122,0))+(1-Inputs!$B$19)*INDEX(Baseline!$C$3:$C$122,MATCH(MIN(MAX(ROUND((MAX($A37-Inputs!$B$22,30))/5,0)*5,5),600),Baseline!$A$3:$A$122,0))+Inputs!$B$17)))</f>
        <v>3.6204473</v>
      </c>
      <c r="E37" s="10" t="n">
        <f aca="false">1+Inputs!$B$24+0.6*INDEX(Baseline!$B$3:$B$122,MATCH(MIN(MAX(ROUND((MAX($A37-Inputs!$B$23,15))/5,0)*5,5),600),Baseline!$A$3:$A$122,0))+0.4*INDEX(Baseline!$C$3:$C$122,MATCH(MIN(MAX(ROUND((MAX($A37-Inputs!$B$23,15))/5,0)*5,5),600),Baseline!$A$3:$A$122,0))</f>
        <v>4.0977</v>
      </c>
      <c r="H37" s="7" t="n">
        <v>35</v>
      </c>
      <c r="I37" s="10" t="n">
        <f aca="false">(INDEX('Scratch Data'!$E$5:$E$22,MATCH($H37,'Scratch Data'!$A$5:$A$22,1))+($H37-INDEX('Scratch Data'!$A$5:$A$22,MATCH($H37,'Scratch Data'!$A$5:$A$22,1)))*(INDEX('Scratch Data'!$E$5:$E$22,MIN(MATCH($H37,'Scratch Data'!$A$5:$A$22,1)+1,ROWS('Scratch Data'!$A$5:$A$22)))-INDEX('Scratch Data'!$E$5:$E$22,MATCH($H37,'Scratch Data'!$A$5:$A$22,1)))/MAX(INDEX('Scratch Data'!$A$5:$A$22,MIN(MATCH($H37,'Scratch Data'!$A$5:$A$22,1)+1,ROWS('Scratch Data'!$A$5:$A$22)))-INDEX('Scratch Data'!$A$5:$A$22,MATCH($H37,'Scratch Data'!$A$5:$A$22,1)),0.0001))</f>
        <v>2.119</v>
      </c>
    </row>
    <row r="38" customFormat="false" ht="15" hidden="false" customHeight="false" outlineLevel="0" collapsed="false">
      <c r="A38" s="7" t="n">
        <v>180</v>
      </c>
      <c r="B38" s="10" t="n">
        <f aca="false">IF($A38&lt;=50,(INDEX('Scratch Data'!$M$5:$M$12,MATCH($A38,'Scratch Data'!$L$5:$L$12,1))+($A38-INDEX('Scratch Data'!$L$5:$L$12,MATCH($A38,'Scratch Data'!$L$5:$L$12,1)))*(INDEX('Scratch Data'!$M$5:$M$12,MIN(MATCH($A38,'Scratch Data'!$L$5:$L$12,1)+1,ROWS('Scratch Data'!$L$5:$L$12)))-INDEX('Scratch Data'!$M$5:$M$12,MATCH($A38,'Scratch Data'!$L$5:$L$12,1)))/MAX(INDEX('Scratch Data'!$L$5:$L$12,MIN(MATCH($A38,'Scratch Data'!$L$5:$L$12,1)+1,ROWS('Scratch Data'!$L$5:$L$12)))-INDEX('Scratch Data'!$L$5:$L$12,MATCH($A38,'Scratch Data'!$L$5:$L$12,1)),0.0001)),IF($A38&lt;=250,MIN((1+(INDEX('Scratch Data'!$H$5:$H$13,MATCH($A38,'Scratch Data'!$G$5:$G$13,1))+($A38-INDEX('Scratch Data'!$G$5:$G$13,MATCH($A38,'Scratch Data'!$G$5:$G$13,1)))*(INDEX('Scratch Data'!$H$5:$H$13,MIN(MATCH($A38,'Scratch Data'!$G$5:$G$13,1)+1,ROWS('Scratch Data'!$G$5:$G$13)))-INDEX('Scratch Data'!$H$5:$H$13,MATCH($A38,'Scratch Data'!$G$5:$G$13,1)))/MAX(INDEX('Scratch Data'!$G$5:$G$13,MIN(MATCH($A38,'Scratch Data'!$G$5:$G$13,1)+1,ROWS('Scratch Data'!$G$5:$G$13)))-INDEX('Scratch Data'!$G$5:$G$13,MATCH($A38,'Scratch Data'!$G$5:$G$13,1)),0.0001))*INDEX(Baseline!$I$3:$I$102,MIN(MAX(ROUND(Inputs!$B$11*(INDEX('Scratch Data'!$I$5:$I$13,MATCH($A38,'Scratch Data'!$G$5:$G$13,1))+($A38-INDEX('Scratch Data'!$G$5:$G$13,MATCH($A38,'Scratch Data'!$G$5:$G$13,1)))*(INDEX('Scratch Data'!$I$5:$I$13,MIN(MATCH($A38,'Scratch Data'!$G$5:$G$13,1)+1,ROWS('Scratch Data'!$G$5:$G$13)))-INDEX('Scratch Data'!$I$5:$I$13,MATCH($A38,'Scratch Data'!$G$5:$G$13,1)))/MAX(INDEX('Scratch Data'!$G$5:$G$13,MIN(MATCH($A38,'Scratch Data'!$G$5:$G$13,1)+1,ROWS('Scratch Data'!$G$5:$G$13)))-INDEX('Scratch Data'!$G$5:$G$13,MATCH($A38,'Scratch Data'!$G$5:$G$13,1)),0.0001)),0),1),100))+(1-(INDEX('Scratch Data'!$H$5:$H$13,MATCH($A38,'Scratch Data'!$G$5:$G$13,1))+($A38-INDEX('Scratch Data'!$G$5:$G$13,MATCH($A38,'Scratch Data'!$G$5:$G$13,1)))*(INDEX('Scratch Data'!$H$5:$H$13,MIN(MATCH($A38,'Scratch Data'!$G$5:$G$13,1)+1,ROWS('Scratch Data'!$G$5:$G$13)))-INDEX('Scratch Data'!$H$5:$H$13,MATCH($A38,'Scratch Data'!$G$5:$G$13,1)))/MAX(INDEX('Scratch Data'!$G$5:$G$13,MIN(MATCH($A38,'Scratch Data'!$G$5:$G$13,1)+1,ROWS('Scratch Data'!$G$5:$G$13)))-INDEX('Scratch Data'!$G$5:$G$13,MATCH($A38,'Scratch Data'!$G$5:$G$13,1)),0.0001)))*(INDEX('Scratch Data'!$J$5:$J$13,MATCH($A38,'Scratch Data'!$G$5:$G$13,1))+($A38-INDEX('Scratch Data'!$G$5:$G$13,MATCH($A38,'Scratch Data'!$G$5:$G$13,1)))*(INDEX('Scratch Data'!$J$5:$J$13,MIN(MATCH($A38,'Scratch Data'!$G$5:$G$13,1)+1,ROWS('Scratch Data'!$G$5:$G$13)))-INDEX('Scratch Data'!$J$5:$J$13,MATCH($A38,'Scratch Data'!$G$5:$G$13,1)))/MAX(INDEX('Scratch Data'!$G$5:$G$13,MIN(MATCH($A38,'Scratch Data'!$G$5:$G$13,1)+1,ROWS('Scratch Data'!$G$5:$G$13)))-INDEX('Scratch Data'!$G$5:$G$13,MATCH($A38,'Scratch Data'!$G$5:$G$13,1)),0.0001))),(1+Inputs!$B$19*INDEX(Baseline!$B$3:$B$122,MATCH(MIN(MAX(ROUND((MAX($A38-Inputs!$B$20,30))/5,0)*5,5),600),Baseline!$A$3:$A$122,0))+(1-Inputs!$B$19)*INDEX(Baseline!$C$3:$C$122,MATCH(MIN(MAX(ROUND((MAX($A38-Inputs!$B$20,30))/5,0)*5,5),600),Baseline!$A$3:$A$122,0)))),(1+Inputs!$B$19*INDEX(Baseline!$B$3:$B$122,MATCH(MIN(MAX(ROUND((MAX($A38-Inputs!$B$20,30))/5,0)*5,5),600),Baseline!$A$3:$A$122,0))+(1-Inputs!$B$19)*INDEX(Baseline!$C$3:$C$122,MATCH(MIN(MAX(ROUND((MAX($A38-Inputs!$B$20,30))/5,0)*5,5),600),Baseline!$A$3:$A$122,0)))))</f>
        <v>3.3689344</v>
      </c>
      <c r="C38" s="10" t="n">
        <f aca="false">IF($A38&lt;=50,$B38+Inputs!$B$18,IF($A38&lt;=250,MIN((1+(INDEX('Scratch Data'!$H$5:$H$13,MATCH($A38,'Scratch Data'!$G$5:$G$13,1))+($A38-INDEX('Scratch Data'!$G$5:$G$13,MATCH($A38,'Scratch Data'!$G$5:$G$13,1)))*(INDEX('Scratch Data'!$H$5:$H$13,MIN(MATCH($A38,'Scratch Data'!$G$5:$G$13,1)+1,ROWS('Scratch Data'!$G$5:$G$13)))-INDEX('Scratch Data'!$H$5:$H$13,MATCH($A38,'Scratch Data'!$G$5:$G$13,1)))/MAX(INDEX('Scratch Data'!$G$5:$G$13,MIN(MATCH($A38,'Scratch Data'!$G$5:$G$13,1)+1,ROWS('Scratch Data'!$G$5:$G$13)))-INDEX('Scratch Data'!$G$5:$G$13,MATCH($A38,'Scratch Data'!$G$5:$G$13,1)),0.0001))*Inputs!$B$12*INDEX(Baseline!$I$3:$I$102,MIN(MAX(ROUND(Inputs!$B$11*(INDEX('Scratch Data'!$I$5:$I$13,MATCH($A38,'Scratch Data'!$G$5:$G$13,1))+($A38-INDEX('Scratch Data'!$G$5:$G$13,MATCH($A38,'Scratch Data'!$G$5:$G$13,1)))*(INDEX('Scratch Data'!$I$5:$I$13,MIN(MATCH($A38,'Scratch Data'!$G$5:$G$13,1)+1,ROWS('Scratch Data'!$G$5:$G$13)))-INDEX('Scratch Data'!$I$5:$I$13,MATCH($A38,'Scratch Data'!$G$5:$G$13,1)))/MAX(INDEX('Scratch Data'!$G$5:$G$13,MIN(MATCH($A38,'Scratch Data'!$G$5:$G$13,1)+1,ROWS('Scratch Data'!$G$5:$G$13)))-INDEX('Scratch Data'!$G$5:$G$13,MATCH($A38,'Scratch Data'!$G$5:$G$13,1)),0.0001))*Inputs!$B$13,0),1),100))+(1-(INDEX('Scratch Data'!$H$5:$H$13,MATCH($A38,'Scratch Data'!$G$5:$G$13,1))+($A38-INDEX('Scratch Data'!$G$5:$G$13,MATCH($A38,'Scratch Data'!$G$5:$G$13,1)))*(INDEX('Scratch Data'!$H$5:$H$13,MIN(MATCH($A38,'Scratch Data'!$G$5:$G$13,1)+1,ROWS('Scratch Data'!$G$5:$G$13)))-INDEX('Scratch Data'!$H$5:$H$13,MATCH($A38,'Scratch Data'!$G$5:$G$13,1)))/MAX(INDEX('Scratch Data'!$G$5:$G$13,MIN(MATCH($A38,'Scratch Data'!$G$5:$G$13,1)+1,ROWS('Scratch Data'!$G$5:$G$13)))-INDEX('Scratch Data'!$G$5:$G$13,MATCH($A38,'Scratch Data'!$G$5:$G$13,1)),0.0001))*Inputs!$B$12)*((INDEX('Scratch Data'!$J$5:$J$13,MATCH($A38,'Scratch Data'!$G$5:$G$13,1))+($A38-INDEX('Scratch Data'!$G$5:$G$13,MATCH($A38,'Scratch Data'!$G$5:$G$13,1)))*(INDEX('Scratch Data'!$J$5:$J$13,MIN(MATCH($A38,'Scratch Data'!$G$5:$G$13,1)+1,ROWS('Scratch Data'!$G$5:$G$13)))-INDEX('Scratch Data'!$J$5:$J$13,MATCH($A38,'Scratch Data'!$G$5:$G$13,1)))/MAX(INDEX('Scratch Data'!$G$5:$G$13,MIN(MATCH($A38,'Scratch Data'!$G$5:$G$13,1)+1,ROWS('Scratch Data'!$G$5:$G$13)))-INDEX('Scratch Data'!$G$5:$G$13,MATCH($A38,'Scratch Data'!$G$5:$G$13,1)),0.0001))+Inputs!$B$14)),(1+Inputs!$B$19*INDEX(Baseline!$B$3:$B$122,MATCH(MIN(MAX(ROUND((MAX($A38-Inputs!$B$21,30))/5,0)*5,5),600),Baseline!$A$3:$A$122,0))+(1-Inputs!$B$19)*INDEX(Baseline!$C$3:$C$122,MATCH(MIN(MAX(ROUND((MAX($A38-Inputs!$B$21,30))/5,0)*5,5),600),Baseline!$A$3:$A$122,0))+Inputs!$B$14)),(1+Inputs!$B$19*INDEX(Baseline!$B$3:$B$122,MATCH(MIN(MAX(ROUND((MAX($A38-Inputs!$B$21,30))/5,0)*5,5),600),Baseline!$A$3:$A$122,0))+(1-Inputs!$B$19)*INDEX(Baseline!$C$3:$C$122,MATCH(MIN(MAX(ROUND((MAX($A38-Inputs!$B$21,30))/5,0)*5,5),600),Baseline!$A$3:$A$122,0))+Inputs!$B$14)))</f>
        <v>3.52339136</v>
      </c>
      <c r="D38" s="10" t="n">
        <f aca="false">IF($A38&lt;=50,(INDEX('Scratch Data'!$P$5:$P$11,MATCH($A38,'Scratch Data'!$O$5:$O$11,1))+($A38-INDEX('Scratch Data'!$O$5:$O$11,MATCH($A38,'Scratch Data'!$O$5:$O$11,1)))*(INDEX('Scratch Data'!$P$5:$P$11,MIN(MATCH($A38,'Scratch Data'!$O$5:$O$11,1)+1,ROWS('Scratch Data'!$O$5:$O$11)))-INDEX('Scratch Data'!$P$5:$P$11,MATCH($A38,'Scratch Data'!$O$5:$O$11,1)))/MAX(INDEX('Scratch Data'!$O$5:$O$11,MIN(MATCH($A38,'Scratch Data'!$O$5:$O$11,1)+1,ROWS('Scratch Data'!$O$5:$O$11)))-INDEX('Scratch Data'!$O$5:$O$11,MATCH($A38,'Scratch Data'!$O$5:$O$11,1)),0.0001)),IF($A38&lt;=250,MIN((1+(INDEX('Scratch Data'!$H$5:$H$13,MATCH($A38,'Scratch Data'!$G$5:$G$13,1))+($A38-INDEX('Scratch Data'!$G$5:$G$13,MATCH($A38,'Scratch Data'!$G$5:$G$13,1)))*(INDEX('Scratch Data'!$H$5:$H$13,MIN(MATCH($A38,'Scratch Data'!$G$5:$G$13,1)+1,ROWS('Scratch Data'!$G$5:$G$13)))-INDEX('Scratch Data'!$H$5:$H$13,MATCH($A38,'Scratch Data'!$G$5:$G$13,1)))/MAX(INDEX('Scratch Data'!$G$5:$G$13,MIN(MATCH($A38,'Scratch Data'!$G$5:$G$13,1)+1,ROWS('Scratch Data'!$G$5:$G$13)))-INDEX('Scratch Data'!$G$5:$G$13,MATCH($A38,'Scratch Data'!$G$5:$G$13,1)),0.0001))*Inputs!$B$15*INDEX(Baseline!$I$3:$I$102,MIN(MAX(ROUND(Inputs!$B$11*(INDEX('Scratch Data'!$I$5:$I$13,MATCH($A38,'Scratch Data'!$G$5:$G$13,1))+($A38-INDEX('Scratch Data'!$G$5:$G$13,MATCH($A38,'Scratch Data'!$G$5:$G$13,1)))*(INDEX('Scratch Data'!$I$5:$I$13,MIN(MATCH($A38,'Scratch Data'!$G$5:$G$13,1)+1,ROWS('Scratch Data'!$G$5:$G$13)))-INDEX('Scratch Data'!$I$5:$I$13,MATCH($A38,'Scratch Data'!$G$5:$G$13,1)))/MAX(INDEX('Scratch Data'!$G$5:$G$13,MIN(MATCH($A38,'Scratch Data'!$G$5:$G$13,1)+1,ROWS('Scratch Data'!$G$5:$G$13)))-INDEX('Scratch Data'!$G$5:$G$13,MATCH($A38,'Scratch Data'!$G$5:$G$13,1)),0.0001))*Inputs!$B$16,0),1),100))+(1-(INDEX('Scratch Data'!$H$5:$H$13,MATCH($A38,'Scratch Data'!$G$5:$G$13,1))+($A38-INDEX('Scratch Data'!$G$5:$G$13,MATCH($A38,'Scratch Data'!$G$5:$G$13,1)))*(INDEX('Scratch Data'!$H$5:$H$13,MIN(MATCH($A38,'Scratch Data'!$G$5:$G$13,1)+1,ROWS('Scratch Data'!$G$5:$G$13)))-INDEX('Scratch Data'!$H$5:$H$13,MATCH($A38,'Scratch Data'!$G$5:$G$13,1)))/MAX(INDEX('Scratch Data'!$G$5:$G$13,MIN(MATCH($A38,'Scratch Data'!$G$5:$G$13,1)+1,ROWS('Scratch Data'!$G$5:$G$13)))-INDEX('Scratch Data'!$G$5:$G$13,MATCH($A38,'Scratch Data'!$G$5:$G$13,1)),0.0001))*Inputs!$B$15)*((INDEX('Scratch Data'!$J$5:$J$13,MATCH($A38,'Scratch Data'!$G$5:$G$13,1))+($A38-INDEX('Scratch Data'!$G$5:$G$13,MATCH($A38,'Scratch Data'!$G$5:$G$13,1)))*(INDEX('Scratch Data'!$J$5:$J$13,MIN(MATCH($A38,'Scratch Data'!$G$5:$G$13,1)+1,ROWS('Scratch Data'!$G$5:$G$13)))-INDEX('Scratch Data'!$J$5:$J$13,MATCH($A38,'Scratch Data'!$G$5:$G$13,1)))/MAX(INDEX('Scratch Data'!$G$5:$G$13,MIN(MATCH($A38,'Scratch Data'!$G$5:$G$13,1)+1,ROWS('Scratch Data'!$G$5:$G$13)))-INDEX('Scratch Data'!$G$5:$G$13,MATCH($A38,'Scratch Data'!$G$5:$G$13,1)),0.0001))+Inputs!$B$17)),(1+Inputs!$B$19*INDEX(Baseline!$B$3:$B$122,MATCH(MIN(MAX(ROUND((MAX($A38-Inputs!$B$22,30))/5,0)*5,5),600),Baseline!$A$3:$A$122,0))+(1-Inputs!$B$19)*INDEX(Baseline!$C$3:$C$122,MATCH(MIN(MAX(ROUND((MAX($A38-Inputs!$B$22,30))/5,0)*5,5),600),Baseline!$A$3:$A$122,0))+Inputs!$B$17)),(1+Inputs!$B$19*INDEX(Baseline!$B$3:$B$122,MATCH(MIN(MAX(ROUND((MAX($A38-Inputs!$B$22,30))/5,0)*5,5),600),Baseline!$A$3:$A$122,0))+(1-Inputs!$B$19)*INDEX(Baseline!$C$3:$C$122,MATCH(MIN(MAX(ROUND((MAX($A38-Inputs!$B$22,30))/5,0)*5,5),600),Baseline!$A$3:$A$122,0))+Inputs!$B$17)))</f>
        <v>3.64212224</v>
      </c>
      <c r="E38" s="10" t="n">
        <f aca="false">1+Inputs!$B$24+0.6*INDEX(Baseline!$B$3:$B$122,MATCH(MIN(MAX(ROUND((MAX($A38-Inputs!$B$23,15))/5,0)*5,5),600),Baseline!$A$3:$A$122,0))+0.4*INDEX(Baseline!$C$3:$C$122,MATCH(MIN(MAX(ROUND((MAX($A38-Inputs!$B$23,15))/5,0)*5,5),600),Baseline!$A$3:$A$122,0))</f>
        <v>4.113734144</v>
      </c>
      <c r="H38" s="7" t="n">
        <v>36</v>
      </c>
      <c r="I38" s="10" t="n">
        <f aca="false">(INDEX('Scratch Data'!$E$5:$E$22,MATCH($H38,'Scratch Data'!$A$5:$A$22,1))+($H38-INDEX('Scratch Data'!$A$5:$A$22,MATCH($H38,'Scratch Data'!$A$5:$A$22,1)))*(INDEX('Scratch Data'!$E$5:$E$22,MIN(MATCH($H38,'Scratch Data'!$A$5:$A$22,1)+1,ROWS('Scratch Data'!$A$5:$A$22)))-INDEX('Scratch Data'!$E$5:$E$22,MATCH($H38,'Scratch Data'!$A$5:$A$22,1)))/MAX(INDEX('Scratch Data'!$A$5:$A$22,MIN(MATCH($H38,'Scratch Data'!$A$5:$A$22,1)+1,ROWS('Scratch Data'!$A$5:$A$22)))-INDEX('Scratch Data'!$A$5:$A$22,MATCH($H38,'Scratch Data'!$A$5:$A$22,1)),0.0001))</f>
        <v>2.1292</v>
      </c>
    </row>
    <row r="39" customFormat="false" ht="15" hidden="false" customHeight="false" outlineLevel="0" collapsed="false">
      <c r="A39" s="7" t="n">
        <v>185</v>
      </c>
      <c r="B39" s="10" t="n">
        <f aca="false">IF($A39&lt;=50,(INDEX('Scratch Data'!$M$5:$M$12,MATCH($A39,'Scratch Data'!$L$5:$L$12,1))+($A39-INDEX('Scratch Data'!$L$5:$L$12,MATCH($A39,'Scratch Data'!$L$5:$L$12,1)))*(INDEX('Scratch Data'!$M$5:$M$12,MIN(MATCH($A39,'Scratch Data'!$L$5:$L$12,1)+1,ROWS('Scratch Data'!$L$5:$L$12)))-INDEX('Scratch Data'!$M$5:$M$12,MATCH($A39,'Scratch Data'!$L$5:$L$12,1)))/MAX(INDEX('Scratch Data'!$L$5:$L$12,MIN(MATCH($A39,'Scratch Data'!$L$5:$L$12,1)+1,ROWS('Scratch Data'!$L$5:$L$12)))-INDEX('Scratch Data'!$L$5:$L$12,MATCH($A39,'Scratch Data'!$L$5:$L$12,1)),0.0001)),IF($A39&lt;=250,MIN((1+(INDEX('Scratch Data'!$H$5:$H$13,MATCH($A39,'Scratch Data'!$G$5:$G$13,1))+($A39-INDEX('Scratch Data'!$G$5:$G$13,MATCH($A39,'Scratch Data'!$G$5:$G$13,1)))*(INDEX('Scratch Data'!$H$5:$H$13,MIN(MATCH($A39,'Scratch Data'!$G$5:$G$13,1)+1,ROWS('Scratch Data'!$G$5:$G$13)))-INDEX('Scratch Data'!$H$5:$H$13,MATCH($A39,'Scratch Data'!$G$5:$G$13,1)))/MAX(INDEX('Scratch Data'!$G$5:$G$13,MIN(MATCH($A39,'Scratch Data'!$G$5:$G$13,1)+1,ROWS('Scratch Data'!$G$5:$G$13)))-INDEX('Scratch Data'!$G$5:$G$13,MATCH($A39,'Scratch Data'!$G$5:$G$13,1)),0.0001))*INDEX(Baseline!$I$3:$I$102,MIN(MAX(ROUND(Inputs!$B$11*(INDEX('Scratch Data'!$I$5:$I$13,MATCH($A39,'Scratch Data'!$G$5:$G$13,1))+($A39-INDEX('Scratch Data'!$G$5:$G$13,MATCH($A39,'Scratch Data'!$G$5:$G$13,1)))*(INDEX('Scratch Data'!$I$5:$I$13,MIN(MATCH($A39,'Scratch Data'!$G$5:$G$13,1)+1,ROWS('Scratch Data'!$G$5:$G$13)))-INDEX('Scratch Data'!$I$5:$I$13,MATCH($A39,'Scratch Data'!$G$5:$G$13,1)))/MAX(INDEX('Scratch Data'!$G$5:$G$13,MIN(MATCH($A39,'Scratch Data'!$G$5:$G$13,1)+1,ROWS('Scratch Data'!$G$5:$G$13)))-INDEX('Scratch Data'!$G$5:$G$13,MATCH($A39,'Scratch Data'!$G$5:$G$13,1)),0.0001)),0),1),100))+(1-(INDEX('Scratch Data'!$H$5:$H$13,MATCH($A39,'Scratch Data'!$G$5:$G$13,1))+($A39-INDEX('Scratch Data'!$G$5:$G$13,MATCH($A39,'Scratch Data'!$G$5:$G$13,1)))*(INDEX('Scratch Data'!$H$5:$H$13,MIN(MATCH($A39,'Scratch Data'!$G$5:$G$13,1)+1,ROWS('Scratch Data'!$G$5:$G$13)))-INDEX('Scratch Data'!$H$5:$H$13,MATCH($A39,'Scratch Data'!$G$5:$G$13,1)))/MAX(INDEX('Scratch Data'!$G$5:$G$13,MIN(MATCH($A39,'Scratch Data'!$G$5:$G$13,1)+1,ROWS('Scratch Data'!$G$5:$G$13)))-INDEX('Scratch Data'!$G$5:$G$13,MATCH($A39,'Scratch Data'!$G$5:$G$13,1)),0.0001)))*(INDEX('Scratch Data'!$J$5:$J$13,MATCH($A39,'Scratch Data'!$G$5:$G$13,1))+($A39-INDEX('Scratch Data'!$G$5:$G$13,MATCH($A39,'Scratch Data'!$G$5:$G$13,1)))*(INDEX('Scratch Data'!$J$5:$J$13,MIN(MATCH($A39,'Scratch Data'!$G$5:$G$13,1)+1,ROWS('Scratch Data'!$G$5:$G$13)))-INDEX('Scratch Data'!$J$5:$J$13,MATCH($A39,'Scratch Data'!$G$5:$G$13,1)))/MAX(INDEX('Scratch Data'!$G$5:$G$13,MIN(MATCH($A39,'Scratch Data'!$G$5:$G$13,1)+1,ROWS('Scratch Data'!$G$5:$G$13)))-INDEX('Scratch Data'!$G$5:$G$13,MATCH($A39,'Scratch Data'!$G$5:$G$13,1)),0.0001))),(1+Inputs!$B$19*INDEX(Baseline!$B$3:$B$122,MATCH(MIN(MAX(ROUND((MAX($A39-Inputs!$B$20,30))/5,0)*5,5),600),Baseline!$A$3:$A$122,0))+(1-Inputs!$B$19)*INDEX(Baseline!$C$3:$C$122,MATCH(MIN(MAX(ROUND((MAX($A39-Inputs!$B$20,30))/5,0)*5,5),600),Baseline!$A$3:$A$122,0)))),(1+Inputs!$B$19*INDEX(Baseline!$B$3:$B$122,MATCH(MIN(MAX(ROUND((MAX($A39-Inputs!$B$20,30))/5,0)*5,5),600),Baseline!$A$3:$A$122,0))+(1-Inputs!$B$19)*INDEX(Baseline!$C$3:$C$122,MATCH(MIN(MAX(ROUND((MAX($A39-Inputs!$B$20,30))/5,0)*5,5),600),Baseline!$A$3:$A$122,0)))))</f>
        <v>3.3947716</v>
      </c>
      <c r="C39" s="10" t="n">
        <f aca="false">IF($A39&lt;=50,$B39+Inputs!$B$18,IF($A39&lt;=250,MIN((1+(INDEX('Scratch Data'!$H$5:$H$13,MATCH($A39,'Scratch Data'!$G$5:$G$13,1))+($A39-INDEX('Scratch Data'!$G$5:$G$13,MATCH($A39,'Scratch Data'!$G$5:$G$13,1)))*(INDEX('Scratch Data'!$H$5:$H$13,MIN(MATCH($A39,'Scratch Data'!$G$5:$G$13,1)+1,ROWS('Scratch Data'!$G$5:$G$13)))-INDEX('Scratch Data'!$H$5:$H$13,MATCH($A39,'Scratch Data'!$G$5:$G$13,1)))/MAX(INDEX('Scratch Data'!$G$5:$G$13,MIN(MATCH($A39,'Scratch Data'!$G$5:$G$13,1)+1,ROWS('Scratch Data'!$G$5:$G$13)))-INDEX('Scratch Data'!$G$5:$G$13,MATCH($A39,'Scratch Data'!$G$5:$G$13,1)),0.0001))*Inputs!$B$12*INDEX(Baseline!$I$3:$I$102,MIN(MAX(ROUND(Inputs!$B$11*(INDEX('Scratch Data'!$I$5:$I$13,MATCH($A39,'Scratch Data'!$G$5:$G$13,1))+($A39-INDEX('Scratch Data'!$G$5:$G$13,MATCH($A39,'Scratch Data'!$G$5:$G$13,1)))*(INDEX('Scratch Data'!$I$5:$I$13,MIN(MATCH($A39,'Scratch Data'!$G$5:$G$13,1)+1,ROWS('Scratch Data'!$G$5:$G$13)))-INDEX('Scratch Data'!$I$5:$I$13,MATCH($A39,'Scratch Data'!$G$5:$G$13,1)))/MAX(INDEX('Scratch Data'!$G$5:$G$13,MIN(MATCH($A39,'Scratch Data'!$G$5:$G$13,1)+1,ROWS('Scratch Data'!$G$5:$G$13)))-INDEX('Scratch Data'!$G$5:$G$13,MATCH($A39,'Scratch Data'!$G$5:$G$13,1)),0.0001))*Inputs!$B$13,0),1),100))+(1-(INDEX('Scratch Data'!$H$5:$H$13,MATCH($A39,'Scratch Data'!$G$5:$G$13,1))+($A39-INDEX('Scratch Data'!$G$5:$G$13,MATCH($A39,'Scratch Data'!$G$5:$G$13,1)))*(INDEX('Scratch Data'!$H$5:$H$13,MIN(MATCH($A39,'Scratch Data'!$G$5:$G$13,1)+1,ROWS('Scratch Data'!$G$5:$G$13)))-INDEX('Scratch Data'!$H$5:$H$13,MATCH($A39,'Scratch Data'!$G$5:$G$13,1)))/MAX(INDEX('Scratch Data'!$G$5:$G$13,MIN(MATCH($A39,'Scratch Data'!$G$5:$G$13,1)+1,ROWS('Scratch Data'!$G$5:$G$13)))-INDEX('Scratch Data'!$G$5:$G$13,MATCH($A39,'Scratch Data'!$G$5:$G$13,1)),0.0001))*Inputs!$B$12)*((INDEX('Scratch Data'!$J$5:$J$13,MATCH($A39,'Scratch Data'!$G$5:$G$13,1))+($A39-INDEX('Scratch Data'!$G$5:$G$13,MATCH($A39,'Scratch Data'!$G$5:$G$13,1)))*(INDEX('Scratch Data'!$J$5:$J$13,MIN(MATCH($A39,'Scratch Data'!$G$5:$G$13,1)+1,ROWS('Scratch Data'!$G$5:$G$13)))-INDEX('Scratch Data'!$J$5:$J$13,MATCH($A39,'Scratch Data'!$G$5:$G$13,1)))/MAX(INDEX('Scratch Data'!$G$5:$G$13,MIN(MATCH($A39,'Scratch Data'!$G$5:$G$13,1)+1,ROWS('Scratch Data'!$G$5:$G$13)))-INDEX('Scratch Data'!$G$5:$G$13,MATCH($A39,'Scratch Data'!$G$5:$G$13,1)),0.0001))+Inputs!$B$14)),(1+Inputs!$B$19*INDEX(Baseline!$B$3:$B$122,MATCH(MIN(MAX(ROUND((MAX($A39-Inputs!$B$21,30))/5,0)*5,5),600),Baseline!$A$3:$A$122,0))+(1-Inputs!$B$19)*INDEX(Baseline!$C$3:$C$122,MATCH(MIN(MAX(ROUND((MAX($A39-Inputs!$B$21,30))/5,0)*5,5),600),Baseline!$A$3:$A$122,0))+Inputs!$B$14)),(1+Inputs!$B$19*INDEX(Baseline!$B$3:$B$122,MATCH(MIN(MAX(ROUND((MAX($A39-Inputs!$B$21,30))/5,0)*5,5),600),Baseline!$A$3:$A$122,0))+(1-Inputs!$B$19)*INDEX(Baseline!$C$3:$C$122,MATCH(MIN(MAX(ROUND((MAX($A39-Inputs!$B$21,30))/5,0)*5,5),600),Baseline!$A$3:$A$122,0))+Inputs!$B$14)))</f>
        <v>3.54565376</v>
      </c>
      <c r="D39" s="10" t="n">
        <f aca="false">IF($A39&lt;=50,(INDEX('Scratch Data'!$P$5:$P$11,MATCH($A39,'Scratch Data'!$O$5:$O$11,1))+($A39-INDEX('Scratch Data'!$O$5:$O$11,MATCH($A39,'Scratch Data'!$O$5:$O$11,1)))*(INDEX('Scratch Data'!$P$5:$P$11,MIN(MATCH($A39,'Scratch Data'!$O$5:$O$11,1)+1,ROWS('Scratch Data'!$O$5:$O$11)))-INDEX('Scratch Data'!$P$5:$P$11,MATCH($A39,'Scratch Data'!$O$5:$O$11,1)))/MAX(INDEX('Scratch Data'!$O$5:$O$11,MIN(MATCH($A39,'Scratch Data'!$O$5:$O$11,1)+1,ROWS('Scratch Data'!$O$5:$O$11)))-INDEX('Scratch Data'!$O$5:$O$11,MATCH($A39,'Scratch Data'!$O$5:$O$11,1)),0.0001)),IF($A39&lt;=250,MIN((1+(INDEX('Scratch Data'!$H$5:$H$13,MATCH($A39,'Scratch Data'!$G$5:$G$13,1))+($A39-INDEX('Scratch Data'!$G$5:$G$13,MATCH($A39,'Scratch Data'!$G$5:$G$13,1)))*(INDEX('Scratch Data'!$H$5:$H$13,MIN(MATCH($A39,'Scratch Data'!$G$5:$G$13,1)+1,ROWS('Scratch Data'!$G$5:$G$13)))-INDEX('Scratch Data'!$H$5:$H$13,MATCH($A39,'Scratch Data'!$G$5:$G$13,1)))/MAX(INDEX('Scratch Data'!$G$5:$G$13,MIN(MATCH($A39,'Scratch Data'!$G$5:$G$13,1)+1,ROWS('Scratch Data'!$G$5:$G$13)))-INDEX('Scratch Data'!$G$5:$G$13,MATCH($A39,'Scratch Data'!$G$5:$G$13,1)),0.0001))*Inputs!$B$15*INDEX(Baseline!$I$3:$I$102,MIN(MAX(ROUND(Inputs!$B$11*(INDEX('Scratch Data'!$I$5:$I$13,MATCH($A39,'Scratch Data'!$G$5:$G$13,1))+($A39-INDEX('Scratch Data'!$G$5:$G$13,MATCH($A39,'Scratch Data'!$G$5:$G$13,1)))*(INDEX('Scratch Data'!$I$5:$I$13,MIN(MATCH($A39,'Scratch Data'!$G$5:$G$13,1)+1,ROWS('Scratch Data'!$G$5:$G$13)))-INDEX('Scratch Data'!$I$5:$I$13,MATCH($A39,'Scratch Data'!$G$5:$G$13,1)))/MAX(INDEX('Scratch Data'!$G$5:$G$13,MIN(MATCH($A39,'Scratch Data'!$G$5:$G$13,1)+1,ROWS('Scratch Data'!$G$5:$G$13)))-INDEX('Scratch Data'!$G$5:$G$13,MATCH($A39,'Scratch Data'!$G$5:$G$13,1)),0.0001))*Inputs!$B$16,0),1),100))+(1-(INDEX('Scratch Data'!$H$5:$H$13,MATCH($A39,'Scratch Data'!$G$5:$G$13,1))+($A39-INDEX('Scratch Data'!$G$5:$G$13,MATCH($A39,'Scratch Data'!$G$5:$G$13,1)))*(INDEX('Scratch Data'!$H$5:$H$13,MIN(MATCH($A39,'Scratch Data'!$G$5:$G$13,1)+1,ROWS('Scratch Data'!$G$5:$G$13)))-INDEX('Scratch Data'!$H$5:$H$13,MATCH($A39,'Scratch Data'!$G$5:$G$13,1)))/MAX(INDEX('Scratch Data'!$G$5:$G$13,MIN(MATCH($A39,'Scratch Data'!$G$5:$G$13,1)+1,ROWS('Scratch Data'!$G$5:$G$13)))-INDEX('Scratch Data'!$G$5:$G$13,MATCH($A39,'Scratch Data'!$G$5:$G$13,1)),0.0001))*Inputs!$B$15)*((INDEX('Scratch Data'!$J$5:$J$13,MATCH($A39,'Scratch Data'!$G$5:$G$13,1))+($A39-INDEX('Scratch Data'!$G$5:$G$13,MATCH($A39,'Scratch Data'!$G$5:$G$13,1)))*(INDEX('Scratch Data'!$J$5:$J$13,MIN(MATCH($A39,'Scratch Data'!$G$5:$G$13,1)+1,ROWS('Scratch Data'!$G$5:$G$13)))-INDEX('Scratch Data'!$J$5:$J$13,MATCH($A39,'Scratch Data'!$G$5:$G$13,1)))/MAX(INDEX('Scratch Data'!$G$5:$G$13,MIN(MATCH($A39,'Scratch Data'!$G$5:$G$13,1)+1,ROWS('Scratch Data'!$G$5:$G$13)))-INDEX('Scratch Data'!$G$5:$G$13,MATCH($A39,'Scratch Data'!$G$5:$G$13,1)),0.0001))+Inputs!$B$17)),(1+Inputs!$B$19*INDEX(Baseline!$B$3:$B$122,MATCH(MIN(MAX(ROUND((MAX($A39-Inputs!$B$22,30))/5,0)*5,5),600),Baseline!$A$3:$A$122,0))+(1-Inputs!$B$19)*INDEX(Baseline!$C$3:$C$122,MATCH(MIN(MAX(ROUND((MAX($A39-Inputs!$B$22,30))/5,0)*5,5),600),Baseline!$A$3:$A$122,0))+Inputs!$B$17)),(1+Inputs!$B$19*INDEX(Baseline!$B$3:$B$122,MATCH(MIN(MAX(ROUND((MAX($A39-Inputs!$B$22,30))/5,0)*5,5),600),Baseline!$A$3:$A$122,0))+(1-Inputs!$B$19)*INDEX(Baseline!$C$3:$C$122,MATCH(MIN(MAX(ROUND((MAX($A39-Inputs!$B$22,30))/5,0)*5,5),600),Baseline!$A$3:$A$122,0))+Inputs!$B$17)))</f>
        <v>3.6638861</v>
      </c>
      <c r="E39" s="10" t="n">
        <f aca="false">1+Inputs!$B$24+0.6*INDEX(Baseline!$B$3:$B$122,MATCH(MIN(MAX(ROUND((MAX($A39-Inputs!$B$23,15))/5,0)*5,5),600),Baseline!$A$3:$A$122,0))+0.4*INDEX(Baseline!$C$3:$C$122,MATCH(MIN(MAX(ROUND((MAX($A39-Inputs!$B$23,15))/5,0)*5,5),600),Baseline!$A$3:$A$122,0))</f>
        <v>4.136335328</v>
      </c>
      <c r="H39" s="7" t="n">
        <v>37</v>
      </c>
      <c r="I39" s="10" t="n">
        <f aca="false">(INDEX('Scratch Data'!$E$5:$E$22,MATCH($H39,'Scratch Data'!$A$5:$A$22,1))+($H39-INDEX('Scratch Data'!$A$5:$A$22,MATCH($H39,'Scratch Data'!$A$5:$A$22,1)))*(INDEX('Scratch Data'!$E$5:$E$22,MIN(MATCH($H39,'Scratch Data'!$A$5:$A$22,1)+1,ROWS('Scratch Data'!$A$5:$A$22)))-INDEX('Scratch Data'!$E$5:$E$22,MATCH($H39,'Scratch Data'!$A$5:$A$22,1)))/MAX(INDEX('Scratch Data'!$A$5:$A$22,MIN(MATCH($H39,'Scratch Data'!$A$5:$A$22,1)+1,ROWS('Scratch Data'!$A$5:$A$22)))-INDEX('Scratch Data'!$A$5:$A$22,MATCH($H39,'Scratch Data'!$A$5:$A$22,1)),0.0001))</f>
        <v>2.1394</v>
      </c>
    </row>
    <row r="40" customFormat="false" ht="15" hidden="false" customHeight="false" outlineLevel="0" collapsed="false">
      <c r="A40" s="7" t="n">
        <v>190</v>
      </c>
      <c r="B40" s="10" t="n">
        <f aca="false">IF($A40&lt;=50,(INDEX('Scratch Data'!$M$5:$M$12,MATCH($A40,'Scratch Data'!$L$5:$L$12,1))+($A40-INDEX('Scratch Data'!$L$5:$L$12,MATCH($A40,'Scratch Data'!$L$5:$L$12,1)))*(INDEX('Scratch Data'!$M$5:$M$12,MIN(MATCH($A40,'Scratch Data'!$L$5:$L$12,1)+1,ROWS('Scratch Data'!$L$5:$L$12)))-INDEX('Scratch Data'!$M$5:$M$12,MATCH($A40,'Scratch Data'!$L$5:$L$12,1)))/MAX(INDEX('Scratch Data'!$L$5:$L$12,MIN(MATCH($A40,'Scratch Data'!$L$5:$L$12,1)+1,ROWS('Scratch Data'!$L$5:$L$12)))-INDEX('Scratch Data'!$L$5:$L$12,MATCH($A40,'Scratch Data'!$L$5:$L$12,1)),0.0001)),IF($A40&lt;=250,MIN((1+(INDEX('Scratch Data'!$H$5:$H$13,MATCH($A40,'Scratch Data'!$G$5:$G$13,1))+($A40-INDEX('Scratch Data'!$G$5:$G$13,MATCH($A40,'Scratch Data'!$G$5:$G$13,1)))*(INDEX('Scratch Data'!$H$5:$H$13,MIN(MATCH($A40,'Scratch Data'!$G$5:$G$13,1)+1,ROWS('Scratch Data'!$G$5:$G$13)))-INDEX('Scratch Data'!$H$5:$H$13,MATCH($A40,'Scratch Data'!$G$5:$G$13,1)))/MAX(INDEX('Scratch Data'!$G$5:$G$13,MIN(MATCH($A40,'Scratch Data'!$G$5:$G$13,1)+1,ROWS('Scratch Data'!$G$5:$G$13)))-INDEX('Scratch Data'!$G$5:$G$13,MATCH($A40,'Scratch Data'!$G$5:$G$13,1)),0.0001))*INDEX(Baseline!$I$3:$I$102,MIN(MAX(ROUND(Inputs!$B$11*(INDEX('Scratch Data'!$I$5:$I$13,MATCH($A40,'Scratch Data'!$G$5:$G$13,1))+($A40-INDEX('Scratch Data'!$G$5:$G$13,MATCH($A40,'Scratch Data'!$G$5:$G$13,1)))*(INDEX('Scratch Data'!$I$5:$I$13,MIN(MATCH($A40,'Scratch Data'!$G$5:$G$13,1)+1,ROWS('Scratch Data'!$G$5:$G$13)))-INDEX('Scratch Data'!$I$5:$I$13,MATCH($A40,'Scratch Data'!$G$5:$G$13,1)))/MAX(INDEX('Scratch Data'!$G$5:$G$13,MIN(MATCH($A40,'Scratch Data'!$G$5:$G$13,1)+1,ROWS('Scratch Data'!$G$5:$G$13)))-INDEX('Scratch Data'!$G$5:$G$13,MATCH($A40,'Scratch Data'!$G$5:$G$13,1)),0.0001)),0),1),100))+(1-(INDEX('Scratch Data'!$H$5:$H$13,MATCH($A40,'Scratch Data'!$G$5:$G$13,1))+($A40-INDEX('Scratch Data'!$G$5:$G$13,MATCH($A40,'Scratch Data'!$G$5:$G$13,1)))*(INDEX('Scratch Data'!$H$5:$H$13,MIN(MATCH($A40,'Scratch Data'!$G$5:$G$13,1)+1,ROWS('Scratch Data'!$G$5:$G$13)))-INDEX('Scratch Data'!$H$5:$H$13,MATCH($A40,'Scratch Data'!$G$5:$G$13,1)))/MAX(INDEX('Scratch Data'!$G$5:$G$13,MIN(MATCH($A40,'Scratch Data'!$G$5:$G$13,1)+1,ROWS('Scratch Data'!$G$5:$G$13)))-INDEX('Scratch Data'!$G$5:$G$13,MATCH($A40,'Scratch Data'!$G$5:$G$13,1)),0.0001)))*(INDEX('Scratch Data'!$J$5:$J$13,MATCH($A40,'Scratch Data'!$G$5:$G$13,1))+($A40-INDEX('Scratch Data'!$G$5:$G$13,MATCH($A40,'Scratch Data'!$G$5:$G$13,1)))*(INDEX('Scratch Data'!$J$5:$J$13,MIN(MATCH($A40,'Scratch Data'!$G$5:$G$13,1)+1,ROWS('Scratch Data'!$G$5:$G$13)))-INDEX('Scratch Data'!$J$5:$J$13,MATCH($A40,'Scratch Data'!$G$5:$G$13,1)))/MAX(INDEX('Scratch Data'!$G$5:$G$13,MIN(MATCH($A40,'Scratch Data'!$G$5:$G$13,1)+1,ROWS('Scratch Data'!$G$5:$G$13)))-INDEX('Scratch Data'!$G$5:$G$13,MATCH($A40,'Scratch Data'!$G$5:$G$13,1)),0.0001))),(1+Inputs!$B$19*INDEX(Baseline!$B$3:$B$122,MATCH(MIN(MAX(ROUND((MAX($A40-Inputs!$B$20,30))/5,0)*5,5),600),Baseline!$A$3:$A$122,0))+(1-Inputs!$B$19)*INDEX(Baseline!$C$3:$C$122,MATCH(MIN(MAX(ROUND((MAX($A40-Inputs!$B$20,30))/5,0)*5,5),600),Baseline!$A$3:$A$122,0)))),(1+Inputs!$B$19*INDEX(Baseline!$B$3:$B$122,MATCH(MIN(MAX(ROUND((MAX($A40-Inputs!$B$20,30))/5,0)*5,5),600),Baseline!$A$3:$A$122,0))+(1-Inputs!$B$19)*INDEX(Baseline!$C$3:$C$122,MATCH(MIN(MAX(ROUND((MAX($A40-Inputs!$B$20,30))/5,0)*5,5),600),Baseline!$A$3:$A$122,0)))))</f>
        <v>3.4206016</v>
      </c>
      <c r="C40" s="10" t="n">
        <f aca="false">IF($A40&lt;=50,$B40+Inputs!$B$18,IF($A40&lt;=250,MIN((1+(INDEX('Scratch Data'!$H$5:$H$13,MATCH($A40,'Scratch Data'!$G$5:$G$13,1))+($A40-INDEX('Scratch Data'!$G$5:$G$13,MATCH($A40,'Scratch Data'!$G$5:$G$13,1)))*(INDEX('Scratch Data'!$H$5:$H$13,MIN(MATCH($A40,'Scratch Data'!$G$5:$G$13,1)+1,ROWS('Scratch Data'!$G$5:$G$13)))-INDEX('Scratch Data'!$H$5:$H$13,MATCH($A40,'Scratch Data'!$G$5:$G$13,1)))/MAX(INDEX('Scratch Data'!$G$5:$G$13,MIN(MATCH($A40,'Scratch Data'!$G$5:$G$13,1)+1,ROWS('Scratch Data'!$G$5:$G$13)))-INDEX('Scratch Data'!$G$5:$G$13,MATCH($A40,'Scratch Data'!$G$5:$G$13,1)),0.0001))*Inputs!$B$12*INDEX(Baseline!$I$3:$I$102,MIN(MAX(ROUND(Inputs!$B$11*(INDEX('Scratch Data'!$I$5:$I$13,MATCH($A40,'Scratch Data'!$G$5:$G$13,1))+($A40-INDEX('Scratch Data'!$G$5:$G$13,MATCH($A40,'Scratch Data'!$G$5:$G$13,1)))*(INDEX('Scratch Data'!$I$5:$I$13,MIN(MATCH($A40,'Scratch Data'!$G$5:$G$13,1)+1,ROWS('Scratch Data'!$G$5:$G$13)))-INDEX('Scratch Data'!$I$5:$I$13,MATCH($A40,'Scratch Data'!$G$5:$G$13,1)))/MAX(INDEX('Scratch Data'!$G$5:$G$13,MIN(MATCH($A40,'Scratch Data'!$G$5:$G$13,1)+1,ROWS('Scratch Data'!$G$5:$G$13)))-INDEX('Scratch Data'!$G$5:$G$13,MATCH($A40,'Scratch Data'!$G$5:$G$13,1)),0.0001))*Inputs!$B$13,0),1),100))+(1-(INDEX('Scratch Data'!$H$5:$H$13,MATCH($A40,'Scratch Data'!$G$5:$G$13,1))+($A40-INDEX('Scratch Data'!$G$5:$G$13,MATCH($A40,'Scratch Data'!$G$5:$G$13,1)))*(INDEX('Scratch Data'!$H$5:$H$13,MIN(MATCH($A40,'Scratch Data'!$G$5:$G$13,1)+1,ROWS('Scratch Data'!$G$5:$G$13)))-INDEX('Scratch Data'!$H$5:$H$13,MATCH($A40,'Scratch Data'!$G$5:$G$13,1)))/MAX(INDEX('Scratch Data'!$G$5:$G$13,MIN(MATCH($A40,'Scratch Data'!$G$5:$G$13,1)+1,ROWS('Scratch Data'!$G$5:$G$13)))-INDEX('Scratch Data'!$G$5:$G$13,MATCH($A40,'Scratch Data'!$G$5:$G$13,1)),0.0001))*Inputs!$B$12)*((INDEX('Scratch Data'!$J$5:$J$13,MATCH($A40,'Scratch Data'!$G$5:$G$13,1))+($A40-INDEX('Scratch Data'!$G$5:$G$13,MATCH($A40,'Scratch Data'!$G$5:$G$13,1)))*(INDEX('Scratch Data'!$J$5:$J$13,MIN(MATCH($A40,'Scratch Data'!$G$5:$G$13,1)+1,ROWS('Scratch Data'!$G$5:$G$13)))-INDEX('Scratch Data'!$J$5:$J$13,MATCH($A40,'Scratch Data'!$G$5:$G$13,1)))/MAX(INDEX('Scratch Data'!$G$5:$G$13,MIN(MATCH($A40,'Scratch Data'!$G$5:$G$13,1)+1,ROWS('Scratch Data'!$G$5:$G$13)))-INDEX('Scratch Data'!$G$5:$G$13,MATCH($A40,'Scratch Data'!$G$5:$G$13,1)),0.0001))+Inputs!$B$14)),(1+Inputs!$B$19*INDEX(Baseline!$B$3:$B$122,MATCH(MIN(MAX(ROUND((MAX($A40-Inputs!$B$21,30))/5,0)*5,5),600),Baseline!$A$3:$A$122,0))+(1-Inputs!$B$19)*INDEX(Baseline!$C$3:$C$122,MATCH(MIN(MAX(ROUND((MAX($A40-Inputs!$B$21,30))/5,0)*5,5),600),Baseline!$A$3:$A$122,0))+Inputs!$B$14)),(1+Inputs!$B$19*INDEX(Baseline!$B$3:$B$122,MATCH(MIN(MAX(ROUND((MAX($A40-Inputs!$B$21,30))/5,0)*5,5),600),Baseline!$A$3:$A$122,0))+(1-Inputs!$B$19)*INDEX(Baseline!$C$3:$C$122,MATCH(MIN(MAX(ROUND((MAX($A40-Inputs!$B$21,30))/5,0)*5,5),600),Baseline!$A$3:$A$122,0))+Inputs!$B$14)))</f>
        <v>3.5680256</v>
      </c>
      <c r="D40" s="10" t="n">
        <f aca="false">IF($A40&lt;=50,(INDEX('Scratch Data'!$P$5:$P$11,MATCH($A40,'Scratch Data'!$O$5:$O$11,1))+($A40-INDEX('Scratch Data'!$O$5:$O$11,MATCH($A40,'Scratch Data'!$O$5:$O$11,1)))*(INDEX('Scratch Data'!$P$5:$P$11,MIN(MATCH($A40,'Scratch Data'!$O$5:$O$11,1)+1,ROWS('Scratch Data'!$O$5:$O$11)))-INDEX('Scratch Data'!$P$5:$P$11,MATCH($A40,'Scratch Data'!$O$5:$O$11,1)))/MAX(INDEX('Scratch Data'!$O$5:$O$11,MIN(MATCH($A40,'Scratch Data'!$O$5:$O$11,1)+1,ROWS('Scratch Data'!$O$5:$O$11)))-INDEX('Scratch Data'!$O$5:$O$11,MATCH($A40,'Scratch Data'!$O$5:$O$11,1)),0.0001)),IF($A40&lt;=250,MIN((1+(INDEX('Scratch Data'!$H$5:$H$13,MATCH($A40,'Scratch Data'!$G$5:$G$13,1))+($A40-INDEX('Scratch Data'!$G$5:$G$13,MATCH($A40,'Scratch Data'!$G$5:$G$13,1)))*(INDEX('Scratch Data'!$H$5:$H$13,MIN(MATCH($A40,'Scratch Data'!$G$5:$G$13,1)+1,ROWS('Scratch Data'!$G$5:$G$13)))-INDEX('Scratch Data'!$H$5:$H$13,MATCH($A40,'Scratch Data'!$G$5:$G$13,1)))/MAX(INDEX('Scratch Data'!$G$5:$G$13,MIN(MATCH($A40,'Scratch Data'!$G$5:$G$13,1)+1,ROWS('Scratch Data'!$G$5:$G$13)))-INDEX('Scratch Data'!$G$5:$G$13,MATCH($A40,'Scratch Data'!$G$5:$G$13,1)),0.0001))*Inputs!$B$15*INDEX(Baseline!$I$3:$I$102,MIN(MAX(ROUND(Inputs!$B$11*(INDEX('Scratch Data'!$I$5:$I$13,MATCH($A40,'Scratch Data'!$G$5:$G$13,1))+($A40-INDEX('Scratch Data'!$G$5:$G$13,MATCH($A40,'Scratch Data'!$G$5:$G$13,1)))*(INDEX('Scratch Data'!$I$5:$I$13,MIN(MATCH($A40,'Scratch Data'!$G$5:$G$13,1)+1,ROWS('Scratch Data'!$G$5:$G$13)))-INDEX('Scratch Data'!$I$5:$I$13,MATCH($A40,'Scratch Data'!$G$5:$G$13,1)))/MAX(INDEX('Scratch Data'!$G$5:$G$13,MIN(MATCH($A40,'Scratch Data'!$G$5:$G$13,1)+1,ROWS('Scratch Data'!$G$5:$G$13)))-INDEX('Scratch Data'!$G$5:$G$13,MATCH($A40,'Scratch Data'!$G$5:$G$13,1)),0.0001))*Inputs!$B$16,0),1),100))+(1-(INDEX('Scratch Data'!$H$5:$H$13,MATCH($A40,'Scratch Data'!$G$5:$G$13,1))+($A40-INDEX('Scratch Data'!$G$5:$G$13,MATCH($A40,'Scratch Data'!$G$5:$G$13,1)))*(INDEX('Scratch Data'!$H$5:$H$13,MIN(MATCH($A40,'Scratch Data'!$G$5:$G$13,1)+1,ROWS('Scratch Data'!$G$5:$G$13)))-INDEX('Scratch Data'!$H$5:$H$13,MATCH($A40,'Scratch Data'!$G$5:$G$13,1)))/MAX(INDEX('Scratch Data'!$G$5:$G$13,MIN(MATCH($A40,'Scratch Data'!$G$5:$G$13,1)+1,ROWS('Scratch Data'!$G$5:$G$13)))-INDEX('Scratch Data'!$G$5:$G$13,MATCH($A40,'Scratch Data'!$G$5:$G$13,1)),0.0001))*Inputs!$B$15)*((INDEX('Scratch Data'!$J$5:$J$13,MATCH($A40,'Scratch Data'!$G$5:$G$13,1))+($A40-INDEX('Scratch Data'!$G$5:$G$13,MATCH($A40,'Scratch Data'!$G$5:$G$13,1)))*(INDEX('Scratch Data'!$J$5:$J$13,MIN(MATCH($A40,'Scratch Data'!$G$5:$G$13,1)+1,ROWS('Scratch Data'!$G$5:$G$13)))-INDEX('Scratch Data'!$J$5:$J$13,MATCH($A40,'Scratch Data'!$G$5:$G$13,1)))/MAX(INDEX('Scratch Data'!$G$5:$G$13,MIN(MATCH($A40,'Scratch Data'!$G$5:$G$13,1)+1,ROWS('Scratch Data'!$G$5:$G$13)))-INDEX('Scratch Data'!$G$5:$G$13,MATCH($A40,'Scratch Data'!$G$5:$G$13,1)),0.0001))+Inputs!$B$17)),(1+Inputs!$B$19*INDEX(Baseline!$B$3:$B$122,MATCH(MIN(MAX(ROUND((MAX($A40-Inputs!$B$22,30))/5,0)*5,5),600),Baseline!$A$3:$A$122,0))+(1-Inputs!$B$19)*INDEX(Baseline!$C$3:$C$122,MATCH(MIN(MAX(ROUND((MAX($A40-Inputs!$B$22,30))/5,0)*5,5),600),Baseline!$A$3:$A$122,0))+Inputs!$B$17)),(1+Inputs!$B$19*INDEX(Baseline!$B$3:$B$122,MATCH(MIN(MAX(ROUND((MAX($A40-Inputs!$B$22,30))/5,0)*5,5),600),Baseline!$A$3:$A$122,0))+(1-Inputs!$B$19)*INDEX(Baseline!$C$3:$C$122,MATCH(MIN(MAX(ROUND((MAX($A40-Inputs!$B$22,30))/5,0)*5,5),600),Baseline!$A$3:$A$122,0))+Inputs!$B$17)))</f>
        <v>3.68573888</v>
      </c>
      <c r="E40" s="10" t="n">
        <f aca="false">1+Inputs!$B$24+0.6*INDEX(Baseline!$B$3:$B$122,MATCH(MIN(MAX(ROUND((MAX($A40-Inputs!$B$23,15))/5,0)*5,5),600),Baseline!$A$3:$A$122,0))+0.4*INDEX(Baseline!$C$3:$C$122,MATCH(MIN(MAX(ROUND((MAX($A40-Inputs!$B$23,15))/5,0)*5,5),600),Baseline!$A$3:$A$122,0))</f>
        <v>4.163394624</v>
      </c>
      <c r="H40" s="7" t="n">
        <v>38</v>
      </c>
      <c r="I40" s="10" t="n">
        <f aca="false">(INDEX('Scratch Data'!$E$5:$E$22,MATCH($H40,'Scratch Data'!$A$5:$A$22,1))+($H40-INDEX('Scratch Data'!$A$5:$A$22,MATCH($H40,'Scratch Data'!$A$5:$A$22,1)))*(INDEX('Scratch Data'!$E$5:$E$22,MIN(MATCH($H40,'Scratch Data'!$A$5:$A$22,1)+1,ROWS('Scratch Data'!$A$5:$A$22)))-INDEX('Scratch Data'!$E$5:$E$22,MATCH($H40,'Scratch Data'!$A$5:$A$22,1)))/MAX(INDEX('Scratch Data'!$A$5:$A$22,MIN(MATCH($H40,'Scratch Data'!$A$5:$A$22,1)+1,ROWS('Scratch Data'!$A$5:$A$22)))-INDEX('Scratch Data'!$A$5:$A$22,MATCH($H40,'Scratch Data'!$A$5:$A$22,1)),0.0001))</f>
        <v>2.1496</v>
      </c>
    </row>
    <row r="41" customFormat="false" ht="15" hidden="false" customHeight="false" outlineLevel="0" collapsed="false">
      <c r="A41" s="7" t="n">
        <v>195</v>
      </c>
      <c r="B41" s="10" t="n">
        <f aca="false">IF($A41&lt;=50,(INDEX('Scratch Data'!$M$5:$M$12,MATCH($A41,'Scratch Data'!$L$5:$L$12,1))+($A41-INDEX('Scratch Data'!$L$5:$L$12,MATCH($A41,'Scratch Data'!$L$5:$L$12,1)))*(INDEX('Scratch Data'!$M$5:$M$12,MIN(MATCH($A41,'Scratch Data'!$L$5:$L$12,1)+1,ROWS('Scratch Data'!$L$5:$L$12)))-INDEX('Scratch Data'!$M$5:$M$12,MATCH($A41,'Scratch Data'!$L$5:$L$12,1)))/MAX(INDEX('Scratch Data'!$L$5:$L$12,MIN(MATCH($A41,'Scratch Data'!$L$5:$L$12,1)+1,ROWS('Scratch Data'!$L$5:$L$12)))-INDEX('Scratch Data'!$L$5:$L$12,MATCH($A41,'Scratch Data'!$L$5:$L$12,1)),0.0001)),IF($A41&lt;=250,MIN((1+(INDEX('Scratch Data'!$H$5:$H$13,MATCH($A41,'Scratch Data'!$G$5:$G$13,1))+($A41-INDEX('Scratch Data'!$G$5:$G$13,MATCH($A41,'Scratch Data'!$G$5:$G$13,1)))*(INDEX('Scratch Data'!$H$5:$H$13,MIN(MATCH($A41,'Scratch Data'!$G$5:$G$13,1)+1,ROWS('Scratch Data'!$G$5:$G$13)))-INDEX('Scratch Data'!$H$5:$H$13,MATCH($A41,'Scratch Data'!$G$5:$G$13,1)))/MAX(INDEX('Scratch Data'!$G$5:$G$13,MIN(MATCH($A41,'Scratch Data'!$G$5:$G$13,1)+1,ROWS('Scratch Data'!$G$5:$G$13)))-INDEX('Scratch Data'!$G$5:$G$13,MATCH($A41,'Scratch Data'!$G$5:$G$13,1)),0.0001))*INDEX(Baseline!$I$3:$I$102,MIN(MAX(ROUND(Inputs!$B$11*(INDEX('Scratch Data'!$I$5:$I$13,MATCH($A41,'Scratch Data'!$G$5:$G$13,1))+($A41-INDEX('Scratch Data'!$G$5:$G$13,MATCH($A41,'Scratch Data'!$G$5:$G$13,1)))*(INDEX('Scratch Data'!$I$5:$I$13,MIN(MATCH($A41,'Scratch Data'!$G$5:$G$13,1)+1,ROWS('Scratch Data'!$G$5:$G$13)))-INDEX('Scratch Data'!$I$5:$I$13,MATCH($A41,'Scratch Data'!$G$5:$G$13,1)))/MAX(INDEX('Scratch Data'!$G$5:$G$13,MIN(MATCH($A41,'Scratch Data'!$G$5:$G$13,1)+1,ROWS('Scratch Data'!$G$5:$G$13)))-INDEX('Scratch Data'!$G$5:$G$13,MATCH($A41,'Scratch Data'!$G$5:$G$13,1)),0.0001)),0),1),100))+(1-(INDEX('Scratch Data'!$H$5:$H$13,MATCH($A41,'Scratch Data'!$G$5:$G$13,1))+($A41-INDEX('Scratch Data'!$G$5:$G$13,MATCH($A41,'Scratch Data'!$G$5:$G$13,1)))*(INDEX('Scratch Data'!$H$5:$H$13,MIN(MATCH($A41,'Scratch Data'!$G$5:$G$13,1)+1,ROWS('Scratch Data'!$G$5:$G$13)))-INDEX('Scratch Data'!$H$5:$H$13,MATCH($A41,'Scratch Data'!$G$5:$G$13,1)))/MAX(INDEX('Scratch Data'!$G$5:$G$13,MIN(MATCH($A41,'Scratch Data'!$G$5:$G$13,1)+1,ROWS('Scratch Data'!$G$5:$G$13)))-INDEX('Scratch Data'!$G$5:$G$13,MATCH($A41,'Scratch Data'!$G$5:$G$13,1)),0.0001)))*(INDEX('Scratch Data'!$J$5:$J$13,MATCH($A41,'Scratch Data'!$G$5:$G$13,1))+($A41-INDEX('Scratch Data'!$G$5:$G$13,MATCH($A41,'Scratch Data'!$G$5:$G$13,1)))*(INDEX('Scratch Data'!$J$5:$J$13,MIN(MATCH($A41,'Scratch Data'!$G$5:$G$13,1)+1,ROWS('Scratch Data'!$G$5:$G$13)))-INDEX('Scratch Data'!$J$5:$J$13,MATCH($A41,'Scratch Data'!$G$5:$G$13,1)))/MAX(INDEX('Scratch Data'!$G$5:$G$13,MIN(MATCH($A41,'Scratch Data'!$G$5:$G$13,1)+1,ROWS('Scratch Data'!$G$5:$G$13)))-INDEX('Scratch Data'!$G$5:$G$13,MATCH($A41,'Scratch Data'!$G$5:$G$13,1)),0.0001))),(1+Inputs!$B$19*INDEX(Baseline!$B$3:$B$122,MATCH(MIN(MAX(ROUND((MAX($A41-Inputs!$B$20,30))/5,0)*5,5),600),Baseline!$A$3:$A$122,0))+(1-Inputs!$B$19)*INDEX(Baseline!$C$3:$C$122,MATCH(MIN(MAX(ROUND((MAX($A41-Inputs!$B$20,30))/5,0)*5,5),600),Baseline!$A$3:$A$122,0)))),(1+Inputs!$B$19*INDEX(Baseline!$B$3:$B$122,MATCH(MIN(MAX(ROUND((MAX($A41-Inputs!$B$20,30))/5,0)*5,5),600),Baseline!$A$3:$A$122,0))+(1-Inputs!$B$19)*INDEX(Baseline!$C$3:$C$122,MATCH(MIN(MAX(ROUND((MAX($A41-Inputs!$B$20,30))/5,0)*5,5),600),Baseline!$A$3:$A$122,0)))))</f>
        <v>3.4464244</v>
      </c>
      <c r="C41" s="10" t="n">
        <f aca="false">IF($A41&lt;=50,$B41+Inputs!$B$18,IF($A41&lt;=250,MIN((1+(INDEX('Scratch Data'!$H$5:$H$13,MATCH($A41,'Scratch Data'!$G$5:$G$13,1))+($A41-INDEX('Scratch Data'!$G$5:$G$13,MATCH($A41,'Scratch Data'!$G$5:$G$13,1)))*(INDEX('Scratch Data'!$H$5:$H$13,MIN(MATCH($A41,'Scratch Data'!$G$5:$G$13,1)+1,ROWS('Scratch Data'!$G$5:$G$13)))-INDEX('Scratch Data'!$H$5:$H$13,MATCH($A41,'Scratch Data'!$G$5:$G$13,1)))/MAX(INDEX('Scratch Data'!$G$5:$G$13,MIN(MATCH($A41,'Scratch Data'!$G$5:$G$13,1)+1,ROWS('Scratch Data'!$G$5:$G$13)))-INDEX('Scratch Data'!$G$5:$G$13,MATCH($A41,'Scratch Data'!$G$5:$G$13,1)),0.0001))*Inputs!$B$12*INDEX(Baseline!$I$3:$I$102,MIN(MAX(ROUND(Inputs!$B$11*(INDEX('Scratch Data'!$I$5:$I$13,MATCH($A41,'Scratch Data'!$G$5:$G$13,1))+($A41-INDEX('Scratch Data'!$G$5:$G$13,MATCH($A41,'Scratch Data'!$G$5:$G$13,1)))*(INDEX('Scratch Data'!$I$5:$I$13,MIN(MATCH($A41,'Scratch Data'!$G$5:$G$13,1)+1,ROWS('Scratch Data'!$G$5:$G$13)))-INDEX('Scratch Data'!$I$5:$I$13,MATCH($A41,'Scratch Data'!$G$5:$G$13,1)))/MAX(INDEX('Scratch Data'!$G$5:$G$13,MIN(MATCH($A41,'Scratch Data'!$G$5:$G$13,1)+1,ROWS('Scratch Data'!$G$5:$G$13)))-INDEX('Scratch Data'!$G$5:$G$13,MATCH($A41,'Scratch Data'!$G$5:$G$13,1)),0.0001))*Inputs!$B$13,0),1),100))+(1-(INDEX('Scratch Data'!$H$5:$H$13,MATCH($A41,'Scratch Data'!$G$5:$G$13,1))+($A41-INDEX('Scratch Data'!$G$5:$G$13,MATCH($A41,'Scratch Data'!$G$5:$G$13,1)))*(INDEX('Scratch Data'!$H$5:$H$13,MIN(MATCH($A41,'Scratch Data'!$G$5:$G$13,1)+1,ROWS('Scratch Data'!$G$5:$G$13)))-INDEX('Scratch Data'!$H$5:$H$13,MATCH($A41,'Scratch Data'!$G$5:$G$13,1)))/MAX(INDEX('Scratch Data'!$G$5:$G$13,MIN(MATCH($A41,'Scratch Data'!$G$5:$G$13,1)+1,ROWS('Scratch Data'!$G$5:$G$13)))-INDEX('Scratch Data'!$G$5:$G$13,MATCH($A41,'Scratch Data'!$G$5:$G$13,1)),0.0001))*Inputs!$B$12)*((INDEX('Scratch Data'!$J$5:$J$13,MATCH($A41,'Scratch Data'!$G$5:$G$13,1))+($A41-INDEX('Scratch Data'!$G$5:$G$13,MATCH($A41,'Scratch Data'!$G$5:$G$13,1)))*(INDEX('Scratch Data'!$J$5:$J$13,MIN(MATCH($A41,'Scratch Data'!$G$5:$G$13,1)+1,ROWS('Scratch Data'!$G$5:$G$13)))-INDEX('Scratch Data'!$J$5:$J$13,MATCH($A41,'Scratch Data'!$G$5:$G$13,1)))/MAX(INDEX('Scratch Data'!$G$5:$G$13,MIN(MATCH($A41,'Scratch Data'!$G$5:$G$13,1)+1,ROWS('Scratch Data'!$G$5:$G$13)))-INDEX('Scratch Data'!$G$5:$G$13,MATCH($A41,'Scratch Data'!$G$5:$G$13,1)),0.0001))+Inputs!$B$14)),(1+Inputs!$B$19*INDEX(Baseline!$B$3:$B$122,MATCH(MIN(MAX(ROUND((MAX($A41-Inputs!$B$21,30))/5,0)*5,5),600),Baseline!$A$3:$A$122,0))+(1-Inputs!$B$19)*INDEX(Baseline!$C$3:$C$122,MATCH(MIN(MAX(ROUND((MAX($A41-Inputs!$B$21,30))/5,0)*5,5),600),Baseline!$A$3:$A$122,0))+Inputs!$B$14)),(1+Inputs!$B$19*INDEX(Baseline!$B$3:$B$122,MATCH(MIN(MAX(ROUND((MAX($A41-Inputs!$B$21,30))/5,0)*5,5),600),Baseline!$A$3:$A$122,0))+(1-Inputs!$B$19)*INDEX(Baseline!$C$3:$C$122,MATCH(MIN(MAX(ROUND((MAX($A41-Inputs!$B$21,30))/5,0)*5,5),600),Baseline!$A$3:$A$122,0))+Inputs!$B$14)))</f>
        <v>3.59050688</v>
      </c>
      <c r="D41" s="10" t="n">
        <f aca="false">IF($A41&lt;=50,(INDEX('Scratch Data'!$P$5:$P$11,MATCH($A41,'Scratch Data'!$O$5:$O$11,1))+($A41-INDEX('Scratch Data'!$O$5:$O$11,MATCH($A41,'Scratch Data'!$O$5:$O$11,1)))*(INDEX('Scratch Data'!$P$5:$P$11,MIN(MATCH($A41,'Scratch Data'!$O$5:$O$11,1)+1,ROWS('Scratch Data'!$O$5:$O$11)))-INDEX('Scratch Data'!$P$5:$P$11,MATCH($A41,'Scratch Data'!$O$5:$O$11,1)))/MAX(INDEX('Scratch Data'!$O$5:$O$11,MIN(MATCH($A41,'Scratch Data'!$O$5:$O$11,1)+1,ROWS('Scratch Data'!$O$5:$O$11)))-INDEX('Scratch Data'!$O$5:$O$11,MATCH($A41,'Scratch Data'!$O$5:$O$11,1)),0.0001)),IF($A41&lt;=250,MIN((1+(INDEX('Scratch Data'!$H$5:$H$13,MATCH($A41,'Scratch Data'!$G$5:$G$13,1))+($A41-INDEX('Scratch Data'!$G$5:$G$13,MATCH($A41,'Scratch Data'!$G$5:$G$13,1)))*(INDEX('Scratch Data'!$H$5:$H$13,MIN(MATCH($A41,'Scratch Data'!$G$5:$G$13,1)+1,ROWS('Scratch Data'!$G$5:$G$13)))-INDEX('Scratch Data'!$H$5:$H$13,MATCH($A41,'Scratch Data'!$G$5:$G$13,1)))/MAX(INDEX('Scratch Data'!$G$5:$G$13,MIN(MATCH($A41,'Scratch Data'!$G$5:$G$13,1)+1,ROWS('Scratch Data'!$G$5:$G$13)))-INDEX('Scratch Data'!$G$5:$G$13,MATCH($A41,'Scratch Data'!$G$5:$G$13,1)),0.0001))*Inputs!$B$15*INDEX(Baseline!$I$3:$I$102,MIN(MAX(ROUND(Inputs!$B$11*(INDEX('Scratch Data'!$I$5:$I$13,MATCH($A41,'Scratch Data'!$G$5:$G$13,1))+($A41-INDEX('Scratch Data'!$G$5:$G$13,MATCH($A41,'Scratch Data'!$G$5:$G$13,1)))*(INDEX('Scratch Data'!$I$5:$I$13,MIN(MATCH($A41,'Scratch Data'!$G$5:$G$13,1)+1,ROWS('Scratch Data'!$G$5:$G$13)))-INDEX('Scratch Data'!$I$5:$I$13,MATCH($A41,'Scratch Data'!$G$5:$G$13,1)))/MAX(INDEX('Scratch Data'!$G$5:$G$13,MIN(MATCH($A41,'Scratch Data'!$G$5:$G$13,1)+1,ROWS('Scratch Data'!$G$5:$G$13)))-INDEX('Scratch Data'!$G$5:$G$13,MATCH($A41,'Scratch Data'!$G$5:$G$13,1)),0.0001))*Inputs!$B$16,0),1),100))+(1-(INDEX('Scratch Data'!$H$5:$H$13,MATCH($A41,'Scratch Data'!$G$5:$G$13,1))+($A41-INDEX('Scratch Data'!$G$5:$G$13,MATCH($A41,'Scratch Data'!$G$5:$G$13,1)))*(INDEX('Scratch Data'!$H$5:$H$13,MIN(MATCH($A41,'Scratch Data'!$G$5:$G$13,1)+1,ROWS('Scratch Data'!$G$5:$G$13)))-INDEX('Scratch Data'!$H$5:$H$13,MATCH($A41,'Scratch Data'!$G$5:$G$13,1)))/MAX(INDEX('Scratch Data'!$G$5:$G$13,MIN(MATCH($A41,'Scratch Data'!$G$5:$G$13,1)+1,ROWS('Scratch Data'!$G$5:$G$13)))-INDEX('Scratch Data'!$G$5:$G$13,MATCH($A41,'Scratch Data'!$G$5:$G$13,1)),0.0001))*Inputs!$B$15)*((INDEX('Scratch Data'!$J$5:$J$13,MATCH($A41,'Scratch Data'!$G$5:$G$13,1))+($A41-INDEX('Scratch Data'!$G$5:$G$13,MATCH($A41,'Scratch Data'!$G$5:$G$13,1)))*(INDEX('Scratch Data'!$J$5:$J$13,MIN(MATCH($A41,'Scratch Data'!$G$5:$G$13,1)+1,ROWS('Scratch Data'!$G$5:$G$13)))-INDEX('Scratch Data'!$J$5:$J$13,MATCH($A41,'Scratch Data'!$G$5:$G$13,1)))/MAX(INDEX('Scratch Data'!$G$5:$G$13,MIN(MATCH($A41,'Scratch Data'!$G$5:$G$13,1)+1,ROWS('Scratch Data'!$G$5:$G$13)))-INDEX('Scratch Data'!$G$5:$G$13,MATCH($A41,'Scratch Data'!$G$5:$G$13,1)),0.0001))+Inputs!$B$17)),(1+Inputs!$B$19*INDEX(Baseline!$B$3:$B$122,MATCH(MIN(MAX(ROUND((MAX($A41-Inputs!$B$22,30))/5,0)*5,5),600),Baseline!$A$3:$A$122,0))+(1-Inputs!$B$19)*INDEX(Baseline!$C$3:$C$122,MATCH(MIN(MAX(ROUND((MAX($A41-Inputs!$B$22,30))/5,0)*5,5),600),Baseline!$A$3:$A$122,0))+Inputs!$B$17)),(1+Inputs!$B$19*INDEX(Baseline!$B$3:$B$122,MATCH(MIN(MAX(ROUND((MAX($A41-Inputs!$B$22,30))/5,0)*5,5),600),Baseline!$A$3:$A$122,0))+(1-Inputs!$B$19)*INDEX(Baseline!$C$3:$C$122,MATCH(MIN(MAX(ROUND((MAX($A41-Inputs!$B$22,30))/5,0)*5,5),600),Baseline!$A$3:$A$122,0))+Inputs!$B$17)))</f>
        <v>3.70768058</v>
      </c>
      <c r="E41" s="10" t="n">
        <f aca="false">1+Inputs!$B$24+0.6*INDEX(Baseline!$B$3:$B$122,MATCH(MIN(MAX(ROUND((MAX($A41-Inputs!$B$23,15))/5,0)*5,5),600),Baseline!$A$3:$A$122,0))+0.4*INDEX(Baseline!$C$3:$C$122,MATCH(MIN(MAX(ROUND((MAX($A41-Inputs!$B$23,15))/5,0)*5,5),600),Baseline!$A$3:$A$122,0))</f>
        <v>4.178815008</v>
      </c>
      <c r="H41" s="7" t="n">
        <v>39</v>
      </c>
      <c r="I41" s="10" t="n">
        <f aca="false">(INDEX('Scratch Data'!$E$5:$E$22,MATCH($H41,'Scratch Data'!$A$5:$A$22,1))+($H41-INDEX('Scratch Data'!$A$5:$A$22,MATCH($H41,'Scratch Data'!$A$5:$A$22,1)))*(INDEX('Scratch Data'!$E$5:$E$22,MIN(MATCH($H41,'Scratch Data'!$A$5:$A$22,1)+1,ROWS('Scratch Data'!$A$5:$A$22)))-INDEX('Scratch Data'!$E$5:$E$22,MATCH($H41,'Scratch Data'!$A$5:$A$22,1)))/MAX(INDEX('Scratch Data'!$A$5:$A$22,MIN(MATCH($H41,'Scratch Data'!$A$5:$A$22,1)+1,ROWS('Scratch Data'!$A$5:$A$22)))-INDEX('Scratch Data'!$A$5:$A$22,MATCH($H41,'Scratch Data'!$A$5:$A$22,1)),0.0001))</f>
        <v>2.1598</v>
      </c>
    </row>
    <row r="42" customFormat="false" ht="15" hidden="false" customHeight="false" outlineLevel="0" collapsed="false">
      <c r="A42" s="7" t="n">
        <v>200</v>
      </c>
      <c r="B42" s="10" t="n">
        <f aca="false">IF($A42&lt;=50,(INDEX('Scratch Data'!$M$5:$M$12,MATCH($A42,'Scratch Data'!$L$5:$L$12,1))+($A42-INDEX('Scratch Data'!$L$5:$L$12,MATCH($A42,'Scratch Data'!$L$5:$L$12,1)))*(INDEX('Scratch Data'!$M$5:$M$12,MIN(MATCH($A42,'Scratch Data'!$L$5:$L$12,1)+1,ROWS('Scratch Data'!$L$5:$L$12)))-INDEX('Scratch Data'!$M$5:$M$12,MATCH($A42,'Scratch Data'!$L$5:$L$12,1)))/MAX(INDEX('Scratch Data'!$L$5:$L$12,MIN(MATCH($A42,'Scratch Data'!$L$5:$L$12,1)+1,ROWS('Scratch Data'!$L$5:$L$12)))-INDEX('Scratch Data'!$L$5:$L$12,MATCH($A42,'Scratch Data'!$L$5:$L$12,1)),0.0001)),IF($A42&lt;=250,MIN((1+(INDEX('Scratch Data'!$H$5:$H$13,MATCH($A42,'Scratch Data'!$G$5:$G$13,1))+($A42-INDEX('Scratch Data'!$G$5:$G$13,MATCH($A42,'Scratch Data'!$G$5:$G$13,1)))*(INDEX('Scratch Data'!$H$5:$H$13,MIN(MATCH($A42,'Scratch Data'!$G$5:$G$13,1)+1,ROWS('Scratch Data'!$G$5:$G$13)))-INDEX('Scratch Data'!$H$5:$H$13,MATCH($A42,'Scratch Data'!$G$5:$G$13,1)))/MAX(INDEX('Scratch Data'!$G$5:$G$13,MIN(MATCH($A42,'Scratch Data'!$G$5:$G$13,1)+1,ROWS('Scratch Data'!$G$5:$G$13)))-INDEX('Scratch Data'!$G$5:$G$13,MATCH($A42,'Scratch Data'!$G$5:$G$13,1)),0.0001))*INDEX(Baseline!$I$3:$I$102,MIN(MAX(ROUND(Inputs!$B$11*(INDEX('Scratch Data'!$I$5:$I$13,MATCH($A42,'Scratch Data'!$G$5:$G$13,1))+($A42-INDEX('Scratch Data'!$G$5:$G$13,MATCH($A42,'Scratch Data'!$G$5:$G$13,1)))*(INDEX('Scratch Data'!$I$5:$I$13,MIN(MATCH($A42,'Scratch Data'!$G$5:$G$13,1)+1,ROWS('Scratch Data'!$G$5:$G$13)))-INDEX('Scratch Data'!$I$5:$I$13,MATCH($A42,'Scratch Data'!$G$5:$G$13,1)))/MAX(INDEX('Scratch Data'!$G$5:$G$13,MIN(MATCH($A42,'Scratch Data'!$G$5:$G$13,1)+1,ROWS('Scratch Data'!$G$5:$G$13)))-INDEX('Scratch Data'!$G$5:$G$13,MATCH($A42,'Scratch Data'!$G$5:$G$13,1)),0.0001)),0),1),100))+(1-(INDEX('Scratch Data'!$H$5:$H$13,MATCH($A42,'Scratch Data'!$G$5:$G$13,1))+($A42-INDEX('Scratch Data'!$G$5:$G$13,MATCH($A42,'Scratch Data'!$G$5:$G$13,1)))*(INDEX('Scratch Data'!$H$5:$H$13,MIN(MATCH($A42,'Scratch Data'!$G$5:$G$13,1)+1,ROWS('Scratch Data'!$G$5:$G$13)))-INDEX('Scratch Data'!$H$5:$H$13,MATCH($A42,'Scratch Data'!$G$5:$G$13,1)))/MAX(INDEX('Scratch Data'!$G$5:$G$13,MIN(MATCH($A42,'Scratch Data'!$G$5:$G$13,1)+1,ROWS('Scratch Data'!$G$5:$G$13)))-INDEX('Scratch Data'!$G$5:$G$13,MATCH($A42,'Scratch Data'!$G$5:$G$13,1)),0.0001)))*(INDEX('Scratch Data'!$J$5:$J$13,MATCH($A42,'Scratch Data'!$G$5:$G$13,1))+($A42-INDEX('Scratch Data'!$G$5:$G$13,MATCH($A42,'Scratch Data'!$G$5:$G$13,1)))*(INDEX('Scratch Data'!$J$5:$J$13,MIN(MATCH($A42,'Scratch Data'!$G$5:$G$13,1)+1,ROWS('Scratch Data'!$G$5:$G$13)))-INDEX('Scratch Data'!$J$5:$J$13,MATCH($A42,'Scratch Data'!$G$5:$G$13,1)))/MAX(INDEX('Scratch Data'!$G$5:$G$13,MIN(MATCH($A42,'Scratch Data'!$G$5:$G$13,1)+1,ROWS('Scratch Data'!$G$5:$G$13)))-INDEX('Scratch Data'!$G$5:$G$13,MATCH($A42,'Scratch Data'!$G$5:$G$13,1)),0.0001))),(1+Inputs!$B$19*INDEX(Baseline!$B$3:$B$122,MATCH(MIN(MAX(ROUND((MAX($A42-Inputs!$B$20,30))/5,0)*5,5),600),Baseline!$A$3:$A$122,0))+(1-Inputs!$B$19)*INDEX(Baseline!$C$3:$C$122,MATCH(MIN(MAX(ROUND((MAX($A42-Inputs!$B$20,30))/5,0)*5,5),600),Baseline!$A$3:$A$122,0)))),(1+Inputs!$B$19*INDEX(Baseline!$B$3:$B$122,MATCH(MIN(MAX(ROUND((MAX($A42-Inputs!$B$20,30))/5,0)*5,5),600),Baseline!$A$3:$A$122,0))+(1-Inputs!$B$19)*INDEX(Baseline!$C$3:$C$122,MATCH(MIN(MAX(ROUND((MAX($A42-Inputs!$B$20,30))/5,0)*5,5),600),Baseline!$A$3:$A$122,0)))))</f>
        <v>3.466844</v>
      </c>
      <c r="C42" s="10" t="n">
        <f aca="false">IF($A42&lt;=50,$B42+Inputs!$B$18,IF($A42&lt;=250,MIN((1+(INDEX('Scratch Data'!$H$5:$H$13,MATCH($A42,'Scratch Data'!$G$5:$G$13,1))+($A42-INDEX('Scratch Data'!$G$5:$G$13,MATCH($A42,'Scratch Data'!$G$5:$G$13,1)))*(INDEX('Scratch Data'!$H$5:$H$13,MIN(MATCH($A42,'Scratch Data'!$G$5:$G$13,1)+1,ROWS('Scratch Data'!$G$5:$G$13)))-INDEX('Scratch Data'!$H$5:$H$13,MATCH($A42,'Scratch Data'!$G$5:$G$13,1)))/MAX(INDEX('Scratch Data'!$G$5:$G$13,MIN(MATCH($A42,'Scratch Data'!$G$5:$G$13,1)+1,ROWS('Scratch Data'!$G$5:$G$13)))-INDEX('Scratch Data'!$G$5:$G$13,MATCH($A42,'Scratch Data'!$G$5:$G$13,1)),0.0001))*Inputs!$B$12*INDEX(Baseline!$I$3:$I$102,MIN(MAX(ROUND(Inputs!$B$11*(INDEX('Scratch Data'!$I$5:$I$13,MATCH($A42,'Scratch Data'!$G$5:$G$13,1))+($A42-INDEX('Scratch Data'!$G$5:$G$13,MATCH($A42,'Scratch Data'!$G$5:$G$13,1)))*(INDEX('Scratch Data'!$I$5:$I$13,MIN(MATCH($A42,'Scratch Data'!$G$5:$G$13,1)+1,ROWS('Scratch Data'!$G$5:$G$13)))-INDEX('Scratch Data'!$I$5:$I$13,MATCH($A42,'Scratch Data'!$G$5:$G$13,1)))/MAX(INDEX('Scratch Data'!$G$5:$G$13,MIN(MATCH($A42,'Scratch Data'!$G$5:$G$13,1)+1,ROWS('Scratch Data'!$G$5:$G$13)))-INDEX('Scratch Data'!$G$5:$G$13,MATCH($A42,'Scratch Data'!$G$5:$G$13,1)),0.0001))*Inputs!$B$13,0),1),100))+(1-(INDEX('Scratch Data'!$H$5:$H$13,MATCH($A42,'Scratch Data'!$G$5:$G$13,1))+($A42-INDEX('Scratch Data'!$G$5:$G$13,MATCH($A42,'Scratch Data'!$G$5:$G$13,1)))*(INDEX('Scratch Data'!$H$5:$H$13,MIN(MATCH($A42,'Scratch Data'!$G$5:$G$13,1)+1,ROWS('Scratch Data'!$G$5:$G$13)))-INDEX('Scratch Data'!$H$5:$H$13,MATCH($A42,'Scratch Data'!$G$5:$G$13,1)))/MAX(INDEX('Scratch Data'!$G$5:$G$13,MIN(MATCH($A42,'Scratch Data'!$G$5:$G$13,1)+1,ROWS('Scratch Data'!$G$5:$G$13)))-INDEX('Scratch Data'!$G$5:$G$13,MATCH($A42,'Scratch Data'!$G$5:$G$13,1)),0.0001))*Inputs!$B$12)*((INDEX('Scratch Data'!$J$5:$J$13,MATCH($A42,'Scratch Data'!$G$5:$G$13,1))+($A42-INDEX('Scratch Data'!$G$5:$G$13,MATCH($A42,'Scratch Data'!$G$5:$G$13,1)))*(INDEX('Scratch Data'!$J$5:$J$13,MIN(MATCH($A42,'Scratch Data'!$G$5:$G$13,1)+1,ROWS('Scratch Data'!$G$5:$G$13)))-INDEX('Scratch Data'!$J$5:$J$13,MATCH($A42,'Scratch Data'!$G$5:$G$13,1)))/MAX(INDEX('Scratch Data'!$G$5:$G$13,MIN(MATCH($A42,'Scratch Data'!$G$5:$G$13,1)+1,ROWS('Scratch Data'!$G$5:$G$13)))-INDEX('Scratch Data'!$G$5:$G$13,MATCH($A42,'Scratch Data'!$G$5:$G$13,1)),0.0001))+Inputs!$B$14)),(1+Inputs!$B$19*INDEX(Baseline!$B$3:$B$122,MATCH(MIN(MAX(ROUND((MAX($A42-Inputs!$B$21,30))/5,0)*5,5),600),Baseline!$A$3:$A$122,0))+(1-Inputs!$B$19)*INDEX(Baseline!$C$3:$C$122,MATCH(MIN(MAX(ROUND((MAX($A42-Inputs!$B$21,30))/5,0)*5,5),600),Baseline!$A$3:$A$122,0))+Inputs!$B$14)),(1+Inputs!$B$19*INDEX(Baseline!$B$3:$B$122,MATCH(MIN(MAX(ROUND((MAX($A42-Inputs!$B$21,30))/5,0)*5,5),600),Baseline!$A$3:$A$122,0))+(1-Inputs!$B$19)*INDEX(Baseline!$C$3:$C$122,MATCH(MIN(MAX(ROUND((MAX($A42-Inputs!$B$21,30))/5,0)*5,5),600),Baseline!$A$3:$A$122,0))+Inputs!$B$14)))</f>
        <v>3.6130976</v>
      </c>
      <c r="D42" s="10" t="n">
        <f aca="false">IF($A42&lt;=50,(INDEX('Scratch Data'!$P$5:$P$11,MATCH($A42,'Scratch Data'!$O$5:$O$11,1))+($A42-INDEX('Scratch Data'!$O$5:$O$11,MATCH($A42,'Scratch Data'!$O$5:$O$11,1)))*(INDEX('Scratch Data'!$P$5:$P$11,MIN(MATCH($A42,'Scratch Data'!$O$5:$O$11,1)+1,ROWS('Scratch Data'!$O$5:$O$11)))-INDEX('Scratch Data'!$P$5:$P$11,MATCH($A42,'Scratch Data'!$O$5:$O$11,1)))/MAX(INDEX('Scratch Data'!$O$5:$O$11,MIN(MATCH($A42,'Scratch Data'!$O$5:$O$11,1)+1,ROWS('Scratch Data'!$O$5:$O$11)))-INDEX('Scratch Data'!$O$5:$O$11,MATCH($A42,'Scratch Data'!$O$5:$O$11,1)),0.0001)),IF($A42&lt;=250,MIN((1+(INDEX('Scratch Data'!$H$5:$H$13,MATCH($A42,'Scratch Data'!$G$5:$G$13,1))+($A42-INDEX('Scratch Data'!$G$5:$G$13,MATCH($A42,'Scratch Data'!$G$5:$G$13,1)))*(INDEX('Scratch Data'!$H$5:$H$13,MIN(MATCH($A42,'Scratch Data'!$G$5:$G$13,1)+1,ROWS('Scratch Data'!$G$5:$G$13)))-INDEX('Scratch Data'!$H$5:$H$13,MATCH($A42,'Scratch Data'!$G$5:$G$13,1)))/MAX(INDEX('Scratch Data'!$G$5:$G$13,MIN(MATCH($A42,'Scratch Data'!$G$5:$G$13,1)+1,ROWS('Scratch Data'!$G$5:$G$13)))-INDEX('Scratch Data'!$G$5:$G$13,MATCH($A42,'Scratch Data'!$G$5:$G$13,1)),0.0001))*Inputs!$B$15*INDEX(Baseline!$I$3:$I$102,MIN(MAX(ROUND(Inputs!$B$11*(INDEX('Scratch Data'!$I$5:$I$13,MATCH($A42,'Scratch Data'!$G$5:$G$13,1))+($A42-INDEX('Scratch Data'!$G$5:$G$13,MATCH($A42,'Scratch Data'!$G$5:$G$13,1)))*(INDEX('Scratch Data'!$I$5:$I$13,MIN(MATCH($A42,'Scratch Data'!$G$5:$G$13,1)+1,ROWS('Scratch Data'!$G$5:$G$13)))-INDEX('Scratch Data'!$I$5:$I$13,MATCH($A42,'Scratch Data'!$G$5:$G$13,1)))/MAX(INDEX('Scratch Data'!$G$5:$G$13,MIN(MATCH($A42,'Scratch Data'!$G$5:$G$13,1)+1,ROWS('Scratch Data'!$G$5:$G$13)))-INDEX('Scratch Data'!$G$5:$G$13,MATCH($A42,'Scratch Data'!$G$5:$G$13,1)),0.0001))*Inputs!$B$16,0),1),100))+(1-(INDEX('Scratch Data'!$H$5:$H$13,MATCH($A42,'Scratch Data'!$G$5:$G$13,1))+($A42-INDEX('Scratch Data'!$G$5:$G$13,MATCH($A42,'Scratch Data'!$G$5:$G$13,1)))*(INDEX('Scratch Data'!$H$5:$H$13,MIN(MATCH($A42,'Scratch Data'!$G$5:$G$13,1)+1,ROWS('Scratch Data'!$G$5:$G$13)))-INDEX('Scratch Data'!$H$5:$H$13,MATCH($A42,'Scratch Data'!$G$5:$G$13,1)))/MAX(INDEX('Scratch Data'!$G$5:$G$13,MIN(MATCH($A42,'Scratch Data'!$G$5:$G$13,1)+1,ROWS('Scratch Data'!$G$5:$G$13)))-INDEX('Scratch Data'!$G$5:$G$13,MATCH($A42,'Scratch Data'!$G$5:$G$13,1)),0.0001))*Inputs!$B$15)*((INDEX('Scratch Data'!$J$5:$J$13,MATCH($A42,'Scratch Data'!$G$5:$G$13,1))+($A42-INDEX('Scratch Data'!$G$5:$G$13,MATCH($A42,'Scratch Data'!$G$5:$G$13,1)))*(INDEX('Scratch Data'!$J$5:$J$13,MIN(MATCH($A42,'Scratch Data'!$G$5:$G$13,1)+1,ROWS('Scratch Data'!$G$5:$G$13)))-INDEX('Scratch Data'!$J$5:$J$13,MATCH($A42,'Scratch Data'!$G$5:$G$13,1)))/MAX(INDEX('Scratch Data'!$G$5:$G$13,MIN(MATCH($A42,'Scratch Data'!$G$5:$G$13,1)+1,ROWS('Scratch Data'!$G$5:$G$13)))-INDEX('Scratch Data'!$G$5:$G$13,MATCH($A42,'Scratch Data'!$G$5:$G$13,1)),0.0001))+Inputs!$B$17)),(1+Inputs!$B$19*INDEX(Baseline!$B$3:$B$122,MATCH(MIN(MAX(ROUND((MAX($A42-Inputs!$B$22,30))/5,0)*5,5),600),Baseline!$A$3:$A$122,0))+(1-Inputs!$B$19)*INDEX(Baseline!$C$3:$C$122,MATCH(MIN(MAX(ROUND((MAX($A42-Inputs!$B$22,30))/5,0)*5,5),600),Baseline!$A$3:$A$122,0))+Inputs!$B$17)),(1+Inputs!$B$19*INDEX(Baseline!$B$3:$B$122,MATCH(MIN(MAX(ROUND((MAX($A42-Inputs!$B$22,30))/5,0)*5,5),600),Baseline!$A$3:$A$122,0))+(1-Inputs!$B$19)*INDEX(Baseline!$C$3:$C$122,MATCH(MIN(MAX(ROUND((MAX($A42-Inputs!$B$22,30))/5,0)*5,5),600),Baseline!$A$3:$A$122,0))+Inputs!$B$17)))</f>
        <v>3.7297112</v>
      </c>
      <c r="E42" s="10" t="n">
        <f aca="false">1+Inputs!$B$24+0.6*INDEX(Baseline!$B$3:$B$122,MATCH(MIN(MAX(ROUND((MAX($A42-Inputs!$B$23,15))/5,0)*5,5),600),Baseline!$A$3:$A$122,0))+0.4*INDEX(Baseline!$C$3:$C$122,MATCH(MIN(MAX(ROUND((MAX($A42-Inputs!$B$23,15))/5,0)*5,5),600),Baseline!$A$3:$A$122,0))</f>
        <v>4.20041536</v>
      </c>
      <c r="H42" s="7" t="n">
        <v>40</v>
      </c>
      <c r="I42" s="10" t="n">
        <f aca="false">(INDEX('Scratch Data'!$E$5:$E$22,MATCH($H42,'Scratch Data'!$A$5:$A$22,1))+($H42-INDEX('Scratch Data'!$A$5:$A$22,MATCH($H42,'Scratch Data'!$A$5:$A$22,1)))*(INDEX('Scratch Data'!$E$5:$E$22,MIN(MATCH($H42,'Scratch Data'!$A$5:$A$22,1)+1,ROWS('Scratch Data'!$A$5:$A$22)))-INDEX('Scratch Data'!$E$5:$E$22,MATCH($H42,'Scratch Data'!$A$5:$A$22,1)))/MAX(INDEX('Scratch Data'!$A$5:$A$22,MIN(MATCH($H42,'Scratch Data'!$A$5:$A$22,1)+1,ROWS('Scratch Data'!$A$5:$A$22)))-INDEX('Scratch Data'!$A$5:$A$22,MATCH($H42,'Scratch Data'!$A$5:$A$22,1)),0.0001))</f>
        <v>2.17</v>
      </c>
    </row>
    <row r="43" customFormat="false" ht="15" hidden="false" customHeight="false" outlineLevel="0" collapsed="false">
      <c r="A43" s="7" t="n">
        <v>205</v>
      </c>
      <c r="B43" s="10" t="n">
        <f aca="false">IF($A43&lt;=50,(INDEX('Scratch Data'!$M$5:$M$12,MATCH($A43,'Scratch Data'!$L$5:$L$12,1))+($A43-INDEX('Scratch Data'!$L$5:$L$12,MATCH($A43,'Scratch Data'!$L$5:$L$12,1)))*(INDEX('Scratch Data'!$M$5:$M$12,MIN(MATCH($A43,'Scratch Data'!$L$5:$L$12,1)+1,ROWS('Scratch Data'!$L$5:$L$12)))-INDEX('Scratch Data'!$M$5:$M$12,MATCH($A43,'Scratch Data'!$L$5:$L$12,1)))/MAX(INDEX('Scratch Data'!$L$5:$L$12,MIN(MATCH($A43,'Scratch Data'!$L$5:$L$12,1)+1,ROWS('Scratch Data'!$L$5:$L$12)))-INDEX('Scratch Data'!$L$5:$L$12,MATCH($A43,'Scratch Data'!$L$5:$L$12,1)),0.0001)),IF($A43&lt;=250,MIN((1+(INDEX('Scratch Data'!$H$5:$H$13,MATCH($A43,'Scratch Data'!$G$5:$G$13,1))+($A43-INDEX('Scratch Data'!$G$5:$G$13,MATCH($A43,'Scratch Data'!$G$5:$G$13,1)))*(INDEX('Scratch Data'!$H$5:$H$13,MIN(MATCH($A43,'Scratch Data'!$G$5:$G$13,1)+1,ROWS('Scratch Data'!$G$5:$G$13)))-INDEX('Scratch Data'!$H$5:$H$13,MATCH($A43,'Scratch Data'!$G$5:$G$13,1)))/MAX(INDEX('Scratch Data'!$G$5:$G$13,MIN(MATCH($A43,'Scratch Data'!$G$5:$G$13,1)+1,ROWS('Scratch Data'!$G$5:$G$13)))-INDEX('Scratch Data'!$G$5:$G$13,MATCH($A43,'Scratch Data'!$G$5:$G$13,1)),0.0001))*INDEX(Baseline!$I$3:$I$102,MIN(MAX(ROUND(Inputs!$B$11*(INDEX('Scratch Data'!$I$5:$I$13,MATCH($A43,'Scratch Data'!$G$5:$G$13,1))+($A43-INDEX('Scratch Data'!$G$5:$G$13,MATCH($A43,'Scratch Data'!$G$5:$G$13,1)))*(INDEX('Scratch Data'!$I$5:$I$13,MIN(MATCH($A43,'Scratch Data'!$G$5:$G$13,1)+1,ROWS('Scratch Data'!$G$5:$G$13)))-INDEX('Scratch Data'!$I$5:$I$13,MATCH($A43,'Scratch Data'!$G$5:$G$13,1)))/MAX(INDEX('Scratch Data'!$G$5:$G$13,MIN(MATCH($A43,'Scratch Data'!$G$5:$G$13,1)+1,ROWS('Scratch Data'!$G$5:$G$13)))-INDEX('Scratch Data'!$G$5:$G$13,MATCH($A43,'Scratch Data'!$G$5:$G$13,1)),0.0001)),0),1),100))+(1-(INDEX('Scratch Data'!$H$5:$H$13,MATCH($A43,'Scratch Data'!$G$5:$G$13,1))+($A43-INDEX('Scratch Data'!$G$5:$G$13,MATCH($A43,'Scratch Data'!$G$5:$G$13,1)))*(INDEX('Scratch Data'!$H$5:$H$13,MIN(MATCH($A43,'Scratch Data'!$G$5:$G$13,1)+1,ROWS('Scratch Data'!$G$5:$G$13)))-INDEX('Scratch Data'!$H$5:$H$13,MATCH($A43,'Scratch Data'!$G$5:$G$13,1)))/MAX(INDEX('Scratch Data'!$G$5:$G$13,MIN(MATCH($A43,'Scratch Data'!$G$5:$G$13,1)+1,ROWS('Scratch Data'!$G$5:$G$13)))-INDEX('Scratch Data'!$G$5:$G$13,MATCH($A43,'Scratch Data'!$G$5:$G$13,1)),0.0001)))*(INDEX('Scratch Data'!$J$5:$J$13,MATCH($A43,'Scratch Data'!$G$5:$G$13,1))+($A43-INDEX('Scratch Data'!$G$5:$G$13,MATCH($A43,'Scratch Data'!$G$5:$G$13,1)))*(INDEX('Scratch Data'!$J$5:$J$13,MIN(MATCH($A43,'Scratch Data'!$G$5:$G$13,1)+1,ROWS('Scratch Data'!$G$5:$G$13)))-INDEX('Scratch Data'!$J$5:$J$13,MATCH($A43,'Scratch Data'!$G$5:$G$13,1)))/MAX(INDEX('Scratch Data'!$G$5:$G$13,MIN(MATCH($A43,'Scratch Data'!$G$5:$G$13,1)+1,ROWS('Scratch Data'!$G$5:$G$13)))-INDEX('Scratch Data'!$G$5:$G$13,MATCH($A43,'Scratch Data'!$G$5:$G$13,1)),0.0001))),(1+Inputs!$B$19*INDEX(Baseline!$B$3:$B$122,MATCH(MIN(MAX(ROUND((MAX($A43-Inputs!$B$20,30))/5,0)*5,5),600),Baseline!$A$3:$A$122,0))+(1-Inputs!$B$19)*INDEX(Baseline!$C$3:$C$122,MATCH(MIN(MAX(ROUND((MAX($A43-Inputs!$B$20,30))/5,0)*5,5),600),Baseline!$A$3:$A$122,0)))),(1+Inputs!$B$19*INDEX(Baseline!$B$3:$B$122,MATCH(MIN(MAX(ROUND((MAX($A43-Inputs!$B$20,30))/5,0)*5,5),600),Baseline!$A$3:$A$122,0))+(1-Inputs!$B$19)*INDEX(Baseline!$C$3:$C$122,MATCH(MIN(MAX(ROUND((MAX($A43-Inputs!$B$20,30))/5,0)*5,5),600),Baseline!$A$3:$A$122,0)))))</f>
        <v>3.492848</v>
      </c>
      <c r="C43" s="10" t="n">
        <f aca="false">IF($A43&lt;=50,$B43+Inputs!$B$18,IF($A43&lt;=250,MIN((1+(INDEX('Scratch Data'!$H$5:$H$13,MATCH($A43,'Scratch Data'!$G$5:$G$13,1))+($A43-INDEX('Scratch Data'!$G$5:$G$13,MATCH($A43,'Scratch Data'!$G$5:$G$13,1)))*(INDEX('Scratch Data'!$H$5:$H$13,MIN(MATCH($A43,'Scratch Data'!$G$5:$G$13,1)+1,ROWS('Scratch Data'!$G$5:$G$13)))-INDEX('Scratch Data'!$H$5:$H$13,MATCH($A43,'Scratch Data'!$G$5:$G$13,1)))/MAX(INDEX('Scratch Data'!$G$5:$G$13,MIN(MATCH($A43,'Scratch Data'!$G$5:$G$13,1)+1,ROWS('Scratch Data'!$G$5:$G$13)))-INDEX('Scratch Data'!$G$5:$G$13,MATCH($A43,'Scratch Data'!$G$5:$G$13,1)),0.0001))*Inputs!$B$12*INDEX(Baseline!$I$3:$I$102,MIN(MAX(ROUND(Inputs!$B$11*(INDEX('Scratch Data'!$I$5:$I$13,MATCH($A43,'Scratch Data'!$G$5:$G$13,1))+($A43-INDEX('Scratch Data'!$G$5:$G$13,MATCH($A43,'Scratch Data'!$G$5:$G$13,1)))*(INDEX('Scratch Data'!$I$5:$I$13,MIN(MATCH($A43,'Scratch Data'!$G$5:$G$13,1)+1,ROWS('Scratch Data'!$G$5:$G$13)))-INDEX('Scratch Data'!$I$5:$I$13,MATCH($A43,'Scratch Data'!$G$5:$G$13,1)))/MAX(INDEX('Scratch Data'!$G$5:$G$13,MIN(MATCH($A43,'Scratch Data'!$G$5:$G$13,1)+1,ROWS('Scratch Data'!$G$5:$G$13)))-INDEX('Scratch Data'!$G$5:$G$13,MATCH($A43,'Scratch Data'!$G$5:$G$13,1)),0.0001))*Inputs!$B$13,0),1),100))+(1-(INDEX('Scratch Data'!$H$5:$H$13,MATCH($A43,'Scratch Data'!$G$5:$G$13,1))+($A43-INDEX('Scratch Data'!$G$5:$G$13,MATCH($A43,'Scratch Data'!$G$5:$G$13,1)))*(INDEX('Scratch Data'!$H$5:$H$13,MIN(MATCH($A43,'Scratch Data'!$G$5:$G$13,1)+1,ROWS('Scratch Data'!$G$5:$G$13)))-INDEX('Scratch Data'!$H$5:$H$13,MATCH($A43,'Scratch Data'!$G$5:$G$13,1)))/MAX(INDEX('Scratch Data'!$G$5:$G$13,MIN(MATCH($A43,'Scratch Data'!$G$5:$G$13,1)+1,ROWS('Scratch Data'!$G$5:$G$13)))-INDEX('Scratch Data'!$G$5:$G$13,MATCH($A43,'Scratch Data'!$G$5:$G$13,1)),0.0001))*Inputs!$B$12)*((INDEX('Scratch Data'!$J$5:$J$13,MATCH($A43,'Scratch Data'!$G$5:$G$13,1))+($A43-INDEX('Scratch Data'!$G$5:$G$13,MATCH($A43,'Scratch Data'!$G$5:$G$13,1)))*(INDEX('Scratch Data'!$J$5:$J$13,MIN(MATCH($A43,'Scratch Data'!$G$5:$G$13,1)+1,ROWS('Scratch Data'!$G$5:$G$13)))-INDEX('Scratch Data'!$J$5:$J$13,MATCH($A43,'Scratch Data'!$G$5:$G$13,1)))/MAX(INDEX('Scratch Data'!$G$5:$G$13,MIN(MATCH($A43,'Scratch Data'!$G$5:$G$13,1)+1,ROWS('Scratch Data'!$G$5:$G$13)))-INDEX('Scratch Data'!$G$5:$G$13,MATCH($A43,'Scratch Data'!$G$5:$G$13,1)),0.0001))+Inputs!$B$14)),(1+Inputs!$B$19*INDEX(Baseline!$B$3:$B$122,MATCH(MIN(MAX(ROUND((MAX($A43-Inputs!$B$21,30))/5,0)*5,5),600),Baseline!$A$3:$A$122,0))+(1-Inputs!$B$19)*INDEX(Baseline!$C$3:$C$122,MATCH(MIN(MAX(ROUND((MAX($A43-Inputs!$B$21,30))/5,0)*5,5),600),Baseline!$A$3:$A$122,0))+Inputs!$B$14)),(1+Inputs!$B$19*INDEX(Baseline!$B$3:$B$122,MATCH(MIN(MAX(ROUND((MAX($A43-Inputs!$B$21,30))/5,0)*5,5),600),Baseline!$A$3:$A$122,0))+(1-Inputs!$B$19)*INDEX(Baseline!$C$3:$C$122,MATCH(MIN(MAX(ROUND((MAX($A43-Inputs!$B$21,30))/5,0)*5,5),600),Baseline!$A$3:$A$122,0))+Inputs!$B$14)))</f>
        <v>3.63612032</v>
      </c>
      <c r="D43" s="10" t="n">
        <f aca="false">IF($A43&lt;=50,(INDEX('Scratch Data'!$P$5:$P$11,MATCH($A43,'Scratch Data'!$O$5:$O$11,1))+($A43-INDEX('Scratch Data'!$O$5:$O$11,MATCH($A43,'Scratch Data'!$O$5:$O$11,1)))*(INDEX('Scratch Data'!$P$5:$P$11,MIN(MATCH($A43,'Scratch Data'!$O$5:$O$11,1)+1,ROWS('Scratch Data'!$O$5:$O$11)))-INDEX('Scratch Data'!$P$5:$P$11,MATCH($A43,'Scratch Data'!$O$5:$O$11,1)))/MAX(INDEX('Scratch Data'!$O$5:$O$11,MIN(MATCH($A43,'Scratch Data'!$O$5:$O$11,1)+1,ROWS('Scratch Data'!$O$5:$O$11)))-INDEX('Scratch Data'!$O$5:$O$11,MATCH($A43,'Scratch Data'!$O$5:$O$11,1)),0.0001)),IF($A43&lt;=250,MIN((1+(INDEX('Scratch Data'!$H$5:$H$13,MATCH($A43,'Scratch Data'!$G$5:$G$13,1))+($A43-INDEX('Scratch Data'!$G$5:$G$13,MATCH($A43,'Scratch Data'!$G$5:$G$13,1)))*(INDEX('Scratch Data'!$H$5:$H$13,MIN(MATCH($A43,'Scratch Data'!$G$5:$G$13,1)+1,ROWS('Scratch Data'!$G$5:$G$13)))-INDEX('Scratch Data'!$H$5:$H$13,MATCH($A43,'Scratch Data'!$G$5:$G$13,1)))/MAX(INDEX('Scratch Data'!$G$5:$G$13,MIN(MATCH($A43,'Scratch Data'!$G$5:$G$13,1)+1,ROWS('Scratch Data'!$G$5:$G$13)))-INDEX('Scratch Data'!$G$5:$G$13,MATCH($A43,'Scratch Data'!$G$5:$G$13,1)),0.0001))*Inputs!$B$15*INDEX(Baseline!$I$3:$I$102,MIN(MAX(ROUND(Inputs!$B$11*(INDEX('Scratch Data'!$I$5:$I$13,MATCH($A43,'Scratch Data'!$G$5:$G$13,1))+($A43-INDEX('Scratch Data'!$G$5:$G$13,MATCH($A43,'Scratch Data'!$G$5:$G$13,1)))*(INDEX('Scratch Data'!$I$5:$I$13,MIN(MATCH($A43,'Scratch Data'!$G$5:$G$13,1)+1,ROWS('Scratch Data'!$G$5:$G$13)))-INDEX('Scratch Data'!$I$5:$I$13,MATCH($A43,'Scratch Data'!$G$5:$G$13,1)))/MAX(INDEX('Scratch Data'!$G$5:$G$13,MIN(MATCH($A43,'Scratch Data'!$G$5:$G$13,1)+1,ROWS('Scratch Data'!$G$5:$G$13)))-INDEX('Scratch Data'!$G$5:$G$13,MATCH($A43,'Scratch Data'!$G$5:$G$13,1)),0.0001))*Inputs!$B$16,0),1),100))+(1-(INDEX('Scratch Data'!$H$5:$H$13,MATCH($A43,'Scratch Data'!$G$5:$G$13,1))+($A43-INDEX('Scratch Data'!$G$5:$G$13,MATCH($A43,'Scratch Data'!$G$5:$G$13,1)))*(INDEX('Scratch Data'!$H$5:$H$13,MIN(MATCH($A43,'Scratch Data'!$G$5:$G$13,1)+1,ROWS('Scratch Data'!$G$5:$G$13)))-INDEX('Scratch Data'!$H$5:$H$13,MATCH($A43,'Scratch Data'!$G$5:$G$13,1)))/MAX(INDEX('Scratch Data'!$G$5:$G$13,MIN(MATCH($A43,'Scratch Data'!$G$5:$G$13,1)+1,ROWS('Scratch Data'!$G$5:$G$13)))-INDEX('Scratch Data'!$G$5:$G$13,MATCH($A43,'Scratch Data'!$G$5:$G$13,1)),0.0001))*Inputs!$B$15)*((INDEX('Scratch Data'!$J$5:$J$13,MATCH($A43,'Scratch Data'!$G$5:$G$13,1))+($A43-INDEX('Scratch Data'!$G$5:$G$13,MATCH($A43,'Scratch Data'!$G$5:$G$13,1)))*(INDEX('Scratch Data'!$J$5:$J$13,MIN(MATCH($A43,'Scratch Data'!$G$5:$G$13,1)+1,ROWS('Scratch Data'!$G$5:$G$13)))-INDEX('Scratch Data'!$J$5:$J$13,MATCH($A43,'Scratch Data'!$G$5:$G$13,1)))/MAX(INDEX('Scratch Data'!$G$5:$G$13,MIN(MATCH($A43,'Scratch Data'!$G$5:$G$13,1)+1,ROWS('Scratch Data'!$G$5:$G$13)))-INDEX('Scratch Data'!$G$5:$G$13,MATCH($A43,'Scratch Data'!$G$5:$G$13,1)),0.0001))+Inputs!$B$17)),(1+Inputs!$B$19*INDEX(Baseline!$B$3:$B$122,MATCH(MIN(MAX(ROUND((MAX($A43-Inputs!$B$22,30))/5,0)*5,5),600),Baseline!$A$3:$A$122,0))+(1-Inputs!$B$19)*INDEX(Baseline!$C$3:$C$122,MATCH(MIN(MAX(ROUND((MAX($A43-Inputs!$B$22,30))/5,0)*5,5),600),Baseline!$A$3:$A$122,0))+Inputs!$B$17)),(1+Inputs!$B$19*INDEX(Baseline!$B$3:$B$122,MATCH(MIN(MAX(ROUND((MAX($A43-Inputs!$B$22,30))/5,0)*5,5),600),Baseline!$A$3:$A$122,0))+(1-Inputs!$B$19)*INDEX(Baseline!$C$3:$C$122,MATCH(MIN(MAX(ROUND((MAX($A43-Inputs!$B$22,30))/5,0)*5,5),600),Baseline!$A$3:$A$122,0))+Inputs!$B$17)))</f>
        <v>3.75235108</v>
      </c>
      <c r="E43" s="10" t="n">
        <f aca="false">1+Inputs!$B$24+0.6*INDEX(Baseline!$B$3:$B$122,MATCH(MIN(MAX(ROUND((MAX($A43-Inputs!$B$23,15))/5,0)*5,5),600),Baseline!$A$3:$A$122,0))+0.4*INDEX(Baseline!$C$3:$C$122,MATCH(MIN(MAX(ROUND((MAX($A43-Inputs!$B$23,15))/5,0)*5,5),600),Baseline!$A$3:$A$122,0))</f>
        <v>4.216558848</v>
      </c>
      <c r="H43" s="7" t="n">
        <v>41</v>
      </c>
      <c r="I43" s="10" t="n">
        <f aca="false">(INDEX('Scratch Data'!$E$5:$E$22,MATCH($H43,'Scratch Data'!$A$5:$A$22,1))+($H43-INDEX('Scratch Data'!$A$5:$A$22,MATCH($H43,'Scratch Data'!$A$5:$A$22,1)))*(INDEX('Scratch Data'!$E$5:$E$22,MIN(MATCH($H43,'Scratch Data'!$A$5:$A$22,1)+1,ROWS('Scratch Data'!$A$5:$A$22)))-INDEX('Scratch Data'!$E$5:$E$22,MATCH($H43,'Scratch Data'!$A$5:$A$22,1)))/MAX(INDEX('Scratch Data'!$A$5:$A$22,MIN(MATCH($H43,'Scratch Data'!$A$5:$A$22,1)+1,ROWS('Scratch Data'!$A$5:$A$22)))-INDEX('Scratch Data'!$A$5:$A$22,MATCH($H43,'Scratch Data'!$A$5:$A$22,1)),0.0001))</f>
        <v>2.1785</v>
      </c>
    </row>
    <row r="44" customFormat="false" ht="15" hidden="false" customHeight="false" outlineLevel="0" collapsed="false">
      <c r="A44" s="7" t="n">
        <v>210</v>
      </c>
      <c r="B44" s="10" t="n">
        <f aca="false">IF($A44&lt;=50,(INDEX('Scratch Data'!$M$5:$M$12,MATCH($A44,'Scratch Data'!$L$5:$L$12,1))+($A44-INDEX('Scratch Data'!$L$5:$L$12,MATCH($A44,'Scratch Data'!$L$5:$L$12,1)))*(INDEX('Scratch Data'!$M$5:$M$12,MIN(MATCH($A44,'Scratch Data'!$L$5:$L$12,1)+1,ROWS('Scratch Data'!$L$5:$L$12)))-INDEX('Scratch Data'!$M$5:$M$12,MATCH($A44,'Scratch Data'!$L$5:$L$12,1)))/MAX(INDEX('Scratch Data'!$L$5:$L$12,MIN(MATCH($A44,'Scratch Data'!$L$5:$L$12,1)+1,ROWS('Scratch Data'!$L$5:$L$12)))-INDEX('Scratch Data'!$L$5:$L$12,MATCH($A44,'Scratch Data'!$L$5:$L$12,1)),0.0001)),IF($A44&lt;=250,MIN((1+(INDEX('Scratch Data'!$H$5:$H$13,MATCH($A44,'Scratch Data'!$G$5:$G$13,1))+($A44-INDEX('Scratch Data'!$G$5:$G$13,MATCH($A44,'Scratch Data'!$G$5:$G$13,1)))*(INDEX('Scratch Data'!$H$5:$H$13,MIN(MATCH($A44,'Scratch Data'!$G$5:$G$13,1)+1,ROWS('Scratch Data'!$G$5:$G$13)))-INDEX('Scratch Data'!$H$5:$H$13,MATCH($A44,'Scratch Data'!$G$5:$G$13,1)))/MAX(INDEX('Scratch Data'!$G$5:$G$13,MIN(MATCH($A44,'Scratch Data'!$G$5:$G$13,1)+1,ROWS('Scratch Data'!$G$5:$G$13)))-INDEX('Scratch Data'!$G$5:$G$13,MATCH($A44,'Scratch Data'!$G$5:$G$13,1)),0.0001))*INDEX(Baseline!$I$3:$I$102,MIN(MAX(ROUND(Inputs!$B$11*(INDEX('Scratch Data'!$I$5:$I$13,MATCH($A44,'Scratch Data'!$G$5:$G$13,1))+($A44-INDEX('Scratch Data'!$G$5:$G$13,MATCH($A44,'Scratch Data'!$G$5:$G$13,1)))*(INDEX('Scratch Data'!$I$5:$I$13,MIN(MATCH($A44,'Scratch Data'!$G$5:$G$13,1)+1,ROWS('Scratch Data'!$G$5:$G$13)))-INDEX('Scratch Data'!$I$5:$I$13,MATCH($A44,'Scratch Data'!$G$5:$G$13,1)))/MAX(INDEX('Scratch Data'!$G$5:$G$13,MIN(MATCH($A44,'Scratch Data'!$G$5:$G$13,1)+1,ROWS('Scratch Data'!$G$5:$G$13)))-INDEX('Scratch Data'!$G$5:$G$13,MATCH($A44,'Scratch Data'!$G$5:$G$13,1)),0.0001)),0),1),100))+(1-(INDEX('Scratch Data'!$H$5:$H$13,MATCH($A44,'Scratch Data'!$G$5:$G$13,1))+($A44-INDEX('Scratch Data'!$G$5:$G$13,MATCH($A44,'Scratch Data'!$G$5:$G$13,1)))*(INDEX('Scratch Data'!$H$5:$H$13,MIN(MATCH($A44,'Scratch Data'!$G$5:$G$13,1)+1,ROWS('Scratch Data'!$G$5:$G$13)))-INDEX('Scratch Data'!$H$5:$H$13,MATCH($A44,'Scratch Data'!$G$5:$G$13,1)))/MAX(INDEX('Scratch Data'!$G$5:$G$13,MIN(MATCH($A44,'Scratch Data'!$G$5:$G$13,1)+1,ROWS('Scratch Data'!$G$5:$G$13)))-INDEX('Scratch Data'!$G$5:$G$13,MATCH($A44,'Scratch Data'!$G$5:$G$13,1)),0.0001)))*(INDEX('Scratch Data'!$J$5:$J$13,MATCH($A44,'Scratch Data'!$G$5:$G$13,1))+($A44-INDEX('Scratch Data'!$G$5:$G$13,MATCH($A44,'Scratch Data'!$G$5:$G$13,1)))*(INDEX('Scratch Data'!$J$5:$J$13,MIN(MATCH($A44,'Scratch Data'!$G$5:$G$13,1)+1,ROWS('Scratch Data'!$G$5:$G$13)))-INDEX('Scratch Data'!$J$5:$J$13,MATCH($A44,'Scratch Data'!$G$5:$G$13,1)))/MAX(INDEX('Scratch Data'!$G$5:$G$13,MIN(MATCH($A44,'Scratch Data'!$G$5:$G$13,1)+1,ROWS('Scratch Data'!$G$5:$G$13)))-INDEX('Scratch Data'!$G$5:$G$13,MATCH($A44,'Scratch Data'!$G$5:$G$13,1)),0.0001))),(1+Inputs!$B$19*INDEX(Baseline!$B$3:$B$122,MATCH(MIN(MAX(ROUND((MAX($A44-Inputs!$B$20,30))/5,0)*5,5),600),Baseline!$A$3:$A$122,0))+(1-Inputs!$B$19)*INDEX(Baseline!$C$3:$C$122,MATCH(MIN(MAX(ROUND((MAX($A44-Inputs!$B$20,30))/5,0)*5,5),600),Baseline!$A$3:$A$122,0)))),(1+Inputs!$B$19*INDEX(Baseline!$B$3:$B$122,MATCH(MIN(MAX(ROUND((MAX($A44-Inputs!$B$20,30))/5,0)*5,5),600),Baseline!$A$3:$A$122,0))+(1-Inputs!$B$19)*INDEX(Baseline!$C$3:$C$122,MATCH(MIN(MAX(ROUND((MAX($A44-Inputs!$B$20,30))/5,0)*5,5),600),Baseline!$A$3:$A$122,0)))))</f>
        <v>3.5175176</v>
      </c>
      <c r="C44" s="10" t="n">
        <f aca="false">IF($A44&lt;=50,$B44+Inputs!$B$18,IF($A44&lt;=250,MIN((1+(INDEX('Scratch Data'!$H$5:$H$13,MATCH($A44,'Scratch Data'!$G$5:$G$13,1))+($A44-INDEX('Scratch Data'!$G$5:$G$13,MATCH($A44,'Scratch Data'!$G$5:$G$13,1)))*(INDEX('Scratch Data'!$H$5:$H$13,MIN(MATCH($A44,'Scratch Data'!$G$5:$G$13,1)+1,ROWS('Scratch Data'!$G$5:$G$13)))-INDEX('Scratch Data'!$H$5:$H$13,MATCH($A44,'Scratch Data'!$G$5:$G$13,1)))/MAX(INDEX('Scratch Data'!$G$5:$G$13,MIN(MATCH($A44,'Scratch Data'!$G$5:$G$13,1)+1,ROWS('Scratch Data'!$G$5:$G$13)))-INDEX('Scratch Data'!$G$5:$G$13,MATCH($A44,'Scratch Data'!$G$5:$G$13,1)),0.0001))*Inputs!$B$12*INDEX(Baseline!$I$3:$I$102,MIN(MAX(ROUND(Inputs!$B$11*(INDEX('Scratch Data'!$I$5:$I$13,MATCH($A44,'Scratch Data'!$G$5:$G$13,1))+($A44-INDEX('Scratch Data'!$G$5:$G$13,MATCH($A44,'Scratch Data'!$G$5:$G$13,1)))*(INDEX('Scratch Data'!$I$5:$I$13,MIN(MATCH($A44,'Scratch Data'!$G$5:$G$13,1)+1,ROWS('Scratch Data'!$G$5:$G$13)))-INDEX('Scratch Data'!$I$5:$I$13,MATCH($A44,'Scratch Data'!$G$5:$G$13,1)))/MAX(INDEX('Scratch Data'!$G$5:$G$13,MIN(MATCH($A44,'Scratch Data'!$G$5:$G$13,1)+1,ROWS('Scratch Data'!$G$5:$G$13)))-INDEX('Scratch Data'!$G$5:$G$13,MATCH($A44,'Scratch Data'!$G$5:$G$13,1)),0.0001))*Inputs!$B$13,0),1),100))+(1-(INDEX('Scratch Data'!$H$5:$H$13,MATCH($A44,'Scratch Data'!$G$5:$G$13,1))+($A44-INDEX('Scratch Data'!$G$5:$G$13,MATCH($A44,'Scratch Data'!$G$5:$G$13,1)))*(INDEX('Scratch Data'!$H$5:$H$13,MIN(MATCH($A44,'Scratch Data'!$G$5:$G$13,1)+1,ROWS('Scratch Data'!$G$5:$G$13)))-INDEX('Scratch Data'!$H$5:$H$13,MATCH($A44,'Scratch Data'!$G$5:$G$13,1)))/MAX(INDEX('Scratch Data'!$G$5:$G$13,MIN(MATCH($A44,'Scratch Data'!$G$5:$G$13,1)+1,ROWS('Scratch Data'!$G$5:$G$13)))-INDEX('Scratch Data'!$G$5:$G$13,MATCH($A44,'Scratch Data'!$G$5:$G$13,1)),0.0001))*Inputs!$B$12)*((INDEX('Scratch Data'!$J$5:$J$13,MATCH($A44,'Scratch Data'!$G$5:$G$13,1))+($A44-INDEX('Scratch Data'!$G$5:$G$13,MATCH($A44,'Scratch Data'!$G$5:$G$13,1)))*(INDEX('Scratch Data'!$J$5:$J$13,MIN(MATCH($A44,'Scratch Data'!$G$5:$G$13,1)+1,ROWS('Scratch Data'!$G$5:$G$13)))-INDEX('Scratch Data'!$J$5:$J$13,MATCH($A44,'Scratch Data'!$G$5:$G$13,1)))/MAX(INDEX('Scratch Data'!$G$5:$G$13,MIN(MATCH($A44,'Scratch Data'!$G$5:$G$13,1)+1,ROWS('Scratch Data'!$G$5:$G$13)))-INDEX('Scratch Data'!$G$5:$G$13,MATCH($A44,'Scratch Data'!$G$5:$G$13,1)),0.0001))+Inputs!$B$14)),(1+Inputs!$B$19*INDEX(Baseline!$B$3:$B$122,MATCH(MIN(MAX(ROUND((MAX($A44-Inputs!$B$21,30))/5,0)*5,5),600),Baseline!$A$3:$A$122,0))+(1-Inputs!$B$19)*INDEX(Baseline!$C$3:$C$122,MATCH(MIN(MAX(ROUND((MAX($A44-Inputs!$B$21,30))/5,0)*5,5),600),Baseline!$A$3:$A$122,0))+Inputs!$B$14)),(1+Inputs!$B$19*INDEX(Baseline!$B$3:$B$122,MATCH(MIN(MAX(ROUND((MAX($A44-Inputs!$B$21,30))/5,0)*5,5),600),Baseline!$A$3:$A$122,0))+(1-Inputs!$B$19)*INDEX(Baseline!$C$3:$C$122,MATCH(MIN(MAX(ROUND((MAX($A44-Inputs!$B$21,30))/5,0)*5,5),600),Baseline!$A$3:$A$122,0))+Inputs!$B$14)))</f>
        <v>3.65929152</v>
      </c>
      <c r="D44" s="10" t="n">
        <f aca="false">IF($A44&lt;=50,(INDEX('Scratch Data'!$P$5:$P$11,MATCH($A44,'Scratch Data'!$O$5:$O$11,1))+($A44-INDEX('Scratch Data'!$O$5:$O$11,MATCH($A44,'Scratch Data'!$O$5:$O$11,1)))*(INDEX('Scratch Data'!$P$5:$P$11,MIN(MATCH($A44,'Scratch Data'!$O$5:$O$11,1)+1,ROWS('Scratch Data'!$O$5:$O$11)))-INDEX('Scratch Data'!$P$5:$P$11,MATCH($A44,'Scratch Data'!$O$5:$O$11,1)))/MAX(INDEX('Scratch Data'!$O$5:$O$11,MIN(MATCH($A44,'Scratch Data'!$O$5:$O$11,1)+1,ROWS('Scratch Data'!$O$5:$O$11)))-INDEX('Scratch Data'!$O$5:$O$11,MATCH($A44,'Scratch Data'!$O$5:$O$11,1)),0.0001)),IF($A44&lt;=250,MIN((1+(INDEX('Scratch Data'!$H$5:$H$13,MATCH($A44,'Scratch Data'!$G$5:$G$13,1))+($A44-INDEX('Scratch Data'!$G$5:$G$13,MATCH($A44,'Scratch Data'!$G$5:$G$13,1)))*(INDEX('Scratch Data'!$H$5:$H$13,MIN(MATCH($A44,'Scratch Data'!$G$5:$G$13,1)+1,ROWS('Scratch Data'!$G$5:$G$13)))-INDEX('Scratch Data'!$H$5:$H$13,MATCH($A44,'Scratch Data'!$G$5:$G$13,1)))/MAX(INDEX('Scratch Data'!$G$5:$G$13,MIN(MATCH($A44,'Scratch Data'!$G$5:$G$13,1)+1,ROWS('Scratch Data'!$G$5:$G$13)))-INDEX('Scratch Data'!$G$5:$G$13,MATCH($A44,'Scratch Data'!$G$5:$G$13,1)),0.0001))*Inputs!$B$15*INDEX(Baseline!$I$3:$I$102,MIN(MAX(ROUND(Inputs!$B$11*(INDEX('Scratch Data'!$I$5:$I$13,MATCH($A44,'Scratch Data'!$G$5:$G$13,1))+($A44-INDEX('Scratch Data'!$G$5:$G$13,MATCH($A44,'Scratch Data'!$G$5:$G$13,1)))*(INDEX('Scratch Data'!$I$5:$I$13,MIN(MATCH($A44,'Scratch Data'!$G$5:$G$13,1)+1,ROWS('Scratch Data'!$G$5:$G$13)))-INDEX('Scratch Data'!$I$5:$I$13,MATCH($A44,'Scratch Data'!$G$5:$G$13,1)))/MAX(INDEX('Scratch Data'!$G$5:$G$13,MIN(MATCH($A44,'Scratch Data'!$G$5:$G$13,1)+1,ROWS('Scratch Data'!$G$5:$G$13)))-INDEX('Scratch Data'!$G$5:$G$13,MATCH($A44,'Scratch Data'!$G$5:$G$13,1)),0.0001))*Inputs!$B$16,0),1),100))+(1-(INDEX('Scratch Data'!$H$5:$H$13,MATCH($A44,'Scratch Data'!$G$5:$G$13,1))+($A44-INDEX('Scratch Data'!$G$5:$G$13,MATCH($A44,'Scratch Data'!$G$5:$G$13,1)))*(INDEX('Scratch Data'!$H$5:$H$13,MIN(MATCH($A44,'Scratch Data'!$G$5:$G$13,1)+1,ROWS('Scratch Data'!$G$5:$G$13)))-INDEX('Scratch Data'!$H$5:$H$13,MATCH($A44,'Scratch Data'!$G$5:$G$13,1)))/MAX(INDEX('Scratch Data'!$G$5:$G$13,MIN(MATCH($A44,'Scratch Data'!$G$5:$G$13,1)+1,ROWS('Scratch Data'!$G$5:$G$13)))-INDEX('Scratch Data'!$G$5:$G$13,MATCH($A44,'Scratch Data'!$G$5:$G$13,1)),0.0001))*Inputs!$B$15)*((INDEX('Scratch Data'!$J$5:$J$13,MATCH($A44,'Scratch Data'!$G$5:$G$13,1))+($A44-INDEX('Scratch Data'!$G$5:$G$13,MATCH($A44,'Scratch Data'!$G$5:$G$13,1)))*(INDEX('Scratch Data'!$J$5:$J$13,MIN(MATCH($A44,'Scratch Data'!$G$5:$G$13,1)+1,ROWS('Scratch Data'!$G$5:$G$13)))-INDEX('Scratch Data'!$J$5:$J$13,MATCH($A44,'Scratch Data'!$G$5:$G$13,1)))/MAX(INDEX('Scratch Data'!$G$5:$G$13,MIN(MATCH($A44,'Scratch Data'!$G$5:$G$13,1)+1,ROWS('Scratch Data'!$G$5:$G$13)))-INDEX('Scratch Data'!$G$5:$G$13,MATCH($A44,'Scratch Data'!$G$5:$G$13,1)),0.0001))+Inputs!$B$17)),(1+Inputs!$B$19*INDEX(Baseline!$B$3:$B$122,MATCH(MIN(MAX(ROUND((MAX($A44-Inputs!$B$22,30))/5,0)*5,5),600),Baseline!$A$3:$A$122,0))+(1-Inputs!$B$19)*INDEX(Baseline!$C$3:$C$122,MATCH(MIN(MAX(ROUND((MAX($A44-Inputs!$B$22,30))/5,0)*5,5),600),Baseline!$A$3:$A$122,0))+Inputs!$B$17)),(1+Inputs!$B$19*INDEX(Baseline!$B$3:$B$122,MATCH(MIN(MAX(ROUND((MAX($A44-Inputs!$B$22,30))/5,0)*5,5),600),Baseline!$A$3:$A$122,0))+(1-Inputs!$B$19)*INDEX(Baseline!$C$3:$C$122,MATCH(MIN(MAX(ROUND((MAX($A44-Inputs!$B$22,30))/5,0)*5,5),600),Baseline!$A$3:$A$122,0))+Inputs!$B$17)))</f>
        <v>3.7751116</v>
      </c>
      <c r="E44" s="10" t="n">
        <f aca="false">1+Inputs!$B$24+0.6*INDEX(Baseline!$B$3:$B$122,MATCH(MIN(MAX(ROUND((MAX($A44-Inputs!$B$23,15))/5,0)*5,5),600),Baseline!$A$3:$A$122,0))+0.4*INDEX(Baseline!$C$3:$C$122,MATCH(MIN(MAX(ROUND((MAX($A44-Inputs!$B$23,15))/5,0)*5,5),600),Baseline!$A$3:$A$122,0))</f>
        <v>4.24110464</v>
      </c>
      <c r="H44" s="7" t="n">
        <v>42</v>
      </c>
      <c r="I44" s="10" t="n">
        <f aca="false">(INDEX('Scratch Data'!$E$5:$E$22,MATCH($H44,'Scratch Data'!$A$5:$A$22,1))+($H44-INDEX('Scratch Data'!$A$5:$A$22,MATCH($H44,'Scratch Data'!$A$5:$A$22,1)))*(INDEX('Scratch Data'!$E$5:$E$22,MIN(MATCH($H44,'Scratch Data'!$A$5:$A$22,1)+1,ROWS('Scratch Data'!$A$5:$A$22)))-INDEX('Scratch Data'!$E$5:$E$22,MATCH($H44,'Scratch Data'!$A$5:$A$22,1)))/MAX(INDEX('Scratch Data'!$A$5:$A$22,MIN(MATCH($H44,'Scratch Data'!$A$5:$A$22,1)+1,ROWS('Scratch Data'!$A$5:$A$22)))-INDEX('Scratch Data'!$A$5:$A$22,MATCH($H44,'Scratch Data'!$A$5:$A$22,1)),0.0001))</f>
        <v>2.187</v>
      </c>
    </row>
    <row r="45" customFormat="false" ht="15" hidden="false" customHeight="false" outlineLevel="0" collapsed="false">
      <c r="A45" s="7" t="n">
        <v>215</v>
      </c>
      <c r="B45" s="10" t="n">
        <f aca="false">IF($A45&lt;=50,(INDEX('Scratch Data'!$M$5:$M$12,MATCH($A45,'Scratch Data'!$L$5:$L$12,1))+($A45-INDEX('Scratch Data'!$L$5:$L$12,MATCH($A45,'Scratch Data'!$L$5:$L$12,1)))*(INDEX('Scratch Data'!$M$5:$M$12,MIN(MATCH($A45,'Scratch Data'!$L$5:$L$12,1)+1,ROWS('Scratch Data'!$L$5:$L$12)))-INDEX('Scratch Data'!$M$5:$M$12,MATCH($A45,'Scratch Data'!$L$5:$L$12,1)))/MAX(INDEX('Scratch Data'!$L$5:$L$12,MIN(MATCH($A45,'Scratch Data'!$L$5:$L$12,1)+1,ROWS('Scratch Data'!$L$5:$L$12)))-INDEX('Scratch Data'!$L$5:$L$12,MATCH($A45,'Scratch Data'!$L$5:$L$12,1)),0.0001)),IF($A45&lt;=250,MIN((1+(INDEX('Scratch Data'!$H$5:$H$13,MATCH($A45,'Scratch Data'!$G$5:$G$13,1))+($A45-INDEX('Scratch Data'!$G$5:$G$13,MATCH($A45,'Scratch Data'!$G$5:$G$13,1)))*(INDEX('Scratch Data'!$H$5:$H$13,MIN(MATCH($A45,'Scratch Data'!$G$5:$G$13,1)+1,ROWS('Scratch Data'!$G$5:$G$13)))-INDEX('Scratch Data'!$H$5:$H$13,MATCH($A45,'Scratch Data'!$G$5:$G$13,1)))/MAX(INDEX('Scratch Data'!$G$5:$G$13,MIN(MATCH($A45,'Scratch Data'!$G$5:$G$13,1)+1,ROWS('Scratch Data'!$G$5:$G$13)))-INDEX('Scratch Data'!$G$5:$G$13,MATCH($A45,'Scratch Data'!$G$5:$G$13,1)),0.0001))*INDEX(Baseline!$I$3:$I$102,MIN(MAX(ROUND(Inputs!$B$11*(INDEX('Scratch Data'!$I$5:$I$13,MATCH($A45,'Scratch Data'!$G$5:$G$13,1))+($A45-INDEX('Scratch Data'!$G$5:$G$13,MATCH($A45,'Scratch Data'!$G$5:$G$13,1)))*(INDEX('Scratch Data'!$I$5:$I$13,MIN(MATCH($A45,'Scratch Data'!$G$5:$G$13,1)+1,ROWS('Scratch Data'!$G$5:$G$13)))-INDEX('Scratch Data'!$I$5:$I$13,MATCH($A45,'Scratch Data'!$G$5:$G$13,1)))/MAX(INDEX('Scratch Data'!$G$5:$G$13,MIN(MATCH($A45,'Scratch Data'!$G$5:$G$13,1)+1,ROWS('Scratch Data'!$G$5:$G$13)))-INDEX('Scratch Data'!$G$5:$G$13,MATCH($A45,'Scratch Data'!$G$5:$G$13,1)),0.0001)),0),1),100))+(1-(INDEX('Scratch Data'!$H$5:$H$13,MATCH($A45,'Scratch Data'!$G$5:$G$13,1))+($A45-INDEX('Scratch Data'!$G$5:$G$13,MATCH($A45,'Scratch Data'!$G$5:$G$13,1)))*(INDEX('Scratch Data'!$H$5:$H$13,MIN(MATCH($A45,'Scratch Data'!$G$5:$G$13,1)+1,ROWS('Scratch Data'!$G$5:$G$13)))-INDEX('Scratch Data'!$H$5:$H$13,MATCH($A45,'Scratch Data'!$G$5:$G$13,1)))/MAX(INDEX('Scratch Data'!$G$5:$G$13,MIN(MATCH($A45,'Scratch Data'!$G$5:$G$13,1)+1,ROWS('Scratch Data'!$G$5:$G$13)))-INDEX('Scratch Data'!$G$5:$G$13,MATCH($A45,'Scratch Data'!$G$5:$G$13,1)),0.0001)))*(INDEX('Scratch Data'!$J$5:$J$13,MATCH($A45,'Scratch Data'!$G$5:$G$13,1))+($A45-INDEX('Scratch Data'!$G$5:$G$13,MATCH($A45,'Scratch Data'!$G$5:$G$13,1)))*(INDEX('Scratch Data'!$J$5:$J$13,MIN(MATCH($A45,'Scratch Data'!$G$5:$G$13,1)+1,ROWS('Scratch Data'!$G$5:$G$13)))-INDEX('Scratch Data'!$J$5:$J$13,MATCH($A45,'Scratch Data'!$G$5:$G$13,1)))/MAX(INDEX('Scratch Data'!$G$5:$G$13,MIN(MATCH($A45,'Scratch Data'!$G$5:$G$13,1)+1,ROWS('Scratch Data'!$G$5:$G$13)))-INDEX('Scratch Data'!$G$5:$G$13,MATCH($A45,'Scratch Data'!$G$5:$G$13,1)),0.0001))),(1+Inputs!$B$19*INDEX(Baseline!$B$3:$B$122,MATCH(MIN(MAX(ROUND((MAX($A45-Inputs!$B$20,30))/5,0)*5,5),600),Baseline!$A$3:$A$122,0))+(1-Inputs!$B$19)*INDEX(Baseline!$C$3:$C$122,MATCH(MIN(MAX(ROUND((MAX($A45-Inputs!$B$20,30))/5,0)*5,5),600),Baseline!$A$3:$A$122,0)))),(1+Inputs!$B$19*INDEX(Baseline!$B$3:$B$122,MATCH(MIN(MAX(ROUND((MAX($A45-Inputs!$B$20,30))/5,0)*5,5),600),Baseline!$A$3:$A$122,0))+(1-Inputs!$B$19)*INDEX(Baseline!$C$3:$C$122,MATCH(MIN(MAX(ROUND((MAX($A45-Inputs!$B$20,30))/5,0)*5,5),600),Baseline!$A$3:$A$122,0)))))</f>
        <v>3.5423728</v>
      </c>
      <c r="C45" s="10" t="n">
        <f aca="false">IF($A45&lt;=50,$B45+Inputs!$B$18,IF($A45&lt;=250,MIN((1+(INDEX('Scratch Data'!$H$5:$H$13,MATCH($A45,'Scratch Data'!$G$5:$G$13,1))+($A45-INDEX('Scratch Data'!$G$5:$G$13,MATCH($A45,'Scratch Data'!$G$5:$G$13,1)))*(INDEX('Scratch Data'!$H$5:$H$13,MIN(MATCH($A45,'Scratch Data'!$G$5:$G$13,1)+1,ROWS('Scratch Data'!$G$5:$G$13)))-INDEX('Scratch Data'!$H$5:$H$13,MATCH($A45,'Scratch Data'!$G$5:$G$13,1)))/MAX(INDEX('Scratch Data'!$G$5:$G$13,MIN(MATCH($A45,'Scratch Data'!$G$5:$G$13,1)+1,ROWS('Scratch Data'!$G$5:$G$13)))-INDEX('Scratch Data'!$G$5:$G$13,MATCH($A45,'Scratch Data'!$G$5:$G$13,1)),0.0001))*Inputs!$B$12*INDEX(Baseline!$I$3:$I$102,MIN(MAX(ROUND(Inputs!$B$11*(INDEX('Scratch Data'!$I$5:$I$13,MATCH($A45,'Scratch Data'!$G$5:$G$13,1))+($A45-INDEX('Scratch Data'!$G$5:$G$13,MATCH($A45,'Scratch Data'!$G$5:$G$13,1)))*(INDEX('Scratch Data'!$I$5:$I$13,MIN(MATCH($A45,'Scratch Data'!$G$5:$G$13,1)+1,ROWS('Scratch Data'!$G$5:$G$13)))-INDEX('Scratch Data'!$I$5:$I$13,MATCH($A45,'Scratch Data'!$G$5:$G$13,1)))/MAX(INDEX('Scratch Data'!$G$5:$G$13,MIN(MATCH($A45,'Scratch Data'!$G$5:$G$13,1)+1,ROWS('Scratch Data'!$G$5:$G$13)))-INDEX('Scratch Data'!$G$5:$G$13,MATCH($A45,'Scratch Data'!$G$5:$G$13,1)),0.0001))*Inputs!$B$13,0),1),100))+(1-(INDEX('Scratch Data'!$H$5:$H$13,MATCH($A45,'Scratch Data'!$G$5:$G$13,1))+($A45-INDEX('Scratch Data'!$G$5:$G$13,MATCH($A45,'Scratch Data'!$G$5:$G$13,1)))*(INDEX('Scratch Data'!$H$5:$H$13,MIN(MATCH($A45,'Scratch Data'!$G$5:$G$13,1)+1,ROWS('Scratch Data'!$G$5:$G$13)))-INDEX('Scratch Data'!$H$5:$H$13,MATCH($A45,'Scratch Data'!$G$5:$G$13,1)))/MAX(INDEX('Scratch Data'!$G$5:$G$13,MIN(MATCH($A45,'Scratch Data'!$G$5:$G$13,1)+1,ROWS('Scratch Data'!$G$5:$G$13)))-INDEX('Scratch Data'!$G$5:$G$13,MATCH($A45,'Scratch Data'!$G$5:$G$13,1)),0.0001))*Inputs!$B$12)*((INDEX('Scratch Data'!$J$5:$J$13,MATCH($A45,'Scratch Data'!$G$5:$G$13,1))+($A45-INDEX('Scratch Data'!$G$5:$G$13,MATCH($A45,'Scratch Data'!$G$5:$G$13,1)))*(INDEX('Scratch Data'!$J$5:$J$13,MIN(MATCH($A45,'Scratch Data'!$G$5:$G$13,1)+1,ROWS('Scratch Data'!$G$5:$G$13)))-INDEX('Scratch Data'!$J$5:$J$13,MATCH($A45,'Scratch Data'!$G$5:$G$13,1)))/MAX(INDEX('Scratch Data'!$G$5:$G$13,MIN(MATCH($A45,'Scratch Data'!$G$5:$G$13,1)+1,ROWS('Scratch Data'!$G$5:$G$13)))-INDEX('Scratch Data'!$G$5:$G$13,MATCH($A45,'Scratch Data'!$G$5:$G$13,1)),0.0001))+Inputs!$B$14)),(1+Inputs!$B$19*INDEX(Baseline!$B$3:$B$122,MATCH(MIN(MAX(ROUND((MAX($A45-Inputs!$B$21,30))/5,0)*5,5),600),Baseline!$A$3:$A$122,0))+(1-Inputs!$B$19)*INDEX(Baseline!$C$3:$C$122,MATCH(MIN(MAX(ROUND((MAX($A45-Inputs!$B$21,30))/5,0)*5,5),600),Baseline!$A$3:$A$122,0))+Inputs!$B$14)),(1+Inputs!$B$19*INDEX(Baseline!$B$3:$B$122,MATCH(MIN(MAX(ROUND((MAX($A45-Inputs!$B$21,30))/5,0)*5,5),600),Baseline!$A$3:$A$122,0))+(1-Inputs!$B$19)*INDEX(Baseline!$C$3:$C$122,MATCH(MIN(MAX(ROUND((MAX($A45-Inputs!$B$21,30))/5,0)*5,5),600),Baseline!$A$3:$A$122,0))+Inputs!$B$14)))</f>
        <v>3.6826112</v>
      </c>
      <c r="D45" s="10" t="n">
        <f aca="false">IF($A45&lt;=50,(INDEX('Scratch Data'!$P$5:$P$11,MATCH($A45,'Scratch Data'!$O$5:$O$11,1))+($A45-INDEX('Scratch Data'!$O$5:$O$11,MATCH($A45,'Scratch Data'!$O$5:$O$11,1)))*(INDEX('Scratch Data'!$P$5:$P$11,MIN(MATCH($A45,'Scratch Data'!$O$5:$O$11,1)+1,ROWS('Scratch Data'!$O$5:$O$11)))-INDEX('Scratch Data'!$P$5:$P$11,MATCH($A45,'Scratch Data'!$O$5:$O$11,1)))/MAX(INDEX('Scratch Data'!$O$5:$O$11,MIN(MATCH($A45,'Scratch Data'!$O$5:$O$11,1)+1,ROWS('Scratch Data'!$O$5:$O$11)))-INDEX('Scratch Data'!$O$5:$O$11,MATCH($A45,'Scratch Data'!$O$5:$O$11,1)),0.0001)),IF($A45&lt;=250,MIN((1+(INDEX('Scratch Data'!$H$5:$H$13,MATCH($A45,'Scratch Data'!$G$5:$G$13,1))+($A45-INDEX('Scratch Data'!$G$5:$G$13,MATCH($A45,'Scratch Data'!$G$5:$G$13,1)))*(INDEX('Scratch Data'!$H$5:$H$13,MIN(MATCH($A45,'Scratch Data'!$G$5:$G$13,1)+1,ROWS('Scratch Data'!$G$5:$G$13)))-INDEX('Scratch Data'!$H$5:$H$13,MATCH($A45,'Scratch Data'!$G$5:$G$13,1)))/MAX(INDEX('Scratch Data'!$G$5:$G$13,MIN(MATCH($A45,'Scratch Data'!$G$5:$G$13,1)+1,ROWS('Scratch Data'!$G$5:$G$13)))-INDEX('Scratch Data'!$G$5:$G$13,MATCH($A45,'Scratch Data'!$G$5:$G$13,1)),0.0001))*Inputs!$B$15*INDEX(Baseline!$I$3:$I$102,MIN(MAX(ROUND(Inputs!$B$11*(INDEX('Scratch Data'!$I$5:$I$13,MATCH($A45,'Scratch Data'!$G$5:$G$13,1))+($A45-INDEX('Scratch Data'!$G$5:$G$13,MATCH($A45,'Scratch Data'!$G$5:$G$13,1)))*(INDEX('Scratch Data'!$I$5:$I$13,MIN(MATCH($A45,'Scratch Data'!$G$5:$G$13,1)+1,ROWS('Scratch Data'!$G$5:$G$13)))-INDEX('Scratch Data'!$I$5:$I$13,MATCH($A45,'Scratch Data'!$G$5:$G$13,1)))/MAX(INDEX('Scratch Data'!$G$5:$G$13,MIN(MATCH($A45,'Scratch Data'!$G$5:$G$13,1)+1,ROWS('Scratch Data'!$G$5:$G$13)))-INDEX('Scratch Data'!$G$5:$G$13,MATCH($A45,'Scratch Data'!$G$5:$G$13,1)),0.0001))*Inputs!$B$16,0),1),100))+(1-(INDEX('Scratch Data'!$H$5:$H$13,MATCH($A45,'Scratch Data'!$G$5:$G$13,1))+($A45-INDEX('Scratch Data'!$G$5:$G$13,MATCH($A45,'Scratch Data'!$G$5:$G$13,1)))*(INDEX('Scratch Data'!$H$5:$H$13,MIN(MATCH($A45,'Scratch Data'!$G$5:$G$13,1)+1,ROWS('Scratch Data'!$G$5:$G$13)))-INDEX('Scratch Data'!$H$5:$H$13,MATCH($A45,'Scratch Data'!$G$5:$G$13,1)))/MAX(INDEX('Scratch Data'!$G$5:$G$13,MIN(MATCH($A45,'Scratch Data'!$G$5:$G$13,1)+1,ROWS('Scratch Data'!$G$5:$G$13)))-INDEX('Scratch Data'!$G$5:$G$13,MATCH($A45,'Scratch Data'!$G$5:$G$13,1)),0.0001))*Inputs!$B$15)*((INDEX('Scratch Data'!$J$5:$J$13,MATCH($A45,'Scratch Data'!$G$5:$G$13,1))+($A45-INDEX('Scratch Data'!$G$5:$G$13,MATCH($A45,'Scratch Data'!$G$5:$G$13,1)))*(INDEX('Scratch Data'!$J$5:$J$13,MIN(MATCH($A45,'Scratch Data'!$G$5:$G$13,1)+1,ROWS('Scratch Data'!$G$5:$G$13)))-INDEX('Scratch Data'!$J$5:$J$13,MATCH($A45,'Scratch Data'!$G$5:$G$13,1)))/MAX(INDEX('Scratch Data'!$G$5:$G$13,MIN(MATCH($A45,'Scratch Data'!$G$5:$G$13,1)+1,ROWS('Scratch Data'!$G$5:$G$13)))-INDEX('Scratch Data'!$G$5:$G$13,MATCH($A45,'Scratch Data'!$G$5:$G$13,1)),0.0001))+Inputs!$B$17)),(1+Inputs!$B$19*INDEX(Baseline!$B$3:$B$122,MATCH(MIN(MAX(ROUND((MAX($A45-Inputs!$B$22,30))/5,0)*5,5),600),Baseline!$A$3:$A$122,0))+(1-Inputs!$B$19)*INDEX(Baseline!$C$3:$C$122,MATCH(MIN(MAX(ROUND((MAX($A45-Inputs!$B$22,30))/5,0)*5,5),600),Baseline!$A$3:$A$122,0))+Inputs!$B$17)),(1+Inputs!$B$19*INDEX(Baseline!$B$3:$B$122,MATCH(MIN(MAX(ROUND((MAX($A45-Inputs!$B$22,30))/5,0)*5,5),600),Baseline!$A$3:$A$122,0))+(1-Inputs!$B$19)*INDEX(Baseline!$C$3:$C$122,MATCH(MIN(MAX(ROUND((MAX($A45-Inputs!$B$22,30))/5,0)*5,5),600),Baseline!$A$3:$A$122,0))+Inputs!$B$17)))</f>
        <v>3.7976259</v>
      </c>
      <c r="E45" s="10" t="n">
        <f aca="false">1+Inputs!$B$24+0.6*INDEX(Baseline!$B$3:$B$122,MATCH(MIN(MAX(ROUND((MAX($A45-Inputs!$B$23,15))/5,0)*5,5),600),Baseline!$A$3:$A$122,0))+0.4*INDEX(Baseline!$C$3:$C$122,MATCH(MIN(MAX(ROUND((MAX($A45-Inputs!$B$23,15))/5,0)*5,5),600),Baseline!$A$3:$A$122,0))</f>
        <v>4.25284256</v>
      </c>
      <c r="H45" s="7" t="n">
        <v>43</v>
      </c>
      <c r="I45" s="10" t="n">
        <f aca="false">(INDEX('Scratch Data'!$E$5:$E$22,MATCH($H45,'Scratch Data'!$A$5:$A$22,1))+($H45-INDEX('Scratch Data'!$A$5:$A$22,MATCH($H45,'Scratch Data'!$A$5:$A$22,1)))*(INDEX('Scratch Data'!$E$5:$E$22,MIN(MATCH($H45,'Scratch Data'!$A$5:$A$22,1)+1,ROWS('Scratch Data'!$A$5:$A$22)))-INDEX('Scratch Data'!$E$5:$E$22,MATCH($H45,'Scratch Data'!$A$5:$A$22,1)))/MAX(INDEX('Scratch Data'!$A$5:$A$22,MIN(MATCH($H45,'Scratch Data'!$A$5:$A$22,1)+1,ROWS('Scratch Data'!$A$5:$A$22)))-INDEX('Scratch Data'!$A$5:$A$22,MATCH($H45,'Scratch Data'!$A$5:$A$22,1)),0.0001))</f>
        <v>2.1955</v>
      </c>
    </row>
    <row r="46" customFormat="false" ht="15" hidden="false" customHeight="false" outlineLevel="0" collapsed="false">
      <c r="A46" s="7" t="n">
        <v>220</v>
      </c>
      <c r="B46" s="10" t="n">
        <f aca="false">IF($A46&lt;=50,(INDEX('Scratch Data'!$M$5:$M$12,MATCH($A46,'Scratch Data'!$L$5:$L$12,1))+($A46-INDEX('Scratch Data'!$L$5:$L$12,MATCH($A46,'Scratch Data'!$L$5:$L$12,1)))*(INDEX('Scratch Data'!$M$5:$M$12,MIN(MATCH($A46,'Scratch Data'!$L$5:$L$12,1)+1,ROWS('Scratch Data'!$L$5:$L$12)))-INDEX('Scratch Data'!$M$5:$M$12,MATCH($A46,'Scratch Data'!$L$5:$L$12,1)))/MAX(INDEX('Scratch Data'!$L$5:$L$12,MIN(MATCH($A46,'Scratch Data'!$L$5:$L$12,1)+1,ROWS('Scratch Data'!$L$5:$L$12)))-INDEX('Scratch Data'!$L$5:$L$12,MATCH($A46,'Scratch Data'!$L$5:$L$12,1)),0.0001)),IF($A46&lt;=250,MIN((1+(INDEX('Scratch Data'!$H$5:$H$13,MATCH($A46,'Scratch Data'!$G$5:$G$13,1))+($A46-INDEX('Scratch Data'!$G$5:$G$13,MATCH($A46,'Scratch Data'!$G$5:$G$13,1)))*(INDEX('Scratch Data'!$H$5:$H$13,MIN(MATCH($A46,'Scratch Data'!$G$5:$G$13,1)+1,ROWS('Scratch Data'!$G$5:$G$13)))-INDEX('Scratch Data'!$H$5:$H$13,MATCH($A46,'Scratch Data'!$G$5:$G$13,1)))/MAX(INDEX('Scratch Data'!$G$5:$G$13,MIN(MATCH($A46,'Scratch Data'!$G$5:$G$13,1)+1,ROWS('Scratch Data'!$G$5:$G$13)))-INDEX('Scratch Data'!$G$5:$G$13,MATCH($A46,'Scratch Data'!$G$5:$G$13,1)),0.0001))*INDEX(Baseline!$I$3:$I$102,MIN(MAX(ROUND(Inputs!$B$11*(INDEX('Scratch Data'!$I$5:$I$13,MATCH($A46,'Scratch Data'!$G$5:$G$13,1))+($A46-INDEX('Scratch Data'!$G$5:$G$13,MATCH($A46,'Scratch Data'!$G$5:$G$13,1)))*(INDEX('Scratch Data'!$I$5:$I$13,MIN(MATCH($A46,'Scratch Data'!$G$5:$G$13,1)+1,ROWS('Scratch Data'!$G$5:$G$13)))-INDEX('Scratch Data'!$I$5:$I$13,MATCH($A46,'Scratch Data'!$G$5:$G$13,1)))/MAX(INDEX('Scratch Data'!$G$5:$G$13,MIN(MATCH($A46,'Scratch Data'!$G$5:$G$13,1)+1,ROWS('Scratch Data'!$G$5:$G$13)))-INDEX('Scratch Data'!$G$5:$G$13,MATCH($A46,'Scratch Data'!$G$5:$G$13,1)),0.0001)),0),1),100))+(1-(INDEX('Scratch Data'!$H$5:$H$13,MATCH($A46,'Scratch Data'!$G$5:$G$13,1))+($A46-INDEX('Scratch Data'!$G$5:$G$13,MATCH($A46,'Scratch Data'!$G$5:$G$13,1)))*(INDEX('Scratch Data'!$H$5:$H$13,MIN(MATCH($A46,'Scratch Data'!$G$5:$G$13,1)+1,ROWS('Scratch Data'!$G$5:$G$13)))-INDEX('Scratch Data'!$H$5:$H$13,MATCH($A46,'Scratch Data'!$G$5:$G$13,1)))/MAX(INDEX('Scratch Data'!$G$5:$G$13,MIN(MATCH($A46,'Scratch Data'!$G$5:$G$13,1)+1,ROWS('Scratch Data'!$G$5:$G$13)))-INDEX('Scratch Data'!$G$5:$G$13,MATCH($A46,'Scratch Data'!$G$5:$G$13,1)),0.0001)))*(INDEX('Scratch Data'!$J$5:$J$13,MATCH($A46,'Scratch Data'!$G$5:$G$13,1))+($A46-INDEX('Scratch Data'!$G$5:$G$13,MATCH($A46,'Scratch Data'!$G$5:$G$13,1)))*(INDEX('Scratch Data'!$J$5:$J$13,MIN(MATCH($A46,'Scratch Data'!$G$5:$G$13,1)+1,ROWS('Scratch Data'!$G$5:$G$13)))-INDEX('Scratch Data'!$J$5:$J$13,MATCH($A46,'Scratch Data'!$G$5:$G$13,1)))/MAX(INDEX('Scratch Data'!$G$5:$G$13,MIN(MATCH($A46,'Scratch Data'!$G$5:$G$13,1)+1,ROWS('Scratch Data'!$G$5:$G$13)))-INDEX('Scratch Data'!$G$5:$G$13,MATCH($A46,'Scratch Data'!$G$5:$G$13,1)),0.0001))),(1+Inputs!$B$19*INDEX(Baseline!$B$3:$B$122,MATCH(MIN(MAX(ROUND((MAX($A46-Inputs!$B$20,30))/5,0)*5,5),600),Baseline!$A$3:$A$122,0))+(1-Inputs!$B$19)*INDEX(Baseline!$C$3:$C$122,MATCH(MIN(MAX(ROUND((MAX($A46-Inputs!$B$20,30))/5,0)*5,5),600),Baseline!$A$3:$A$122,0)))),(1+Inputs!$B$19*INDEX(Baseline!$B$3:$B$122,MATCH(MIN(MAX(ROUND((MAX($A46-Inputs!$B$20,30))/5,0)*5,5),600),Baseline!$A$3:$A$122,0))+(1-Inputs!$B$19)*INDEX(Baseline!$C$3:$C$122,MATCH(MIN(MAX(ROUND((MAX($A46-Inputs!$B$20,30))/5,0)*5,5),600),Baseline!$A$3:$A$122,0)))))</f>
        <v>3.5674136</v>
      </c>
      <c r="C46" s="10" t="n">
        <f aca="false">IF($A46&lt;=50,$B46+Inputs!$B$18,IF($A46&lt;=250,MIN((1+(INDEX('Scratch Data'!$H$5:$H$13,MATCH($A46,'Scratch Data'!$G$5:$G$13,1))+($A46-INDEX('Scratch Data'!$G$5:$G$13,MATCH($A46,'Scratch Data'!$G$5:$G$13,1)))*(INDEX('Scratch Data'!$H$5:$H$13,MIN(MATCH($A46,'Scratch Data'!$G$5:$G$13,1)+1,ROWS('Scratch Data'!$G$5:$G$13)))-INDEX('Scratch Data'!$H$5:$H$13,MATCH($A46,'Scratch Data'!$G$5:$G$13,1)))/MAX(INDEX('Scratch Data'!$G$5:$G$13,MIN(MATCH($A46,'Scratch Data'!$G$5:$G$13,1)+1,ROWS('Scratch Data'!$G$5:$G$13)))-INDEX('Scratch Data'!$G$5:$G$13,MATCH($A46,'Scratch Data'!$G$5:$G$13,1)),0.0001))*Inputs!$B$12*INDEX(Baseline!$I$3:$I$102,MIN(MAX(ROUND(Inputs!$B$11*(INDEX('Scratch Data'!$I$5:$I$13,MATCH($A46,'Scratch Data'!$G$5:$G$13,1))+($A46-INDEX('Scratch Data'!$G$5:$G$13,MATCH($A46,'Scratch Data'!$G$5:$G$13,1)))*(INDEX('Scratch Data'!$I$5:$I$13,MIN(MATCH($A46,'Scratch Data'!$G$5:$G$13,1)+1,ROWS('Scratch Data'!$G$5:$G$13)))-INDEX('Scratch Data'!$I$5:$I$13,MATCH($A46,'Scratch Data'!$G$5:$G$13,1)))/MAX(INDEX('Scratch Data'!$G$5:$G$13,MIN(MATCH($A46,'Scratch Data'!$G$5:$G$13,1)+1,ROWS('Scratch Data'!$G$5:$G$13)))-INDEX('Scratch Data'!$G$5:$G$13,MATCH($A46,'Scratch Data'!$G$5:$G$13,1)),0.0001))*Inputs!$B$13,0),1),100))+(1-(INDEX('Scratch Data'!$H$5:$H$13,MATCH($A46,'Scratch Data'!$G$5:$G$13,1))+($A46-INDEX('Scratch Data'!$G$5:$G$13,MATCH($A46,'Scratch Data'!$G$5:$G$13,1)))*(INDEX('Scratch Data'!$H$5:$H$13,MIN(MATCH($A46,'Scratch Data'!$G$5:$G$13,1)+1,ROWS('Scratch Data'!$G$5:$G$13)))-INDEX('Scratch Data'!$H$5:$H$13,MATCH($A46,'Scratch Data'!$G$5:$G$13,1)))/MAX(INDEX('Scratch Data'!$G$5:$G$13,MIN(MATCH($A46,'Scratch Data'!$G$5:$G$13,1)+1,ROWS('Scratch Data'!$G$5:$G$13)))-INDEX('Scratch Data'!$G$5:$G$13,MATCH($A46,'Scratch Data'!$G$5:$G$13,1)),0.0001))*Inputs!$B$12)*((INDEX('Scratch Data'!$J$5:$J$13,MATCH($A46,'Scratch Data'!$G$5:$G$13,1))+($A46-INDEX('Scratch Data'!$G$5:$G$13,MATCH($A46,'Scratch Data'!$G$5:$G$13,1)))*(INDEX('Scratch Data'!$J$5:$J$13,MIN(MATCH($A46,'Scratch Data'!$G$5:$G$13,1)+1,ROWS('Scratch Data'!$G$5:$G$13)))-INDEX('Scratch Data'!$J$5:$J$13,MATCH($A46,'Scratch Data'!$G$5:$G$13,1)))/MAX(INDEX('Scratch Data'!$G$5:$G$13,MIN(MATCH($A46,'Scratch Data'!$G$5:$G$13,1)+1,ROWS('Scratch Data'!$G$5:$G$13)))-INDEX('Scratch Data'!$G$5:$G$13,MATCH($A46,'Scratch Data'!$G$5:$G$13,1)),0.0001))+Inputs!$B$14)),(1+Inputs!$B$19*INDEX(Baseline!$B$3:$B$122,MATCH(MIN(MAX(ROUND((MAX($A46-Inputs!$B$21,30))/5,0)*5,5),600),Baseline!$A$3:$A$122,0))+(1-Inputs!$B$19)*INDEX(Baseline!$C$3:$C$122,MATCH(MIN(MAX(ROUND((MAX($A46-Inputs!$B$21,30))/5,0)*5,5),600),Baseline!$A$3:$A$122,0))+Inputs!$B$14)),(1+Inputs!$B$19*INDEX(Baseline!$B$3:$B$122,MATCH(MIN(MAX(ROUND((MAX($A46-Inputs!$B$21,30))/5,0)*5,5),600),Baseline!$A$3:$A$122,0))+(1-Inputs!$B$19)*INDEX(Baseline!$C$3:$C$122,MATCH(MIN(MAX(ROUND((MAX($A46-Inputs!$B$21,30))/5,0)*5,5),600),Baseline!$A$3:$A$122,0))+Inputs!$B$14)))</f>
        <v>3.7056496</v>
      </c>
      <c r="D46" s="10" t="n">
        <f aca="false">IF($A46&lt;=50,(INDEX('Scratch Data'!$P$5:$P$11,MATCH($A46,'Scratch Data'!$O$5:$O$11,1))+($A46-INDEX('Scratch Data'!$O$5:$O$11,MATCH($A46,'Scratch Data'!$O$5:$O$11,1)))*(INDEX('Scratch Data'!$P$5:$P$11,MIN(MATCH($A46,'Scratch Data'!$O$5:$O$11,1)+1,ROWS('Scratch Data'!$O$5:$O$11)))-INDEX('Scratch Data'!$P$5:$P$11,MATCH($A46,'Scratch Data'!$O$5:$O$11,1)))/MAX(INDEX('Scratch Data'!$O$5:$O$11,MIN(MATCH($A46,'Scratch Data'!$O$5:$O$11,1)+1,ROWS('Scratch Data'!$O$5:$O$11)))-INDEX('Scratch Data'!$O$5:$O$11,MATCH($A46,'Scratch Data'!$O$5:$O$11,1)),0.0001)),IF($A46&lt;=250,MIN((1+(INDEX('Scratch Data'!$H$5:$H$13,MATCH($A46,'Scratch Data'!$G$5:$G$13,1))+($A46-INDEX('Scratch Data'!$G$5:$G$13,MATCH($A46,'Scratch Data'!$G$5:$G$13,1)))*(INDEX('Scratch Data'!$H$5:$H$13,MIN(MATCH($A46,'Scratch Data'!$G$5:$G$13,1)+1,ROWS('Scratch Data'!$G$5:$G$13)))-INDEX('Scratch Data'!$H$5:$H$13,MATCH($A46,'Scratch Data'!$G$5:$G$13,1)))/MAX(INDEX('Scratch Data'!$G$5:$G$13,MIN(MATCH($A46,'Scratch Data'!$G$5:$G$13,1)+1,ROWS('Scratch Data'!$G$5:$G$13)))-INDEX('Scratch Data'!$G$5:$G$13,MATCH($A46,'Scratch Data'!$G$5:$G$13,1)),0.0001))*Inputs!$B$15*INDEX(Baseline!$I$3:$I$102,MIN(MAX(ROUND(Inputs!$B$11*(INDEX('Scratch Data'!$I$5:$I$13,MATCH($A46,'Scratch Data'!$G$5:$G$13,1))+($A46-INDEX('Scratch Data'!$G$5:$G$13,MATCH($A46,'Scratch Data'!$G$5:$G$13,1)))*(INDEX('Scratch Data'!$I$5:$I$13,MIN(MATCH($A46,'Scratch Data'!$G$5:$G$13,1)+1,ROWS('Scratch Data'!$G$5:$G$13)))-INDEX('Scratch Data'!$I$5:$I$13,MATCH($A46,'Scratch Data'!$G$5:$G$13,1)))/MAX(INDEX('Scratch Data'!$G$5:$G$13,MIN(MATCH($A46,'Scratch Data'!$G$5:$G$13,1)+1,ROWS('Scratch Data'!$G$5:$G$13)))-INDEX('Scratch Data'!$G$5:$G$13,MATCH($A46,'Scratch Data'!$G$5:$G$13,1)),0.0001))*Inputs!$B$16,0),1),100))+(1-(INDEX('Scratch Data'!$H$5:$H$13,MATCH($A46,'Scratch Data'!$G$5:$G$13,1))+($A46-INDEX('Scratch Data'!$G$5:$G$13,MATCH($A46,'Scratch Data'!$G$5:$G$13,1)))*(INDEX('Scratch Data'!$H$5:$H$13,MIN(MATCH($A46,'Scratch Data'!$G$5:$G$13,1)+1,ROWS('Scratch Data'!$G$5:$G$13)))-INDEX('Scratch Data'!$H$5:$H$13,MATCH($A46,'Scratch Data'!$G$5:$G$13,1)))/MAX(INDEX('Scratch Data'!$G$5:$G$13,MIN(MATCH($A46,'Scratch Data'!$G$5:$G$13,1)+1,ROWS('Scratch Data'!$G$5:$G$13)))-INDEX('Scratch Data'!$G$5:$G$13,MATCH($A46,'Scratch Data'!$G$5:$G$13,1)),0.0001))*Inputs!$B$15)*((INDEX('Scratch Data'!$J$5:$J$13,MATCH($A46,'Scratch Data'!$G$5:$G$13,1))+($A46-INDEX('Scratch Data'!$G$5:$G$13,MATCH($A46,'Scratch Data'!$G$5:$G$13,1)))*(INDEX('Scratch Data'!$J$5:$J$13,MIN(MATCH($A46,'Scratch Data'!$G$5:$G$13,1)+1,ROWS('Scratch Data'!$G$5:$G$13)))-INDEX('Scratch Data'!$J$5:$J$13,MATCH($A46,'Scratch Data'!$G$5:$G$13,1)))/MAX(INDEX('Scratch Data'!$G$5:$G$13,MIN(MATCH($A46,'Scratch Data'!$G$5:$G$13,1)+1,ROWS('Scratch Data'!$G$5:$G$13)))-INDEX('Scratch Data'!$G$5:$G$13,MATCH($A46,'Scratch Data'!$G$5:$G$13,1)),0.0001))+Inputs!$B$17)),(1+Inputs!$B$19*INDEX(Baseline!$B$3:$B$122,MATCH(MIN(MAX(ROUND((MAX($A46-Inputs!$B$22,30))/5,0)*5,5),600),Baseline!$A$3:$A$122,0))+(1-Inputs!$B$19)*INDEX(Baseline!$C$3:$C$122,MATCH(MIN(MAX(ROUND((MAX($A46-Inputs!$B$22,30))/5,0)*5,5),600),Baseline!$A$3:$A$122,0))+Inputs!$B$17)),(1+Inputs!$B$19*INDEX(Baseline!$B$3:$B$122,MATCH(MIN(MAX(ROUND((MAX($A46-Inputs!$B$22,30))/5,0)*5,5),600),Baseline!$A$3:$A$122,0))+(1-Inputs!$B$19)*INDEX(Baseline!$C$3:$C$122,MATCH(MIN(MAX(ROUND((MAX($A46-Inputs!$B$22,30))/5,0)*5,5),600),Baseline!$A$3:$A$122,0))+Inputs!$B$17)))</f>
        <v>3.8220421</v>
      </c>
      <c r="E46" s="10" t="n">
        <f aca="false">1+Inputs!$B$24+0.6*INDEX(Baseline!$B$3:$B$122,MATCH(MIN(MAX(ROUND((MAX($A46-Inputs!$B$23,15))/5,0)*5,5),600),Baseline!$A$3:$A$122,0))+0.4*INDEX(Baseline!$C$3:$C$122,MATCH(MIN(MAX(ROUND((MAX($A46-Inputs!$B$23,15))/5,0)*5,5),600),Baseline!$A$3:$A$122,0))</f>
        <v>4.276116608</v>
      </c>
      <c r="H46" s="7" t="n">
        <v>44</v>
      </c>
      <c r="I46" s="10" t="n">
        <f aca="false">(INDEX('Scratch Data'!$E$5:$E$22,MATCH($H46,'Scratch Data'!$A$5:$A$22,1))+($H46-INDEX('Scratch Data'!$A$5:$A$22,MATCH($H46,'Scratch Data'!$A$5:$A$22,1)))*(INDEX('Scratch Data'!$E$5:$E$22,MIN(MATCH($H46,'Scratch Data'!$A$5:$A$22,1)+1,ROWS('Scratch Data'!$A$5:$A$22)))-INDEX('Scratch Data'!$E$5:$E$22,MATCH($H46,'Scratch Data'!$A$5:$A$22,1)))/MAX(INDEX('Scratch Data'!$A$5:$A$22,MIN(MATCH($H46,'Scratch Data'!$A$5:$A$22,1)+1,ROWS('Scratch Data'!$A$5:$A$22)))-INDEX('Scratch Data'!$A$5:$A$22,MATCH($H46,'Scratch Data'!$A$5:$A$22,1)),0.0001))</f>
        <v>2.204</v>
      </c>
    </row>
    <row r="47" customFormat="false" ht="15" hidden="false" customHeight="false" outlineLevel="0" collapsed="false">
      <c r="A47" s="7" t="n">
        <v>225</v>
      </c>
      <c r="B47" s="10" t="n">
        <f aca="false">IF($A47&lt;=50,(INDEX('Scratch Data'!$M$5:$M$12,MATCH($A47,'Scratch Data'!$L$5:$L$12,1))+($A47-INDEX('Scratch Data'!$L$5:$L$12,MATCH($A47,'Scratch Data'!$L$5:$L$12,1)))*(INDEX('Scratch Data'!$M$5:$M$12,MIN(MATCH($A47,'Scratch Data'!$L$5:$L$12,1)+1,ROWS('Scratch Data'!$L$5:$L$12)))-INDEX('Scratch Data'!$M$5:$M$12,MATCH($A47,'Scratch Data'!$L$5:$L$12,1)))/MAX(INDEX('Scratch Data'!$L$5:$L$12,MIN(MATCH($A47,'Scratch Data'!$L$5:$L$12,1)+1,ROWS('Scratch Data'!$L$5:$L$12)))-INDEX('Scratch Data'!$L$5:$L$12,MATCH($A47,'Scratch Data'!$L$5:$L$12,1)),0.0001)),IF($A47&lt;=250,MIN((1+(INDEX('Scratch Data'!$H$5:$H$13,MATCH($A47,'Scratch Data'!$G$5:$G$13,1))+($A47-INDEX('Scratch Data'!$G$5:$G$13,MATCH($A47,'Scratch Data'!$G$5:$G$13,1)))*(INDEX('Scratch Data'!$H$5:$H$13,MIN(MATCH($A47,'Scratch Data'!$G$5:$G$13,1)+1,ROWS('Scratch Data'!$G$5:$G$13)))-INDEX('Scratch Data'!$H$5:$H$13,MATCH($A47,'Scratch Data'!$G$5:$G$13,1)))/MAX(INDEX('Scratch Data'!$G$5:$G$13,MIN(MATCH($A47,'Scratch Data'!$G$5:$G$13,1)+1,ROWS('Scratch Data'!$G$5:$G$13)))-INDEX('Scratch Data'!$G$5:$G$13,MATCH($A47,'Scratch Data'!$G$5:$G$13,1)),0.0001))*INDEX(Baseline!$I$3:$I$102,MIN(MAX(ROUND(Inputs!$B$11*(INDEX('Scratch Data'!$I$5:$I$13,MATCH($A47,'Scratch Data'!$G$5:$G$13,1))+($A47-INDEX('Scratch Data'!$G$5:$G$13,MATCH($A47,'Scratch Data'!$G$5:$G$13,1)))*(INDEX('Scratch Data'!$I$5:$I$13,MIN(MATCH($A47,'Scratch Data'!$G$5:$G$13,1)+1,ROWS('Scratch Data'!$G$5:$G$13)))-INDEX('Scratch Data'!$I$5:$I$13,MATCH($A47,'Scratch Data'!$G$5:$G$13,1)))/MAX(INDEX('Scratch Data'!$G$5:$G$13,MIN(MATCH($A47,'Scratch Data'!$G$5:$G$13,1)+1,ROWS('Scratch Data'!$G$5:$G$13)))-INDEX('Scratch Data'!$G$5:$G$13,MATCH($A47,'Scratch Data'!$G$5:$G$13,1)),0.0001)),0),1),100))+(1-(INDEX('Scratch Data'!$H$5:$H$13,MATCH($A47,'Scratch Data'!$G$5:$G$13,1))+($A47-INDEX('Scratch Data'!$G$5:$G$13,MATCH($A47,'Scratch Data'!$G$5:$G$13,1)))*(INDEX('Scratch Data'!$H$5:$H$13,MIN(MATCH($A47,'Scratch Data'!$G$5:$G$13,1)+1,ROWS('Scratch Data'!$G$5:$G$13)))-INDEX('Scratch Data'!$H$5:$H$13,MATCH($A47,'Scratch Data'!$G$5:$G$13,1)))/MAX(INDEX('Scratch Data'!$G$5:$G$13,MIN(MATCH($A47,'Scratch Data'!$G$5:$G$13,1)+1,ROWS('Scratch Data'!$G$5:$G$13)))-INDEX('Scratch Data'!$G$5:$G$13,MATCH($A47,'Scratch Data'!$G$5:$G$13,1)),0.0001)))*(INDEX('Scratch Data'!$J$5:$J$13,MATCH($A47,'Scratch Data'!$G$5:$G$13,1))+($A47-INDEX('Scratch Data'!$G$5:$G$13,MATCH($A47,'Scratch Data'!$G$5:$G$13,1)))*(INDEX('Scratch Data'!$J$5:$J$13,MIN(MATCH($A47,'Scratch Data'!$G$5:$G$13,1)+1,ROWS('Scratch Data'!$G$5:$G$13)))-INDEX('Scratch Data'!$J$5:$J$13,MATCH($A47,'Scratch Data'!$G$5:$G$13,1)))/MAX(INDEX('Scratch Data'!$G$5:$G$13,MIN(MATCH($A47,'Scratch Data'!$G$5:$G$13,1)+1,ROWS('Scratch Data'!$G$5:$G$13)))-INDEX('Scratch Data'!$G$5:$G$13,MATCH($A47,'Scratch Data'!$G$5:$G$13,1)),0.0001))),(1+Inputs!$B$19*INDEX(Baseline!$B$3:$B$122,MATCH(MIN(MAX(ROUND((MAX($A47-Inputs!$B$20,30))/5,0)*5,5),600),Baseline!$A$3:$A$122,0))+(1-Inputs!$B$19)*INDEX(Baseline!$C$3:$C$122,MATCH(MIN(MAX(ROUND((MAX($A47-Inputs!$B$20,30))/5,0)*5,5),600),Baseline!$A$3:$A$122,0)))),(1+Inputs!$B$19*INDEX(Baseline!$B$3:$B$122,MATCH(MIN(MAX(ROUND((MAX($A47-Inputs!$B$20,30))/5,0)*5,5),600),Baseline!$A$3:$A$122,0))+(1-Inputs!$B$19)*INDEX(Baseline!$C$3:$C$122,MATCH(MIN(MAX(ROUND((MAX($A47-Inputs!$B$20,30))/5,0)*5,5),600),Baseline!$A$3:$A$122,0)))))</f>
        <v>3.59264</v>
      </c>
      <c r="C47" s="10" t="n">
        <f aca="false">IF($A47&lt;=50,$B47+Inputs!$B$18,IF($A47&lt;=250,MIN((1+(INDEX('Scratch Data'!$H$5:$H$13,MATCH($A47,'Scratch Data'!$G$5:$G$13,1))+($A47-INDEX('Scratch Data'!$G$5:$G$13,MATCH($A47,'Scratch Data'!$G$5:$G$13,1)))*(INDEX('Scratch Data'!$H$5:$H$13,MIN(MATCH($A47,'Scratch Data'!$G$5:$G$13,1)+1,ROWS('Scratch Data'!$G$5:$G$13)))-INDEX('Scratch Data'!$H$5:$H$13,MATCH($A47,'Scratch Data'!$G$5:$G$13,1)))/MAX(INDEX('Scratch Data'!$G$5:$G$13,MIN(MATCH($A47,'Scratch Data'!$G$5:$G$13,1)+1,ROWS('Scratch Data'!$G$5:$G$13)))-INDEX('Scratch Data'!$G$5:$G$13,MATCH($A47,'Scratch Data'!$G$5:$G$13,1)),0.0001))*Inputs!$B$12*INDEX(Baseline!$I$3:$I$102,MIN(MAX(ROUND(Inputs!$B$11*(INDEX('Scratch Data'!$I$5:$I$13,MATCH($A47,'Scratch Data'!$G$5:$G$13,1))+($A47-INDEX('Scratch Data'!$G$5:$G$13,MATCH($A47,'Scratch Data'!$G$5:$G$13,1)))*(INDEX('Scratch Data'!$I$5:$I$13,MIN(MATCH($A47,'Scratch Data'!$G$5:$G$13,1)+1,ROWS('Scratch Data'!$G$5:$G$13)))-INDEX('Scratch Data'!$I$5:$I$13,MATCH($A47,'Scratch Data'!$G$5:$G$13,1)))/MAX(INDEX('Scratch Data'!$G$5:$G$13,MIN(MATCH($A47,'Scratch Data'!$G$5:$G$13,1)+1,ROWS('Scratch Data'!$G$5:$G$13)))-INDEX('Scratch Data'!$G$5:$G$13,MATCH($A47,'Scratch Data'!$G$5:$G$13,1)),0.0001))*Inputs!$B$13,0),1),100))+(1-(INDEX('Scratch Data'!$H$5:$H$13,MATCH($A47,'Scratch Data'!$G$5:$G$13,1))+($A47-INDEX('Scratch Data'!$G$5:$G$13,MATCH($A47,'Scratch Data'!$G$5:$G$13,1)))*(INDEX('Scratch Data'!$H$5:$H$13,MIN(MATCH($A47,'Scratch Data'!$G$5:$G$13,1)+1,ROWS('Scratch Data'!$G$5:$G$13)))-INDEX('Scratch Data'!$H$5:$H$13,MATCH($A47,'Scratch Data'!$G$5:$G$13,1)))/MAX(INDEX('Scratch Data'!$G$5:$G$13,MIN(MATCH($A47,'Scratch Data'!$G$5:$G$13,1)+1,ROWS('Scratch Data'!$G$5:$G$13)))-INDEX('Scratch Data'!$G$5:$G$13,MATCH($A47,'Scratch Data'!$G$5:$G$13,1)),0.0001))*Inputs!$B$12)*((INDEX('Scratch Data'!$J$5:$J$13,MATCH($A47,'Scratch Data'!$G$5:$G$13,1))+($A47-INDEX('Scratch Data'!$G$5:$G$13,MATCH($A47,'Scratch Data'!$G$5:$G$13,1)))*(INDEX('Scratch Data'!$J$5:$J$13,MIN(MATCH($A47,'Scratch Data'!$G$5:$G$13,1)+1,ROWS('Scratch Data'!$G$5:$G$13)))-INDEX('Scratch Data'!$J$5:$J$13,MATCH($A47,'Scratch Data'!$G$5:$G$13,1)))/MAX(INDEX('Scratch Data'!$G$5:$G$13,MIN(MATCH($A47,'Scratch Data'!$G$5:$G$13,1)+1,ROWS('Scratch Data'!$G$5:$G$13)))-INDEX('Scratch Data'!$G$5:$G$13,MATCH($A47,'Scratch Data'!$G$5:$G$13,1)),0.0001))+Inputs!$B$14)),(1+Inputs!$B$19*INDEX(Baseline!$B$3:$B$122,MATCH(MIN(MAX(ROUND((MAX($A47-Inputs!$B$21,30))/5,0)*5,5),600),Baseline!$A$3:$A$122,0))+(1-Inputs!$B$19)*INDEX(Baseline!$C$3:$C$122,MATCH(MIN(MAX(ROUND((MAX($A47-Inputs!$B$21,30))/5,0)*5,5),600),Baseline!$A$3:$A$122,0))+Inputs!$B$14)),(1+Inputs!$B$19*INDEX(Baseline!$B$3:$B$122,MATCH(MIN(MAX(ROUND((MAX($A47-Inputs!$B$21,30))/5,0)*5,5),600),Baseline!$A$3:$A$122,0))+(1-Inputs!$B$19)*INDEX(Baseline!$C$3:$C$122,MATCH(MIN(MAX(ROUND((MAX($A47-Inputs!$B$21,30))/5,0)*5,5),600),Baseline!$A$3:$A$122,0))+Inputs!$B$14)))</f>
        <v>3.72888</v>
      </c>
      <c r="D47" s="10" t="n">
        <f aca="false">IF($A47&lt;=50,(INDEX('Scratch Data'!$P$5:$P$11,MATCH($A47,'Scratch Data'!$O$5:$O$11,1))+($A47-INDEX('Scratch Data'!$O$5:$O$11,MATCH($A47,'Scratch Data'!$O$5:$O$11,1)))*(INDEX('Scratch Data'!$P$5:$P$11,MIN(MATCH($A47,'Scratch Data'!$O$5:$O$11,1)+1,ROWS('Scratch Data'!$O$5:$O$11)))-INDEX('Scratch Data'!$P$5:$P$11,MATCH($A47,'Scratch Data'!$O$5:$O$11,1)))/MAX(INDEX('Scratch Data'!$O$5:$O$11,MIN(MATCH($A47,'Scratch Data'!$O$5:$O$11,1)+1,ROWS('Scratch Data'!$O$5:$O$11)))-INDEX('Scratch Data'!$O$5:$O$11,MATCH($A47,'Scratch Data'!$O$5:$O$11,1)),0.0001)),IF($A47&lt;=250,MIN((1+(INDEX('Scratch Data'!$H$5:$H$13,MATCH($A47,'Scratch Data'!$G$5:$G$13,1))+($A47-INDEX('Scratch Data'!$G$5:$G$13,MATCH($A47,'Scratch Data'!$G$5:$G$13,1)))*(INDEX('Scratch Data'!$H$5:$H$13,MIN(MATCH($A47,'Scratch Data'!$G$5:$G$13,1)+1,ROWS('Scratch Data'!$G$5:$G$13)))-INDEX('Scratch Data'!$H$5:$H$13,MATCH($A47,'Scratch Data'!$G$5:$G$13,1)))/MAX(INDEX('Scratch Data'!$G$5:$G$13,MIN(MATCH($A47,'Scratch Data'!$G$5:$G$13,1)+1,ROWS('Scratch Data'!$G$5:$G$13)))-INDEX('Scratch Data'!$G$5:$G$13,MATCH($A47,'Scratch Data'!$G$5:$G$13,1)),0.0001))*Inputs!$B$15*INDEX(Baseline!$I$3:$I$102,MIN(MAX(ROUND(Inputs!$B$11*(INDEX('Scratch Data'!$I$5:$I$13,MATCH($A47,'Scratch Data'!$G$5:$G$13,1))+($A47-INDEX('Scratch Data'!$G$5:$G$13,MATCH($A47,'Scratch Data'!$G$5:$G$13,1)))*(INDEX('Scratch Data'!$I$5:$I$13,MIN(MATCH($A47,'Scratch Data'!$G$5:$G$13,1)+1,ROWS('Scratch Data'!$G$5:$G$13)))-INDEX('Scratch Data'!$I$5:$I$13,MATCH($A47,'Scratch Data'!$G$5:$G$13,1)))/MAX(INDEX('Scratch Data'!$G$5:$G$13,MIN(MATCH($A47,'Scratch Data'!$G$5:$G$13,1)+1,ROWS('Scratch Data'!$G$5:$G$13)))-INDEX('Scratch Data'!$G$5:$G$13,MATCH($A47,'Scratch Data'!$G$5:$G$13,1)),0.0001))*Inputs!$B$16,0),1),100))+(1-(INDEX('Scratch Data'!$H$5:$H$13,MATCH($A47,'Scratch Data'!$G$5:$G$13,1))+($A47-INDEX('Scratch Data'!$G$5:$G$13,MATCH($A47,'Scratch Data'!$G$5:$G$13,1)))*(INDEX('Scratch Data'!$H$5:$H$13,MIN(MATCH($A47,'Scratch Data'!$G$5:$G$13,1)+1,ROWS('Scratch Data'!$G$5:$G$13)))-INDEX('Scratch Data'!$H$5:$H$13,MATCH($A47,'Scratch Data'!$G$5:$G$13,1)))/MAX(INDEX('Scratch Data'!$G$5:$G$13,MIN(MATCH($A47,'Scratch Data'!$G$5:$G$13,1)+1,ROWS('Scratch Data'!$G$5:$G$13)))-INDEX('Scratch Data'!$G$5:$G$13,MATCH($A47,'Scratch Data'!$G$5:$G$13,1)),0.0001))*Inputs!$B$15)*((INDEX('Scratch Data'!$J$5:$J$13,MATCH($A47,'Scratch Data'!$G$5:$G$13,1))+($A47-INDEX('Scratch Data'!$G$5:$G$13,MATCH($A47,'Scratch Data'!$G$5:$G$13,1)))*(INDEX('Scratch Data'!$J$5:$J$13,MIN(MATCH($A47,'Scratch Data'!$G$5:$G$13,1)+1,ROWS('Scratch Data'!$G$5:$G$13)))-INDEX('Scratch Data'!$J$5:$J$13,MATCH($A47,'Scratch Data'!$G$5:$G$13,1)))/MAX(INDEX('Scratch Data'!$G$5:$G$13,MIN(MATCH($A47,'Scratch Data'!$G$5:$G$13,1)+1,ROWS('Scratch Data'!$G$5:$G$13)))-INDEX('Scratch Data'!$G$5:$G$13,MATCH($A47,'Scratch Data'!$G$5:$G$13,1)),0.0001))+Inputs!$B$17)),(1+Inputs!$B$19*INDEX(Baseline!$B$3:$B$122,MATCH(MIN(MAX(ROUND((MAX($A47-Inputs!$B$22,30))/5,0)*5,5),600),Baseline!$A$3:$A$122,0))+(1-Inputs!$B$19)*INDEX(Baseline!$C$3:$C$122,MATCH(MIN(MAX(ROUND((MAX($A47-Inputs!$B$22,30))/5,0)*5,5),600),Baseline!$A$3:$A$122,0))+Inputs!$B$17)),(1+Inputs!$B$19*INDEX(Baseline!$B$3:$B$122,MATCH(MIN(MAX(ROUND((MAX($A47-Inputs!$B$22,30))/5,0)*5,5),600),Baseline!$A$3:$A$122,0))+(1-Inputs!$B$19)*INDEX(Baseline!$C$3:$C$122,MATCH(MIN(MAX(ROUND((MAX($A47-Inputs!$B$22,30))/5,0)*5,5),600),Baseline!$A$3:$A$122,0))+Inputs!$B$17)))</f>
        <v>3.84478</v>
      </c>
      <c r="E47" s="10" t="n">
        <f aca="false">1+Inputs!$B$24+0.6*INDEX(Baseline!$B$3:$B$122,MATCH(MIN(MAX(ROUND((MAX($A47-Inputs!$B$23,15))/5,0)*5,5),600),Baseline!$A$3:$A$122,0))+0.4*INDEX(Baseline!$C$3:$C$122,MATCH(MIN(MAX(ROUND((MAX($A47-Inputs!$B$23,15))/5,0)*5,5),600),Baseline!$A$3:$A$122,0))</f>
        <v>4.29918176</v>
      </c>
      <c r="H47" s="7" t="n">
        <v>45</v>
      </c>
      <c r="I47" s="10" t="n">
        <f aca="false">(INDEX('Scratch Data'!$E$5:$E$22,MATCH($H47,'Scratch Data'!$A$5:$A$22,1))+($H47-INDEX('Scratch Data'!$A$5:$A$22,MATCH($H47,'Scratch Data'!$A$5:$A$22,1)))*(INDEX('Scratch Data'!$E$5:$E$22,MIN(MATCH($H47,'Scratch Data'!$A$5:$A$22,1)+1,ROWS('Scratch Data'!$A$5:$A$22)))-INDEX('Scratch Data'!$E$5:$E$22,MATCH($H47,'Scratch Data'!$A$5:$A$22,1)))/MAX(INDEX('Scratch Data'!$A$5:$A$22,MIN(MATCH($H47,'Scratch Data'!$A$5:$A$22,1)+1,ROWS('Scratch Data'!$A$5:$A$22)))-INDEX('Scratch Data'!$A$5:$A$22,MATCH($H47,'Scratch Data'!$A$5:$A$22,1)),0.0001))</f>
        <v>2.2125</v>
      </c>
    </row>
    <row r="48" customFormat="false" ht="15" hidden="false" customHeight="false" outlineLevel="0" collapsed="false">
      <c r="A48" s="7" t="n">
        <v>230</v>
      </c>
      <c r="B48" s="10" t="n">
        <f aca="false">IF($A48&lt;=50,(INDEX('Scratch Data'!$M$5:$M$12,MATCH($A48,'Scratch Data'!$L$5:$L$12,1))+($A48-INDEX('Scratch Data'!$L$5:$L$12,MATCH($A48,'Scratch Data'!$L$5:$L$12,1)))*(INDEX('Scratch Data'!$M$5:$M$12,MIN(MATCH($A48,'Scratch Data'!$L$5:$L$12,1)+1,ROWS('Scratch Data'!$L$5:$L$12)))-INDEX('Scratch Data'!$M$5:$M$12,MATCH($A48,'Scratch Data'!$L$5:$L$12,1)))/MAX(INDEX('Scratch Data'!$L$5:$L$12,MIN(MATCH($A48,'Scratch Data'!$L$5:$L$12,1)+1,ROWS('Scratch Data'!$L$5:$L$12)))-INDEX('Scratch Data'!$L$5:$L$12,MATCH($A48,'Scratch Data'!$L$5:$L$12,1)),0.0001)),IF($A48&lt;=250,MIN((1+(INDEX('Scratch Data'!$H$5:$H$13,MATCH($A48,'Scratch Data'!$G$5:$G$13,1))+($A48-INDEX('Scratch Data'!$G$5:$G$13,MATCH($A48,'Scratch Data'!$G$5:$G$13,1)))*(INDEX('Scratch Data'!$H$5:$H$13,MIN(MATCH($A48,'Scratch Data'!$G$5:$G$13,1)+1,ROWS('Scratch Data'!$G$5:$G$13)))-INDEX('Scratch Data'!$H$5:$H$13,MATCH($A48,'Scratch Data'!$G$5:$G$13,1)))/MAX(INDEX('Scratch Data'!$G$5:$G$13,MIN(MATCH($A48,'Scratch Data'!$G$5:$G$13,1)+1,ROWS('Scratch Data'!$G$5:$G$13)))-INDEX('Scratch Data'!$G$5:$G$13,MATCH($A48,'Scratch Data'!$G$5:$G$13,1)),0.0001))*INDEX(Baseline!$I$3:$I$102,MIN(MAX(ROUND(Inputs!$B$11*(INDEX('Scratch Data'!$I$5:$I$13,MATCH($A48,'Scratch Data'!$G$5:$G$13,1))+($A48-INDEX('Scratch Data'!$G$5:$G$13,MATCH($A48,'Scratch Data'!$G$5:$G$13,1)))*(INDEX('Scratch Data'!$I$5:$I$13,MIN(MATCH($A48,'Scratch Data'!$G$5:$G$13,1)+1,ROWS('Scratch Data'!$G$5:$G$13)))-INDEX('Scratch Data'!$I$5:$I$13,MATCH($A48,'Scratch Data'!$G$5:$G$13,1)))/MAX(INDEX('Scratch Data'!$G$5:$G$13,MIN(MATCH($A48,'Scratch Data'!$G$5:$G$13,1)+1,ROWS('Scratch Data'!$G$5:$G$13)))-INDEX('Scratch Data'!$G$5:$G$13,MATCH($A48,'Scratch Data'!$G$5:$G$13,1)),0.0001)),0),1),100))+(1-(INDEX('Scratch Data'!$H$5:$H$13,MATCH($A48,'Scratch Data'!$G$5:$G$13,1))+($A48-INDEX('Scratch Data'!$G$5:$G$13,MATCH($A48,'Scratch Data'!$G$5:$G$13,1)))*(INDEX('Scratch Data'!$H$5:$H$13,MIN(MATCH($A48,'Scratch Data'!$G$5:$G$13,1)+1,ROWS('Scratch Data'!$G$5:$G$13)))-INDEX('Scratch Data'!$H$5:$H$13,MATCH($A48,'Scratch Data'!$G$5:$G$13,1)))/MAX(INDEX('Scratch Data'!$G$5:$G$13,MIN(MATCH($A48,'Scratch Data'!$G$5:$G$13,1)+1,ROWS('Scratch Data'!$G$5:$G$13)))-INDEX('Scratch Data'!$G$5:$G$13,MATCH($A48,'Scratch Data'!$G$5:$G$13,1)),0.0001)))*(INDEX('Scratch Data'!$J$5:$J$13,MATCH($A48,'Scratch Data'!$G$5:$G$13,1))+($A48-INDEX('Scratch Data'!$G$5:$G$13,MATCH($A48,'Scratch Data'!$G$5:$G$13,1)))*(INDEX('Scratch Data'!$J$5:$J$13,MIN(MATCH($A48,'Scratch Data'!$G$5:$G$13,1)+1,ROWS('Scratch Data'!$G$5:$G$13)))-INDEX('Scratch Data'!$J$5:$J$13,MATCH($A48,'Scratch Data'!$G$5:$G$13,1)))/MAX(INDEX('Scratch Data'!$G$5:$G$13,MIN(MATCH($A48,'Scratch Data'!$G$5:$G$13,1)+1,ROWS('Scratch Data'!$G$5:$G$13)))-INDEX('Scratch Data'!$G$5:$G$13,MATCH($A48,'Scratch Data'!$G$5:$G$13,1)),0.0001))),(1+Inputs!$B$19*INDEX(Baseline!$B$3:$B$122,MATCH(MIN(MAX(ROUND((MAX($A48-Inputs!$B$20,30))/5,0)*5,5),600),Baseline!$A$3:$A$122,0))+(1-Inputs!$B$19)*INDEX(Baseline!$C$3:$C$122,MATCH(MIN(MAX(ROUND((MAX($A48-Inputs!$B$20,30))/5,0)*5,5),600),Baseline!$A$3:$A$122,0)))),(1+Inputs!$B$19*INDEX(Baseline!$B$3:$B$122,MATCH(MIN(MAX(ROUND((MAX($A48-Inputs!$B$20,30))/5,0)*5,5),600),Baseline!$A$3:$A$122,0))+(1-Inputs!$B$19)*INDEX(Baseline!$C$3:$C$122,MATCH(MIN(MAX(ROUND((MAX($A48-Inputs!$B$20,30))/5,0)*5,5),600),Baseline!$A$3:$A$122,0)))))</f>
        <v>3.620916</v>
      </c>
      <c r="C48" s="10" t="n">
        <f aca="false">IF($A48&lt;=50,$B48+Inputs!$B$18,IF($A48&lt;=250,MIN((1+(INDEX('Scratch Data'!$H$5:$H$13,MATCH($A48,'Scratch Data'!$G$5:$G$13,1))+($A48-INDEX('Scratch Data'!$G$5:$G$13,MATCH($A48,'Scratch Data'!$G$5:$G$13,1)))*(INDEX('Scratch Data'!$H$5:$H$13,MIN(MATCH($A48,'Scratch Data'!$G$5:$G$13,1)+1,ROWS('Scratch Data'!$G$5:$G$13)))-INDEX('Scratch Data'!$H$5:$H$13,MATCH($A48,'Scratch Data'!$G$5:$G$13,1)))/MAX(INDEX('Scratch Data'!$G$5:$G$13,MIN(MATCH($A48,'Scratch Data'!$G$5:$G$13,1)+1,ROWS('Scratch Data'!$G$5:$G$13)))-INDEX('Scratch Data'!$G$5:$G$13,MATCH($A48,'Scratch Data'!$G$5:$G$13,1)),0.0001))*Inputs!$B$12*INDEX(Baseline!$I$3:$I$102,MIN(MAX(ROUND(Inputs!$B$11*(INDEX('Scratch Data'!$I$5:$I$13,MATCH($A48,'Scratch Data'!$G$5:$G$13,1))+($A48-INDEX('Scratch Data'!$G$5:$G$13,MATCH($A48,'Scratch Data'!$G$5:$G$13,1)))*(INDEX('Scratch Data'!$I$5:$I$13,MIN(MATCH($A48,'Scratch Data'!$G$5:$G$13,1)+1,ROWS('Scratch Data'!$G$5:$G$13)))-INDEX('Scratch Data'!$I$5:$I$13,MATCH($A48,'Scratch Data'!$G$5:$G$13,1)))/MAX(INDEX('Scratch Data'!$G$5:$G$13,MIN(MATCH($A48,'Scratch Data'!$G$5:$G$13,1)+1,ROWS('Scratch Data'!$G$5:$G$13)))-INDEX('Scratch Data'!$G$5:$G$13,MATCH($A48,'Scratch Data'!$G$5:$G$13,1)),0.0001))*Inputs!$B$13,0),1),100))+(1-(INDEX('Scratch Data'!$H$5:$H$13,MATCH($A48,'Scratch Data'!$G$5:$G$13,1))+($A48-INDEX('Scratch Data'!$G$5:$G$13,MATCH($A48,'Scratch Data'!$G$5:$G$13,1)))*(INDEX('Scratch Data'!$H$5:$H$13,MIN(MATCH($A48,'Scratch Data'!$G$5:$G$13,1)+1,ROWS('Scratch Data'!$G$5:$G$13)))-INDEX('Scratch Data'!$H$5:$H$13,MATCH($A48,'Scratch Data'!$G$5:$G$13,1)))/MAX(INDEX('Scratch Data'!$G$5:$G$13,MIN(MATCH($A48,'Scratch Data'!$G$5:$G$13,1)+1,ROWS('Scratch Data'!$G$5:$G$13)))-INDEX('Scratch Data'!$G$5:$G$13,MATCH($A48,'Scratch Data'!$G$5:$G$13,1)),0.0001))*Inputs!$B$12)*((INDEX('Scratch Data'!$J$5:$J$13,MATCH($A48,'Scratch Data'!$G$5:$G$13,1))+($A48-INDEX('Scratch Data'!$G$5:$G$13,MATCH($A48,'Scratch Data'!$G$5:$G$13,1)))*(INDEX('Scratch Data'!$J$5:$J$13,MIN(MATCH($A48,'Scratch Data'!$G$5:$G$13,1)+1,ROWS('Scratch Data'!$G$5:$G$13)))-INDEX('Scratch Data'!$J$5:$J$13,MATCH($A48,'Scratch Data'!$G$5:$G$13,1)))/MAX(INDEX('Scratch Data'!$G$5:$G$13,MIN(MATCH($A48,'Scratch Data'!$G$5:$G$13,1)+1,ROWS('Scratch Data'!$G$5:$G$13)))-INDEX('Scratch Data'!$G$5:$G$13,MATCH($A48,'Scratch Data'!$G$5:$G$13,1)),0.0001))+Inputs!$B$14)),(1+Inputs!$B$19*INDEX(Baseline!$B$3:$B$122,MATCH(MIN(MAX(ROUND((MAX($A48-Inputs!$B$21,30))/5,0)*5,5),600),Baseline!$A$3:$A$122,0))+(1-Inputs!$B$19)*INDEX(Baseline!$C$3:$C$122,MATCH(MIN(MAX(ROUND((MAX($A48-Inputs!$B$21,30))/5,0)*5,5),600),Baseline!$A$3:$A$122,0))+Inputs!$B$14)),(1+Inputs!$B$19*INDEX(Baseline!$B$3:$B$122,MATCH(MIN(MAX(ROUND((MAX($A48-Inputs!$B$21,30))/5,0)*5,5),600),Baseline!$A$3:$A$122,0))+(1-Inputs!$B$19)*INDEX(Baseline!$C$3:$C$122,MATCH(MIN(MAX(ROUND((MAX($A48-Inputs!$B$21,30))/5,0)*5,5),600),Baseline!$A$3:$A$122,0))+Inputs!$B$14)))</f>
        <v>3.7553936</v>
      </c>
      <c r="D48" s="10" t="n">
        <f aca="false">IF($A48&lt;=50,(INDEX('Scratch Data'!$P$5:$P$11,MATCH($A48,'Scratch Data'!$O$5:$O$11,1))+($A48-INDEX('Scratch Data'!$O$5:$O$11,MATCH($A48,'Scratch Data'!$O$5:$O$11,1)))*(INDEX('Scratch Data'!$P$5:$P$11,MIN(MATCH($A48,'Scratch Data'!$O$5:$O$11,1)+1,ROWS('Scratch Data'!$O$5:$O$11)))-INDEX('Scratch Data'!$P$5:$P$11,MATCH($A48,'Scratch Data'!$O$5:$O$11,1)))/MAX(INDEX('Scratch Data'!$O$5:$O$11,MIN(MATCH($A48,'Scratch Data'!$O$5:$O$11,1)+1,ROWS('Scratch Data'!$O$5:$O$11)))-INDEX('Scratch Data'!$O$5:$O$11,MATCH($A48,'Scratch Data'!$O$5:$O$11,1)),0.0001)),IF($A48&lt;=250,MIN((1+(INDEX('Scratch Data'!$H$5:$H$13,MATCH($A48,'Scratch Data'!$G$5:$G$13,1))+($A48-INDEX('Scratch Data'!$G$5:$G$13,MATCH($A48,'Scratch Data'!$G$5:$G$13,1)))*(INDEX('Scratch Data'!$H$5:$H$13,MIN(MATCH($A48,'Scratch Data'!$G$5:$G$13,1)+1,ROWS('Scratch Data'!$G$5:$G$13)))-INDEX('Scratch Data'!$H$5:$H$13,MATCH($A48,'Scratch Data'!$G$5:$G$13,1)))/MAX(INDEX('Scratch Data'!$G$5:$G$13,MIN(MATCH($A48,'Scratch Data'!$G$5:$G$13,1)+1,ROWS('Scratch Data'!$G$5:$G$13)))-INDEX('Scratch Data'!$G$5:$G$13,MATCH($A48,'Scratch Data'!$G$5:$G$13,1)),0.0001))*Inputs!$B$15*INDEX(Baseline!$I$3:$I$102,MIN(MAX(ROUND(Inputs!$B$11*(INDEX('Scratch Data'!$I$5:$I$13,MATCH($A48,'Scratch Data'!$G$5:$G$13,1))+($A48-INDEX('Scratch Data'!$G$5:$G$13,MATCH($A48,'Scratch Data'!$G$5:$G$13,1)))*(INDEX('Scratch Data'!$I$5:$I$13,MIN(MATCH($A48,'Scratch Data'!$G$5:$G$13,1)+1,ROWS('Scratch Data'!$G$5:$G$13)))-INDEX('Scratch Data'!$I$5:$I$13,MATCH($A48,'Scratch Data'!$G$5:$G$13,1)))/MAX(INDEX('Scratch Data'!$G$5:$G$13,MIN(MATCH($A48,'Scratch Data'!$G$5:$G$13,1)+1,ROWS('Scratch Data'!$G$5:$G$13)))-INDEX('Scratch Data'!$G$5:$G$13,MATCH($A48,'Scratch Data'!$G$5:$G$13,1)),0.0001))*Inputs!$B$16,0),1),100))+(1-(INDEX('Scratch Data'!$H$5:$H$13,MATCH($A48,'Scratch Data'!$G$5:$G$13,1))+($A48-INDEX('Scratch Data'!$G$5:$G$13,MATCH($A48,'Scratch Data'!$G$5:$G$13,1)))*(INDEX('Scratch Data'!$H$5:$H$13,MIN(MATCH($A48,'Scratch Data'!$G$5:$G$13,1)+1,ROWS('Scratch Data'!$G$5:$G$13)))-INDEX('Scratch Data'!$H$5:$H$13,MATCH($A48,'Scratch Data'!$G$5:$G$13,1)))/MAX(INDEX('Scratch Data'!$G$5:$G$13,MIN(MATCH($A48,'Scratch Data'!$G$5:$G$13,1)+1,ROWS('Scratch Data'!$G$5:$G$13)))-INDEX('Scratch Data'!$G$5:$G$13,MATCH($A48,'Scratch Data'!$G$5:$G$13,1)),0.0001))*Inputs!$B$15)*((INDEX('Scratch Data'!$J$5:$J$13,MATCH($A48,'Scratch Data'!$G$5:$G$13,1))+($A48-INDEX('Scratch Data'!$G$5:$G$13,MATCH($A48,'Scratch Data'!$G$5:$G$13,1)))*(INDEX('Scratch Data'!$J$5:$J$13,MIN(MATCH($A48,'Scratch Data'!$G$5:$G$13,1)+1,ROWS('Scratch Data'!$G$5:$G$13)))-INDEX('Scratch Data'!$J$5:$J$13,MATCH($A48,'Scratch Data'!$G$5:$G$13,1)))/MAX(INDEX('Scratch Data'!$G$5:$G$13,MIN(MATCH($A48,'Scratch Data'!$G$5:$G$13,1)+1,ROWS('Scratch Data'!$G$5:$G$13)))-INDEX('Scratch Data'!$G$5:$G$13,MATCH($A48,'Scratch Data'!$G$5:$G$13,1)),0.0001))+Inputs!$B$17)),(1+Inputs!$B$19*INDEX(Baseline!$B$3:$B$122,MATCH(MIN(MAX(ROUND((MAX($A48-Inputs!$B$22,30))/5,0)*5,5),600),Baseline!$A$3:$A$122,0))+(1-Inputs!$B$19)*INDEX(Baseline!$C$3:$C$122,MATCH(MIN(MAX(ROUND((MAX($A48-Inputs!$B$22,30))/5,0)*5,5),600),Baseline!$A$3:$A$122,0))+Inputs!$B$17)),(1+Inputs!$B$19*INDEX(Baseline!$B$3:$B$122,MATCH(MIN(MAX(ROUND((MAX($A48-Inputs!$B$22,30))/5,0)*5,5),600),Baseline!$A$3:$A$122,0))+(1-Inputs!$B$19)*INDEX(Baseline!$C$3:$C$122,MATCH(MIN(MAX(ROUND((MAX($A48-Inputs!$B$22,30))/5,0)*5,5),600),Baseline!$A$3:$A$122,0))+Inputs!$B$17)))</f>
        <v>3.8709355</v>
      </c>
      <c r="E48" s="10" t="n">
        <f aca="false">1+Inputs!$B$24+0.6*INDEX(Baseline!$B$3:$B$122,MATCH(MIN(MAX(ROUND((MAX($A48-Inputs!$B$23,15))/5,0)*5,5),600),Baseline!$A$3:$A$122,0))+0.4*INDEX(Baseline!$C$3:$C$122,MATCH(MIN(MAX(ROUND((MAX($A48-Inputs!$B$23,15))/5,0)*5,5),600),Baseline!$A$3:$A$122,0))</f>
        <v>4.315572992</v>
      </c>
      <c r="H48" s="7" t="n">
        <v>46</v>
      </c>
      <c r="I48" s="10" t="n">
        <f aca="false">(INDEX('Scratch Data'!$E$5:$E$22,MATCH($H48,'Scratch Data'!$A$5:$A$22,1))+($H48-INDEX('Scratch Data'!$A$5:$A$22,MATCH($H48,'Scratch Data'!$A$5:$A$22,1)))*(INDEX('Scratch Data'!$E$5:$E$22,MIN(MATCH($H48,'Scratch Data'!$A$5:$A$22,1)+1,ROWS('Scratch Data'!$A$5:$A$22)))-INDEX('Scratch Data'!$E$5:$E$22,MATCH($H48,'Scratch Data'!$A$5:$A$22,1)))/MAX(INDEX('Scratch Data'!$A$5:$A$22,MIN(MATCH($H48,'Scratch Data'!$A$5:$A$22,1)+1,ROWS('Scratch Data'!$A$5:$A$22)))-INDEX('Scratch Data'!$A$5:$A$22,MATCH($H48,'Scratch Data'!$A$5:$A$22,1)),0.0001))</f>
        <v>2.221</v>
      </c>
    </row>
    <row r="49" customFormat="false" ht="15" hidden="false" customHeight="false" outlineLevel="0" collapsed="false">
      <c r="A49" s="7" t="n">
        <v>235</v>
      </c>
      <c r="B49" s="10" t="n">
        <f aca="false">IF($A49&lt;=50,(INDEX('Scratch Data'!$M$5:$M$12,MATCH($A49,'Scratch Data'!$L$5:$L$12,1))+($A49-INDEX('Scratch Data'!$L$5:$L$12,MATCH($A49,'Scratch Data'!$L$5:$L$12,1)))*(INDEX('Scratch Data'!$M$5:$M$12,MIN(MATCH($A49,'Scratch Data'!$L$5:$L$12,1)+1,ROWS('Scratch Data'!$L$5:$L$12)))-INDEX('Scratch Data'!$M$5:$M$12,MATCH($A49,'Scratch Data'!$L$5:$L$12,1)))/MAX(INDEX('Scratch Data'!$L$5:$L$12,MIN(MATCH($A49,'Scratch Data'!$L$5:$L$12,1)+1,ROWS('Scratch Data'!$L$5:$L$12)))-INDEX('Scratch Data'!$L$5:$L$12,MATCH($A49,'Scratch Data'!$L$5:$L$12,1)),0.0001)),IF($A49&lt;=250,MIN((1+(INDEX('Scratch Data'!$H$5:$H$13,MATCH($A49,'Scratch Data'!$G$5:$G$13,1))+($A49-INDEX('Scratch Data'!$G$5:$G$13,MATCH($A49,'Scratch Data'!$G$5:$G$13,1)))*(INDEX('Scratch Data'!$H$5:$H$13,MIN(MATCH($A49,'Scratch Data'!$G$5:$G$13,1)+1,ROWS('Scratch Data'!$G$5:$G$13)))-INDEX('Scratch Data'!$H$5:$H$13,MATCH($A49,'Scratch Data'!$G$5:$G$13,1)))/MAX(INDEX('Scratch Data'!$G$5:$G$13,MIN(MATCH($A49,'Scratch Data'!$G$5:$G$13,1)+1,ROWS('Scratch Data'!$G$5:$G$13)))-INDEX('Scratch Data'!$G$5:$G$13,MATCH($A49,'Scratch Data'!$G$5:$G$13,1)),0.0001))*INDEX(Baseline!$I$3:$I$102,MIN(MAX(ROUND(Inputs!$B$11*(INDEX('Scratch Data'!$I$5:$I$13,MATCH($A49,'Scratch Data'!$G$5:$G$13,1))+($A49-INDEX('Scratch Data'!$G$5:$G$13,MATCH($A49,'Scratch Data'!$G$5:$G$13,1)))*(INDEX('Scratch Data'!$I$5:$I$13,MIN(MATCH($A49,'Scratch Data'!$G$5:$G$13,1)+1,ROWS('Scratch Data'!$G$5:$G$13)))-INDEX('Scratch Data'!$I$5:$I$13,MATCH($A49,'Scratch Data'!$G$5:$G$13,1)))/MAX(INDEX('Scratch Data'!$G$5:$G$13,MIN(MATCH($A49,'Scratch Data'!$G$5:$G$13,1)+1,ROWS('Scratch Data'!$G$5:$G$13)))-INDEX('Scratch Data'!$G$5:$G$13,MATCH($A49,'Scratch Data'!$G$5:$G$13,1)),0.0001)),0),1),100))+(1-(INDEX('Scratch Data'!$H$5:$H$13,MATCH($A49,'Scratch Data'!$G$5:$G$13,1))+($A49-INDEX('Scratch Data'!$G$5:$G$13,MATCH($A49,'Scratch Data'!$G$5:$G$13,1)))*(INDEX('Scratch Data'!$H$5:$H$13,MIN(MATCH($A49,'Scratch Data'!$G$5:$G$13,1)+1,ROWS('Scratch Data'!$G$5:$G$13)))-INDEX('Scratch Data'!$H$5:$H$13,MATCH($A49,'Scratch Data'!$G$5:$G$13,1)))/MAX(INDEX('Scratch Data'!$G$5:$G$13,MIN(MATCH($A49,'Scratch Data'!$G$5:$G$13,1)+1,ROWS('Scratch Data'!$G$5:$G$13)))-INDEX('Scratch Data'!$G$5:$G$13,MATCH($A49,'Scratch Data'!$G$5:$G$13,1)),0.0001)))*(INDEX('Scratch Data'!$J$5:$J$13,MATCH($A49,'Scratch Data'!$G$5:$G$13,1))+($A49-INDEX('Scratch Data'!$G$5:$G$13,MATCH($A49,'Scratch Data'!$G$5:$G$13,1)))*(INDEX('Scratch Data'!$J$5:$J$13,MIN(MATCH($A49,'Scratch Data'!$G$5:$G$13,1)+1,ROWS('Scratch Data'!$G$5:$G$13)))-INDEX('Scratch Data'!$J$5:$J$13,MATCH($A49,'Scratch Data'!$G$5:$G$13,1)))/MAX(INDEX('Scratch Data'!$G$5:$G$13,MIN(MATCH($A49,'Scratch Data'!$G$5:$G$13,1)+1,ROWS('Scratch Data'!$G$5:$G$13)))-INDEX('Scratch Data'!$G$5:$G$13,MATCH($A49,'Scratch Data'!$G$5:$G$13,1)),0.0001))),(1+Inputs!$B$19*INDEX(Baseline!$B$3:$B$122,MATCH(MIN(MAX(ROUND((MAX($A49-Inputs!$B$20,30))/5,0)*5,5),600),Baseline!$A$3:$A$122,0))+(1-Inputs!$B$19)*INDEX(Baseline!$C$3:$C$122,MATCH(MIN(MAX(ROUND((MAX($A49-Inputs!$B$20,30))/5,0)*5,5),600),Baseline!$A$3:$A$122,0)))),(1+Inputs!$B$19*INDEX(Baseline!$B$3:$B$122,MATCH(MIN(MAX(ROUND((MAX($A49-Inputs!$B$20,30))/5,0)*5,5),600),Baseline!$A$3:$A$122,0))+(1-Inputs!$B$19)*INDEX(Baseline!$C$3:$C$122,MATCH(MIN(MAX(ROUND((MAX($A49-Inputs!$B$20,30))/5,0)*5,5),600),Baseline!$A$3:$A$122,0)))))</f>
        <v>3.64</v>
      </c>
      <c r="C49" s="10" t="n">
        <f aca="false">IF($A49&lt;=50,$B49+Inputs!$B$18,IF($A49&lt;=250,MIN((1+(INDEX('Scratch Data'!$H$5:$H$13,MATCH($A49,'Scratch Data'!$G$5:$G$13,1))+($A49-INDEX('Scratch Data'!$G$5:$G$13,MATCH($A49,'Scratch Data'!$G$5:$G$13,1)))*(INDEX('Scratch Data'!$H$5:$H$13,MIN(MATCH($A49,'Scratch Data'!$G$5:$G$13,1)+1,ROWS('Scratch Data'!$G$5:$G$13)))-INDEX('Scratch Data'!$H$5:$H$13,MATCH($A49,'Scratch Data'!$G$5:$G$13,1)))/MAX(INDEX('Scratch Data'!$G$5:$G$13,MIN(MATCH($A49,'Scratch Data'!$G$5:$G$13,1)+1,ROWS('Scratch Data'!$G$5:$G$13)))-INDEX('Scratch Data'!$G$5:$G$13,MATCH($A49,'Scratch Data'!$G$5:$G$13,1)),0.0001))*Inputs!$B$12*INDEX(Baseline!$I$3:$I$102,MIN(MAX(ROUND(Inputs!$B$11*(INDEX('Scratch Data'!$I$5:$I$13,MATCH($A49,'Scratch Data'!$G$5:$G$13,1))+($A49-INDEX('Scratch Data'!$G$5:$G$13,MATCH($A49,'Scratch Data'!$G$5:$G$13,1)))*(INDEX('Scratch Data'!$I$5:$I$13,MIN(MATCH($A49,'Scratch Data'!$G$5:$G$13,1)+1,ROWS('Scratch Data'!$G$5:$G$13)))-INDEX('Scratch Data'!$I$5:$I$13,MATCH($A49,'Scratch Data'!$G$5:$G$13,1)))/MAX(INDEX('Scratch Data'!$G$5:$G$13,MIN(MATCH($A49,'Scratch Data'!$G$5:$G$13,1)+1,ROWS('Scratch Data'!$G$5:$G$13)))-INDEX('Scratch Data'!$G$5:$G$13,MATCH($A49,'Scratch Data'!$G$5:$G$13,1)),0.0001))*Inputs!$B$13,0),1),100))+(1-(INDEX('Scratch Data'!$H$5:$H$13,MATCH($A49,'Scratch Data'!$G$5:$G$13,1))+($A49-INDEX('Scratch Data'!$G$5:$G$13,MATCH($A49,'Scratch Data'!$G$5:$G$13,1)))*(INDEX('Scratch Data'!$H$5:$H$13,MIN(MATCH($A49,'Scratch Data'!$G$5:$G$13,1)+1,ROWS('Scratch Data'!$G$5:$G$13)))-INDEX('Scratch Data'!$H$5:$H$13,MATCH($A49,'Scratch Data'!$G$5:$G$13,1)))/MAX(INDEX('Scratch Data'!$G$5:$G$13,MIN(MATCH($A49,'Scratch Data'!$G$5:$G$13,1)+1,ROWS('Scratch Data'!$G$5:$G$13)))-INDEX('Scratch Data'!$G$5:$G$13,MATCH($A49,'Scratch Data'!$G$5:$G$13,1)),0.0001))*Inputs!$B$12)*((INDEX('Scratch Data'!$J$5:$J$13,MATCH($A49,'Scratch Data'!$G$5:$G$13,1))+($A49-INDEX('Scratch Data'!$G$5:$G$13,MATCH($A49,'Scratch Data'!$G$5:$G$13,1)))*(INDEX('Scratch Data'!$J$5:$J$13,MIN(MATCH($A49,'Scratch Data'!$G$5:$G$13,1)+1,ROWS('Scratch Data'!$G$5:$G$13)))-INDEX('Scratch Data'!$J$5:$J$13,MATCH($A49,'Scratch Data'!$G$5:$G$13,1)))/MAX(INDEX('Scratch Data'!$G$5:$G$13,MIN(MATCH($A49,'Scratch Data'!$G$5:$G$13,1)+1,ROWS('Scratch Data'!$G$5:$G$13)))-INDEX('Scratch Data'!$G$5:$G$13,MATCH($A49,'Scratch Data'!$G$5:$G$13,1)),0.0001))+Inputs!$B$14)),(1+Inputs!$B$19*INDEX(Baseline!$B$3:$B$122,MATCH(MIN(MAX(ROUND((MAX($A49-Inputs!$B$21,30))/5,0)*5,5),600),Baseline!$A$3:$A$122,0))+(1-Inputs!$B$19)*INDEX(Baseline!$C$3:$C$122,MATCH(MIN(MAX(ROUND((MAX($A49-Inputs!$B$21,30))/5,0)*5,5),600),Baseline!$A$3:$A$122,0))+Inputs!$B$14)),(1+Inputs!$B$19*INDEX(Baseline!$B$3:$B$122,MATCH(MIN(MAX(ROUND((MAX($A49-Inputs!$B$21,30))/5,0)*5,5),600),Baseline!$A$3:$A$122,0))+(1-Inputs!$B$19)*INDEX(Baseline!$C$3:$C$122,MATCH(MIN(MAX(ROUND((MAX($A49-Inputs!$B$21,30))/5,0)*5,5),600),Baseline!$A$3:$A$122,0))+Inputs!$B$14)))</f>
        <v>3.7822016</v>
      </c>
      <c r="D49" s="10" t="n">
        <f aca="false">IF($A49&lt;=50,(INDEX('Scratch Data'!$P$5:$P$11,MATCH($A49,'Scratch Data'!$O$5:$O$11,1))+($A49-INDEX('Scratch Data'!$O$5:$O$11,MATCH($A49,'Scratch Data'!$O$5:$O$11,1)))*(INDEX('Scratch Data'!$P$5:$P$11,MIN(MATCH($A49,'Scratch Data'!$O$5:$O$11,1)+1,ROWS('Scratch Data'!$O$5:$O$11)))-INDEX('Scratch Data'!$P$5:$P$11,MATCH($A49,'Scratch Data'!$O$5:$O$11,1)))/MAX(INDEX('Scratch Data'!$O$5:$O$11,MIN(MATCH($A49,'Scratch Data'!$O$5:$O$11,1)+1,ROWS('Scratch Data'!$O$5:$O$11)))-INDEX('Scratch Data'!$O$5:$O$11,MATCH($A49,'Scratch Data'!$O$5:$O$11,1)),0.0001)),IF($A49&lt;=250,MIN((1+(INDEX('Scratch Data'!$H$5:$H$13,MATCH($A49,'Scratch Data'!$G$5:$G$13,1))+($A49-INDEX('Scratch Data'!$G$5:$G$13,MATCH($A49,'Scratch Data'!$G$5:$G$13,1)))*(INDEX('Scratch Data'!$H$5:$H$13,MIN(MATCH($A49,'Scratch Data'!$G$5:$G$13,1)+1,ROWS('Scratch Data'!$G$5:$G$13)))-INDEX('Scratch Data'!$H$5:$H$13,MATCH($A49,'Scratch Data'!$G$5:$G$13,1)))/MAX(INDEX('Scratch Data'!$G$5:$G$13,MIN(MATCH($A49,'Scratch Data'!$G$5:$G$13,1)+1,ROWS('Scratch Data'!$G$5:$G$13)))-INDEX('Scratch Data'!$G$5:$G$13,MATCH($A49,'Scratch Data'!$G$5:$G$13,1)),0.0001))*Inputs!$B$15*INDEX(Baseline!$I$3:$I$102,MIN(MAX(ROUND(Inputs!$B$11*(INDEX('Scratch Data'!$I$5:$I$13,MATCH($A49,'Scratch Data'!$G$5:$G$13,1))+($A49-INDEX('Scratch Data'!$G$5:$G$13,MATCH($A49,'Scratch Data'!$G$5:$G$13,1)))*(INDEX('Scratch Data'!$I$5:$I$13,MIN(MATCH($A49,'Scratch Data'!$G$5:$G$13,1)+1,ROWS('Scratch Data'!$G$5:$G$13)))-INDEX('Scratch Data'!$I$5:$I$13,MATCH($A49,'Scratch Data'!$G$5:$G$13,1)))/MAX(INDEX('Scratch Data'!$G$5:$G$13,MIN(MATCH($A49,'Scratch Data'!$G$5:$G$13,1)+1,ROWS('Scratch Data'!$G$5:$G$13)))-INDEX('Scratch Data'!$G$5:$G$13,MATCH($A49,'Scratch Data'!$G$5:$G$13,1)),0.0001))*Inputs!$B$16,0),1),100))+(1-(INDEX('Scratch Data'!$H$5:$H$13,MATCH($A49,'Scratch Data'!$G$5:$G$13,1))+($A49-INDEX('Scratch Data'!$G$5:$G$13,MATCH($A49,'Scratch Data'!$G$5:$G$13,1)))*(INDEX('Scratch Data'!$H$5:$H$13,MIN(MATCH($A49,'Scratch Data'!$G$5:$G$13,1)+1,ROWS('Scratch Data'!$G$5:$G$13)))-INDEX('Scratch Data'!$H$5:$H$13,MATCH($A49,'Scratch Data'!$G$5:$G$13,1)))/MAX(INDEX('Scratch Data'!$G$5:$G$13,MIN(MATCH($A49,'Scratch Data'!$G$5:$G$13,1)+1,ROWS('Scratch Data'!$G$5:$G$13)))-INDEX('Scratch Data'!$G$5:$G$13,MATCH($A49,'Scratch Data'!$G$5:$G$13,1)),0.0001))*Inputs!$B$15)*((INDEX('Scratch Data'!$J$5:$J$13,MATCH($A49,'Scratch Data'!$G$5:$G$13,1))+($A49-INDEX('Scratch Data'!$G$5:$G$13,MATCH($A49,'Scratch Data'!$G$5:$G$13,1)))*(INDEX('Scratch Data'!$J$5:$J$13,MIN(MATCH($A49,'Scratch Data'!$G$5:$G$13,1)+1,ROWS('Scratch Data'!$G$5:$G$13)))-INDEX('Scratch Data'!$J$5:$J$13,MATCH($A49,'Scratch Data'!$G$5:$G$13,1)))/MAX(INDEX('Scratch Data'!$G$5:$G$13,MIN(MATCH($A49,'Scratch Data'!$G$5:$G$13,1)+1,ROWS('Scratch Data'!$G$5:$G$13)))-INDEX('Scratch Data'!$G$5:$G$13,MATCH($A49,'Scratch Data'!$G$5:$G$13,1)),0.0001))+Inputs!$B$17)),(1+Inputs!$B$19*INDEX(Baseline!$B$3:$B$122,MATCH(MIN(MAX(ROUND((MAX($A49-Inputs!$B$22,30))/5,0)*5,5),600),Baseline!$A$3:$A$122,0))+(1-Inputs!$B$19)*INDEX(Baseline!$C$3:$C$122,MATCH(MIN(MAX(ROUND((MAX($A49-Inputs!$B$22,30))/5,0)*5,5),600),Baseline!$A$3:$A$122,0))+Inputs!$B$17)),(1+Inputs!$B$19*INDEX(Baseline!$B$3:$B$122,MATCH(MIN(MAX(ROUND((MAX($A49-Inputs!$B$22,30))/5,0)*5,5),600),Baseline!$A$3:$A$122,0))+(1-Inputs!$B$19)*INDEX(Baseline!$C$3:$C$122,MATCH(MIN(MAX(ROUND((MAX($A49-Inputs!$B$22,30))/5,0)*5,5),600),Baseline!$A$3:$A$122,0))+Inputs!$B$17)))</f>
        <v>3.8973302</v>
      </c>
      <c r="E49" s="10" t="n">
        <f aca="false">1+Inputs!$B$24+0.6*INDEX(Baseline!$B$3:$B$122,MATCH(MIN(MAX(ROUND((MAX($A49-Inputs!$B$23,15))/5,0)*5,5),600),Baseline!$A$3:$A$122,0))+0.4*INDEX(Baseline!$C$3:$C$122,MATCH(MIN(MAX(ROUND((MAX($A49-Inputs!$B$23,15))/5,0)*5,5),600),Baseline!$A$3:$A$122,0))</f>
        <v>4.339606912</v>
      </c>
      <c r="H49" s="7" t="n">
        <v>47</v>
      </c>
      <c r="I49" s="10" t="n">
        <f aca="false">(INDEX('Scratch Data'!$E$5:$E$22,MATCH($H49,'Scratch Data'!$A$5:$A$22,1))+($H49-INDEX('Scratch Data'!$A$5:$A$22,MATCH($H49,'Scratch Data'!$A$5:$A$22,1)))*(INDEX('Scratch Data'!$E$5:$E$22,MIN(MATCH($H49,'Scratch Data'!$A$5:$A$22,1)+1,ROWS('Scratch Data'!$A$5:$A$22)))-INDEX('Scratch Data'!$E$5:$E$22,MATCH($H49,'Scratch Data'!$A$5:$A$22,1)))/MAX(INDEX('Scratch Data'!$A$5:$A$22,MIN(MATCH($H49,'Scratch Data'!$A$5:$A$22,1)+1,ROWS('Scratch Data'!$A$5:$A$22)))-INDEX('Scratch Data'!$A$5:$A$22,MATCH($H49,'Scratch Data'!$A$5:$A$22,1)),0.0001))</f>
        <v>2.2295</v>
      </c>
    </row>
    <row r="50" customFormat="false" ht="15" hidden="false" customHeight="false" outlineLevel="0" collapsed="false">
      <c r="A50" s="7" t="n">
        <v>240</v>
      </c>
      <c r="B50" s="10" t="n">
        <f aca="false">IF($A50&lt;=50,(INDEX('Scratch Data'!$M$5:$M$12,MATCH($A50,'Scratch Data'!$L$5:$L$12,1))+($A50-INDEX('Scratch Data'!$L$5:$L$12,MATCH($A50,'Scratch Data'!$L$5:$L$12,1)))*(INDEX('Scratch Data'!$M$5:$M$12,MIN(MATCH($A50,'Scratch Data'!$L$5:$L$12,1)+1,ROWS('Scratch Data'!$L$5:$L$12)))-INDEX('Scratch Data'!$M$5:$M$12,MATCH($A50,'Scratch Data'!$L$5:$L$12,1)))/MAX(INDEX('Scratch Data'!$L$5:$L$12,MIN(MATCH($A50,'Scratch Data'!$L$5:$L$12,1)+1,ROWS('Scratch Data'!$L$5:$L$12)))-INDEX('Scratch Data'!$L$5:$L$12,MATCH($A50,'Scratch Data'!$L$5:$L$12,1)),0.0001)),IF($A50&lt;=250,MIN((1+(INDEX('Scratch Data'!$H$5:$H$13,MATCH($A50,'Scratch Data'!$G$5:$G$13,1))+($A50-INDEX('Scratch Data'!$G$5:$G$13,MATCH($A50,'Scratch Data'!$G$5:$G$13,1)))*(INDEX('Scratch Data'!$H$5:$H$13,MIN(MATCH($A50,'Scratch Data'!$G$5:$G$13,1)+1,ROWS('Scratch Data'!$G$5:$G$13)))-INDEX('Scratch Data'!$H$5:$H$13,MATCH($A50,'Scratch Data'!$G$5:$G$13,1)))/MAX(INDEX('Scratch Data'!$G$5:$G$13,MIN(MATCH($A50,'Scratch Data'!$G$5:$G$13,1)+1,ROWS('Scratch Data'!$G$5:$G$13)))-INDEX('Scratch Data'!$G$5:$G$13,MATCH($A50,'Scratch Data'!$G$5:$G$13,1)),0.0001))*INDEX(Baseline!$I$3:$I$102,MIN(MAX(ROUND(Inputs!$B$11*(INDEX('Scratch Data'!$I$5:$I$13,MATCH($A50,'Scratch Data'!$G$5:$G$13,1))+($A50-INDEX('Scratch Data'!$G$5:$G$13,MATCH($A50,'Scratch Data'!$G$5:$G$13,1)))*(INDEX('Scratch Data'!$I$5:$I$13,MIN(MATCH($A50,'Scratch Data'!$G$5:$G$13,1)+1,ROWS('Scratch Data'!$G$5:$G$13)))-INDEX('Scratch Data'!$I$5:$I$13,MATCH($A50,'Scratch Data'!$G$5:$G$13,1)))/MAX(INDEX('Scratch Data'!$G$5:$G$13,MIN(MATCH($A50,'Scratch Data'!$G$5:$G$13,1)+1,ROWS('Scratch Data'!$G$5:$G$13)))-INDEX('Scratch Data'!$G$5:$G$13,MATCH($A50,'Scratch Data'!$G$5:$G$13,1)),0.0001)),0),1),100))+(1-(INDEX('Scratch Data'!$H$5:$H$13,MATCH($A50,'Scratch Data'!$G$5:$G$13,1))+($A50-INDEX('Scratch Data'!$G$5:$G$13,MATCH($A50,'Scratch Data'!$G$5:$G$13,1)))*(INDEX('Scratch Data'!$H$5:$H$13,MIN(MATCH($A50,'Scratch Data'!$G$5:$G$13,1)+1,ROWS('Scratch Data'!$G$5:$G$13)))-INDEX('Scratch Data'!$H$5:$H$13,MATCH($A50,'Scratch Data'!$G$5:$G$13,1)))/MAX(INDEX('Scratch Data'!$G$5:$G$13,MIN(MATCH($A50,'Scratch Data'!$G$5:$G$13,1)+1,ROWS('Scratch Data'!$G$5:$G$13)))-INDEX('Scratch Data'!$G$5:$G$13,MATCH($A50,'Scratch Data'!$G$5:$G$13,1)),0.0001)))*(INDEX('Scratch Data'!$J$5:$J$13,MATCH($A50,'Scratch Data'!$G$5:$G$13,1))+($A50-INDEX('Scratch Data'!$G$5:$G$13,MATCH($A50,'Scratch Data'!$G$5:$G$13,1)))*(INDEX('Scratch Data'!$J$5:$J$13,MIN(MATCH($A50,'Scratch Data'!$G$5:$G$13,1)+1,ROWS('Scratch Data'!$G$5:$G$13)))-INDEX('Scratch Data'!$J$5:$J$13,MATCH($A50,'Scratch Data'!$G$5:$G$13,1)))/MAX(INDEX('Scratch Data'!$G$5:$G$13,MIN(MATCH($A50,'Scratch Data'!$G$5:$G$13,1)+1,ROWS('Scratch Data'!$G$5:$G$13)))-INDEX('Scratch Data'!$G$5:$G$13,MATCH($A50,'Scratch Data'!$G$5:$G$13,1)),0.0001))),(1+Inputs!$B$19*INDEX(Baseline!$B$3:$B$122,MATCH(MIN(MAX(ROUND((MAX($A50-Inputs!$B$20,30))/5,0)*5,5),600),Baseline!$A$3:$A$122,0))+(1-Inputs!$B$19)*INDEX(Baseline!$C$3:$C$122,MATCH(MIN(MAX(ROUND((MAX($A50-Inputs!$B$20,30))/5,0)*5,5),600),Baseline!$A$3:$A$122,0)))),(1+Inputs!$B$19*INDEX(Baseline!$B$3:$B$122,MATCH(MIN(MAX(ROUND((MAX($A50-Inputs!$B$20,30))/5,0)*5,5),600),Baseline!$A$3:$A$122,0))+(1-Inputs!$B$19)*INDEX(Baseline!$C$3:$C$122,MATCH(MIN(MAX(ROUND((MAX($A50-Inputs!$B$20,30))/5,0)*5,5),600),Baseline!$A$3:$A$122,0)))))</f>
        <v>3.64</v>
      </c>
      <c r="C50" s="10" t="n">
        <f aca="false">IF($A50&lt;=50,$B50+Inputs!$B$18,IF($A50&lt;=250,MIN((1+(INDEX('Scratch Data'!$H$5:$H$13,MATCH($A50,'Scratch Data'!$G$5:$G$13,1))+($A50-INDEX('Scratch Data'!$G$5:$G$13,MATCH($A50,'Scratch Data'!$G$5:$G$13,1)))*(INDEX('Scratch Data'!$H$5:$H$13,MIN(MATCH($A50,'Scratch Data'!$G$5:$G$13,1)+1,ROWS('Scratch Data'!$G$5:$G$13)))-INDEX('Scratch Data'!$H$5:$H$13,MATCH($A50,'Scratch Data'!$G$5:$G$13,1)))/MAX(INDEX('Scratch Data'!$G$5:$G$13,MIN(MATCH($A50,'Scratch Data'!$G$5:$G$13,1)+1,ROWS('Scratch Data'!$G$5:$G$13)))-INDEX('Scratch Data'!$G$5:$G$13,MATCH($A50,'Scratch Data'!$G$5:$G$13,1)),0.0001))*Inputs!$B$12*INDEX(Baseline!$I$3:$I$102,MIN(MAX(ROUND(Inputs!$B$11*(INDEX('Scratch Data'!$I$5:$I$13,MATCH($A50,'Scratch Data'!$G$5:$G$13,1))+($A50-INDEX('Scratch Data'!$G$5:$G$13,MATCH($A50,'Scratch Data'!$G$5:$G$13,1)))*(INDEX('Scratch Data'!$I$5:$I$13,MIN(MATCH($A50,'Scratch Data'!$G$5:$G$13,1)+1,ROWS('Scratch Data'!$G$5:$G$13)))-INDEX('Scratch Data'!$I$5:$I$13,MATCH($A50,'Scratch Data'!$G$5:$G$13,1)))/MAX(INDEX('Scratch Data'!$G$5:$G$13,MIN(MATCH($A50,'Scratch Data'!$G$5:$G$13,1)+1,ROWS('Scratch Data'!$G$5:$G$13)))-INDEX('Scratch Data'!$G$5:$G$13,MATCH($A50,'Scratch Data'!$G$5:$G$13,1)),0.0001))*Inputs!$B$13,0),1),100))+(1-(INDEX('Scratch Data'!$H$5:$H$13,MATCH($A50,'Scratch Data'!$G$5:$G$13,1))+($A50-INDEX('Scratch Data'!$G$5:$G$13,MATCH($A50,'Scratch Data'!$G$5:$G$13,1)))*(INDEX('Scratch Data'!$H$5:$H$13,MIN(MATCH($A50,'Scratch Data'!$G$5:$G$13,1)+1,ROWS('Scratch Data'!$G$5:$G$13)))-INDEX('Scratch Data'!$H$5:$H$13,MATCH($A50,'Scratch Data'!$G$5:$G$13,1)))/MAX(INDEX('Scratch Data'!$G$5:$G$13,MIN(MATCH($A50,'Scratch Data'!$G$5:$G$13,1)+1,ROWS('Scratch Data'!$G$5:$G$13)))-INDEX('Scratch Data'!$G$5:$G$13,MATCH($A50,'Scratch Data'!$G$5:$G$13,1)),0.0001))*Inputs!$B$12)*((INDEX('Scratch Data'!$J$5:$J$13,MATCH($A50,'Scratch Data'!$G$5:$G$13,1))+($A50-INDEX('Scratch Data'!$G$5:$G$13,MATCH($A50,'Scratch Data'!$G$5:$G$13,1)))*(INDEX('Scratch Data'!$J$5:$J$13,MIN(MATCH($A50,'Scratch Data'!$G$5:$G$13,1)+1,ROWS('Scratch Data'!$G$5:$G$13)))-INDEX('Scratch Data'!$J$5:$J$13,MATCH($A50,'Scratch Data'!$G$5:$G$13,1)))/MAX(INDEX('Scratch Data'!$G$5:$G$13,MIN(MATCH($A50,'Scratch Data'!$G$5:$G$13,1)+1,ROWS('Scratch Data'!$G$5:$G$13)))-INDEX('Scratch Data'!$G$5:$G$13,MATCH($A50,'Scratch Data'!$G$5:$G$13,1)),0.0001))+Inputs!$B$14)),(1+Inputs!$B$19*INDEX(Baseline!$B$3:$B$122,MATCH(MIN(MAX(ROUND((MAX($A50-Inputs!$B$21,30))/5,0)*5,5),600),Baseline!$A$3:$A$122,0))+(1-Inputs!$B$19)*INDEX(Baseline!$C$3:$C$122,MATCH(MIN(MAX(ROUND((MAX($A50-Inputs!$B$21,30))/5,0)*5,5),600),Baseline!$A$3:$A$122,0))+Inputs!$B$14)),(1+Inputs!$B$19*INDEX(Baseline!$B$3:$B$122,MATCH(MIN(MAX(ROUND((MAX($A50-Inputs!$B$21,30))/5,0)*5,5),600),Baseline!$A$3:$A$122,0))+(1-Inputs!$B$19)*INDEX(Baseline!$C$3:$C$122,MATCH(MIN(MAX(ROUND((MAX($A50-Inputs!$B$21,30))/5,0)*5,5),600),Baseline!$A$3:$A$122,0))+Inputs!$B$14)))</f>
        <v>3.8110176</v>
      </c>
      <c r="D50" s="10" t="n">
        <f aca="false">IF($A50&lt;=50,(INDEX('Scratch Data'!$P$5:$P$11,MATCH($A50,'Scratch Data'!$O$5:$O$11,1))+($A50-INDEX('Scratch Data'!$O$5:$O$11,MATCH($A50,'Scratch Data'!$O$5:$O$11,1)))*(INDEX('Scratch Data'!$P$5:$P$11,MIN(MATCH($A50,'Scratch Data'!$O$5:$O$11,1)+1,ROWS('Scratch Data'!$O$5:$O$11)))-INDEX('Scratch Data'!$P$5:$P$11,MATCH($A50,'Scratch Data'!$O$5:$O$11,1)))/MAX(INDEX('Scratch Data'!$O$5:$O$11,MIN(MATCH($A50,'Scratch Data'!$O$5:$O$11,1)+1,ROWS('Scratch Data'!$O$5:$O$11)))-INDEX('Scratch Data'!$O$5:$O$11,MATCH($A50,'Scratch Data'!$O$5:$O$11,1)),0.0001)),IF($A50&lt;=250,MIN((1+(INDEX('Scratch Data'!$H$5:$H$13,MATCH($A50,'Scratch Data'!$G$5:$G$13,1))+($A50-INDEX('Scratch Data'!$G$5:$G$13,MATCH($A50,'Scratch Data'!$G$5:$G$13,1)))*(INDEX('Scratch Data'!$H$5:$H$13,MIN(MATCH($A50,'Scratch Data'!$G$5:$G$13,1)+1,ROWS('Scratch Data'!$G$5:$G$13)))-INDEX('Scratch Data'!$H$5:$H$13,MATCH($A50,'Scratch Data'!$G$5:$G$13,1)))/MAX(INDEX('Scratch Data'!$G$5:$G$13,MIN(MATCH($A50,'Scratch Data'!$G$5:$G$13,1)+1,ROWS('Scratch Data'!$G$5:$G$13)))-INDEX('Scratch Data'!$G$5:$G$13,MATCH($A50,'Scratch Data'!$G$5:$G$13,1)),0.0001))*Inputs!$B$15*INDEX(Baseline!$I$3:$I$102,MIN(MAX(ROUND(Inputs!$B$11*(INDEX('Scratch Data'!$I$5:$I$13,MATCH($A50,'Scratch Data'!$G$5:$G$13,1))+($A50-INDEX('Scratch Data'!$G$5:$G$13,MATCH($A50,'Scratch Data'!$G$5:$G$13,1)))*(INDEX('Scratch Data'!$I$5:$I$13,MIN(MATCH($A50,'Scratch Data'!$G$5:$G$13,1)+1,ROWS('Scratch Data'!$G$5:$G$13)))-INDEX('Scratch Data'!$I$5:$I$13,MATCH($A50,'Scratch Data'!$G$5:$G$13,1)))/MAX(INDEX('Scratch Data'!$G$5:$G$13,MIN(MATCH($A50,'Scratch Data'!$G$5:$G$13,1)+1,ROWS('Scratch Data'!$G$5:$G$13)))-INDEX('Scratch Data'!$G$5:$G$13,MATCH($A50,'Scratch Data'!$G$5:$G$13,1)),0.0001))*Inputs!$B$16,0),1),100))+(1-(INDEX('Scratch Data'!$H$5:$H$13,MATCH($A50,'Scratch Data'!$G$5:$G$13,1))+($A50-INDEX('Scratch Data'!$G$5:$G$13,MATCH($A50,'Scratch Data'!$G$5:$G$13,1)))*(INDEX('Scratch Data'!$H$5:$H$13,MIN(MATCH($A50,'Scratch Data'!$G$5:$G$13,1)+1,ROWS('Scratch Data'!$G$5:$G$13)))-INDEX('Scratch Data'!$H$5:$H$13,MATCH($A50,'Scratch Data'!$G$5:$G$13,1)))/MAX(INDEX('Scratch Data'!$G$5:$G$13,MIN(MATCH($A50,'Scratch Data'!$G$5:$G$13,1)+1,ROWS('Scratch Data'!$G$5:$G$13)))-INDEX('Scratch Data'!$G$5:$G$13,MATCH($A50,'Scratch Data'!$G$5:$G$13,1)),0.0001))*Inputs!$B$15)*((INDEX('Scratch Data'!$J$5:$J$13,MATCH($A50,'Scratch Data'!$G$5:$G$13,1))+($A50-INDEX('Scratch Data'!$G$5:$G$13,MATCH($A50,'Scratch Data'!$G$5:$G$13,1)))*(INDEX('Scratch Data'!$J$5:$J$13,MIN(MATCH($A50,'Scratch Data'!$G$5:$G$13,1)+1,ROWS('Scratch Data'!$G$5:$G$13)))-INDEX('Scratch Data'!$J$5:$J$13,MATCH($A50,'Scratch Data'!$G$5:$G$13,1)))/MAX(INDEX('Scratch Data'!$G$5:$G$13,MIN(MATCH($A50,'Scratch Data'!$G$5:$G$13,1)+1,ROWS('Scratch Data'!$G$5:$G$13)))-INDEX('Scratch Data'!$G$5:$G$13,MATCH($A50,'Scratch Data'!$G$5:$G$13,1)),0.0001))+Inputs!$B$17)),(1+Inputs!$B$19*INDEX(Baseline!$B$3:$B$122,MATCH(MIN(MAX(ROUND((MAX($A50-Inputs!$B$22,30))/5,0)*5,5),600),Baseline!$A$3:$A$122,0))+(1-Inputs!$B$19)*INDEX(Baseline!$C$3:$C$122,MATCH(MIN(MAX(ROUND((MAX($A50-Inputs!$B$22,30))/5,0)*5,5),600),Baseline!$A$3:$A$122,0))+Inputs!$B$17)),(1+Inputs!$B$19*INDEX(Baseline!$B$3:$B$122,MATCH(MIN(MAX(ROUND((MAX($A50-Inputs!$B$22,30))/5,0)*5,5),600),Baseline!$A$3:$A$122,0))+(1-Inputs!$B$19)*INDEX(Baseline!$C$3:$C$122,MATCH(MIN(MAX(ROUND((MAX($A50-Inputs!$B$22,30))/5,0)*5,5),600),Baseline!$A$3:$A$122,0))+Inputs!$B$17)))</f>
        <v>3.9253564</v>
      </c>
      <c r="E50" s="10" t="n">
        <f aca="false">1+Inputs!$B$24+0.6*INDEX(Baseline!$B$3:$B$122,MATCH(MIN(MAX(ROUND((MAX($A50-Inputs!$B$23,15))/5,0)*5,5),600),Baseline!$A$3:$A$122,0))+0.4*INDEX(Baseline!$C$3:$C$122,MATCH(MIN(MAX(ROUND((MAX($A50-Inputs!$B$23,15))/5,0)*5,5),600),Baseline!$A$3:$A$122,0))</f>
        <v>4.360400768</v>
      </c>
      <c r="H50" s="7" t="n">
        <v>48</v>
      </c>
      <c r="I50" s="10" t="n">
        <f aca="false">(INDEX('Scratch Data'!$E$5:$E$22,MATCH($H50,'Scratch Data'!$A$5:$A$22,1))+($H50-INDEX('Scratch Data'!$A$5:$A$22,MATCH($H50,'Scratch Data'!$A$5:$A$22,1)))*(INDEX('Scratch Data'!$E$5:$E$22,MIN(MATCH($H50,'Scratch Data'!$A$5:$A$22,1)+1,ROWS('Scratch Data'!$A$5:$A$22)))-INDEX('Scratch Data'!$E$5:$E$22,MATCH($H50,'Scratch Data'!$A$5:$A$22,1)))/MAX(INDEX('Scratch Data'!$A$5:$A$22,MIN(MATCH($H50,'Scratch Data'!$A$5:$A$22,1)+1,ROWS('Scratch Data'!$A$5:$A$22)))-INDEX('Scratch Data'!$A$5:$A$22,MATCH($H50,'Scratch Data'!$A$5:$A$22,1)),0.0001))</f>
        <v>2.238</v>
      </c>
    </row>
    <row r="51" customFormat="false" ht="15" hidden="false" customHeight="false" outlineLevel="0" collapsed="false">
      <c r="A51" s="7" t="n">
        <v>245</v>
      </c>
      <c r="B51" s="10" t="n">
        <f aca="false">IF($A51&lt;=50,(INDEX('Scratch Data'!$M$5:$M$12,MATCH($A51,'Scratch Data'!$L$5:$L$12,1))+($A51-INDEX('Scratch Data'!$L$5:$L$12,MATCH($A51,'Scratch Data'!$L$5:$L$12,1)))*(INDEX('Scratch Data'!$M$5:$M$12,MIN(MATCH($A51,'Scratch Data'!$L$5:$L$12,1)+1,ROWS('Scratch Data'!$L$5:$L$12)))-INDEX('Scratch Data'!$M$5:$M$12,MATCH($A51,'Scratch Data'!$L$5:$L$12,1)))/MAX(INDEX('Scratch Data'!$L$5:$L$12,MIN(MATCH($A51,'Scratch Data'!$L$5:$L$12,1)+1,ROWS('Scratch Data'!$L$5:$L$12)))-INDEX('Scratch Data'!$L$5:$L$12,MATCH($A51,'Scratch Data'!$L$5:$L$12,1)),0.0001)),IF($A51&lt;=250,MIN((1+(INDEX('Scratch Data'!$H$5:$H$13,MATCH($A51,'Scratch Data'!$G$5:$G$13,1))+($A51-INDEX('Scratch Data'!$G$5:$G$13,MATCH($A51,'Scratch Data'!$G$5:$G$13,1)))*(INDEX('Scratch Data'!$H$5:$H$13,MIN(MATCH($A51,'Scratch Data'!$G$5:$G$13,1)+1,ROWS('Scratch Data'!$G$5:$G$13)))-INDEX('Scratch Data'!$H$5:$H$13,MATCH($A51,'Scratch Data'!$G$5:$G$13,1)))/MAX(INDEX('Scratch Data'!$G$5:$G$13,MIN(MATCH($A51,'Scratch Data'!$G$5:$G$13,1)+1,ROWS('Scratch Data'!$G$5:$G$13)))-INDEX('Scratch Data'!$G$5:$G$13,MATCH($A51,'Scratch Data'!$G$5:$G$13,1)),0.0001))*INDEX(Baseline!$I$3:$I$102,MIN(MAX(ROUND(Inputs!$B$11*(INDEX('Scratch Data'!$I$5:$I$13,MATCH($A51,'Scratch Data'!$G$5:$G$13,1))+($A51-INDEX('Scratch Data'!$G$5:$G$13,MATCH($A51,'Scratch Data'!$G$5:$G$13,1)))*(INDEX('Scratch Data'!$I$5:$I$13,MIN(MATCH($A51,'Scratch Data'!$G$5:$G$13,1)+1,ROWS('Scratch Data'!$G$5:$G$13)))-INDEX('Scratch Data'!$I$5:$I$13,MATCH($A51,'Scratch Data'!$G$5:$G$13,1)))/MAX(INDEX('Scratch Data'!$G$5:$G$13,MIN(MATCH($A51,'Scratch Data'!$G$5:$G$13,1)+1,ROWS('Scratch Data'!$G$5:$G$13)))-INDEX('Scratch Data'!$G$5:$G$13,MATCH($A51,'Scratch Data'!$G$5:$G$13,1)),0.0001)),0),1),100))+(1-(INDEX('Scratch Data'!$H$5:$H$13,MATCH($A51,'Scratch Data'!$G$5:$G$13,1))+($A51-INDEX('Scratch Data'!$G$5:$G$13,MATCH($A51,'Scratch Data'!$G$5:$G$13,1)))*(INDEX('Scratch Data'!$H$5:$H$13,MIN(MATCH($A51,'Scratch Data'!$G$5:$G$13,1)+1,ROWS('Scratch Data'!$G$5:$G$13)))-INDEX('Scratch Data'!$H$5:$H$13,MATCH($A51,'Scratch Data'!$G$5:$G$13,1)))/MAX(INDEX('Scratch Data'!$G$5:$G$13,MIN(MATCH($A51,'Scratch Data'!$G$5:$G$13,1)+1,ROWS('Scratch Data'!$G$5:$G$13)))-INDEX('Scratch Data'!$G$5:$G$13,MATCH($A51,'Scratch Data'!$G$5:$G$13,1)),0.0001)))*(INDEX('Scratch Data'!$J$5:$J$13,MATCH($A51,'Scratch Data'!$G$5:$G$13,1))+($A51-INDEX('Scratch Data'!$G$5:$G$13,MATCH($A51,'Scratch Data'!$G$5:$G$13,1)))*(INDEX('Scratch Data'!$J$5:$J$13,MIN(MATCH($A51,'Scratch Data'!$G$5:$G$13,1)+1,ROWS('Scratch Data'!$G$5:$G$13)))-INDEX('Scratch Data'!$J$5:$J$13,MATCH($A51,'Scratch Data'!$G$5:$G$13,1)))/MAX(INDEX('Scratch Data'!$G$5:$G$13,MIN(MATCH($A51,'Scratch Data'!$G$5:$G$13,1)+1,ROWS('Scratch Data'!$G$5:$G$13)))-INDEX('Scratch Data'!$G$5:$G$13,MATCH($A51,'Scratch Data'!$G$5:$G$13,1)),0.0001))),(1+Inputs!$B$19*INDEX(Baseline!$B$3:$B$122,MATCH(MIN(MAX(ROUND((MAX($A51-Inputs!$B$20,30))/5,0)*5,5),600),Baseline!$A$3:$A$122,0))+(1-Inputs!$B$19)*INDEX(Baseline!$C$3:$C$122,MATCH(MIN(MAX(ROUND((MAX($A51-Inputs!$B$20,30))/5,0)*5,5),600),Baseline!$A$3:$A$122,0)))),(1+Inputs!$B$19*INDEX(Baseline!$B$3:$B$122,MATCH(MIN(MAX(ROUND((MAX($A51-Inputs!$B$20,30))/5,0)*5,5),600),Baseline!$A$3:$A$122,0))+(1-Inputs!$B$19)*INDEX(Baseline!$C$3:$C$122,MATCH(MIN(MAX(ROUND((MAX($A51-Inputs!$B$20,30))/5,0)*5,5),600),Baseline!$A$3:$A$122,0)))))</f>
        <v>3.64</v>
      </c>
      <c r="C51" s="10" t="n">
        <f aca="false">IF($A51&lt;=50,$B51+Inputs!$B$18,IF($A51&lt;=250,MIN((1+(INDEX('Scratch Data'!$H$5:$H$13,MATCH($A51,'Scratch Data'!$G$5:$G$13,1))+($A51-INDEX('Scratch Data'!$G$5:$G$13,MATCH($A51,'Scratch Data'!$G$5:$G$13,1)))*(INDEX('Scratch Data'!$H$5:$H$13,MIN(MATCH($A51,'Scratch Data'!$G$5:$G$13,1)+1,ROWS('Scratch Data'!$G$5:$G$13)))-INDEX('Scratch Data'!$H$5:$H$13,MATCH($A51,'Scratch Data'!$G$5:$G$13,1)))/MAX(INDEX('Scratch Data'!$G$5:$G$13,MIN(MATCH($A51,'Scratch Data'!$G$5:$G$13,1)+1,ROWS('Scratch Data'!$G$5:$G$13)))-INDEX('Scratch Data'!$G$5:$G$13,MATCH($A51,'Scratch Data'!$G$5:$G$13,1)),0.0001))*Inputs!$B$12*INDEX(Baseline!$I$3:$I$102,MIN(MAX(ROUND(Inputs!$B$11*(INDEX('Scratch Data'!$I$5:$I$13,MATCH($A51,'Scratch Data'!$G$5:$G$13,1))+($A51-INDEX('Scratch Data'!$G$5:$G$13,MATCH($A51,'Scratch Data'!$G$5:$G$13,1)))*(INDEX('Scratch Data'!$I$5:$I$13,MIN(MATCH($A51,'Scratch Data'!$G$5:$G$13,1)+1,ROWS('Scratch Data'!$G$5:$G$13)))-INDEX('Scratch Data'!$I$5:$I$13,MATCH($A51,'Scratch Data'!$G$5:$G$13,1)))/MAX(INDEX('Scratch Data'!$G$5:$G$13,MIN(MATCH($A51,'Scratch Data'!$G$5:$G$13,1)+1,ROWS('Scratch Data'!$G$5:$G$13)))-INDEX('Scratch Data'!$G$5:$G$13,MATCH($A51,'Scratch Data'!$G$5:$G$13,1)),0.0001))*Inputs!$B$13,0),1),100))+(1-(INDEX('Scratch Data'!$H$5:$H$13,MATCH($A51,'Scratch Data'!$G$5:$G$13,1))+($A51-INDEX('Scratch Data'!$G$5:$G$13,MATCH($A51,'Scratch Data'!$G$5:$G$13,1)))*(INDEX('Scratch Data'!$H$5:$H$13,MIN(MATCH($A51,'Scratch Data'!$G$5:$G$13,1)+1,ROWS('Scratch Data'!$G$5:$G$13)))-INDEX('Scratch Data'!$H$5:$H$13,MATCH($A51,'Scratch Data'!$G$5:$G$13,1)))/MAX(INDEX('Scratch Data'!$G$5:$G$13,MIN(MATCH($A51,'Scratch Data'!$G$5:$G$13,1)+1,ROWS('Scratch Data'!$G$5:$G$13)))-INDEX('Scratch Data'!$G$5:$G$13,MATCH($A51,'Scratch Data'!$G$5:$G$13,1)),0.0001))*Inputs!$B$12)*((INDEX('Scratch Data'!$J$5:$J$13,MATCH($A51,'Scratch Data'!$G$5:$G$13,1))+($A51-INDEX('Scratch Data'!$G$5:$G$13,MATCH($A51,'Scratch Data'!$G$5:$G$13,1)))*(INDEX('Scratch Data'!$J$5:$J$13,MIN(MATCH($A51,'Scratch Data'!$G$5:$G$13,1)+1,ROWS('Scratch Data'!$G$5:$G$13)))-INDEX('Scratch Data'!$J$5:$J$13,MATCH($A51,'Scratch Data'!$G$5:$G$13,1)))/MAX(INDEX('Scratch Data'!$G$5:$G$13,MIN(MATCH($A51,'Scratch Data'!$G$5:$G$13,1)+1,ROWS('Scratch Data'!$G$5:$G$13)))-INDEX('Scratch Data'!$G$5:$G$13,MATCH($A51,'Scratch Data'!$G$5:$G$13,1)),0.0001))+Inputs!$B$14)),(1+Inputs!$B$19*INDEX(Baseline!$B$3:$B$122,MATCH(MIN(MAX(ROUND((MAX($A51-Inputs!$B$21,30))/5,0)*5,5),600),Baseline!$A$3:$A$122,0))+(1-Inputs!$B$19)*INDEX(Baseline!$C$3:$C$122,MATCH(MIN(MAX(ROUND((MAX($A51-Inputs!$B$21,30))/5,0)*5,5),600),Baseline!$A$3:$A$122,0))+Inputs!$B$14)),(1+Inputs!$B$19*INDEX(Baseline!$B$3:$B$122,MATCH(MIN(MAX(ROUND((MAX($A51-Inputs!$B$21,30))/5,0)*5,5),600),Baseline!$A$3:$A$122,0))+(1-Inputs!$B$19)*INDEX(Baseline!$C$3:$C$122,MATCH(MIN(MAX(ROUND((MAX($A51-Inputs!$B$21,30))/5,0)*5,5),600),Baseline!$A$3:$A$122,0))+Inputs!$B$14)))</f>
        <v>3.8383056</v>
      </c>
      <c r="D51" s="10" t="n">
        <f aca="false">IF($A51&lt;=50,(INDEX('Scratch Data'!$P$5:$P$11,MATCH($A51,'Scratch Data'!$O$5:$O$11,1))+($A51-INDEX('Scratch Data'!$O$5:$O$11,MATCH($A51,'Scratch Data'!$O$5:$O$11,1)))*(INDEX('Scratch Data'!$P$5:$P$11,MIN(MATCH($A51,'Scratch Data'!$O$5:$O$11,1)+1,ROWS('Scratch Data'!$O$5:$O$11)))-INDEX('Scratch Data'!$P$5:$P$11,MATCH($A51,'Scratch Data'!$O$5:$O$11,1)))/MAX(INDEX('Scratch Data'!$O$5:$O$11,MIN(MATCH($A51,'Scratch Data'!$O$5:$O$11,1)+1,ROWS('Scratch Data'!$O$5:$O$11)))-INDEX('Scratch Data'!$O$5:$O$11,MATCH($A51,'Scratch Data'!$O$5:$O$11,1)),0.0001)),IF($A51&lt;=250,MIN((1+(INDEX('Scratch Data'!$H$5:$H$13,MATCH($A51,'Scratch Data'!$G$5:$G$13,1))+($A51-INDEX('Scratch Data'!$G$5:$G$13,MATCH($A51,'Scratch Data'!$G$5:$G$13,1)))*(INDEX('Scratch Data'!$H$5:$H$13,MIN(MATCH($A51,'Scratch Data'!$G$5:$G$13,1)+1,ROWS('Scratch Data'!$G$5:$G$13)))-INDEX('Scratch Data'!$H$5:$H$13,MATCH($A51,'Scratch Data'!$G$5:$G$13,1)))/MAX(INDEX('Scratch Data'!$G$5:$G$13,MIN(MATCH($A51,'Scratch Data'!$G$5:$G$13,1)+1,ROWS('Scratch Data'!$G$5:$G$13)))-INDEX('Scratch Data'!$G$5:$G$13,MATCH($A51,'Scratch Data'!$G$5:$G$13,1)),0.0001))*Inputs!$B$15*INDEX(Baseline!$I$3:$I$102,MIN(MAX(ROUND(Inputs!$B$11*(INDEX('Scratch Data'!$I$5:$I$13,MATCH($A51,'Scratch Data'!$G$5:$G$13,1))+($A51-INDEX('Scratch Data'!$G$5:$G$13,MATCH($A51,'Scratch Data'!$G$5:$G$13,1)))*(INDEX('Scratch Data'!$I$5:$I$13,MIN(MATCH($A51,'Scratch Data'!$G$5:$G$13,1)+1,ROWS('Scratch Data'!$G$5:$G$13)))-INDEX('Scratch Data'!$I$5:$I$13,MATCH($A51,'Scratch Data'!$G$5:$G$13,1)))/MAX(INDEX('Scratch Data'!$G$5:$G$13,MIN(MATCH($A51,'Scratch Data'!$G$5:$G$13,1)+1,ROWS('Scratch Data'!$G$5:$G$13)))-INDEX('Scratch Data'!$G$5:$G$13,MATCH($A51,'Scratch Data'!$G$5:$G$13,1)),0.0001))*Inputs!$B$16,0),1),100))+(1-(INDEX('Scratch Data'!$H$5:$H$13,MATCH($A51,'Scratch Data'!$G$5:$G$13,1))+($A51-INDEX('Scratch Data'!$G$5:$G$13,MATCH($A51,'Scratch Data'!$G$5:$G$13,1)))*(INDEX('Scratch Data'!$H$5:$H$13,MIN(MATCH($A51,'Scratch Data'!$G$5:$G$13,1)+1,ROWS('Scratch Data'!$G$5:$G$13)))-INDEX('Scratch Data'!$H$5:$H$13,MATCH($A51,'Scratch Data'!$G$5:$G$13,1)))/MAX(INDEX('Scratch Data'!$G$5:$G$13,MIN(MATCH($A51,'Scratch Data'!$G$5:$G$13,1)+1,ROWS('Scratch Data'!$G$5:$G$13)))-INDEX('Scratch Data'!$G$5:$G$13,MATCH($A51,'Scratch Data'!$G$5:$G$13,1)),0.0001))*Inputs!$B$15)*((INDEX('Scratch Data'!$J$5:$J$13,MATCH($A51,'Scratch Data'!$G$5:$G$13,1))+($A51-INDEX('Scratch Data'!$G$5:$G$13,MATCH($A51,'Scratch Data'!$G$5:$G$13,1)))*(INDEX('Scratch Data'!$J$5:$J$13,MIN(MATCH($A51,'Scratch Data'!$G$5:$G$13,1)+1,ROWS('Scratch Data'!$G$5:$G$13)))-INDEX('Scratch Data'!$J$5:$J$13,MATCH($A51,'Scratch Data'!$G$5:$G$13,1)))/MAX(INDEX('Scratch Data'!$G$5:$G$13,MIN(MATCH($A51,'Scratch Data'!$G$5:$G$13,1)+1,ROWS('Scratch Data'!$G$5:$G$13)))-INDEX('Scratch Data'!$G$5:$G$13,MATCH($A51,'Scratch Data'!$G$5:$G$13,1)),0.0001))+Inputs!$B$17)),(1+Inputs!$B$19*INDEX(Baseline!$B$3:$B$122,MATCH(MIN(MAX(ROUND((MAX($A51-Inputs!$B$22,30))/5,0)*5,5),600),Baseline!$A$3:$A$122,0))+(1-Inputs!$B$19)*INDEX(Baseline!$C$3:$C$122,MATCH(MIN(MAX(ROUND((MAX($A51-Inputs!$B$22,30))/5,0)*5,5),600),Baseline!$A$3:$A$122,0))+Inputs!$B$17)),(1+Inputs!$B$19*INDEX(Baseline!$B$3:$B$122,MATCH(MIN(MAX(ROUND((MAX($A51-Inputs!$B$22,30))/5,0)*5,5),600),Baseline!$A$3:$A$122,0))+(1-Inputs!$B$19)*INDEX(Baseline!$C$3:$C$122,MATCH(MIN(MAX(ROUND((MAX($A51-Inputs!$B$22,30))/5,0)*5,5),600),Baseline!$A$3:$A$122,0))+Inputs!$B$17)))</f>
        <v>3.9521411</v>
      </c>
      <c r="E51" s="10" t="n">
        <f aca="false">1+Inputs!$B$24+0.6*INDEX(Baseline!$B$3:$B$122,MATCH(MIN(MAX(ROUND((MAX($A51-Inputs!$B$23,15))/5,0)*5,5),600),Baseline!$A$3:$A$122,0))+0.4*INDEX(Baseline!$C$3:$C$122,MATCH(MIN(MAX(ROUND((MAX($A51-Inputs!$B$23,15))/5,0)*5,5),600),Baseline!$A$3:$A$122,0))</f>
        <v>4.37684576</v>
      </c>
      <c r="H51" s="7" t="n">
        <v>49</v>
      </c>
      <c r="I51" s="10" t="n">
        <f aca="false">(INDEX('Scratch Data'!$E$5:$E$22,MATCH($H51,'Scratch Data'!$A$5:$A$22,1))+($H51-INDEX('Scratch Data'!$A$5:$A$22,MATCH($H51,'Scratch Data'!$A$5:$A$22,1)))*(INDEX('Scratch Data'!$E$5:$E$22,MIN(MATCH($H51,'Scratch Data'!$A$5:$A$22,1)+1,ROWS('Scratch Data'!$A$5:$A$22)))-INDEX('Scratch Data'!$E$5:$E$22,MATCH($H51,'Scratch Data'!$A$5:$A$22,1)))/MAX(INDEX('Scratch Data'!$A$5:$A$22,MIN(MATCH($H51,'Scratch Data'!$A$5:$A$22,1)+1,ROWS('Scratch Data'!$A$5:$A$22)))-INDEX('Scratch Data'!$A$5:$A$22,MATCH($H51,'Scratch Data'!$A$5:$A$22,1)),0.0001))</f>
        <v>2.2465</v>
      </c>
    </row>
    <row r="52" customFormat="false" ht="15" hidden="false" customHeight="false" outlineLevel="0" collapsed="false">
      <c r="A52" s="7" t="n">
        <v>250</v>
      </c>
      <c r="B52" s="10" t="n">
        <f aca="false">IF($A52&lt;=50,(INDEX('Scratch Data'!$M$5:$M$12,MATCH($A52,'Scratch Data'!$L$5:$L$12,1))+($A52-INDEX('Scratch Data'!$L$5:$L$12,MATCH($A52,'Scratch Data'!$L$5:$L$12,1)))*(INDEX('Scratch Data'!$M$5:$M$12,MIN(MATCH($A52,'Scratch Data'!$L$5:$L$12,1)+1,ROWS('Scratch Data'!$L$5:$L$12)))-INDEX('Scratch Data'!$M$5:$M$12,MATCH($A52,'Scratch Data'!$L$5:$L$12,1)))/MAX(INDEX('Scratch Data'!$L$5:$L$12,MIN(MATCH($A52,'Scratch Data'!$L$5:$L$12,1)+1,ROWS('Scratch Data'!$L$5:$L$12)))-INDEX('Scratch Data'!$L$5:$L$12,MATCH($A52,'Scratch Data'!$L$5:$L$12,1)),0.0001)),IF($A52&lt;=250,MIN((1+(INDEX('Scratch Data'!$H$5:$H$13,MATCH($A52,'Scratch Data'!$G$5:$G$13,1))+($A52-INDEX('Scratch Data'!$G$5:$G$13,MATCH($A52,'Scratch Data'!$G$5:$G$13,1)))*(INDEX('Scratch Data'!$H$5:$H$13,MIN(MATCH($A52,'Scratch Data'!$G$5:$G$13,1)+1,ROWS('Scratch Data'!$G$5:$G$13)))-INDEX('Scratch Data'!$H$5:$H$13,MATCH($A52,'Scratch Data'!$G$5:$G$13,1)))/MAX(INDEX('Scratch Data'!$G$5:$G$13,MIN(MATCH($A52,'Scratch Data'!$G$5:$G$13,1)+1,ROWS('Scratch Data'!$G$5:$G$13)))-INDEX('Scratch Data'!$G$5:$G$13,MATCH($A52,'Scratch Data'!$G$5:$G$13,1)),0.0001))*INDEX(Baseline!$I$3:$I$102,MIN(MAX(ROUND(Inputs!$B$11*(INDEX('Scratch Data'!$I$5:$I$13,MATCH($A52,'Scratch Data'!$G$5:$G$13,1))+($A52-INDEX('Scratch Data'!$G$5:$G$13,MATCH($A52,'Scratch Data'!$G$5:$G$13,1)))*(INDEX('Scratch Data'!$I$5:$I$13,MIN(MATCH($A52,'Scratch Data'!$G$5:$G$13,1)+1,ROWS('Scratch Data'!$G$5:$G$13)))-INDEX('Scratch Data'!$I$5:$I$13,MATCH($A52,'Scratch Data'!$G$5:$G$13,1)))/MAX(INDEX('Scratch Data'!$G$5:$G$13,MIN(MATCH($A52,'Scratch Data'!$G$5:$G$13,1)+1,ROWS('Scratch Data'!$G$5:$G$13)))-INDEX('Scratch Data'!$G$5:$G$13,MATCH($A52,'Scratch Data'!$G$5:$G$13,1)),0.0001)),0),1),100))+(1-(INDEX('Scratch Data'!$H$5:$H$13,MATCH($A52,'Scratch Data'!$G$5:$G$13,1))+($A52-INDEX('Scratch Data'!$G$5:$G$13,MATCH($A52,'Scratch Data'!$G$5:$G$13,1)))*(INDEX('Scratch Data'!$H$5:$H$13,MIN(MATCH($A52,'Scratch Data'!$G$5:$G$13,1)+1,ROWS('Scratch Data'!$G$5:$G$13)))-INDEX('Scratch Data'!$H$5:$H$13,MATCH($A52,'Scratch Data'!$G$5:$G$13,1)))/MAX(INDEX('Scratch Data'!$G$5:$G$13,MIN(MATCH($A52,'Scratch Data'!$G$5:$G$13,1)+1,ROWS('Scratch Data'!$G$5:$G$13)))-INDEX('Scratch Data'!$G$5:$G$13,MATCH($A52,'Scratch Data'!$G$5:$G$13,1)),0.0001)))*(INDEX('Scratch Data'!$J$5:$J$13,MATCH($A52,'Scratch Data'!$G$5:$G$13,1))+($A52-INDEX('Scratch Data'!$G$5:$G$13,MATCH($A52,'Scratch Data'!$G$5:$G$13,1)))*(INDEX('Scratch Data'!$J$5:$J$13,MIN(MATCH($A52,'Scratch Data'!$G$5:$G$13,1)+1,ROWS('Scratch Data'!$G$5:$G$13)))-INDEX('Scratch Data'!$J$5:$J$13,MATCH($A52,'Scratch Data'!$G$5:$G$13,1)))/MAX(INDEX('Scratch Data'!$G$5:$G$13,MIN(MATCH($A52,'Scratch Data'!$G$5:$G$13,1)+1,ROWS('Scratch Data'!$G$5:$G$13)))-INDEX('Scratch Data'!$G$5:$G$13,MATCH($A52,'Scratch Data'!$G$5:$G$13,1)),0.0001))),(1+Inputs!$B$19*INDEX(Baseline!$B$3:$B$122,MATCH(MIN(MAX(ROUND((MAX($A52-Inputs!$B$20,30))/5,0)*5,5),600),Baseline!$A$3:$A$122,0))+(1-Inputs!$B$19)*INDEX(Baseline!$C$3:$C$122,MATCH(MIN(MAX(ROUND((MAX($A52-Inputs!$B$20,30))/5,0)*5,5),600),Baseline!$A$3:$A$122,0)))),(1+Inputs!$B$19*INDEX(Baseline!$B$3:$B$122,MATCH(MIN(MAX(ROUND((MAX($A52-Inputs!$B$20,30))/5,0)*5,5),600),Baseline!$A$3:$A$122,0))+(1-Inputs!$B$19)*INDEX(Baseline!$C$3:$C$122,MATCH(MIN(MAX(ROUND((MAX($A52-Inputs!$B$20,30))/5,0)*5,5),600),Baseline!$A$3:$A$122,0)))))</f>
        <v>3.64</v>
      </c>
      <c r="C52" s="10" t="n">
        <f aca="false">IF($A52&lt;=50,$B52+Inputs!$B$18,IF($A52&lt;=250,MIN((1+(INDEX('Scratch Data'!$H$5:$H$13,MATCH($A52,'Scratch Data'!$G$5:$G$13,1))+($A52-INDEX('Scratch Data'!$G$5:$G$13,MATCH($A52,'Scratch Data'!$G$5:$G$13,1)))*(INDEX('Scratch Data'!$H$5:$H$13,MIN(MATCH($A52,'Scratch Data'!$G$5:$G$13,1)+1,ROWS('Scratch Data'!$G$5:$G$13)))-INDEX('Scratch Data'!$H$5:$H$13,MATCH($A52,'Scratch Data'!$G$5:$G$13,1)))/MAX(INDEX('Scratch Data'!$G$5:$G$13,MIN(MATCH($A52,'Scratch Data'!$G$5:$G$13,1)+1,ROWS('Scratch Data'!$G$5:$G$13)))-INDEX('Scratch Data'!$G$5:$G$13,MATCH($A52,'Scratch Data'!$G$5:$G$13,1)),0.0001))*Inputs!$B$12*INDEX(Baseline!$I$3:$I$102,MIN(MAX(ROUND(Inputs!$B$11*(INDEX('Scratch Data'!$I$5:$I$13,MATCH($A52,'Scratch Data'!$G$5:$G$13,1))+($A52-INDEX('Scratch Data'!$G$5:$G$13,MATCH($A52,'Scratch Data'!$G$5:$G$13,1)))*(INDEX('Scratch Data'!$I$5:$I$13,MIN(MATCH($A52,'Scratch Data'!$G$5:$G$13,1)+1,ROWS('Scratch Data'!$G$5:$G$13)))-INDEX('Scratch Data'!$I$5:$I$13,MATCH($A52,'Scratch Data'!$G$5:$G$13,1)))/MAX(INDEX('Scratch Data'!$G$5:$G$13,MIN(MATCH($A52,'Scratch Data'!$G$5:$G$13,1)+1,ROWS('Scratch Data'!$G$5:$G$13)))-INDEX('Scratch Data'!$G$5:$G$13,MATCH($A52,'Scratch Data'!$G$5:$G$13,1)),0.0001))*Inputs!$B$13,0),1),100))+(1-(INDEX('Scratch Data'!$H$5:$H$13,MATCH($A52,'Scratch Data'!$G$5:$G$13,1))+($A52-INDEX('Scratch Data'!$G$5:$G$13,MATCH($A52,'Scratch Data'!$G$5:$G$13,1)))*(INDEX('Scratch Data'!$H$5:$H$13,MIN(MATCH($A52,'Scratch Data'!$G$5:$G$13,1)+1,ROWS('Scratch Data'!$G$5:$G$13)))-INDEX('Scratch Data'!$H$5:$H$13,MATCH($A52,'Scratch Data'!$G$5:$G$13,1)))/MAX(INDEX('Scratch Data'!$G$5:$G$13,MIN(MATCH($A52,'Scratch Data'!$G$5:$G$13,1)+1,ROWS('Scratch Data'!$G$5:$G$13)))-INDEX('Scratch Data'!$G$5:$G$13,MATCH($A52,'Scratch Data'!$G$5:$G$13,1)),0.0001))*Inputs!$B$12)*((INDEX('Scratch Data'!$J$5:$J$13,MATCH($A52,'Scratch Data'!$G$5:$G$13,1))+($A52-INDEX('Scratch Data'!$G$5:$G$13,MATCH($A52,'Scratch Data'!$G$5:$G$13,1)))*(INDEX('Scratch Data'!$J$5:$J$13,MIN(MATCH($A52,'Scratch Data'!$G$5:$G$13,1)+1,ROWS('Scratch Data'!$G$5:$G$13)))-INDEX('Scratch Data'!$J$5:$J$13,MATCH($A52,'Scratch Data'!$G$5:$G$13,1)))/MAX(INDEX('Scratch Data'!$G$5:$G$13,MIN(MATCH($A52,'Scratch Data'!$G$5:$G$13,1)+1,ROWS('Scratch Data'!$G$5:$G$13)))-INDEX('Scratch Data'!$G$5:$G$13,MATCH($A52,'Scratch Data'!$G$5:$G$13,1)),0.0001))+Inputs!$B$14)),(1+Inputs!$B$19*INDEX(Baseline!$B$3:$B$122,MATCH(MIN(MAX(ROUND((MAX($A52-Inputs!$B$21,30))/5,0)*5,5),600),Baseline!$A$3:$A$122,0))+(1-Inputs!$B$19)*INDEX(Baseline!$C$3:$C$122,MATCH(MIN(MAX(ROUND((MAX($A52-Inputs!$B$21,30))/5,0)*5,5),600),Baseline!$A$3:$A$122,0))+Inputs!$B$14)),(1+Inputs!$B$19*INDEX(Baseline!$B$3:$B$122,MATCH(MIN(MAX(ROUND((MAX($A52-Inputs!$B$21,30))/5,0)*5,5),600),Baseline!$A$3:$A$122,0))+(1-Inputs!$B$19)*INDEX(Baseline!$C$3:$C$122,MATCH(MIN(MAX(ROUND((MAX($A52-Inputs!$B$21,30))/5,0)*5,5),600),Baseline!$A$3:$A$122,0))+Inputs!$B$14)))</f>
        <v>3.865888</v>
      </c>
      <c r="D52" s="10" t="n">
        <f aca="false">IF($A52&lt;=50,(INDEX('Scratch Data'!$P$5:$P$11,MATCH($A52,'Scratch Data'!$O$5:$O$11,1))+($A52-INDEX('Scratch Data'!$O$5:$O$11,MATCH($A52,'Scratch Data'!$O$5:$O$11,1)))*(INDEX('Scratch Data'!$P$5:$P$11,MIN(MATCH($A52,'Scratch Data'!$O$5:$O$11,1)+1,ROWS('Scratch Data'!$O$5:$O$11)))-INDEX('Scratch Data'!$P$5:$P$11,MATCH($A52,'Scratch Data'!$O$5:$O$11,1)))/MAX(INDEX('Scratch Data'!$O$5:$O$11,MIN(MATCH($A52,'Scratch Data'!$O$5:$O$11,1)+1,ROWS('Scratch Data'!$O$5:$O$11)))-INDEX('Scratch Data'!$O$5:$O$11,MATCH($A52,'Scratch Data'!$O$5:$O$11,1)),0.0001)),IF($A52&lt;=250,MIN((1+(INDEX('Scratch Data'!$H$5:$H$13,MATCH($A52,'Scratch Data'!$G$5:$G$13,1))+($A52-INDEX('Scratch Data'!$G$5:$G$13,MATCH($A52,'Scratch Data'!$G$5:$G$13,1)))*(INDEX('Scratch Data'!$H$5:$H$13,MIN(MATCH($A52,'Scratch Data'!$G$5:$G$13,1)+1,ROWS('Scratch Data'!$G$5:$G$13)))-INDEX('Scratch Data'!$H$5:$H$13,MATCH($A52,'Scratch Data'!$G$5:$G$13,1)))/MAX(INDEX('Scratch Data'!$G$5:$G$13,MIN(MATCH($A52,'Scratch Data'!$G$5:$G$13,1)+1,ROWS('Scratch Data'!$G$5:$G$13)))-INDEX('Scratch Data'!$G$5:$G$13,MATCH($A52,'Scratch Data'!$G$5:$G$13,1)),0.0001))*Inputs!$B$15*INDEX(Baseline!$I$3:$I$102,MIN(MAX(ROUND(Inputs!$B$11*(INDEX('Scratch Data'!$I$5:$I$13,MATCH($A52,'Scratch Data'!$G$5:$G$13,1))+($A52-INDEX('Scratch Data'!$G$5:$G$13,MATCH($A52,'Scratch Data'!$G$5:$G$13,1)))*(INDEX('Scratch Data'!$I$5:$I$13,MIN(MATCH($A52,'Scratch Data'!$G$5:$G$13,1)+1,ROWS('Scratch Data'!$G$5:$G$13)))-INDEX('Scratch Data'!$I$5:$I$13,MATCH($A52,'Scratch Data'!$G$5:$G$13,1)))/MAX(INDEX('Scratch Data'!$G$5:$G$13,MIN(MATCH($A52,'Scratch Data'!$G$5:$G$13,1)+1,ROWS('Scratch Data'!$G$5:$G$13)))-INDEX('Scratch Data'!$G$5:$G$13,MATCH($A52,'Scratch Data'!$G$5:$G$13,1)),0.0001))*Inputs!$B$16,0),1),100))+(1-(INDEX('Scratch Data'!$H$5:$H$13,MATCH($A52,'Scratch Data'!$G$5:$G$13,1))+($A52-INDEX('Scratch Data'!$G$5:$G$13,MATCH($A52,'Scratch Data'!$G$5:$G$13,1)))*(INDEX('Scratch Data'!$H$5:$H$13,MIN(MATCH($A52,'Scratch Data'!$G$5:$G$13,1)+1,ROWS('Scratch Data'!$G$5:$G$13)))-INDEX('Scratch Data'!$H$5:$H$13,MATCH($A52,'Scratch Data'!$G$5:$G$13,1)))/MAX(INDEX('Scratch Data'!$G$5:$G$13,MIN(MATCH($A52,'Scratch Data'!$G$5:$G$13,1)+1,ROWS('Scratch Data'!$G$5:$G$13)))-INDEX('Scratch Data'!$G$5:$G$13,MATCH($A52,'Scratch Data'!$G$5:$G$13,1)),0.0001))*Inputs!$B$15)*((INDEX('Scratch Data'!$J$5:$J$13,MATCH($A52,'Scratch Data'!$G$5:$G$13,1))+($A52-INDEX('Scratch Data'!$G$5:$G$13,MATCH($A52,'Scratch Data'!$G$5:$G$13,1)))*(INDEX('Scratch Data'!$J$5:$J$13,MIN(MATCH($A52,'Scratch Data'!$G$5:$G$13,1)+1,ROWS('Scratch Data'!$G$5:$G$13)))-INDEX('Scratch Data'!$J$5:$J$13,MATCH($A52,'Scratch Data'!$G$5:$G$13,1)))/MAX(INDEX('Scratch Data'!$G$5:$G$13,MIN(MATCH($A52,'Scratch Data'!$G$5:$G$13,1)+1,ROWS('Scratch Data'!$G$5:$G$13)))-INDEX('Scratch Data'!$G$5:$G$13,MATCH($A52,'Scratch Data'!$G$5:$G$13,1)),0.0001))+Inputs!$B$17)),(1+Inputs!$B$19*INDEX(Baseline!$B$3:$B$122,MATCH(MIN(MAX(ROUND((MAX($A52-Inputs!$B$22,30))/5,0)*5,5),600),Baseline!$A$3:$A$122,0))+(1-Inputs!$B$19)*INDEX(Baseline!$C$3:$C$122,MATCH(MIN(MAX(ROUND((MAX($A52-Inputs!$B$22,30))/5,0)*5,5),600),Baseline!$A$3:$A$122,0))+Inputs!$B$17)),(1+Inputs!$B$19*INDEX(Baseline!$B$3:$B$122,MATCH(MIN(MAX(ROUND((MAX($A52-Inputs!$B$22,30))/5,0)*5,5),600),Baseline!$A$3:$A$122,0))+(1-Inputs!$B$19)*INDEX(Baseline!$C$3:$C$122,MATCH(MIN(MAX(ROUND((MAX($A52-Inputs!$B$22,30))/5,0)*5,5),600),Baseline!$A$3:$A$122,0))+Inputs!$B$17)))</f>
        <v>3.979165</v>
      </c>
      <c r="E52" s="10" t="n">
        <f aca="false">1+Inputs!$B$24+0.6*INDEX(Baseline!$B$3:$B$122,MATCH(MIN(MAX(ROUND((MAX($A52-Inputs!$B$23,15))/5,0)*5,5),600),Baseline!$A$3:$A$122,0))+0.4*INDEX(Baseline!$C$3:$C$122,MATCH(MIN(MAX(ROUND((MAX($A52-Inputs!$B$23,15))/5,0)*5,5),600),Baseline!$A$3:$A$122,0))</f>
        <v>4.3983972</v>
      </c>
      <c r="H52" s="7" t="n">
        <v>50</v>
      </c>
      <c r="I52" s="10" t="n">
        <f aca="false">(INDEX('Scratch Data'!$E$5:$E$22,MATCH($H52,'Scratch Data'!$A$5:$A$22,1))+($H52-INDEX('Scratch Data'!$A$5:$A$22,MATCH($H52,'Scratch Data'!$A$5:$A$22,1)))*(INDEX('Scratch Data'!$E$5:$E$22,MIN(MATCH($H52,'Scratch Data'!$A$5:$A$22,1)+1,ROWS('Scratch Data'!$A$5:$A$22)))-INDEX('Scratch Data'!$E$5:$E$22,MATCH($H52,'Scratch Data'!$A$5:$A$22,1)))/MAX(INDEX('Scratch Data'!$A$5:$A$22,MIN(MATCH($H52,'Scratch Data'!$A$5:$A$22,1)+1,ROWS('Scratch Data'!$A$5:$A$22)))-INDEX('Scratch Data'!$A$5:$A$22,MATCH($H52,'Scratch Data'!$A$5:$A$22,1)),0.0001))</f>
        <v>2.255</v>
      </c>
    </row>
    <row r="53" customFormat="false" ht="15" hidden="false" customHeight="false" outlineLevel="0" collapsed="false">
      <c r="A53" s="7" t="n">
        <v>255</v>
      </c>
      <c r="B53" s="10" t="n">
        <f aca="false">IF($A53&lt;=50,(INDEX('Scratch Data'!$M$5:$M$12,MATCH($A53,'Scratch Data'!$L$5:$L$12,1))+($A53-INDEX('Scratch Data'!$L$5:$L$12,MATCH($A53,'Scratch Data'!$L$5:$L$12,1)))*(INDEX('Scratch Data'!$M$5:$M$12,MIN(MATCH($A53,'Scratch Data'!$L$5:$L$12,1)+1,ROWS('Scratch Data'!$L$5:$L$12)))-INDEX('Scratch Data'!$M$5:$M$12,MATCH($A53,'Scratch Data'!$L$5:$L$12,1)))/MAX(INDEX('Scratch Data'!$L$5:$L$12,MIN(MATCH($A53,'Scratch Data'!$L$5:$L$12,1)+1,ROWS('Scratch Data'!$L$5:$L$12)))-INDEX('Scratch Data'!$L$5:$L$12,MATCH($A53,'Scratch Data'!$L$5:$L$12,1)),0.0001)),IF($A53&lt;=250,MIN((1+(INDEX('Scratch Data'!$H$5:$H$13,MATCH($A53,'Scratch Data'!$G$5:$G$13,1))+($A53-INDEX('Scratch Data'!$G$5:$G$13,MATCH($A53,'Scratch Data'!$G$5:$G$13,1)))*(INDEX('Scratch Data'!$H$5:$H$13,MIN(MATCH($A53,'Scratch Data'!$G$5:$G$13,1)+1,ROWS('Scratch Data'!$G$5:$G$13)))-INDEX('Scratch Data'!$H$5:$H$13,MATCH($A53,'Scratch Data'!$G$5:$G$13,1)))/MAX(INDEX('Scratch Data'!$G$5:$G$13,MIN(MATCH($A53,'Scratch Data'!$G$5:$G$13,1)+1,ROWS('Scratch Data'!$G$5:$G$13)))-INDEX('Scratch Data'!$G$5:$G$13,MATCH($A53,'Scratch Data'!$G$5:$G$13,1)),0.0001))*INDEX(Baseline!$I$3:$I$102,MIN(MAX(ROUND(Inputs!$B$11*(INDEX('Scratch Data'!$I$5:$I$13,MATCH($A53,'Scratch Data'!$G$5:$G$13,1))+($A53-INDEX('Scratch Data'!$G$5:$G$13,MATCH($A53,'Scratch Data'!$G$5:$G$13,1)))*(INDEX('Scratch Data'!$I$5:$I$13,MIN(MATCH($A53,'Scratch Data'!$G$5:$G$13,1)+1,ROWS('Scratch Data'!$G$5:$G$13)))-INDEX('Scratch Data'!$I$5:$I$13,MATCH($A53,'Scratch Data'!$G$5:$G$13,1)))/MAX(INDEX('Scratch Data'!$G$5:$G$13,MIN(MATCH($A53,'Scratch Data'!$G$5:$G$13,1)+1,ROWS('Scratch Data'!$G$5:$G$13)))-INDEX('Scratch Data'!$G$5:$G$13,MATCH($A53,'Scratch Data'!$G$5:$G$13,1)),0.0001)),0),1),100))+(1-(INDEX('Scratch Data'!$H$5:$H$13,MATCH($A53,'Scratch Data'!$G$5:$G$13,1))+($A53-INDEX('Scratch Data'!$G$5:$G$13,MATCH($A53,'Scratch Data'!$G$5:$G$13,1)))*(INDEX('Scratch Data'!$H$5:$H$13,MIN(MATCH($A53,'Scratch Data'!$G$5:$G$13,1)+1,ROWS('Scratch Data'!$G$5:$G$13)))-INDEX('Scratch Data'!$H$5:$H$13,MATCH($A53,'Scratch Data'!$G$5:$G$13,1)))/MAX(INDEX('Scratch Data'!$G$5:$G$13,MIN(MATCH($A53,'Scratch Data'!$G$5:$G$13,1)+1,ROWS('Scratch Data'!$G$5:$G$13)))-INDEX('Scratch Data'!$G$5:$G$13,MATCH($A53,'Scratch Data'!$G$5:$G$13,1)),0.0001)))*(INDEX('Scratch Data'!$J$5:$J$13,MATCH($A53,'Scratch Data'!$G$5:$G$13,1))+($A53-INDEX('Scratch Data'!$G$5:$G$13,MATCH($A53,'Scratch Data'!$G$5:$G$13,1)))*(INDEX('Scratch Data'!$J$5:$J$13,MIN(MATCH($A53,'Scratch Data'!$G$5:$G$13,1)+1,ROWS('Scratch Data'!$G$5:$G$13)))-INDEX('Scratch Data'!$J$5:$J$13,MATCH($A53,'Scratch Data'!$G$5:$G$13,1)))/MAX(INDEX('Scratch Data'!$G$5:$G$13,MIN(MATCH($A53,'Scratch Data'!$G$5:$G$13,1)+1,ROWS('Scratch Data'!$G$5:$G$13)))-INDEX('Scratch Data'!$G$5:$G$13,MATCH($A53,'Scratch Data'!$G$5:$G$13,1)),0.0001))),(1+Inputs!$B$19*INDEX(Baseline!$B$3:$B$122,MATCH(MIN(MAX(ROUND((MAX($A53-Inputs!$B$20,30))/5,0)*5,5),600),Baseline!$A$3:$A$122,0))+(1-Inputs!$B$19)*INDEX(Baseline!$C$3:$C$122,MATCH(MIN(MAX(ROUND((MAX($A53-Inputs!$B$20,30))/5,0)*5,5),600),Baseline!$A$3:$A$122,0)))),(1+Inputs!$B$19*INDEX(Baseline!$B$3:$B$122,MATCH(MIN(MAX(ROUND((MAX($A53-Inputs!$B$20,30))/5,0)*5,5),600),Baseline!$A$3:$A$122,0))+(1-Inputs!$B$19)*INDEX(Baseline!$C$3:$C$122,MATCH(MIN(MAX(ROUND((MAX($A53-Inputs!$B$20,30))/5,0)*5,5),600),Baseline!$A$3:$A$122,0)))))</f>
        <v>3.69</v>
      </c>
      <c r="C53" s="10" t="n">
        <f aca="false">IF($A53&lt;=50,$B53+Inputs!$B$18,IF($A53&lt;=250,MIN((1+(INDEX('Scratch Data'!$H$5:$H$13,MATCH($A53,'Scratch Data'!$G$5:$G$13,1))+($A53-INDEX('Scratch Data'!$G$5:$G$13,MATCH($A53,'Scratch Data'!$G$5:$G$13,1)))*(INDEX('Scratch Data'!$H$5:$H$13,MIN(MATCH($A53,'Scratch Data'!$G$5:$G$13,1)+1,ROWS('Scratch Data'!$G$5:$G$13)))-INDEX('Scratch Data'!$H$5:$H$13,MATCH($A53,'Scratch Data'!$G$5:$G$13,1)))/MAX(INDEX('Scratch Data'!$G$5:$G$13,MIN(MATCH($A53,'Scratch Data'!$G$5:$G$13,1)+1,ROWS('Scratch Data'!$G$5:$G$13)))-INDEX('Scratch Data'!$G$5:$G$13,MATCH($A53,'Scratch Data'!$G$5:$G$13,1)),0.0001))*Inputs!$B$12*INDEX(Baseline!$I$3:$I$102,MIN(MAX(ROUND(Inputs!$B$11*(INDEX('Scratch Data'!$I$5:$I$13,MATCH($A53,'Scratch Data'!$G$5:$G$13,1))+($A53-INDEX('Scratch Data'!$G$5:$G$13,MATCH($A53,'Scratch Data'!$G$5:$G$13,1)))*(INDEX('Scratch Data'!$I$5:$I$13,MIN(MATCH($A53,'Scratch Data'!$G$5:$G$13,1)+1,ROWS('Scratch Data'!$G$5:$G$13)))-INDEX('Scratch Data'!$I$5:$I$13,MATCH($A53,'Scratch Data'!$G$5:$G$13,1)))/MAX(INDEX('Scratch Data'!$G$5:$G$13,MIN(MATCH($A53,'Scratch Data'!$G$5:$G$13,1)+1,ROWS('Scratch Data'!$G$5:$G$13)))-INDEX('Scratch Data'!$G$5:$G$13,MATCH($A53,'Scratch Data'!$G$5:$G$13,1)),0.0001))*Inputs!$B$13,0),1),100))+(1-(INDEX('Scratch Data'!$H$5:$H$13,MATCH($A53,'Scratch Data'!$G$5:$G$13,1))+($A53-INDEX('Scratch Data'!$G$5:$G$13,MATCH($A53,'Scratch Data'!$G$5:$G$13,1)))*(INDEX('Scratch Data'!$H$5:$H$13,MIN(MATCH($A53,'Scratch Data'!$G$5:$G$13,1)+1,ROWS('Scratch Data'!$G$5:$G$13)))-INDEX('Scratch Data'!$H$5:$H$13,MATCH($A53,'Scratch Data'!$G$5:$G$13,1)))/MAX(INDEX('Scratch Data'!$G$5:$G$13,MIN(MATCH($A53,'Scratch Data'!$G$5:$G$13,1)+1,ROWS('Scratch Data'!$G$5:$G$13)))-INDEX('Scratch Data'!$G$5:$G$13,MATCH($A53,'Scratch Data'!$G$5:$G$13,1)),0.0001))*Inputs!$B$12)*((INDEX('Scratch Data'!$J$5:$J$13,MATCH($A53,'Scratch Data'!$G$5:$G$13,1))+($A53-INDEX('Scratch Data'!$G$5:$G$13,MATCH($A53,'Scratch Data'!$G$5:$G$13,1)))*(INDEX('Scratch Data'!$J$5:$J$13,MIN(MATCH($A53,'Scratch Data'!$G$5:$G$13,1)+1,ROWS('Scratch Data'!$G$5:$G$13)))-INDEX('Scratch Data'!$J$5:$J$13,MATCH($A53,'Scratch Data'!$G$5:$G$13,1)))/MAX(INDEX('Scratch Data'!$G$5:$G$13,MIN(MATCH($A53,'Scratch Data'!$G$5:$G$13,1)+1,ROWS('Scratch Data'!$G$5:$G$13)))-INDEX('Scratch Data'!$G$5:$G$13,MATCH($A53,'Scratch Data'!$G$5:$G$13,1)),0.0001))+Inputs!$B$14)),(1+Inputs!$B$19*INDEX(Baseline!$B$3:$B$122,MATCH(MIN(MAX(ROUND((MAX($A53-Inputs!$B$21,30))/5,0)*5,5),600),Baseline!$A$3:$A$122,0))+(1-Inputs!$B$19)*INDEX(Baseline!$C$3:$C$122,MATCH(MIN(MAX(ROUND((MAX($A53-Inputs!$B$21,30))/5,0)*5,5),600),Baseline!$A$3:$A$122,0))+Inputs!$B$14)),(1+Inputs!$B$19*INDEX(Baseline!$B$3:$B$122,MATCH(MIN(MAX(ROUND((MAX($A53-Inputs!$B$21,30))/5,0)*5,5),600),Baseline!$A$3:$A$122,0))+(1-Inputs!$B$19)*INDEX(Baseline!$C$3:$C$122,MATCH(MIN(MAX(ROUND((MAX($A53-Inputs!$B$21,30))/5,0)*5,5),600),Baseline!$A$3:$A$122,0))+Inputs!$B$14)))</f>
        <v>4.0341906</v>
      </c>
      <c r="D53" s="10" t="n">
        <f aca="false">IF($A53&lt;=50,(INDEX('Scratch Data'!$P$5:$P$11,MATCH($A53,'Scratch Data'!$O$5:$O$11,1))+($A53-INDEX('Scratch Data'!$O$5:$O$11,MATCH($A53,'Scratch Data'!$O$5:$O$11,1)))*(INDEX('Scratch Data'!$P$5:$P$11,MIN(MATCH($A53,'Scratch Data'!$O$5:$O$11,1)+1,ROWS('Scratch Data'!$O$5:$O$11)))-INDEX('Scratch Data'!$P$5:$P$11,MATCH($A53,'Scratch Data'!$O$5:$O$11,1)))/MAX(INDEX('Scratch Data'!$O$5:$O$11,MIN(MATCH($A53,'Scratch Data'!$O$5:$O$11,1)+1,ROWS('Scratch Data'!$O$5:$O$11)))-INDEX('Scratch Data'!$O$5:$O$11,MATCH($A53,'Scratch Data'!$O$5:$O$11,1)),0.0001)),IF($A53&lt;=250,MIN((1+(INDEX('Scratch Data'!$H$5:$H$13,MATCH($A53,'Scratch Data'!$G$5:$G$13,1))+($A53-INDEX('Scratch Data'!$G$5:$G$13,MATCH($A53,'Scratch Data'!$G$5:$G$13,1)))*(INDEX('Scratch Data'!$H$5:$H$13,MIN(MATCH($A53,'Scratch Data'!$G$5:$G$13,1)+1,ROWS('Scratch Data'!$G$5:$G$13)))-INDEX('Scratch Data'!$H$5:$H$13,MATCH($A53,'Scratch Data'!$G$5:$G$13,1)))/MAX(INDEX('Scratch Data'!$G$5:$G$13,MIN(MATCH($A53,'Scratch Data'!$G$5:$G$13,1)+1,ROWS('Scratch Data'!$G$5:$G$13)))-INDEX('Scratch Data'!$G$5:$G$13,MATCH($A53,'Scratch Data'!$G$5:$G$13,1)),0.0001))*Inputs!$B$15*INDEX(Baseline!$I$3:$I$102,MIN(MAX(ROUND(Inputs!$B$11*(INDEX('Scratch Data'!$I$5:$I$13,MATCH($A53,'Scratch Data'!$G$5:$G$13,1))+($A53-INDEX('Scratch Data'!$G$5:$G$13,MATCH($A53,'Scratch Data'!$G$5:$G$13,1)))*(INDEX('Scratch Data'!$I$5:$I$13,MIN(MATCH($A53,'Scratch Data'!$G$5:$G$13,1)+1,ROWS('Scratch Data'!$G$5:$G$13)))-INDEX('Scratch Data'!$I$5:$I$13,MATCH($A53,'Scratch Data'!$G$5:$G$13,1)))/MAX(INDEX('Scratch Data'!$G$5:$G$13,MIN(MATCH($A53,'Scratch Data'!$G$5:$G$13,1)+1,ROWS('Scratch Data'!$G$5:$G$13)))-INDEX('Scratch Data'!$G$5:$G$13,MATCH($A53,'Scratch Data'!$G$5:$G$13,1)),0.0001))*Inputs!$B$16,0),1),100))+(1-(INDEX('Scratch Data'!$H$5:$H$13,MATCH($A53,'Scratch Data'!$G$5:$G$13,1))+($A53-INDEX('Scratch Data'!$G$5:$G$13,MATCH($A53,'Scratch Data'!$G$5:$G$13,1)))*(INDEX('Scratch Data'!$H$5:$H$13,MIN(MATCH($A53,'Scratch Data'!$G$5:$G$13,1)+1,ROWS('Scratch Data'!$G$5:$G$13)))-INDEX('Scratch Data'!$H$5:$H$13,MATCH($A53,'Scratch Data'!$G$5:$G$13,1)))/MAX(INDEX('Scratch Data'!$G$5:$G$13,MIN(MATCH($A53,'Scratch Data'!$G$5:$G$13,1)+1,ROWS('Scratch Data'!$G$5:$G$13)))-INDEX('Scratch Data'!$G$5:$G$13,MATCH($A53,'Scratch Data'!$G$5:$G$13,1)),0.0001))*Inputs!$B$15)*((INDEX('Scratch Data'!$J$5:$J$13,MATCH($A53,'Scratch Data'!$G$5:$G$13,1))+($A53-INDEX('Scratch Data'!$G$5:$G$13,MATCH($A53,'Scratch Data'!$G$5:$G$13,1)))*(INDEX('Scratch Data'!$J$5:$J$13,MIN(MATCH($A53,'Scratch Data'!$G$5:$G$13,1)+1,ROWS('Scratch Data'!$G$5:$G$13)))-INDEX('Scratch Data'!$J$5:$J$13,MATCH($A53,'Scratch Data'!$G$5:$G$13,1)))/MAX(INDEX('Scratch Data'!$G$5:$G$13,MIN(MATCH($A53,'Scratch Data'!$G$5:$G$13,1)+1,ROWS('Scratch Data'!$G$5:$G$13)))-INDEX('Scratch Data'!$G$5:$G$13,MATCH($A53,'Scratch Data'!$G$5:$G$13,1)),0.0001))+Inputs!$B$17)),(1+Inputs!$B$19*INDEX(Baseline!$B$3:$B$122,MATCH(MIN(MAX(ROUND((MAX($A53-Inputs!$B$22,30))/5,0)*5,5),600),Baseline!$A$3:$A$122,0))+(1-Inputs!$B$19)*INDEX(Baseline!$C$3:$C$122,MATCH(MIN(MAX(ROUND((MAX($A53-Inputs!$B$22,30))/5,0)*5,5),600),Baseline!$A$3:$A$122,0))+Inputs!$B$17)),(1+Inputs!$B$19*INDEX(Baseline!$B$3:$B$122,MATCH(MIN(MAX(ROUND((MAX($A53-Inputs!$B$22,30))/5,0)*5,5),600),Baseline!$A$3:$A$122,0))+(1-Inputs!$B$19)*INDEX(Baseline!$C$3:$C$122,MATCH(MIN(MAX(ROUND((MAX($A53-Inputs!$B$22,30))/5,0)*5,5),600),Baseline!$A$3:$A$122,0))+Inputs!$B$17)))</f>
        <v>4.21724582933333</v>
      </c>
      <c r="E53" s="10" t="n">
        <f aca="false">1+Inputs!$B$24+0.6*INDEX(Baseline!$B$3:$B$122,MATCH(MIN(MAX(ROUND((MAX($A53-Inputs!$B$23,15))/5,0)*5,5),600),Baseline!$A$3:$A$122,0))+0.4*INDEX(Baseline!$C$3:$C$122,MATCH(MIN(MAX(ROUND((MAX($A53-Inputs!$B$23,15))/5,0)*5,5),600),Baseline!$A$3:$A$122,0))</f>
        <v>4.421038912</v>
      </c>
      <c r="H53" s="7" t="n">
        <v>51</v>
      </c>
      <c r="I53" s="10" t="n">
        <f aca="false">(INDEX('Scratch Data'!$E$5:$E$22,MATCH($H53,'Scratch Data'!$A$5:$A$22,1))+($H53-INDEX('Scratch Data'!$A$5:$A$22,MATCH($H53,'Scratch Data'!$A$5:$A$22,1)))*(INDEX('Scratch Data'!$E$5:$E$22,MIN(MATCH($H53,'Scratch Data'!$A$5:$A$22,1)+1,ROWS('Scratch Data'!$A$5:$A$22)))-INDEX('Scratch Data'!$E$5:$E$22,MATCH($H53,'Scratch Data'!$A$5:$A$22,1)))/MAX(INDEX('Scratch Data'!$A$5:$A$22,MIN(MATCH($H53,'Scratch Data'!$A$5:$A$22,1)+1,ROWS('Scratch Data'!$A$5:$A$22)))-INDEX('Scratch Data'!$A$5:$A$22,MATCH($H53,'Scratch Data'!$A$5:$A$22,1)),0.0001))</f>
        <v>2.2632</v>
      </c>
    </row>
    <row r="54" customFormat="false" ht="15" hidden="false" customHeight="false" outlineLevel="0" collapsed="false">
      <c r="A54" s="7" t="n">
        <v>260</v>
      </c>
      <c r="B54" s="10" t="n">
        <f aca="false">IF($A54&lt;=50,(INDEX('Scratch Data'!$M$5:$M$12,MATCH($A54,'Scratch Data'!$L$5:$L$12,1))+($A54-INDEX('Scratch Data'!$L$5:$L$12,MATCH($A54,'Scratch Data'!$L$5:$L$12,1)))*(INDEX('Scratch Data'!$M$5:$M$12,MIN(MATCH($A54,'Scratch Data'!$L$5:$L$12,1)+1,ROWS('Scratch Data'!$L$5:$L$12)))-INDEX('Scratch Data'!$M$5:$M$12,MATCH($A54,'Scratch Data'!$L$5:$L$12,1)))/MAX(INDEX('Scratch Data'!$L$5:$L$12,MIN(MATCH($A54,'Scratch Data'!$L$5:$L$12,1)+1,ROWS('Scratch Data'!$L$5:$L$12)))-INDEX('Scratch Data'!$L$5:$L$12,MATCH($A54,'Scratch Data'!$L$5:$L$12,1)),0.0001)),IF($A54&lt;=250,MIN((1+(INDEX('Scratch Data'!$H$5:$H$13,MATCH($A54,'Scratch Data'!$G$5:$G$13,1))+($A54-INDEX('Scratch Data'!$G$5:$G$13,MATCH($A54,'Scratch Data'!$G$5:$G$13,1)))*(INDEX('Scratch Data'!$H$5:$H$13,MIN(MATCH($A54,'Scratch Data'!$G$5:$G$13,1)+1,ROWS('Scratch Data'!$G$5:$G$13)))-INDEX('Scratch Data'!$H$5:$H$13,MATCH($A54,'Scratch Data'!$G$5:$G$13,1)))/MAX(INDEX('Scratch Data'!$G$5:$G$13,MIN(MATCH($A54,'Scratch Data'!$G$5:$G$13,1)+1,ROWS('Scratch Data'!$G$5:$G$13)))-INDEX('Scratch Data'!$G$5:$G$13,MATCH($A54,'Scratch Data'!$G$5:$G$13,1)),0.0001))*INDEX(Baseline!$I$3:$I$102,MIN(MAX(ROUND(Inputs!$B$11*(INDEX('Scratch Data'!$I$5:$I$13,MATCH($A54,'Scratch Data'!$G$5:$G$13,1))+($A54-INDEX('Scratch Data'!$G$5:$G$13,MATCH($A54,'Scratch Data'!$G$5:$G$13,1)))*(INDEX('Scratch Data'!$I$5:$I$13,MIN(MATCH($A54,'Scratch Data'!$G$5:$G$13,1)+1,ROWS('Scratch Data'!$G$5:$G$13)))-INDEX('Scratch Data'!$I$5:$I$13,MATCH($A54,'Scratch Data'!$G$5:$G$13,1)))/MAX(INDEX('Scratch Data'!$G$5:$G$13,MIN(MATCH($A54,'Scratch Data'!$G$5:$G$13,1)+1,ROWS('Scratch Data'!$G$5:$G$13)))-INDEX('Scratch Data'!$G$5:$G$13,MATCH($A54,'Scratch Data'!$G$5:$G$13,1)),0.0001)),0),1),100))+(1-(INDEX('Scratch Data'!$H$5:$H$13,MATCH($A54,'Scratch Data'!$G$5:$G$13,1))+($A54-INDEX('Scratch Data'!$G$5:$G$13,MATCH($A54,'Scratch Data'!$G$5:$G$13,1)))*(INDEX('Scratch Data'!$H$5:$H$13,MIN(MATCH($A54,'Scratch Data'!$G$5:$G$13,1)+1,ROWS('Scratch Data'!$G$5:$G$13)))-INDEX('Scratch Data'!$H$5:$H$13,MATCH($A54,'Scratch Data'!$G$5:$G$13,1)))/MAX(INDEX('Scratch Data'!$G$5:$G$13,MIN(MATCH($A54,'Scratch Data'!$G$5:$G$13,1)+1,ROWS('Scratch Data'!$G$5:$G$13)))-INDEX('Scratch Data'!$G$5:$G$13,MATCH($A54,'Scratch Data'!$G$5:$G$13,1)),0.0001)))*(INDEX('Scratch Data'!$J$5:$J$13,MATCH($A54,'Scratch Data'!$G$5:$G$13,1))+($A54-INDEX('Scratch Data'!$G$5:$G$13,MATCH($A54,'Scratch Data'!$G$5:$G$13,1)))*(INDEX('Scratch Data'!$J$5:$J$13,MIN(MATCH($A54,'Scratch Data'!$G$5:$G$13,1)+1,ROWS('Scratch Data'!$G$5:$G$13)))-INDEX('Scratch Data'!$J$5:$J$13,MATCH($A54,'Scratch Data'!$G$5:$G$13,1)))/MAX(INDEX('Scratch Data'!$G$5:$G$13,MIN(MATCH($A54,'Scratch Data'!$G$5:$G$13,1)+1,ROWS('Scratch Data'!$G$5:$G$13)))-INDEX('Scratch Data'!$G$5:$G$13,MATCH($A54,'Scratch Data'!$G$5:$G$13,1)),0.0001))),(1+Inputs!$B$19*INDEX(Baseline!$B$3:$B$122,MATCH(MIN(MAX(ROUND((MAX($A54-Inputs!$B$20,30))/5,0)*5,5),600),Baseline!$A$3:$A$122,0))+(1-Inputs!$B$19)*INDEX(Baseline!$C$3:$C$122,MATCH(MIN(MAX(ROUND((MAX($A54-Inputs!$B$20,30))/5,0)*5,5),600),Baseline!$A$3:$A$122,0)))),(1+Inputs!$B$19*INDEX(Baseline!$B$3:$B$122,MATCH(MIN(MAX(ROUND((MAX($A54-Inputs!$B$20,30))/5,0)*5,5),600),Baseline!$A$3:$A$122,0))+(1-Inputs!$B$19)*INDEX(Baseline!$C$3:$C$122,MATCH(MIN(MAX(ROUND((MAX($A54-Inputs!$B$20,30))/5,0)*5,5),600),Baseline!$A$3:$A$122,0)))))</f>
        <v>3.74</v>
      </c>
      <c r="C54" s="10" t="n">
        <f aca="false">IF($A54&lt;=50,$B54+Inputs!$B$18,IF($A54&lt;=250,MIN((1+(INDEX('Scratch Data'!$H$5:$H$13,MATCH($A54,'Scratch Data'!$G$5:$G$13,1))+($A54-INDEX('Scratch Data'!$G$5:$G$13,MATCH($A54,'Scratch Data'!$G$5:$G$13,1)))*(INDEX('Scratch Data'!$H$5:$H$13,MIN(MATCH($A54,'Scratch Data'!$G$5:$G$13,1)+1,ROWS('Scratch Data'!$G$5:$G$13)))-INDEX('Scratch Data'!$H$5:$H$13,MATCH($A54,'Scratch Data'!$G$5:$G$13,1)))/MAX(INDEX('Scratch Data'!$G$5:$G$13,MIN(MATCH($A54,'Scratch Data'!$G$5:$G$13,1)+1,ROWS('Scratch Data'!$G$5:$G$13)))-INDEX('Scratch Data'!$G$5:$G$13,MATCH($A54,'Scratch Data'!$G$5:$G$13,1)),0.0001))*Inputs!$B$12*INDEX(Baseline!$I$3:$I$102,MIN(MAX(ROUND(Inputs!$B$11*(INDEX('Scratch Data'!$I$5:$I$13,MATCH($A54,'Scratch Data'!$G$5:$G$13,1))+($A54-INDEX('Scratch Data'!$G$5:$G$13,MATCH($A54,'Scratch Data'!$G$5:$G$13,1)))*(INDEX('Scratch Data'!$I$5:$I$13,MIN(MATCH($A54,'Scratch Data'!$G$5:$G$13,1)+1,ROWS('Scratch Data'!$G$5:$G$13)))-INDEX('Scratch Data'!$I$5:$I$13,MATCH($A54,'Scratch Data'!$G$5:$G$13,1)))/MAX(INDEX('Scratch Data'!$G$5:$G$13,MIN(MATCH($A54,'Scratch Data'!$G$5:$G$13,1)+1,ROWS('Scratch Data'!$G$5:$G$13)))-INDEX('Scratch Data'!$G$5:$G$13,MATCH($A54,'Scratch Data'!$G$5:$G$13,1)),0.0001))*Inputs!$B$13,0),1),100))+(1-(INDEX('Scratch Data'!$H$5:$H$13,MATCH($A54,'Scratch Data'!$G$5:$G$13,1))+($A54-INDEX('Scratch Data'!$G$5:$G$13,MATCH($A54,'Scratch Data'!$G$5:$G$13,1)))*(INDEX('Scratch Data'!$H$5:$H$13,MIN(MATCH($A54,'Scratch Data'!$G$5:$G$13,1)+1,ROWS('Scratch Data'!$G$5:$G$13)))-INDEX('Scratch Data'!$H$5:$H$13,MATCH($A54,'Scratch Data'!$G$5:$G$13,1)))/MAX(INDEX('Scratch Data'!$G$5:$G$13,MIN(MATCH($A54,'Scratch Data'!$G$5:$G$13,1)+1,ROWS('Scratch Data'!$G$5:$G$13)))-INDEX('Scratch Data'!$G$5:$G$13,MATCH($A54,'Scratch Data'!$G$5:$G$13,1)),0.0001))*Inputs!$B$12)*((INDEX('Scratch Data'!$J$5:$J$13,MATCH($A54,'Scratch Data'!$G$5:$G$13,1))+($A54-INDEX('Scratch Data'!$G$5:$G$13,MATCH($A54,'Scratch Data'!$G$5:$G$13,1)))*(INDEX('Scratch Data'!$J$5:$J$13,MIN(MATCH($A54,'Scratch Data'!$G$5:$G$13,1)+1,ROWS('Scratch Data'!$G$5:$G$13)))-INDEX('Scratch Data'!$J$5:$J$13,MATCH($A54,'Scratch Data'!$G$5:$G$13,1)))/MAX(INDEX('Scratch Data'!$G$5:$G$13,MIN(MATCH($A54,'Scratch Data'!$G$5:$G$13,1)+1,ROWS('Scratch Data'!$G$5:$G$13)))-INDEX('Scratch Data'!$G$5:$G$13,MATCH($A54,'Scratch Data'!$G$5:$G$13,1)),0.0001))+Inputs!$B$14)),(1+Inputs!$B$19*INDEX(Baseline!$B$3:$B$122,MATCH(MIN(MAX(ROUND((MAX($A54-Inputs!$B$21,30))/5,0)*5,5),600),Baseline!$A$3:$A$122,0))+(1-Inputs!$B$19)*INDEX(Baseline!$C$3:$C$122,MATCH(MIN(MAX(ROUND((MAX($A54-Inputs!$B$21,30))/5,0)*5,5),600),Baseline!$A$3:$A$122,0))+Inputs!$B$14)),(1+Inputs!$B$19*INDEX(Baseline!$B$3:$B$122,MATCH(MIN(MAX(ROUND((MAX($A54-Inputs!$B$21,30))/5,0)*5,5),600),Baseline!$A$3:$A$122,0))+(1-Inputs!$B$19)*INDEX(Baseline!$C$3:$C$122,MATCH(MIN(MAX(ROUND((MAX($A54-Inputs!$B$21,30))/5,0)*5,5),600),Baseline!$A$3:$A$122,0))+Inputs!$B$14)))</f>
        <v>4.0432264</v>
      </c>
      <c r="D54" s="10" t="n">
        <f aca="false">IF($A54&lt;=50,(INDEX('Scratch Data'!$P$5:$P$11,MATCH($A54,'Scratch Data'!$O$5:$O$11,1))+($A54-INDEX('Scratch Data'!$O$5:$O$11,MATCH($A54,'Scratch Data'!$O$5:$O$11,1)))*(INDEX('Scratch Data'!$P$5:$P$11,MIN(MATCH($A54,'Scratch Data'!$O$5:$O$11,1)+1,ROWS('Scratch Data'!$O$5:$O$11)))-INDEX('Scratch Data'!$P$5:$P$11,MATCH($A54,'Scratch Data'!$O$5:$O$11,1)))/MAX(INDEX('Scratch Data'!$O$5:$O$11,MIN(MATCH($A54,'Scratch Data'!$O$5:$O$11,1)+1,ROWS('Scratch Data'!$O$5:$O$11)))-INDEX('Scratch Data'!$O$5:$O$11,MATCH($A54,'Scratch Data'!$O$5:$O$11,1)),0.0001)),IF($A54&lt;=250,MIN((1+(INDEX('Scratch Data'!$H$5:$H$13,MATCH($A54,'Scratch Data'!$G$5:$G$13,1))+($A54-INDEX('Scratch Data'!$G$5:$G$13,MATCH($A54,'Scratch Data'!$G$5:$G$13,1)))*(INDEX('Scratch Data'!$H$5:$H$13,MIN(MATCH($A54,'Scratch Data'!$G$5:$G$13,1)+1,ROWS('Scratch Data'!$G$5:$G$13)))-INDEX('Scratch Data'!$H$5:$H$13,MATCH($A54,'Scratch Data'!$G$5:$G$13,1)))/MAX(INDEX('Scratch Data'!$G$5:$G$13,MIN(MATCH($A54,'Scratch Data'!$G$5:$G$13,1)+1,ROWS('Scratch Data'!$G$5:$G$13)))-INDEX('Scratch Data'!$G$5:$G$13,MATCH($A54,'Scratch Data'!$G$5:$G$13,1)),0.0001))*Inputs!$B$15*INDEX(Baseline!$I$3:$I$102,MIN(MAX(ROUND(Inputs!$B$11*(INDEX('Scratch Data'!$I$5:$I$13,MATCH($A54,'Scratch Data'!$G$5:$G$13,1))+($A54-INDEX('Scratch Data'!$G$5:$G$13,MATCH($A54,'Scratch Data'!$G$5:$G$13,1)))*(INDEX('Scratch Data'!$I$5:$I$13,MIN(MATCH($A54,'Scratch Data'!$G$5:$G$13,1)+1,ROWS('Scratch Data'!$G$5:$G$13)))-INDEX('Scratch Data'!$I$5:$I$13,MATCH($A54,'Scratch Data'!$G$5:$G$13,1)))/MAX(INDEX('Scratch Data'!$G$5:$G$13,MIN(MATCH($A54,'Scratch Data'!$G$5:$G$13,1)+1,ROWS('Scratch Data'!$G$5:$G$13)))-INDEX('Scratch Data'!$G$5:$G$13,MATCH($A54,'Scratch Data'!$G$5:$G$13,1)),0.0001))*Inputs!$B$16,0),1),100))+(1-(INDEX('Scratch Data'!$H$5:$H$13,MATCH($A54,'Scratch Data'!$G$5:$G$13,1))+($A54-INDEX('Scratch Data'!$G$5:$G$13,MATCH($A54,'Scratch Data'!$G$5:$G$13,1)))*(INDEX('Scratch Data'!$H$5:$H$13,MIN(MATCH($A54,'Scratch Data'!$G$5:$G$13,1)+1,ROWS('Scratch Data'!$G$5:$G$13)))-INDEX('Scratch Data'!$H$5:$H$13,MATCH($A54,'Scratch Data'!$G$5:$G$13,1)))/MAX(INDEX('Scratch Data'!$G$5:$G$13,MIN(MATCH($A54,'Scratch Data'!$G$5:$G$13,1)+1,ROWS('Scratch Data'!$G$5:$G$13)))-INDEX('Scratch Data'!$G$5:$G$13,MATCH($A54,'Scratch Data'!$G$5:$G$13,1)),0.0001))*Inputs!$B$15)*((INDEX('Scratch Data'!$J$5:$J$13,MATCH($A54,'Scratch Data'!$G$5:$G$13,1))+($A54-INDEX('Scratch Data'!$G$5:$G$13,MATCH($A54,'Scratch Data'!$G$5:$G$13,1)))*(INDEX('Scratch Data'!$J$5:$J$13,MIN(MATCH($A54,'Scratch Data'!$G$5:$G$13,1)+1,ROWS('Scratch Data'!$G$5:$G$13)))-INDEX('Scratch Data'!$J$5:$J$13,MATCH($A54,'Scratch Data'!$G$5:$G$13,1)))/MAX(INDEX('Scratch Data'!$G$5:$G$13,MIN(MATCH($A54,'Scratch Data'!$G$5:$G$13,1)+1,ROWS('Scratch Data'!$G$5:$G$13)))-INDEX('Scratch Data'!$G$5:$G$13,MATCH($A54,'Scratch Data'!$G$5:$G$13,1)),0.0001))+Inputs!$B$17)),(1+Inputs!$B$19*INDEX(Baseline!$B$3:$B$122,MATCH(MIN(MAX(ROUND((MAX($A54-Inputs!$B$22,30))/5,0)*5,5),600),Baseline!$A$3:$A$122,0))+(1-Inputs!$B$19)*INDEX(Baseline!$C$3:$C$122,MATCH(MIN(MAX(ROUND((MAX($A54-Inputs!$B$22,30))/5,0)*5,5),600),Baseline!$A$3:$A$122,0))+Inputs!$B$17)),(1+Inputs!$B$19*INDEX(Baseline!$B$3:$B$122,MATCH(MIN(MAX(ROUND((MAX($A54-Inputs!$B$22,30))/5,0)*5,5),600),Baseline!$A$3:$A$122,0))+(1-Inputs!$B$19)*INDEX(Baseline!$C$3:$C$122,MATCH(MIN(MAX(ROUND((MAX($A54-Inputs!$B$22,30))/5,0)*5,5),600),Baseline!$A$3:$A$122,0))+Inputs!$B$17)))</f>
        <v>4.245111968</v>
      </c>
      <c r="E54" s="10" t="n">
        <f aca="false">1+Inputs!$B$24+0.6*INDEX(Baseline!$B$3:$B$122,MATCH(MIN(MAX(ROUND((MAX($A54-Inputs!$B$23,15))/5,0)*5,5),600),Baseline!$A$3:$A$122,0))+0.4*INDEX(Baseline!$C$3:$C$122,MATCH(MIN(MAX(ROUND((MAX($A54-Inputs!$B$23,15))/5,0)*5,5),600),Baseline!$A$3:$A$122,0))</f>
        <v>4.443518576</v>
      </c>
      <c r="H54" s="7" t="n">
        <v>52</v>
      </c>
      <c r="I54" s="10" t="n">
        <f aca="false">(INDEX('Scratch Data'!$E$5:$E$22,MATCH($H54,'Scratch Data'!$A$5:$A$22,1))+($H54-INDEX('Scratch Data'!$A$5:$A$22,MATCH($H54,'Scratch Data'!$A$5:$A$22,1)))*(INDEX('Scratch Data'!$E$5:$E$22,MIN(MATCH($H54,'Scratch Data'!$A$5:$A$22,1)+1,ROWS('Scratch Data'!$A$5:$A$22)))-INDEX('Scratch Data'!$E$5:$E$22,MATCH($H54,'Scratch Data'!$A$5:$A$22,1)))/MAX(INDEX('Scratch Data'!$A$5:$A$22,MIN(MATCH($H54,'Scratch Data'!$A$5:$A$22,1)+1,ROWS('Scratch Data'!$A$5:$A$22)))-INDEX('Scratch Data'!$A$5:$A$22,MATCH($H54,'Scratch Data'!$A$5:$A$22,1)),0.0001))</f>
        <v>2.2714</v>
      </c>
    </row>
    <row r="55" customFormat="false" ht="15" hidden="false" customHeight="false" outlineLevel="0" collapsed="false">
      <c r="A55" s="7" t="n">
        <v>265</v>
      </c>
      <c r="B55" s="10" t="n">
        <f aca="false">IF($A55&lt;=50,(INDEX('Scratch Data'!$M$5:$M$12,MATCH($A55,'Scratch Data'!$L$5:$L$12,1))+($A55-INDEX('Scratch Data'!$L$5:$L$12,MATCH($A55,'Scratch Data'!$L$5:$L$12,1)))*(INDEX('Scratch Data'!$M$5:$M$12,MIN(MATCH($A55,'Scratch Data'!$L$5:$L$12,1)+1,ROWS('Scratch Data'!$L$5:$L$12)))-INDEX('Scratch Data'!$M$5:$M$12,MATCH($A55,'Scratch Data'!$L$5:$L$12,1)))/MAX(INDEX('Scratch Data'!$L$5:$L$12,MIN(MATCH($A55,'Scratch Data'!$L$5:$L$12,1)+1,ROWS('Scratch Data'!$L$5:$L$12)))-INDEX('Scratch Data'!$L$5:$L$12,MATCH($A55,'Scratch Data'!$L$5:$L$12,1)),0.0001)),IF($A55&lt;=250,MIN((1+(INDEX('Scratch Data'!$H$5:$H$13,MATCH($A55,'Scratch Data'!$G$5:$G$13,1))+($A55-INDEX('Scratch Data'!$G$5:$G$13,MATCH($A55,'Scratch Data'!$G$5:$G$13,1)))*(INDEX('Scratch Data'!$H$5:$H$13,MIN(MATCH($A55,'Scratch Data'!$G$5:$G$13,1)+1,ROWS('Scratch Data'!$G$5:$G$13)))-INDEX('Scratch Data'!$H$5:$H$13,MATCH($A55,'Scratch Data'!$G$5:$G$13,1)))/MAX(INDEX('Scratch Data'!$G$5:$G$13,MIN(MATCH($A55,'Scratch Data'!$G$5:$G$13,1)+1,ROWS('Scratch Data'!$G$5:$G$13)))-INDEX('Scratch Data'!$G$5:$G$13,MATCH($A55,'Scratch Data'!$G$5:$G$13,1)),0.0001))*INDEX(Baseline!$I$3:$I$102,MIN(MAX(ROUND(Inputs!$B$11*(INDEX('Scratch Data'!$I$5:$I$13,MATCH($A55,'Scratch Data'!$G$5:$G$13,1))+($A55-INDEX('Scratch Data'!$G$5:$G$13,MATCH($A55,'Scratch Data'!$G$5:$G$13,1)))*(INDEX('Scratch Data'!$I$5:$I$13,MIN(MATCH($A55,'Scratch Data'!$G$5:$G$13,1)+1,ROWS('Scratch Data'!$G$5:$G$13)))-INDEX('Scratch Data'!$I$5:$I$13,MATCH($A55,'Scratch Data'!$G$5:$G$13,1)))/MAX(INDEX('Scratch Data'!$G$5:$G$13,MIN(MATCH($A55,'Scratch Data'!$G$5:$G$13,1)+1,ROWS('Scratch Data'!$G$5:$G$13)))-INDEX('Scratch Data'!$G$5:$G$13,MATCH($A55,'Scratch Data'!$G$5:$G$13,1)),0.0001)),0),1),100))+(1-(INDEX('Scratch Data'!$H$5:$H$13,MATCH($A55,'Scratch Data'!$G$5:$G$13,1))+($A55-INDEX('Scratch Data'!$G$5:$G$13,MATCH($A55,'Scratch Data'!$G$5:$G$13,1)))*(INDEX('Scratch Data'!$H$5:$H$13,MIN(MATCH($A55,'Scratch Data'!$G$5:$G$13,1)+1,ROWS('Scratch Data'!$G$5:$G$13)))-INDEX('Scratch Data'!$H$5:$H$13,MATCH($A55,'Scratch Data'!$G$5:$G$13,1)))/MAX(INDEX('Scratch Data'!$G$5:$G$13,MIN(MATCH($A55,'Scratch Data'!$G$5:$G$13,1)+1,ROWS('Scratch Data'!$G$5:$G$13)))-INDEX('Scratch Data'!$G$5:$G$13,MATCH($A55,'Scratch Data'!$G$5:$G$13,1)),0.0001)))*(INDEX('Scratch Data'!$J$5:$J$13,MATCH($A55,'Scratch Data'!$G$5:$G$13,1))+($A55-INDEX('Scratch Data'!$G$5:$G$13,MATCH($A55,'Scratch Data'!$G$5:$G$13,1)))*(INDEX('Scratch Data'!$J$5:$J$13,MIN(MATCH($A55,'Scratch Data'!$G$5:$G$13,1)+1,ROWS('Scratch Data'!$G$5:$G$13)))-INDEX('Scratch Data'!$J$5:$J$13,MATCH($A55,'Scratch Data'!$G$5:$G$13,1)))/MAX(INDEX('Scratch Data'!$G$5:$G$13,MIN(MATCH($A55,'Scratch Data'!$G$5:$G$13,1)+1,ROWS('Scratch Data'!$G$5:$G$13)))-INDEX('Scratch Data'!$G$5:$G$13,MATCH($A55,'Scratch Data'!$G$5:$G$13,1)),0.0001))),(1+Inputs!$B$19*INDEX(Baseline!$B$3:$B$122,MATCH(MIN(MAX(ROUND((MAX($A55-Inputs!$B$20,30))/5,0)*5,5),600),Baseline!$A$3:$A$122,0))+(1-Inputs!$B$19)*INDEX(Baseline!$C$3:$C$122,MATCH(MIN(MAX(ROUND((MAX($A55-Inputs!$B$20,30))/5,0)*5,5),600),Baseline!$A$3:$A$122,0)))),(1+Inputs!$B$19*INDEX(Baseline!$B$3:$B$122,MATCH(MIN(MAX(ROUND((MAX($A55-Inputs!$B$20,30))/5,0)*5,5),600),Baseline!$A$3:$A$122,0))+(1-Inputs!$B$19)*INDEX(Baseline!$C$3:$C$122,MATCH(MIN(MAX(ROUND((MAX($A55-Inputs!$B$20,30))/5,0)*5,5),600),Baseline!$A$3:$A$122,0)))))</f>
        <v>3.8</v>
      </c>
      <c r="C55" s="10" t="n">
        <f aca="false">IF($A55&lt;=50,$B55+Inputs!$B$18,IF($A55&lt;=250,MIN((1+(INDEX('Scratch Data'!$H$5:$H$13,MATCH($A55,'Scratch Data'!$G$5:$G$13,1))+($A55-INDEX('Scratch Data'!$G$5:$G$13,MATCH($A55,'Scratch Data'!$G$5:$G$13,1)))*(INDEX('Scratch Data'!$H$5:$H$13,MIN(MATCH($A55,'Scratch Data'!$G$5:$G$13,1)+1,ROWS('Scratch Data'!$G$5:$G$13)))-INDEX('Scratch Data'!$H$5:$H$13,MATCH($A55,'Scratch Data'!$G$5:$G$13,1)))/MAX(INDEX('Scratch Data'!$G$5:$G$13,MIN(MATCH($A55,'Scratch Data'!$G$5:$G$13,1)+1,ROWS('Scratch Data'!$G$5:$G$13)))-INDEX('Scratch Data'!$G$5:$G$13,MATCH($A55,'Scratch Data'!$G$5:$G$13,1)),0.0001))*Inputs!$B$12*INDEX(Baseline!$I$3:$I$102,MIN(MAX(ROUND(Inputs!$B$11*(INDEX('Scratch Data'!$I$5:$I$13,MATCH($A55,'Scratch Data'!$G$5:$G$13,1))+($A55-INDEX('Scratch Data'!$G$5:$G$13,MATCH($A55,'Scratch Data'!$G$5:$G$13,1)))*(INDEX('Scratch Data'!$I$5:$I$13,MIN(MATCH($A55,'Scratch Data'!$G$5:$G$13,1)+1,ROWS('Scratch Data'!$G$5:$G$13)))-INDEX('Scratch Data'!$I$5:$I$13,MATCH($A55,'Scratch Data'!$G$5:$G$13,1)))/MAX(INDEX('Scratch Data'!$G$5:$G$13,MIN(MATCH($A55,'Scratch Data'!$G$5:$G$13,1)+1,ROWS('Scratch Data'!$G$5:$G$13)))-INDEX('Scratch Data'!$G$5:$G$13,MATCH($A55,'Scratch Data'!$G$5:$G$13,1)),0.0001))*Inputs!$B$13,0),1),100))+(1-(INDEX('Scratch Data'!$H$5:$H$13,MATCH($A55,'Scratch Data'!$G$5:$G$13,1))+($A55-INDEX('Scratch Data'!$G$5:$G$13,MATCH($A55,'Scratch Data'!$G$5:$G$13,1)))*(INDEX('Scratch Data'!$H$5:$H$13,MIN(MATCH($A55,'Scratch Data'!$G$5:$G$13,1)+1,ROWS('Scratch Data'!$G$5:$G$13)))-INDEX('Scratch Data'!$H$5:$H$13,MATCH($A55,'Scratch Data'!$G$5:$G$13,1)))/MAX(INDEX('Scratch Data'!$G$5:$G$13,MIN(MATCH($A55,'Scratch Data'!$G$5:$G$13,1)+1,ROWS('Scratch Data'!$G$5:$G$13)))-INDEX('Scratch Data'!$G$5:$G$13,MATCH($A55,'Scratch Data'!$G$5:$G$13,1)),0.0001))*Inputs!$B$12)*((INDEX('Scratch Data'!$J$5:$J$13,MATCH($A55,'Scratch Data'!$G$5:$G$13,1))+($A55-INDEX('Scratch Data'!$G$5:$G$13,MATCH($A55,'Scratch Data'!$G$5:$G$13,1)))*(INDEX('Scratch Data'!$J$5:$J$13,MIN(MATCH($A55,'Scratch Data'!$G$5:$G$13,1)+1,ROWS('Scratch Data'!$G$5:$G$13)))-INDEX('Scratch Data'!$J$5:$J$13,MATCH($A55,'Scratch Data'!$G$5:$G$13,1)))/MAX(INDEX('Scratch Data'!$G$5:$G$13,MIN(MATCH($A55,'Scratch Data'!$G$5:$G$13,1)+1,ROWS('Scratch Data'!$G$5:$G$13)))-INDEX('Scratch Data'!$G$5:$G$13,MATCH($A55,'Scratch Data'!$G$5:$G$13,1)),0.0001))+Inputs!$B$14)),(1+Inputs!$B$19*INDEX(Baseline!$B$3:$B$122,MATCH(MIN(MAX(ROUND((MAX($A55-Inputs!$B$21,30))/5,0)*5,5),600),Baseline!$A$3:$A$122,0))+(1-Inputs!$B$19)*INDEX(Baseline!$C$3:$C$122,MATCH(MIN(MAX(ROUND((MAX($A55-Inputs!$B$21,30))/5,0)*5,5),600),Baseline!$A$3:$A$122,0))+Inputs!$B$14)),(1+Inputs!$B$19*INDEX(Baseline!$B$3:$B$122,MATCH(MIN(MAX(ROUND((MAX($A55-Inputs!$B$21,30))/5,0)*5,5),600),Baseline!$A$3:$A$122,0))+(1-Inputs!$B$19)*INDEX(Baseline!$C$3:$C$122,MATCH(MIN(MAX(ROUND((MAX($A55-Inputs!$B$21,30))/5,0)*5,5),600),Baseline!$A$3:$A$122,0))+Inputs!$B$14)))</f>
        <v>4.07765</v>
      </c>
      <c r="D55" s="10" t="n">
        <f aca="false">IF($A55&lt;=50,(INDEX('Scratch Data'!$P$5:$P$11,MATCH($A55,'Scratch Data'!$O$5:$O$11,1))+($A55-INDEX('Scratch Data'!$O$5:$O$11,MATCH($A55,'Scratch Data'!$O$5:$O$11,1)))*(INDEX('Scratch Data'!$P$5:$P$11,MIN(MATCH($A55,'Scratch Data'!$O$5:$O$11,1)+1,ROWS('Scratch Data'!$O$5:$O$11)))-INDEX('Scratch Data'!$P$5:$P$11,MATCH($A55,'Scratch Data'!$O$5:$O$11,1)))/MAX(INDEX('Scratch Data'!$O$5:$O$11,MIN(MATCH($A55,'Scratch Data'!$O$5:$O$11,1)+1,ROWS('Scratch Data'!$O$5:$O$11)))-INDEX('Scratch Data'!$O$5:$O$11,MATCH($A55,'Scratch Data'!$O$5:$O$11,1)),0.0001)),IF($A55&lt;=250,MIN((1+(INDEX('Scratch Data'!$H$5:$H$13,MATCH($A55,'Scratch Data'!$G$5:$G$13,1))+($A55-INDEX('Scratch Data'!$G$5:$G$13,MATCH($A55,'Scratch Data'!$G$5:$G$13,1)))*(INDEX('Scratch Data'!$H$5:$H$13,MIN(MATCH($A55,'Scratch Data'!$G$5:$G$13,1)+1,ROWS('Scratch Data'!$G$5:$G$13)))-INDEX('Scratch Data'!$H$5:$H$13,MATCH($A55,'Scratch Data'!$G$5:$G$13,1)))/MAX(INDEX('Scratch Data'!$G$5:$G$13,MIN(MATCH($A55,'Scratch Data'!$G$5:$G$13,1)+1,ROWS('Scratch Data'!$G$5:$G$13)))-INDEX('Scratch Data'!$G$5:$G$13,MATCH($A55,'Scratch Data'!$G$5:$G$13,1)),0.0001))*Inputs!$B$15*INDEX(Baseline!$I$3:$I$102,MIN(MAX(ROUND(Inputs!$B$11*(INDEX('Scratch Data'!$I$5:$I$13,MATCH($A55,'Scratch Data'!$G$5:$G$13,1))+($A55-INDEX('Scratch Data'!$G$5:$G$13,MATCH($A55,'Scratch Data'!$G$5:$G$13,1)))*(INDEX('Scratch Data'!$I$5:$I$13,MIN(MATCH($A55,'Scratch Data'!$G$5:$G$13,1)+1,ROWS('Scratch Data'!$G$5:$G$13)))-INDEX('Scratch Data'!$I$5:$I$13,MATCH($A55,'Scratch Data'!$G$5:$G$13,1)))/MAX(INDEX('Scratch Data'!$G$5:$G$13,MIN(MATCH($A55,'Scratch Data'!$G$5:$G$13,1)+1,ROWS('Scratch Data'!$G$5:$G$13)))-INDEX('Scratch Data'!$G$5:$G$13,MATCH($A55,'Scratch Data'!$G$5:$G$13,1)),0.0001))*Inputs!$B$16,0),1),100))+(1-(INDEX('Scratch Data'!$H$5:$H$13,MATCH($A55,'Scratch Data'!$G$5:$G$13,1))+($A55-INDEX('Scratch Data'!$G$5:$G$13,MATCH($A55,'Scratch Data'!$G$5:$G$13,1)))*(INDEX('Scratch Data'!$H$5:$H$13,MIN(MATCH($A55,'Scratch Data'!$G$5:$G$13,1)+1,ROWS('Scratch Data'!$G$5:$G$13)))-INDEX('Scratch Data'!$H$5:$H$13,MATCH($A55,'Scratch Data'!$G$5:$G$13,1)))/MAX(INDEX('Scratch Data'!$G$5:$G$13,MIN(MATCH($A55,'Scratch Data'!$G$5:$G$13,1)+1,ROWS('Scratch Data'!$G$5:$G$13)))-INDEX('Scratch Data'!$G$5:$G$13,MATCH($A55,'Scratch Data'!$G$5:$G$13,1)),0.0001))*Inputs!$B$15)*((INDEX('Scratch Data'!$J$5:$J$13,MATCH($A55,'Scratch Data'!$G$5:$G$13,1))+($A55-INDEX('Scratch Data'!$G$5:$G$13,MATCH($A55,'Scratch Data'!$G$5:$G$13,1)))*(INDEX('Scratch Data'!$J$5:$J$13,MIN(MATCH($A55,'Scratch Data'!$G$5:$G$13,1)+1,ROWS('Scratch Data'!$G$5:$G$13)))-INDEX('Scratch Data'!$J$5:$J$13,MATCH($A55,'Scratch Data'!$G$5:$G$13,1)))/MAX(INDEX('Scratch Data'!$G$5:$G$13,MIN(MATCH($A55,'Scratch Data'!$G$5:$G$13,1)+1,ROWS('Scratch Data'!$G$5:$G$13)))-INDEX('Scratch Data'!$G$5:$G$13,MATCH($A55,'Scratch Data'!$G$5:$G$13,1)),0.0001))+Inputs!$B$17)),(1+Inputs!$B$19*INDEX(Baseline!$B$3:$B$122,MATCH(MIN(MAX(ROUND((MAX($A55-Inputs!$B$22,30))/5,0)*5,5),600),Baseline!$A$3:$A$122,0))+(1-Inputs!$B$19)*INDEX(Baseline!$C$3:$C$122,MATCH(MIN(MAX(ROUND((MAX($A55-Inputs!$B$22,30))/5,0)*5,5),600),Baseline!$A$3:$A$122,0))+Inputs!$B$17)),(1+Inputs!$B$19*INDEX(Baseline!$B$3:$B$122,MATCH(MIN(MAX(ROUND((MAX($A55-Inputs!$B$22,30))/5,0)*5,5),600),Baseline!$A$3:$A$122,0))+(1-Inputs!$B$19)*INDEX(Baseline!$C$3:$C$122,MATCH(MIN(MAX(ROUND((MAX($A55-Inputs!$B$22,30))/5,0)*5,5),600),Baseline!$A$3:$A$122,0))+Inputs!$B$17)))</f>
        <v>4.25946358933333</v>
      </c>
      <c r="E55" s="10" t="n">
        <f aca="false">1+Inputs!$B$24+0.6*INDEX(Baseline!$B$3:$B$122,MATCH(MIN(MAX(ROUND((MAX($A55-Inputs!$B$23,15))/5,0)*5,5),600),Baseline!$A$3:$A$122,0))+0.4*INDEX(Baseline!$C$3:$C$122,MATCH(MIN(MAX(ROUND((MAX($A55-Inputs!$B$23,15))/5,0)*5,5),600),Baseline!$A$3:$A$122,0))</f>
        <v>4.465836192</v>
      </c>
      <c r="H55" s="7" t="n">
        <v>53</v>
      </c>
      <c r="I55" s="10" t="n">
        <f aca="false">(INDEX('Scratch Data'!$E$5:$E$22,MATCH($H55,'Scratch Data'!$A$5:$A$22,1))+($H55-INDEX('Scratch Data'!$A$5:$A$22,MATCH($H55,'Scratch Data'!$A$5:$A$22,1)))*(INDEX('Scratch Data'!$E$5:$E$22,MIN(MATCH($H55,'Scratch Data'!$A$5:$A$22,1)+1,ROWS('Scratch Data'!$A$5:$A$22)))-INDEX('Scratch Data'!$E$5:$E$22,MATCH($H55,'Scratch Data'!$A$5:$A$22,1)))/MAX(INDEX('Scratch Data'!$A$5:$A$22,MIN(MATCH($H55,'Scratch Data'!$A$5:$A$22,1)+1,ROWS('Scratch Data'!$A$5:$A$22)))-INDEX('Scratch Data'!$A$5:$A$22,MATCH($H55,'Scratch Data'!$A$5:$A$22,1)),0.0001))</f>
        <v>2.2796</v>
      </c>
    </row>
    <row r="56" customFormat="false" ht="15" hidden="false" customHeight="false" outlineLevel="0" collapsed="false">
      <c r="A56" s="7" t="n">
        <v>270</v>
      </c>
      <c r="B56" s="10" t="n">
        <f aca="false">IF($A56&lt;=50,(INDEX('Scratch Data'!$M$5:$M$12,MATCH($A56,'Scratch Data'!$L$5:$L$12,1))+($A56-INDEX('Scratch Data'!$L$5:$L$12,MATCH($A56,'Scratch Data'!$L$5:$L$12,1)))*(INDEX('Scratch Data'!$M$5:$M$12,MIN(MATCH($A56,'Scratch Data'!$L$5:$L$12,1)+1,ROWS('Scratch Data'!$L$5:$L$12)))-INDEX('Scratch Data'!$M$5:$M$12,MATCH($A56,'Scratch Data'!$L$5:$L$12,1)))/MAX(INDEX('Scratch Data'!$L$5:$L$12,MIN(MATCH($A56,'Scratch Data'!$L$5:$L$12,1)+1,ROWS('Scratch Data'!$L$5:$L$12)))-INDEX('Scratch Data'!$L$5:$L$12,MATCH($A56,'Scratch Data'!$L$5:$L$12,1)),0.0001)),IF($A56&lt;=250,MIN((1+(INDEX('Scratch Data'!$H$5:$H$13,MATCH($A56,'Scratch Data'!$G$5:$G$13,1))+($A56-INDEX('Scratch Data'!$G$5:$G$13,MATCH($A56,'Scratch Data'!$G$5:$G$13,1)))*(INDEX('Scratch Data'!$H$5:$H$13,MIN(MATCH($A56,'Scratch Data'!$G$5:$G$13,1)+1,ROWS('Scratch Data'!$G$5:$G$13)))-INDEX('Scratch Data'!$H$5:$H$13,MATCH($A56,'Scratch Data'!$G$5:$G$13,1)))/MAX(INDEX('Scratch Data'!$G$5:$G$13,MIN(MATCH($A56,'Scratch Data'!$G$5:$G$13,1)+1,ROWS('Scratch Data'!$G$5:$G$13)))-INDEX('Scratch Data'!$G$5:$G$13,MATCH($A56,'Scratch Data'!$G$5:$G$13,1)),0.0001))*INDEX(Baseline!$I$3:$I$102,MIN(MAX(ROUND(Inputs!$B$11*(INDEX('Scratch Data'!$I$5:$I$13,MATCH($A56,'Scratch Data'!$G$5:$G$13,1))+($A56-INDEX('Scratch Data'!$G$5:$G$13,MATCH($A56,'Scratch Data'!$G$5:$G$13,1)))*(INDEX('Scratch Data'!$I$5:$I$13,MIN(MATCH($A56,'Scratch Data'!$G$5:$G$13,1)+1,ROWS('Scratch Data'!$G$5:$G$13)))-INDEX('Scratch Data'!$I$5:$I$13,MATCH($A56,'Scratch Data'!$G$5:$G$13,1)))/MAX(INDEX('Scratch Data'!$G$5:$G$13,MIN(MATCH($A56,'Scratch Data'!$G$5:$G$13,1)+1,ROWS('Scratch Data'!$G$5:$G$13)))-INDEX('Scratch Data'!$G$5:$G$13,MATCH($A56,'Scratch Data'!$G$5:$G$13,1)),0.0001)),0),1),100))+(1-(INDEX('Scratch Data'!$H$5:$H$13,MATCH($A56,'Scratch Data'!$G$5:$G$13,1))+($A56-INDEX('Scratch Data'!$G$5:$G$13,MATCH($A56,'Scratch Data'!$G$5:$G$13,1)))*(INDEX('Scratch Data'!$H$5:$H$13,MIN(MATCH($A56,'Scratch Data'!$G$5:$G$13,1)+1,ROWS('Scratch Data'!$G$5:$G$13)))-INDEX('Scratch Data'!$H$5:$H$13,MATCH($A56,'Scratch Data'!$G$5:$G$13,1)))/MAX(INDEX('Scratch Data'!$G$5:$G$13,MIN(MATCH($A56,'Scratch Data'!$G$5:$G$13,1)+1,ROWS('Scratch Data'!$G$5:$G$13)))-INDEX('Scratch Data'!$G$5:$G$13,MATCH($A56,'Scratch Data'!$G$5:$G$13,1)),0.0001)))*(INDEX('Scratch Data'!$J$5:$J$13,MATCH($A56,'Scratch Data'!$G$5:$G$13,1))+($A56-INDEX('Scratch Data'!$G$5:$G$13,MATCH($A56,'Scratch Data'!$G$5:$G$13,1)))*(INDEX('Scratch Data'!$J$5:$J$13,MIN(MATCH($A56,'Scratch Data'!$G$5:$G$13,1)+1,ROWS('Scratch Data'!$G$5:$G$13)))-INDEX('Scratch Data'!$J$5:$J$13,MATCH($A56,'Scratch Data'!$G$5:$G$13,1)))/MAX(INDEX('Scratch Data'!$G$5:$G$13,MIN(MATCH($A56,'Scratch Data'!$G$5:$G$13,1)+1,ROWS('Scratch Data'!$G$5:$G$13)))-INDEX('Scratch Data'!$G$5:$G$13,MATCH($A56,'Scratch Data'!$G$5:$G$13,1)),0.0001))),(1+Inputs!$B$19*INDEX(Baseline!$B$3:$B$122,MATCH(MIN(MAX(ROUND((MAX($A56-Inputs!$B$20,30))/5,0)*5,5),600),Baseline!$A$3:$A$122,0))+(1-Inputs!$B$19)*INDEX(Baseline!$C$3:$C$122,MATCH(MIN(MAX(ROUND((MAX($A56-Inputs!$B$20,30))/5,0)*5,5),600),Baseline!$A$3:$A$122,0)))),(1+Inputs!$B$19*INDEX(Baseline!$B$3:$B$122,MATCH(MIN(MAX(ROUND((MAX($A56-Inputs!$B$20,30))/5,0)*5,5),600),Baseline!$A$3:$A$122,0))+(1-Inputs!$B$19)*INDEX(Baseline!$C$3:$C$122,MATCH(MIN(MAX(ROUND((MAX($A56-Inputs!$B$20,30))/5,0)*5,5),600),Baseline!$A$3:$A$122,0)))))</f>
        <v>3.86</v>
      </c>
      <c r="C56" s="10" t="n">
        <f aca="false">IF($A56&lt;=50,$B56+Inputs!$B$18,IF($A56&lt;=250,MIN((1+(INDEX('Scratch Data'!$H$5:$H$13,MATCH($A56,'Scratch Data'!$G$5:$G$13,1))+($A56-INDEX('Scratch Data'!$G$5:$G$13,MATCH($A56,'Scratch Data'!$G$5:$G$13,1)))*(INDEX('Scratch Data'!$H$5:$H$13,MIN(MATCH($A56,'Scratch Data'!$G$5:$G$13,1)+1,ROWS('Scratch Data'!$G$5:$G$13)))-INDEX('Scratch Data'!$H$5:$H$13,MATCH($A56,'Scratch Data'!$G$5:$G$13,1)))/MAX(INDEX('Scratch Data'!$G$5:$G$13,MIN(MATCH($A56,'Scratch Data'!$G$5:$G$13,1)+1,ROWS('Scratch Data'!$G$5:$G$13)))-INDEX('Scratch Data'!$G$5:$G$13,MATCH($A56,'Scratch Data'!$G$5:$G$13,1)),0.0001))*Inputs!$B$12*INDEX(Baseline!$I$3:$I$102,MIN(MAX(ROUND(Inputs!$B$11*(INDEX('Scratch Data'!$I$5:$I$13,MATCH($A56,'Scratch Data'!$G$5:$G$13,1))+($A56-INDEX('Scratch Data'!$G$5:$G$13,MATCH($A56,'Scratch Data'!$G$5:$G$13,1)))*(INDEX('Scratch Data'!$I$5:$I$13,MIN(MATCH($A56,'Scratch Data'!$G$5:$G$13,1)+1,ROWS('Scratch Data'!$G$5:$G$13)))-INDEX('Scratch Data'!$I$5:$I$13,MATCH($A56,'Scratch Data'!$G$5:$G$13,1)))/MAX(INDEX('Scratch Data'!$G$5:$G$13,MIN(MATCH($A56,'Scratch Data'!$G$5:$G$13,1)+1,ROWS('Scratch Data'!$G$5:$G$13)))-INDEX('Scratch Data'!$G$5:$G$13,MATCH($A56,'Scratch Data'!$G$5:$G$13,1)),0.0001))*Inputs!$B$13,0),1),100))+(1-(INDEX('Scratch Data'!$H$5:$H$13,MATCH($A56,'Scratch Data'!$G$5:$G$13,1))+($A56-INDEX('Scratch Data'!$G$5:$G$13,MATCH($A56,'Scratch Data'!$G$5:$G$13,1)))*(INDEX('Scratch Data'!$H$5:$H$13,MIN(MATCH($A56,'Scratch Data'!$G$5:$G$13,1)+1,ROWS('Scratch Data'!$G$5:$G$13)))-INDEX('Scratch Data'!$H$5:$H$13,MATCH($A56,'Scratch Data'!$G$5:$G$13,1)))/MAX(INDEX('Scratch Data'!$G$5:$G$13,MIN(MATCH($A56,'Scratch Data'!$G$5:$G$13,1)+1,ROWS('Scratch Data'!$G$5:$G$13)))-INDEX('Scratch Data'!$G$5:$G$13,MATCH($A56,'Scratch Data'!$G$5:$G$13,1)),0.0001))*Inputs!$B$12)*((INDEX('Scratch Data'!$J$5:$J$13,MATCH($A56,'Scratch Data'!$G$5:$G$13,1))+($A56-INDEX('Scratch Data'!$G$5:$G$13,MATCH($A56,'Scratch Data'!$G$5:$G$13,1)))*(INDEX('Scratch Data'!$J$5:$J$13,MIN(MATCH($A56,'Scratch Data'!$G$5:$G$13,1)+1,ROWS('Scratch Data'!$G$5:$G$13)))-INDEX('Scratch Data'!$J$5:$J$13,MATCH($A56,'Scratch Data'!$G$5:$G$13,1)))/MAX(INDEX('Scratch Data'!$G$5:$G$13,MIN(MATCH($A56,'Scratch Data'!$G$5:$G$13,1)+1,ROWS('Scratch Data'!$G$5:$G$13)))-INDEX('Scratch Data'!$G$5:$G$13,MATCH($A56,'Scratch Data'!$G$5:$G$13,1)),0.0001))+Inputs!$B$14)),(1+Inputs!$B$19*INDEX(Baseline!$B$3:$B$122,MATCH(MIN(MAX(ROUND((MAX($A56-Inputs!$B$21,30))/5,0)*5,5),600),Baseline!$A$3:$A$122,0))+(1-Inputs!$B$19)*INDEX(Baseline!$C$3:$C$122,MATCH(MIN(MAX(ROUND((MAX($A56-Inputs!$B$21,30))/5,0)*5,5),600),Baseline!$A$3:$A$122,0))+Inputs!$B$14)),(1+Inputs!$B$19*INDEX(Baseline!$B$3:$B$122,MATCH(MIN(MAX(ROUND((MAX($A56-Inputs!$B$21,30))/5,0)*5,5),600),Baseline!$A$3:$A$122,0))+(1-Inputs!$B$19)*INDEX(Baseline!$C$3:$C$122,MATCH(MIN(MAX(ROUND((MAX($A56-Inputs!$B$21,30))/5,0)*5,5),600),Baseline!$A$3:$A$122,0))+Inputs!$B$14)))</f>
        <v>4.092564608</v>
      </c>
      <c r="D56" s="10" t="n">
        <f aca="false">IF($A56&lt;=50,(INDEX('Scratch Data'!$P$5:$P$11,MATCH($A56,'Scratch Data'!$O$5:$O$11,1))+($A56-INDEX('Scratch Data'!$O$5:$O$11,MATCH($A56,'Scratch Data'!$O$5:$O$11,1)))*(INDEX('Scratch Data'!$P$5:$P$11,MIN(MATCH($A56,'Scratch Data'!$O$5:$O$11,1)+1,ROWS('Scratch Data'!$O$5:$O$11)))-INDEX('Scratch Data'!$P$5:$P$11,MATCH($A56,'Scratch Data'!$O$5:$O$11,1)))/MAX(INDEX('Scratch Data'!$O$5:$O$11,MIN(MATCH($A56,'Scratch Data'!$O$5:$O$11,1)+1,ROWS('Scratch Data'!$O$5:$O$11)))-INDEX('Scratch Data'!$O$5:$O$11,MATCH($A56,'Scratch Data'!$O$5:$O$11,1)),0.0001)),IF($A56&lt;=250,MIN((1+(INDEX('Scratch Data'!$H$5:$H$13,MATCH($A56,'Scratch Data'!$G$5:$G$13,1))+($A56-INDEX('Scratch Data'!$G$5:$G$13,MATCH($A56,'Scratch Data'!$G$5:$G$13,1)))*(INDEX('Scratch Data'!$H$5:$H$13,MIN(MATCH($A56,'Scratch Data'!$G$5:$G$13,1)+1,ROWS('Scratch Data'!$G$5:$G$13)))-INDEX('Scratch Data'!$H$5:$H$13,MATCH($A56,'Scratch Data'!$G$5:$G$13,1)))/MAX(INDEX('Scratch Data'!$G$5:$G$13,MIN(MATCH($A56,'Scratch Data'!$G$5:$G$13,1)+1,ROWS('Scratch Data'!$G$5:$G$13)))-INDEX('Scratch Data'!$G$5:$G$13,MATCH($A56,'Scratch Data'!$G$5:$G$13,1)),0.0001))*Inputs!$B$15*INDEX(Baseline!$I$3:$I$102,MIN(MAX(ROUND(Inputs!$B$11*(INDEX('Scratch Data'!$I$5:$I$13,MATCH($A56,'Scratch Data'!$G$5:$G$13,1))+($A56-INDEX('Scratch Data'!$G$5:$G$13,MATCH($A56,'Scratch Data'!$G$5:$G$13,1)))*(INDEX('Scratch Data'!$I$5:$I$13,MIN(MATCH($A56,'Scratch Data'!$G$5:$G$13,1)+1,ROWS('Scratch Data'!$G$5:$G$13)))-INDEX('Scratch Data'!$I$5:$I$13,MATCH($A56,'Scratch Data'!$G$5:$G$13,1)))/MAX(INDEX('Scratch Data'!$G$5:$G$13,MIN(MATCH($A56,'Scratch Data'!$G$5:$G$13,1)+1,ROWS('Scratch Data'!$G$5:$G$13)))-INDEX('Scratch Data'!$G$5:$G$13,MATCH($A56,'Scratch Data'!$G$5:$G$13,1)),0.0001))*Inputs!$B$16,0),1),100))+(1-(INDEX('Scratch Data'!$H$5:$H$13,MATCH($A56,'Scratch Data'!$G$5:$G$13,1))+($A56-INDEX('Scratch Data'!$G$5:$G$13,MATCH($A56,'Scratch Data'!$G$5:$G$13,1)))*(INDEX('Scratch Data'!$H$5:$H$13,MIN(MATCH($A56,'Scratch Data'!$G$5:$G$13,1)+1,ROWS('Scratch Data'!$G$5:$G$13)))-INDEX('Scratch Data'!$H$5:$H$13,MATCH($A56,'Scratch Data'!$G$5:$G$13,1)))/MAX(INDEX('Scratch Data'!$G$5:$G$13,MIN(MATCH($A56,'Scratch Data'!$G$5:$G$13,1)+1,ROWS('Scratch Data'!$G$5:$G$13)))-INDEX('Scratch Data'!$G$5:$G$13,MATCH($A56,'Scratch Data'!$G$5:$G$13,1)),0.0001))*Inputs!$B$15)*((INDEX('Scratch Data'!$J$5:$J$13,MATCH($A56,'Scratch Data'!$G$5:$G$13,1))+($A56-INDEX('Scratch Data'!$G$5:$G$13,MATCH($A56,'Scratch Data'!$G$5:$G$13,1)))*(INDEX('Scratch Data'!$J$5:$J$13,MIN(MATCH($A56,'Scratch Data'!$G$5:$G$13,1)+1,ROWS('Scratch Data'!$G$5:$G$13)))-INDEX('Scratch Data'!$J$5:$J$13,MATCH($A56,'Scratch Data'!$G$5:$G$13,1)))/MAX(INDEX('Scratch Data'!$G$5:$G$13,MIN(MATCH($A56,'Scratch Data'!$G$5:$G$13,1)+1,ROWS('Scratch Data'!$G$5:$G$13)))-INDEX('Scratch Data'!$G$5:$G$13,MATCH($A56,'Scratch Data'!$G$5:$G$13,1)),0.0001))+Inputs!$B$17)),(1+Inputs!$B$19*INDEX(Baseline!$B$3:$B$122,MATCH(MIN(MAX(ROUND((MAX($A56-Inputs!$B$22,30))/5,0)*5,5),600),Baseline!$A$3:$A$122,0))+(1-Inputs!$B$19)*INDEX(Baseline!$C$3:$C$122,MATCH(MIN(MAX(ROUND((MAX($A56-Inputs!$B$22,30))/5,0)*5,5),600),Baseline!$A$3:$A$122,0))+Inputs!$B$17)),(1+Inputs!$B$19*INDEX(Baseline!$B$3:$B$122,MATCH(MIN(MAX(ROUND((MAX($A56-Inputs!$B$22,30))/5,0)*5,5),600),Baseline!$A$3:$A$122,0))+(1-Inputs!$B$19)*INDEX(Baseline!$C$3:$C$122,MATCH(MIN(MAX(ROUND((MAX($A56-Inputs!$B$22,30))/5,0)*5,5),600),Baseline!$A$3:$A$122,0))+Inputs!$B$17)))</f>
        <v>4.28301152</v>
      </c>
      <c r="E56" s="10" t="n">
        <f aca="false">1+Inputs!$B$24+0.6*INDEX(Baseline!$B$3:$B$122,MATCH(MIN(MAX(ROUND((MAX($A56-Inputs!$B$23,15))/5,0)*5,5),600),Baseline!$A$3:$A$122,0))+0.4*INDEX(Baseline!$C$3:$C$122,MATCH(MIN(MAX(ROUND((MAX($A56-Inputs!$B$23,15))/5,0)*5,5),600),Baseline!$A$3:$A$122,0))</f>
        <v>4.48326784</v>
      </c>
      <c r="H56" s="7" t="n">
        <v>54</v>
      </c>
      <c r="I56" s="10" t="n">
        <f aca="false">(INDEX('Scratch Data'!$E$5:$E$22,MATCH($H56,'Scratch Data'!$A$5:$A$22,1))+($H56-INDEX('Scratch Data'!$A$5:$A$22,MATCH($H56,'Scratch Data'!$A$5:$A$22,1)))*(INDEX('Scratch Data'!$E$5:$E$22,MIN(MATCH($H56,'Scratch Data'!$A$5:$A$22,1)+1,ROWS('Scratch Data'!$A$5:$A$22)))-INDEX('Scratch Data'!$E$5:$E$22,MATCH($H56,'Scratch Data'!$A$5:$A$22,1)))/MAX(INDEX('Scratch Data'!$A$5:$A$22,MIN(MATCH($H56,'Scratch Data'!$A$5:$A$22,1)+1,ROWS('Scratch Data'!$A$5:$A$22)))-INDEX('Scratch Data'!$A$5:$A$22,MATCH($H56,'Scratch Data'!$A$5:$A$22,1)),0.0001))</f>
        <v>2.2878</v>
      </c>
    </row>
    <row r="57" customFormat="false" ht="15" hidden="false" customHeight="false" outlineLevel="0" collapsed="false">
      <c r="A57" s="7" t="n">
        <v>275</v>
      </c>
      <c r="B57" s="10" t="n">
        <f aca="false">IF($A57&lt;=50,(INDEX('Scratch Data'!$M$5:$M$12,MATCH($A57,'Scratch Data'!$L$5:$L$12,1))+($A57-INDEX('Scratch Data'!$L$5:$L$12,MATCH($A57,'Scratch Data'!$L$5:$L$12,1)))*(INDEX('Scratch Data'!$M$5:$M$12,MIN(MATCH($A57,'Scratch Data'!$L$5:$L$12,1)+1,ROWS('Scratch Data'!$L$5:$L$12)))-INDEX('Scratch Data'!$M$5:$M$12,MATCH($A57,'Scratch Data'!$L$5:$L$12,1)))/MAX(INDEX('Scratch Data'!$L$5:$L$12,MIN(MATCH($A57,'Scratch Data'!$L$5:$L$12,1)+1,ROWS('Scratch Data'!$L$5:$L$12)))-INDEX('Scratch Data'!$L$5:$L$12,MATCH($A57,'Scratch Data'!$L$5:$L$12,1)),0.0001)),IF($A57&lt;=250,MIN((1+(INDEX('Scratch Data'!$H$5:$H$13,MATCH($A57,'Scratch Data'!$G$5:$G$13,1))+($A57-INDEX('Scratch Data'!$G$5:$G$13,MATCH($A57,'Scratch Data'!$G$5:$G$13,1)))*(INDEX('Scratch Data'!$H$5:$H$13,MIN(MATCH($A57,'Scratch Data'!$G$5:$G$13,1)+1,ROWS('Scratch Data'!$G$5:$G$13)))-INDEX('Scratch Data'!$H$5:$H$13,MATCH($A57,'Scratch Data'!$G$5:$G$13,1)))/MAX(INDEX('Scratch Data'!$G$5:$G$13,MIN(MATCH($A57,'Scratch Data'!$G$5:$G$13,1)+1,ROWS('Scratch Data'!$G$5:$G$13)))-INDEX('Scratch Data'!$G$5:$G$13,MATCH($A57,'Scratch Data'!$G$5:$G$13,1)),0.0001))*INDEX(Baseline!$I$3:$I$102,MIN(MAX(ROUND(Inputs!$B$11*(INDEX('Scratch Data'!$I$5:$I$13,MATCH($A57,'Scratch Data'!$G$5:$G$13,1))+($A57-INDEX('Scratch Data'!$G$5:$G$13,MATCH($A57,'Scratch Data'!$G$5:$G$13,1)))*(INDEX('Scratch Data'!$I$5:$I$13,MIN(MATCH($A57,'Scratch Data'!$G$5:$G$13,1)+1,ROWS('Scratch Data'!$G$5:$G$13)))-INDEX('Scratch Data'!$I$5:$I$13,MATCH($A57,'Scratch Data'!$G$5:$G$13,1)))/MAX(INDEX('Scratch Data'!$G$5:$G$13,MIN(MATCH($A57,'Scratch Data'!$G$5:$G$13,1)+1,ROWS('Scratch Data'!$G$5:$G$13)))-INDEX('Scratch Data'!$G$5:$G$13,MATCH($A57,'Scratch Data'!$G$5:$G$13,1)),0.0001)),0),1),100))+(1-(INDEX('Scratch Data'!$H$5:$H$13,MATCH($A57,'Scratch Data'!$G$5:$G$13,1))+($A57-INDEX('Scratch Data'!$G$5:$G$13,MATCH($A57,'Scratch Data'!$G$5:$G$13,1)))*(INDEX('Scratch Data'!$H$5:$H$13,MIN(MATCH($A57,'Scratch Data'!$G$5:$G$13,1)+1,ROWS('Scratch Data'!$G$5:$G$13)))-INDEX('Scratch Data'!$H$5:$H$13,MATCH($A57,'Scratch Data'!$G$5:$G$13,1)))/MAX(INDEX('Scratch Data'!$G$5:$G$13,MIN(MATCH($A57,'Scratch Data'!$G$5:$G$13,1)+1,ROWS('Scratch Data'!$G$5:$G$13)))-INDEX('Scratch Data'!$G$5:$G$13,MATCH($A57,'Scratch Data'!$G$5:$G$13,1)),0.0001)))*(INDEX('Scratch Data'!$J$5:$J$13,MATCH($A57,'Scratch Data'!$G$5:$G$13,1))+($A57-INDEX('Scratch Data'!$G$5:$G$13,MATCH($A57,'Scratch Data'!$G$5:$G$13,1)))*(INDEX('Scratch Data'!$J$5:$J$13,MIN(MATCH($A57,'Scratch Data'!$G$5:$G$13,1)+1,ROWS('Scratch Data'!$G$5:$G$13)))-INDEX('Scratch Data'!$J$5:$J$13,MATCH($A57,'Scratch Data'!$G$5:$G$13,1)))/MAX(INDEX('Scratch Data'!$G$5:$G$13,MIN(MATCH($A57,'Scratch Data'!$G$5:$G$13,1)+1,ROWS('Scratch Data'!$G$5:$G$13)))-INDEX('Scratch Data'!$G$5:$G$13,MATCH($A57,'Scratch Data'!$G$5:$G$13,1)),0.0001))),(1+Inputs!$B$19*INDEX(Baseline!$B$3:$B$122,MATCH(MIN(MAX(ROUND((MAX($A57-Inputs!$B$20,30))/5,0)*5,5),600),Baseline!$A$3:$A$122,0))+(1-Inputs!$B$19)*INDEX(Baseline!$C$3:$C$122,MATCH(MIN(MAX(ROUND((MAX($A57-Inputs!$B$20,30))/5,0)*5,5),600),Baseline!$A$3:$A$122,0)))),(1+Inputs!$B$19*INDEX(Baseline!$B$3:$B$122,MATCH(MIN(MAX(ROUND((MAX($A57-Inputs!$B$20,30))/5,0)*5,5),600),Baseline!$A$3:$A$122,0))+(1-Inputs!$B$19)*INDEX(Baseline!$C$3:$C$122,MATCH(MIN(MAX(ROUND((MAX($A57-Inputs!$B$20,30))/5,0)*5,5),600),Baseline!$A$3:$A$122,0)))))</f>
        <v>3.8898344</v>
      </c>
      <c r="C57" s="10" t="n">
        <f aca="false">IF($A57&lt;=50,$B57+Inputs!$B$18,IF($A57&lt;=250,MIN((1+(INDEX('Scratch Data'!$H$5:$H$13,MATCH($A57,'Scratch Data'!$G$5:$G$13,1))+($A57-INDEX('Scratch Data'!$G$5:$G$13,MATCH($A57,'Scratch Data'!$G$5:$G$13,1)))*(INDEX('Scratch Data'!$H$5:$H$13,MIN(MATCH($A57,'Scratch Data'!$G$5:$G$13,1)+1,ROWS('Scratch Data'!$G$5:$G$13)))-INDEX('Scratch Data'!$H$5:$H$13,MATCH($A57,'Scratch Data'!$G$5:$G$13,1)))/MAX(INDEX('Scratch Data'!$G$5:$G$13,MIN(MATCH($A57,'Scratch Data'!$G$5:$G$13,1)+1,ROWS('Scratch Data'!$G$5:$G$13)))-INDEX('Scratch Data'!$G$5:$G$13,MATCH($A57,'Scratch Data'!$G$5:$G$13,1)),0.0001))*Inputs!$B$12*INDEX(Baseline!$I$3:$I$102,MIN(MAX(ROUND(Inputs!$B$11*(INDEX('Scratch Data'!$I$5:$I$13,MATCH($A57,'Scratch Data'!$G$5:$G$13,1))+($A57-INDEX('Scratch Data'!$G$5:$G$13,MATCH($A57,'Scratch Data'!$G$5:$G$13,1)))*(INDEX('Scratch Data'!$I$5:$I$13,MIN(MATCH($A57,'Scratch Data'!$G$5:$G$13,1)+1,ROWS('Scratch Data'!$G$5:$G$13)))-INDEX('Scratch Data'!$I$5:$I$13,MATCH($A57,'Scratch Data'!$G$5:$G$13,1)))/MAX(INDEX('Scratch Data'!$G$5:$G$13,MIN(MATCH($A57,'Scratch Data'!$G$5:$G$13,1)+1,ROWS('Scratch Data'!$G$5:$G$13)))-INDEX('Scratch Data'!$G$5:$G$13,MATCH($A57,'Scratch Data'!$G$5:$G$13,1)),0.0001))*Inputs!$B$13,0),1),100))+(1-(INDEX('Scratch Data'!$H$5:$H$13,MATCH($A57,'Scratch Data'!$G$5:$G$13,1))+($A57-INDEX('Scratch Data'!$G$5:$G$13,MATCH($A57,'Scratch Data'!$G$5:$G$13,1)))*(INDEX('Scratch Data'!$H$5:$H$13,MIN(MATCH($A57,'Scratch Data'!$G$5:$G$13,1)+1,ROWS('Scratch Data'!$G$5:$G$13)))-INDEX('Scratch Data'!$H$5:$H$13,MATCH($A57,'Scratch Data'!$G$5:$G$13,1)))/MAX(INDEX('Scratch Data'!$G$5:$G$13,MIN(MATCH($A57,'Scratch Data'!$G$5:$G$13,1)+1,ROWS('Scratch Data'!$G$5:$G$13)))-INDEX('Scratch Data'!$G$5:$G$13,MATCH($A57,'Scratch Data'!$G$5:$G$13,1)),0.0001))*Inputs!$B$12)*((INDEX('Scratch Data'!$J$5:$J$13,MATCH($A57,'Scratch Data'!$G$5:$G$13,1))+($A57-INDEX('Scratch Data'!$G$5:$G$13,MATCH($A57,'Scratch Data'!$G$5:$G$13,1)))*(INDEX('Scratch Data'!$J$5:$J$13,MIN(MATCH($A57,'Scratch Data'!$G$5:$G$13,1)+1,ROWS('Scratch Data'!$G$5:$G$13)))-INDEX('Scratch Data'!$J$5:$J$13,MATCH($A57,'Scratch Data'!$G$5:$G$13,1)))/MAX(INDEX('Scratch Data'!$G$5:$G$13,MIN(MATCH($A57,'Scratch Data'!$G$5:$G$13,1)+1,ROWS('Scratch Data'!$G$5:$G$13)))-INDEX('Scratch Data'!$G$5:$G$13,MATCH($A57,'Scratch Data'!$G$5:$G$13,1)),0.0001))+Inputs!$B$14)),(1+Inputs!$B$19*INDEX(Baseline!$B$3:$B$122,MATCH(MIN(MAX(ROUND((MAX($A57-Inputs!$B$21,30))/5,0)*5,5),600),Baseline!$A$3:$A$122,0))+(1-Inputs!$B$19)*INDEX(Baseline!$C$3:$C$122,MATCH(MIN(MAX(ROUND((MAX($A57-Inputs!$B$21,30))/5,0)*5,5),600),Baseline!$A$3:$A$122,0))+Inputs!$B$14)),(1+Inputs!$B$19*INDEX(Baseline!$B$3:$B$122,MATCH(MIN(MAX(ROUND((MAX($A57-Inputs!$B$21,30))/5,0)*5,5),600),Baseline!$A$3:$A$122,0))+(1-Inputs!$B$19)*INDEX(Baseline!$C$3:$C$122,MATCH(MIN(MAX(ROUND((MAX($A57-Inputs!$B$21,30))/5,0)*5,5),600),Baseline!$A$3:$A$122,0))+Inputs!$B$14)))</f>
        <v>4.11724582933333</v>
      </c>
      <c r="D57" s="10" t="n">
        <f aca="false">IF($A57&lt;=50,(INDEX('Scratch Data'!$P$5:$P$11,MATCH($A57,'Scratch Data'!$O$5:$O$11,1))+($A57-INDEX('Scratch Data'!$O$5:$O$11,MATCH($A57,'Scratch Data'!$O$5:$O$11,1)))*(INDEX('Scratch Data'!$P$5:$P$11,MIN(MATCH($A57,'Scratch Data'!$O$5:$O$11,1)+1,ROWS('Scratch Data'!$O$5:$O$11)))-INDEX('Scratch Data'!$P$5:$P$11,MATCH($A57,'Scratch Data'!$O$5:$O$11,1)))/MAX(INDEX('Scratch Data'!$O$5:$O$11,MIN(MATCH($A57,'Scratch Data'!$O$5:$O$11,1)+1,ROWS('Scratch Data'!$O$5:$O$11)))-INDEX('Scratch Data'!$O$5:$O$11,MATCH($A57,'Scratch Data'!$O$5:$O$11,1)),0.0001)),IF($A57&lt;=250,MIN((1+(INDEX('Scratch Data'!$H$5:$H$13,MATCH($A57,'Scratch Data'!$G$5:$G$13,1))+($A57-INDEX('Scratch Data'!$G$5:$G$13,MATCH($A57,'Scratch Data'!$G$5:$G$13,1)))*(INDEX('Scratch Data'!$H$5:$H$13,MIN(MATCH($A57,'Scratch Data'!$G$5:$G$13,1)+1,ROWS('Scratch Data'!$G$5:$G$13)))-INDEX('Scratch Data'!$H$5:$H$13,MATCH($A57,'Scratch Data'!$G$5:$G$13,1)))/MAX(INDEX('Scratch Data'!$G$5:$G$13,MIN(MATCH($A57,'Scratch Data'!$G$5:$G$13,1)+1,ROWS('Scratch Data'!$G$5:$G$13)))-INDEX('Scratch Data'!$G$5:$G$13,MATCH($A57,'Scratch Data'!$G$5:$G$13,1)),0.0001))*Inputs!$B$15*INDEX(Baseline!$I$3:$I$102,MIN(MAX(ROUND(Inputs!$B$11*(INDEX('Scratch Data'!$I$5:$I$13,MATCH($A57,'Scratch Data'!$G$5:$G$13,1))+($A57-INDEX('Scratch Data'!$G$5:$G$13,MATCH($A57,'Scratch Data'!$G$5:$G$13,1)))*(INDEX('Scratch Data'!$I$5:$I$13,MIN(MATCH($A57,'Scratch Data'!$G$5:$G$13,1)+1,ROWS('Scratch Data'!$G$5:$G$13)))-INDEX('Scratch Data'!$I$5:$I$13,MATCH($A57,'Scratch Data'!$G$5:$G$13,1)))/MAX(INDEX('Scratch Data'!$G$5:$G$13,MIN(MATCH($A57,'Scratch Data'!$G$5:$G$13,1)+1,ROWS('Scratch Data'!$G$5:$G$13)))-INDEX('Scratch Data'!$G$5:$G$13,MATCH($A57,'Scratch Data'!$G$5:$G$13,1)),0.0001))*Inputs!$B$16,0),1),100))+(1-(INDEX('Scratch Data'!$H$5:$H$13,MATCH($A57,'Scratch Data'!$G$5:$G$13,1))+($A57-INDEX('Scratch Data'!$G$5:$G$13,MATCH($A57,'Scratch Data'!$G$5:$G$13,1)))*(INDEX('Scratch Data'!$H$5:$H$13,MIN(MATCH($A57,'Scratch Data'!$G$5:$G$13,1)+1,ROWS('Scratch Data'!$G$5:$G$13)))-INDEX('Scratch Data'!$H$5:$H$13,MATCH($A57,'Scratch Data'!$G$5:$G$13,1)))/MAX(INDEX('Scratch Data'!$G$5:$G$13,MIN(MATCH($A57,'Scratch Data'!$G$5:$G$13,1)+1,ROWS('Scratch Data'!$G$5:$G$13)))-INDEX('Scratch Data'!$G$5:$G$13,MATCH($A57,'Scratch Data'!$G$5:$G$13,1)),0.0001))*Inputs!$B$15)*((INDEX('Scratch Data'!$J$5:$J$13,MATCH($A57,'Scratch Data'!$G$5:$G$13,1))+($A57-INDEX('Scratch Data'!$G$5:$G$13,MATCH($A57,'Scratch Data'!$G$5:$G$13,1)))*(INDEX('Scratch Data'!$J$5:$J$13,MIN(MATCH($A57,'Scratch Data'!$G$5:$G$13,1)+1,ROWS('Scratch Data'!$G$5:$G$13)))-INDEX('Scratch Data'!$J$5:$J$13,MATCH($A57,'Scratch Data'!$G$5:$G$13,1)))/MAX(INDEX('Scratch Data'!$G$5:$G$13,MIN(MATCH($A57,'Scratch Data'!$G$5:$G$13,1)+1,ROWS('Scratch Data'!$G$5:$G$13)))-INDEX('Scratch Data'!$G$5:$G$13,MATCH($A57,'Scratch Data'!$G$5:$G$13,1)),0.0001))+Inputs!$B$17)),(1+Inputs!$B$19*INDEX(Baseline!$B$3:$B$122,MATCH(MIN(MAX(ROUND((MAX($A57-Inputs!$B$22,30))/5,0)*5,5),600),Baseline!$A$3:$A$122,0))+(1-Inputs!$B$19)*INDEX(Baseline!$C$3:$C$122,MATCH(MIN(MAX(ROUND((MAX($A57-Inputs!$B$22,30))/5,0)*5,5),600),Baseline!$A$3:$A$122,0))+Inputs!$B$17)),(1+Inputs!$B$19*INDEX(Baseline!$B$3:$B$122,MATCH(MIN(MAX(ROUND((MAX($A57-Inputs!$B$22,30))/5,0)*5,5),600),Baseline!$A$3:$A$122,0))+(1-Inputs!$B$19)*INDEX(Baseline!$C$3:$C$122,MATCH(MIN(MAX(ROUND((MAX($A57-Inputs!$B$22,30))/5,0)*5,5),600),Baseline!$A$3:$A$122,0))+Inputs!$B$17)))</f>
        <v>4.298019136</v>
      </c>
      <c r="E57" s="10" t="n">
        <f aca="false">1+Inputs!$B$24+0.6*INDEX(Baseline!$B$3:$B$122,MATCH(MIN(MAX(ROUND((MAX($A57-Inputs!$B$23,15))/5,0)*5,5),600),Baseline!$A$3:$A$122,0))+0.4*INDEX(Baseline!$C$3:$C$122,MATCH(MIN(MAX(ROUND((MAX($A57-Inputs!$B$23,15))/5,0)*5,5),600),Baseline!$A$3:$A$122,0))</f>
        <v>4.50634936</v>
      </c>
      <c r="H57" s="7" t="n">
        <v>55</v>
      </c>
      <c r="I57" s="10" t="n">
        <f aca="false">(INDEX('Scratch Data'!$E$5:$E$22,MATCH($H57,'Scratch Data'!$A$5:$A$22,1))+($H57-INDEX('Scratch Data'!$A$5:$A$22,MATCH($H57,'Scratch Data'!$A$5:$A$22,1)))*(INDEX('Scratch Data'!$E$5:$E$22,MIN(MATCH($H57,'Scratch Data'!$A$5:$A$22,1)+1,ROWS('Scratch Data'!$A$5:$A$22)))-INDEX('Scratch Data'!$E$5:$E$22,MATCH($H57,'Scratch Data'!$A$5:$A$22,1)))/MAX(INDEX('Scratch Data'!$A$5:$A$22,MIN(MATCH($H57,'Scratch Data'!$A$5:$A$22,1)+1,ROWS('Scratch Data'!$A$5:$A$22)))-INDEX('Scratch Data'!$A$5:$A$22,MATCH($H57,'Scratch Data'!$A$5:$A$22,1)),0.0001))</f>
        <v>2.296</v>
      </c>
    </row>
    <row r="58" customFormat="false" ht="15" hidden="false" customHeight="false" outlineLevel="0" collapsed="false">
      <c r="A58" s="7" t="n">
        <v>280</v>
      </c>
      <c r="B58" s="10" t="n">
        <f aca="false">IF($A58&lt;=50,(INDEX('Scratch Data'!$M$5:$M$12,MATCH($A58,'Scratch Data'!$L$5:$L$12,1))+($A58-INDEX('Scratch Data'!$L$5:$L$12,MATCH($A58,'Scratch Data'!$L$5:$L$12,1)))*(INDEX('Scratch Data'!$M$5:$M$12,MIN(MATCH($A58,'Scratch Data'!$L$5:$L$12,1)+1,ROWS('Scratch Data'!$L$5:$L$12)))-INDEX('Scratch Data'!$M$5:$M$12,MATCH($A58,'Scratch Data'!$L$5:$L$12,1)))/MAX(INDEX('Scratch Data'!$L$5:$L$12,MIN(MATCH($A58,'Scratch Data'!$L$5:$L$12,1)+1,ROWS('Scratch Data'!$L$5:$L$12)))-INDEX('Scratch Data'!$L$5:$L$12,MATCH($A58,'Scratch Data'!$L$5:$L$12,1)),0.0001)),IF($A58&lt;=250,MIN((1+(INDEX('Scratch Data'!$H$5:$H$13,MATCH($A58,'Scratch Data'!$G$5:$G$13,1))+($A58-INDEX('Scratch Data'!$G$5:$G$13,MATCH($A58,'Scratch Data'!$G$5:$G$13,1)))*(INDEX('Scratch Data'!$H$5:$H$13,MIN(MATCH($A58,'Scratch Data'!$G$5:$G$13,1)+1,ROWS('Scratch Data'!$G$5:$G$13)))-INDEX('Scratch Data'!$H$5:$H$13,MATCH($A58,'Scratch Data'!$G$5:$G$13,1)))/MAX(INDEX('Scratch Data'!$G$5:$G$13,MIN(MATCH($A58,'Scratch Data'!$G$5:$G$13,1)+1,ROWS('Scratch Data'!$G$5:$G$13)))-INDEX('Scratch Data'!$G$5:$G$13,MATCH($A58,'Scratch Data'!$G$5:$G$13,1)),0.0001))*INDEX(Baseline!$I$3:$I$102,MIN(MAX(ROUND(Inputs!$B$11*(INDEX('Scratch Data'!$I$5:$I$13,MATCH($A58,'Scratch Data'!$G$5:$G$13,1))+($A58-INDEX('Scratch Data'!$G$5:$G$13,MATCH($A58,'Scratch Data'!$G$5:$G$13,1)))*(INDEX('Scratch Data'!$I$5:$I$13,MIN(MATCH($A58,'Scratch Data'!$G$5:$G$13,1)+1,ROWS('Scratch Data'!$G$5:$G$13)))-INDEX('Scratch Data'!$I$5:$I$13,MATCH($A58,'Scratch Data'!$G$5:$G$13,1)))/MAX(INDEX('Scratch Data'!$G$5:$G$13,MIN(MATCH($A58,'Scratch Data'!$G$5:$G$13,1)+1,ROWS('Scratch Data'!$G$5:$G$13)))-INDEX('Scratch Data'!$G$5:$G$13,MATCH($A58,'Scratch Data'!$G$5:$G$13,1)),0.0001)),0),1),100))+(1-(INDEX('Scratch Data'!$H$5:$H$13,MATCH($A58,'Scratch Data'!$G$5:$G$13,1))+($A58-INDEX('Scratch Data'!$G$5:$G$13,MATCH($A58,'Scratch Data'!$G$5:$G$13,1)))*(INDEX('Scratch Data'!$H$5:$H$13,MIN(MATCH($A58,'Scratch Data'!$G$5:$G$13,1)+1,ROWS('Scratch Data'!$G$5:$G$13)))-INDEX('Scratch Data'!$H$5:$H$13,MATCH($A58,'Scratch Data'!$G$5:$G$13,1)))/MAX(INDEX('Scratch Data'!$G$5:$G$13,MIN(MATCH($A58,'Scratch Data'!$G$5:$G$13,1)+1,ROWS('Scratch Data'!$G$5:$G$13)))-INDEX('Scratch Data'!$G$5:$G$13,MATCH($A58,'Scratch Data'!$G$5:$G$13,1)),0.0001)))*(INDEX('Scratch Data'!$J$5:$J$13,MATCH($A58,'Scratch Data'!$G$5:$G$13,1))+($A58-INDEX('Scratch Data'!$G$5:$G$13,MATCH($A58,'Scratch Data'!$G$5:$G$13,1)))*(INDEX('Scratch Data'!$J$5:$J$13,MIN(MATCH($A58,'Scratch Data'!$G$5:$G$13,1)+1,ROWS('Scratch Data'!$G$5:$G$13)))-INDEX('Scratch Data'!$J$5:$J$13,MATCH($A58,'Scratch Data'!$G$5:$G$13,1)))/MAX(INDEX('Scratch Data'!$G$5:$G$13,MIN(MATCH($A58,'Scratch Data'!$G$5:$G$13,1)+1,ROWS('Scratch Data'!$G$5:$G$13)))-INDEX('Scratch Data'!$G$5:$G$13,MATCH($A58,'Scratch Data'!$G$5:$G$13,1)),0.0001))),(1+Inputs!$B$19*INDEX(Baseline!$B$3:$B$122,MATCH(MIN(MAX(ROUND((MAX($A58-Inputs!$B$20,30))/5,0)*5,5),600),Baseline!$A$3:$A$122,0))+(1-Inputs!$B$19)*INDEX(Baseline!$C$3:$C$122,MATCH(MIN(MAX(ROUND((MAX($A58-Inputs!$B$20,30))/5,0)*5,5),600),Baseline!$A$3:$A$122,0)))),(1+Inputs!$B$19*INDEX(Baseline!$B$3:$B$122,MATCH(MIN(MAX(ROUND((MAX($A58-Inputs!$B$20,30))/5,0)*5,5),600),Baseline!$A$3:$A$122,0))+(1-Inputs!$B$19)*INDEX(Baseline!$C$3:$C$122,MATCH(MIN(MAX(ROUND((MAX($A58-Inputs!$B$20,30))/5,0)*5,5),600),Baseline!$A$3:$A$122,0)))))</f>
        <v>3.9202756</v>
      </c>
      <c r="C58" s="10" t="n">
        <f aca="false">IF($A58&lt;=50,$B58+Inputs!$B$18,IF($A58&lt;=250,MIN((1+(INDEX('Scratch Data'!$H$5:$H$13,MATCH($A58,'Scratch Data'!$G$5:$G$13,1))+($A58-INDEX('Scratch Data'!$G$5:$G$13,MATCH($A58,'Scratch Data'!$G$5:$G$13,1)))*(INDEX('Scratch Data'!$H$5:$H$13,MIN(MATCH($A58,'Scratch Data'!$G$5:$G$13,1)+1,ROWS('Scratch Data'!$G$5:$G$13)))-INDEX('Scratch Data'!$H$5:$H$13,MATCH($A58,'Scratch Data'!$G$5:$G$13,1)))/MAX(INDEX('Scratch Data'!$G$5:$G$13,MIN(MATCH($A58,'Scratch Data'!$G$5:$G$13,1)+1,ROWS('Scratch Data'!$G$5:$G$13)))-INDEX('Scratch Data'!$G$5:$G$13,MATCH($A58,'Scratch Data'!$G$5:$G$13,1)),0.0001))*Inputs!$B$12*INDEX(Baseline!$I$3:$I$102,MIN(MAX(ROUND(Inputs!$B$11*(INDEX('Scratch Data'!$I$5:$I$13,MATCH($A58,'Scratch Data'!$G$5:$G$13,1))+($A58-INDEX('Scratch Data'!$G$5:$G$13,MATCH($A58,'Scratch Data'!$G$5:$G$13,1)))*(INDEX('Scratch Data'!$I$5:$I$13,MIN(MATCH($A58,'Scratch Data'!$G$5:$G$13,1)+1,ROWS('Scratch Data'!$G$5:$G$13)))-INDEX('Scratch Data'!$I$5:$I$13,MATCH($A58,'Scratch Data'!$G$5:$G$13,1)))/MAX(INDEX('Scratch Data'!$G$5:$G$13,MIN(MATCH($A58,'Scratch Data'!$G$5:$G$13,1)+1,ROWS('Scratch Data'!$G$5:$G$13)))-INDEX('Scratch Data'!$G$5:$G$13,MATCH($A58,'Scratch Data'!$G$5:$G$13,1)),0.0001))*Inputs!$B$13,0),1),100))+(1-(INDEX('Scratch Data'!$H$5:$H$13,MATCH($A58,'Scratch Data'!$G$5:$G$13,1))+($A58-INDEX('Scratch Data'!$G$5:$G$13,MATCH($A58,'Scratch Data'!$G$5:$G$13,1)))*(INDEX('Scratch Data'!$H$5:$H$13,MIN(MATCH($A58,'Scratch Data'!$G$5:$G$13,1)+1,ROWS('Scratch Data'!$G$5:$G$13)))-INDEX('Scratch Data'!$H$5:$H$13,MATCH($A58,'Scratch Data'!$G$5:$G$13,1)))/MAX(INDEX('Scratch Data'!$G$5:$G$13,MIN(MATCH($A58,'Scratch Data'!$G$5:$G$13,1)+1,ROWS('Scratch Data'!$G$5:$G$13)))-INDEX('Scratch Data'!$G$5:$G$13,MATCH($A58,'Scratch Data'!$G$5:$G$13,1)),0.0001))*Inputs!$B$12)*((INDEX('Scratch Data'!$J$5:$J$13,MATCH($A58,'Scratch Data'!$G$5:$G$13,1))+($A58-INDEX('Scratch Data'!$G$5:$G$13,MATCH($A58,'Scratch Data'!$G$5:$G$13,1)))*(INDEX('Scratch Data'!$J$5:$J$13,MIN(MATCH($A58,'Scratch Data'!$G$5:$G$13,1)+1,ROWS('Scratch Data'!$G$5:$G$13)))-INDEX('Scratch Data'!$J$5:$J$13,MATCH($A58,'Scratch Data'!$G$5:$G$13,1)))/MAX(INDEX('Scratch Data'!$G$5:$G$13,MIN(MATCH($A58,'Scratch Data'!$G$5:$G$13,1)+1,ROWS('Scratch Data'!$G$5:$G$13)))-INDEX('Scratch Data'!$G$5:$G$13,MATCH($A58,'Scratch Data'!$G$5:$G$13,1)),0.0001))+Inputs!$B$14)),(1+Inputs!$B$19*INDEX(Baseline!$B$3:$B$122,MATCH(MIN(MAX(ROUND((MAX($A58-Inputs!$B$21,30))/5,0)*5,5),600),Baseline!$A$3:$A$122,0))+(1-Inputs!$B$19)*INDEX(Baseline!$C$3:$C$122,MATCH(MIN(MAX(ROUND((MAX($A58-Inputs!$B$21,30))/5,0)*5,5),600),Baseline!$A$3:$A$122,0))+Inputs!$B$14)),(1+Inputs!$B$19*INDEX(Baseline!$B$3:$B$122,MATCH(MIN(MAX(ROUND((MAX($A58-Inputs!$B$21,30))/5,0)*5,5),600),Baseline!$A$3:$A$122,0))+(1-Inputs!$B$19)*INDEX(Baseline!$C$3:$C$122,MATCH(MIN(MAX(ROUND((MAX($A58-Inputs!$B$21,30))/5,0)*5,5),600),Baseline!$A$3:$A$122,0))+Inputs!$B$14)))</f>
        <v>4.145111968</v>
      </c>
      <c r="D58" s="10" t="n">
        <f aca="false">IF($A58&lt;=50,(INDEX('Scratch Data'!$P$5:$P$11,MATCH($A58,'Scratch Data'!$O$5:$O$11,1))+($A58-INDEX('Scratch Data'!$O$5:$O$11,MATCH($A58,'Scratch Data'!$O$5:$O$11,1)))*(INDEX('Scratch Data'!$P$5:$P$11,MIN(MATCH($A58,'Scratch Data'!$O$5:$O$11,1)+1,ROWS('Scratch Data'!$O$5:$O$11)))-INDEX('Scratch Data'!$P$5:$P$11,MATCH($A58,'Scratch Data'!$O$5:$O$11,1)))/MAX(INDEX('Scratch Data'!$O$5:$O$11,MIN(MATCH($A58,'Scratch Data'!$O$5:$O$11,1)+1,ROWS('Scratch Data'!$O$5:$O$11)))-INDEX('Scratch Data'!$O$5:$O$11,MATCH($A58,'Scratch Data'!$O$5:$O$11,1)),0.0001)),IF($A58&lt;=250,MIN((1+(INDEX('Scratch Data'!$H$5:$H$13,MATCH($A58,'Scratch Data'!$G$5:$G$13,1))+($A58-INDEX('Scratch Data'!$G$5:$G$13,MATCH($A58,'Scratch Data'!$G$5:$G$13,1)))*(INDEX('Scratch Data'!$H$5:$H$13,MIN(MATCH($A58,'Scratch Data'!$G$5:$G$13,1)+1,ROWS('Scratch Data'!$G$5:$G$13)))-INDEX('Scratch Data'!$H$5:$H$13,MATCH($A58,'Scratch Data'!$G$5:$G$13,1)))/MAX(INDEX('Scratch Data'!$G$5:$G$13,MIN(MATCH($A58,'Scratch Data'!$G$5:$G$13,1)+1,ROWS('Scratch Data'!$G$5:$G$13)))-INDEX('Scratch Data'!$G$5:$G$13,MATCH($A58,'Scratch Data'!$G$5:$G$13,1)),0.0001))*Inputs!$B$15*INDEX(Baseline!$I$3:$I$102,MIN(MAX(ROUND(Inputs!$B$11*(INDEX('Scratch Data'!$I$5:$I$13,MATCH($A58,'Scratch Data'!$G$5:$G$13,1))+($A58-INDEX('Scratch Data'!$G$5:$G$13,MATCH($A58,'Scratch Data'!$G$5:$G$13,1)))*(INDEX('Scratch Data'!$I$5:$I$13,MIN(MATCH($A58,'Scratch Data'!$G$5:$G$13,1)+1,ROWS('Scratch Data'!$G$5:$G$13)))-INDEX('Scratch Data'!$I$5:$I$13,MATCH($A58,'Scratch Data'!$G$5:$G$13,1)))/MAX(INDEX('Scratch Data'!$G$5:$G$13,MIN(MATCH($A58,'Scratch Data'!$G$5:$G$13,1)+1,ROWS('Scratch Data'!$G$5:$G$13)))-INDEX('Scratch Data'!$G$5:$G$13,MATCH($A58,'Scratch Data'!$G$5:$G$13,1)),0.0001))*Inputs!$B$16,0),1),100))+(1-(INDEX('Scratch Data'!$H$5:$H$13,MATCH($A58,'Scratch Data'!$G$5:$G$13,1))+($A58-INDEX('Scratch Data'!$G$5:$G$13,MATCH($A58,'Scratch Data'!$G$5:$G$13,1)))*(INDEX('Scratch Data'!$H$5:$H$13,MIN(MATCH($A58,'Scratch Data'!$G$5:$G$13,1)+1,ROWS('Scratch Data'!$G$5:$G$13)))-INDEX('Scratch Data'!$H$5:$H$13,MATCH($A58,'Scratch Data'!$G$5:$G$13,1)))/MAX(INDEX('Scratch Data'!$G$5:$G$13,MIN(MATCH($A58,'Scratch Data'!$G$5:$G$13,1)+1,ROWS('Scratch Data'!$G$5:$G$13)))-INDEX('Scratch Data'!$G$5:$G$13,MATCH($A58,'Scratch Data'!$G$5:$G$13,1)),0.0001))*Inputs!$B$15)*((INDEX('Scratch Data'!$J$5:$J$13,MATCH($A58,'Scratch Data'!$G$5:$G$13,1))+($A58-INDEX('Scratch Data'!$G$5:$G$13,MATCH($A58,'Scratch Data'!$G$5:$G$13,1)))*(INDEX('Scratch Data'!$J$5:$J$13,MIN(MATCH($A58,'Scratch Data'!$G$5:$G$13,1)+1,ROWS('Scratch Data'!$G$5:$G$13)))-INDEX('Scratch Data'!$J$5:$J$13,MATCH($A58,'Scratch Data'!$G$5:$G$13,1)))/MAX(INDEX('Scratch Data'!$G$5:$G$13,MIN(MATCH($A58,'Scratch Data'!$G$5:$G$13,1)+1,ROWS('Scratch Data'!$G$5:$G$13)))-INDEX('Scratch Data'!$G$5:$G$13,MATCH($A58,'Scratch Data'!$G$5:$G$13,1)),0.0001))+Inputs!$B$17)),(1+Inputs!$B$19*INDEX(Baseline!$B$3:$B$122,MATCH(MIN(MAX(ROUND((MAX($A58-Inputs!$B$22,30))/5,0)*5,5),600),Baseline!$A$3:$A$122,0))+(1-Inputs!$B$19)*INDEX(Baseline!$C$3:$C$122,MATCH(MIN(MAX(ROUND((MAX($A58-Inputs!$B$22,30))/5,0)*5,5),600),Baseline!$A$3:$A$122,0))+Inputs!$B$17)),(1+Inputs!$B$19*INDEX(Baseline!$B$3:$B$122,MATCH(MIN(MAX(ROUND((MAX($A58-Inputs!$B$22,30))/5,0)*5,5),600),Baseline!$A$3:$A$122,0))+(1-Inputs!$B$19)*INDEX(Baseline!$C$3:$C$122,MATCH(MIN(MAX(ROUND((MAX($A58-Inputs!$B$22,30))/5,0)*5,5),600),Baseline!$A$3:$A$122,0))+Inputs!$B$17)))</f>
        <v>4.32286528</v>
      </c>
      <c r="E58" s="10" t="n">
        <f aca="false">1+Inputs!$B$24+0.6*INDEX(Baseline!$B$3:$B$122,MATCH(MIN(MAX(ROUND((MAX($A58-Inputs!$B$23,15))/5,0)*5,5),600),Baseline!$A$3:$A$122,0))+0.4*INDEX(Baseline!$C$3:$C$122,MATCH(MIN(MAX(ROUND((MAX($A58-Inputs!$B$23,15))/5,0)*5,5),600),Baseline!$A$3:$A$122,0))</f>
        <v>4.530717184</v>
      </c>
      <c r="H58" s="7" t="n">
        <v>56</v>
      </c>
      <c r="I58" s="10" t="n">
        <f aca="false">(INDEX('Scratch Data'!$E$5:$E$22,MATCH($H58,'Scratch Data'!$A$5:$A$22,1))+($H58-INDEX('Scratch Data'!$A$5:$A$22,MATCH($H58,'Scratch Data'!$A$5:$A$22,1)))*(INDEX('Scratch Data'!$E$5:$E$22,MIN(MATCH($H58,'Scratch Data'!$A$5:$A$22,1)+1,ROWS('Scratch Data'!$A$5:$A$22)))-INDEX('Scratch Data'!$E$5:$E$22,MATCH($H58,'Scratch Data'!$A$5:$A$22,1)))/MAX(INDEX('Scratch Data'!$A$5:$A$22,MIN(MATCH($H58,'Scratch Data'!$A$5:$A$22,1)+1,ROWS('Scratch Data'!$A$5:$A$22)))-INDEX('Scratch Data'!$A$5:$A$22,MATCH($H58,'Scratch Data'!$A$5:$A$22,1)),0.0001))</f>
        <v>2.3042</v>
      </c>
    </row>
    <row r="59" customFormat="false" ht="15" hidden="false" customHeight="false" outlineLevel="0" collapsed="false">
      <c r="A59" s="7" t="n">
        <v>285</v>
      </c>
      <c r="B59" s="10" t="n">
        <f aca="false">IF($A59&lt;=50,(INDEX('Scratch Data'!$M$5:$M$12,MATCH($A59,'Scratch Data'!$L$5:$L$12,1))+($A59-INDEX('Scratch Data'!$L$5:$L$12,MATCH($A59,'Scratch Data'!$L$5:$L$12,1)))*(INDEX('Scratch Data'!$M$5:$M$12,MIN(MATCH($A59,'Scratch Data'!$L$5:$L$12,1)+1,ROWS('Scratch Data'!$L$5:$L$12)))-INDEX('Scratch Data'!$M$5:$M$12,MATCH($A59,'Scratch Data'!$L$5:$L$12,1)))/MAX(INDEX('Scratch Data'!$L$5:$L$12,MIN(MATCH($A59,'Scratch Data'!$L$5:$L$12,1)+1,ROWS('Scratch Data'!$L$5:$L$12)))-INDEX('Scratch Data'!$L$5:$L$12,MATCH($A59,'Scratch Data'!$L$5:$L$12,1)),0.0001)),IF($A59&lt;=250,MIN((1+(INDEX('Scratch Data'!$H$5:$H$13,MATCH($A59,'Scratch Data'!$G$5:$G$13,1))+($A59-INDEX('Scratch Data'!$G$5:$G$13,MATCH($A59,'Scratch Data'!$G$5:$G$13,1)))*(INDEX('Scratch Data'!$H$5:$H$13,MIN(MATCH($A59,'Scratch Data'!$G$5:$G$13,1)+1,ROWS('Scratch Data'!$G$5:$G$13)))-INDEX('Scratch Data'!$H$5:$H$13,MATCH($A59,'Scratch Data'!$G$5:$G$13,1)))/MAX(INDEX('Scratch Data'!$G$5:$G$13,MIN(MATCH($A59,'Scratch Data'!$G$5:$G$13,1)+1,ROWS('Scratch Data'!$G$5:$G$13)))-INDEX('Scratch Data'!$G$5:$G$13,MATCH($A59,'Scratch Data'!$G$5:$G$13,1)),0.0001))*INDEX(Baseline!$I$3:$I$102,MIN(MAX(ROUND(Inputs!$B$11*(INDEX('Scratch Data'!$I$5:$I$13,MATCH($A59,'Scratch Data'!$G$5:$G$13,1))+($A59-INDEX('Scratch Data'!$G$5:$G$13,MATCH($A59,'Scratch Data'!$G$5:$G$13,1)))*(INDEX('Scratch Data'!$I$5:$I$13,MIN(MATCH($A59,'Scratch Data'!$G$5:$G$13,1)+1,ROWS('Scratch Data'!$G$5:$G$13)))-INDEX('Scratch Data'!$I$5:$I$13,MATCH($A59,'Scratch Data'!$G$5:$G$13,1)))/MAX(INDEX('Scratch Data'!$G$5:$G$13,MIN(MATCH($A59,'Scratch Data'!$G$5:$G$13,1)+1,ROWS('Scratch Data'!$G$5:$G$13)))-INDEX('Scratch Data'!$G$5:$G$13,MATCH($A59,'Scratch Data'!$G$5:$G$13,1)),0.0001)),0),1),100))+(1-(INDEX('Scratch Data'!$H$5:$H$13,MATCH($A59,'Scratch Data'!$G$5:$G$13,1))+($A59-INDEX('Scratch Data'!$G$5:$G$13,MATCH($A59,'Scratch Data'!$G$5:$G$13,1)))*(INDEX('Scratch Data'!$H$5:$H$13,MIN(MATCH($A59,'Scratch Data'!$G$5:$G$13,1)+1,ROWS('Scratch Data'!$G$5:$G$13)))-INDEX('Scratch Data'!$H$5:$H$13,MATCH($A59,'Scratch Data'!$G$5:$G$13,1)))/MAX(INDEX('Scratch Data'!$G$5:$G$13,MIN(MATCH($A59,'Scratch Data'!$G$5:$G$13,1)+1,ROWS('Scratch Data'!$G$5:$G$13)))-INDEX('Scratch Data'!$G$5:$G$13,MATCH($A59,'Scratch Data'!$G$5:$G$13,1)),0.0001)))*(INDEX('Scratch Data'!$J$5:$J$13,MATCH($A59,'Scratch Data'!$G$5:$G$13,1))+($A59-INDEX('Scratch Data'!$G$5:$G$13,MATCH($A59,'Scratch Data'!$G$5:$G$13,1)))*(INDEX('Scratch Data'!$J$5:$J$13,MIN(MATCH($A59,'Scratch Data'!$G$5:$G$13,1)+1,ROWS('Scratch Data'!$G$5:$G$13)))-INDEX('Scratch Data'!$J$5:$J$13,MATCH($A59,'Scratch Data'!$G$5:$G$13,1)))/MAX(INDEX('Scratch Data'!$G$5:$G$13,MIN(MATCH($A59,'Scratch Data'!$G$5:$G$13,1)+1,ROWS('Scratch Data'!$G$5:$G$13)))-INDEX('Scratch Data'!$G$5:$G$13,MATCH($A59,'Scratch Data'!$G$5:$G$13,1)),0.0001))),(1+Inputs!$B$19*INDEX(Baseline!$B$3:$B$122,MATCH(MIN(MAX(ROUND((MAX($A59-Inputs!$B$20,30))/5,0)*5,5),600),Baseline!$A$3:$A$122,0))+(1-Inputs!$B$19)*INDEX(Baseline!$C$3:$C$122,MATCH(MIN(MAX(ROUND((MAX($A59-Inputs!$B$20,30))/5,0)*5,5),600),Baseline!$A$3:$A$122,0)))),(1+Inputs!$B$19*INDEX(Baseline!$B$3:$B$122,MATCH(MIN(MAX(ROUND((MAX($A59-Inputs!$B$20,30))/5,0)*5,5),600),Baseline!$A$3:$A$122,0))+(1-Inputs!$B$19)*INDEX(Baseline!$C$3:$C$122,MATCH(MIN(MAX(ROUND((MAX($A59-Inputs!$B$20,30))/5,0)*5,5),600),Baseline!$A$3:$A$122,0)))))</f>
        <v>3.9341906</v>
      </c>
      <c r="C59" s="10" t="n">
        <f aca="false">IF($A59&lt;=50,$B59+Inputs!$B$18,IF($A59&lt;=250,MIN((1+(INDEX('Scratch Data'!$H$5:$H$13,MATCH($A59,'Scratch Data'!$G$5:$G$13,1))+($A59-INDEX('Scratch Data'!$G$5:$G$13,MATCH($A59,'Scratch Data'!$G$5:$G$13,1)))*(INDEX('Scratch Data'!$H$5:$H$13,MIN(MATCH($A59,'Scratch Data'!$G$5:$G$13,1)+1,ROWS('Scratch Data'!$G$5:$G$13)))-INDEX('Scratch Data'!$H$5:$H$13,MATCH($A59,'Scratch Data'!$G$5:$G$13,1)))/MAX(INDEX('Scratch Data'!$G$5:$G$13,MIN(MATCH($A59,'Scratch Data'!$G$5:$G$13,1)+1,ROWS('Scratch Data'!$G$5:$G$13)))-INDEX('Scratch Data'!$G$5:$G$13,MATCH($A59,'Scratch Data'!$G$5:$G$13,1)),0.0001))*Inputs!$B$12*INDEX(Baseline!$I$3:$I$102,MIN(MAX(ROUND(Inputs!$B$11*(INDEX('Scratch Data'!$I$5:$I$13,MATCH($A59,'Scratch Data'!$G$5:$G$13,1))+($A59-INDEX('Scratch Data'!$G$5:$G$13,MATCH($A59,'Scratch Data'!$G$5:$G$13,1)))*(INDEX('Scratch Data'!$I$5:$I$13,MIN(MATCH($A59,'Scratch Data'!$G$5:$G$13,1)+1,ROWS('Scratch Data'!$G$5:$G$13)))-INDEX('Scratch Data'!$I$5:$I$13,MATCH($A59,'Scratch Data'!$G$5:$G$13,1)))/MAX(INDEX('Scratch Data'!$G$5:$G$13,MIN(MATCH($A59,'Scratch Data'!$G$5:$G$13,1)+1,ROWS('Scratch Data'!$G$5:$G$13)))-INDEX('Scratch Data'!$G$5:$G$13,MATCH($A59,'Scratch Data'!$G$5:$G$13,1)),0.0001))*Inputs!$B$13,0),1),100))+(1-(INDEX('Scratch Data'!$H$5:$H$13,MATCH($A59,'Scratch Data'!$G$5:$G$13,1))+($A59-INDEX('Scratch Data'!$G$5:$G$13,MATCH($A59,'Scratch Data'!$G$5:$G$13,1)))*(INDEX('Scratch Data'!$H$5:$H$13,MIN(MATCH($A59,'Scratch Data'!$G$5:$G$13,1)+1,ROWS('Scratch Data'!$G$5:$G$13)))-INDEX('Scratch Data'!$H$5:$H$13,MATCH($A59,'Scratch Data'!$G$5:$G$13,1)))/MAX(INDEX('Scratch Data'!$G$5:$G$13,MIN(MATCH($A59,'Scratch Data'!$G$5:$G$13,1)+1,ROWS('Scratch Data'!$G$5:$G$13)))-INDEX('Scratch Data'!$G$5:$G$13,MATCH($A59,'Scratch Data'!$G$5:$G$13,1)),0.0001))*Inputs!$B$12)*((INDEX('Scratch Data'!$J$5:$J$13,MATCH($A59,'Scratch Data'!$G$5:$G$13,1))+($A59-INDEX('Scratch Data'!$G$5:$G$13,MATCH($A59,'Scratch Data'!$G$5:$G$13,1)))*(INDEX('Scratch Data'!$J$5:$J$13,MIN(MATCH($A59,'Scratch Data'!$G$5:$G$13,1)+1,ROWS('Scratch Data'!$G$5:$G$13)))-INDEX('Scratch Data'!$J$5:$J$13,MATCH($A59,'Scratch Data'!$G$5:$G$13,1)))/MAX(INDEX('Scratch Data'!$G$5:$G$13,MIN(MATCH($A59,'Scratch Data'!$G$5:$G$13,1)+1,ROWS('Scratch Data'!$G$5:$G$13)))-INDEX('Scratch Data'!$G$5:$G$13,MATCH($A59,'Scratch Data'!$G$5:$G$13,1)),0.0001))+Inputs!$B$14)),(1+Inputs!$B$19*INDEX(Baseline!$B$3:$B$122,MATCH(MIN(MAX(ROUND((MAX($A59-Inputs!$B$21,30))/5,0)*5,5),600),Baseline!$A$3:$A$122,0))+(1-Inputs!$B$19)*INDEX(Baseline!$C$3:$C$122,MATCH(MIN(MAX(ROUND((MAX($A59-Inputs!$B$21,30))/5,0)*5,5),600),Baseline!$A$3:$A$122,0))+Inputs!$B$14)),(1+Inputs!$B$19*INDEX(Baseline!$B$3:$B$122,MATCH(MIN(MAX(ROUND((MAX($A59-Inputs!$B$21,30))/5,0)*5,5),600),Baseline!$A$3:$A$122,0))+(1-Inputs!$B$19)*INDEX(Baseline!$C$3:$C$122,MATCH(MIN(MAX(ROUND((MAX($A59-Inputs!$B$21,30))/5,0)*5,5),600),Baseline!$A$3:$A$122,0))+Inputs!$B$14)))</f>
        <v>4.15946358933333</v>
      </c>
      <c r="D59" s="10" t="n">
        <f aca="false">IF($A59&lt;=50,(INDEX('Scratch Data'!$P$5:$P$11,MATCH($A59,'Scratch Data'!$O$5:$O$11,1))+($A59-INDEX('Scratch Data'!$O$5:$O$11,MATCH($A59,'Scratch Data'!$O$5:$O$11,1)))*(INDEX('Scratch Data'!$P$5:$P$11,MIN(MATCH($A59,'Scratch Data'!$O$5:$O$11,1)+1,ROWS('Scratch Data'!$O$5:$O$11)))-INDEX('Scratch Data'!$P$5:$P$11,MATCH($A59,'Scratch Data'!$O$5:$O$11,1)))/MAX(INDEX('Scratch Data'!$O$5:$O$11,MIN(MATCH($A59,'Scratch Data'!$O$5:$O$11,1)+1,ROWS('Scratch Data'!$O$5:$O$11)))-INDEX('Scratch Data'!$O$5:$O$11,MATCH($A59,'Scratch Data'!$O$5:$O$11,1)),0.0001)),IF($A59&lt;=250,MIN((1+(INDEX('Scratch Data'!$H$5:$H$13,MATCH($A59,'Scratch Data'!$G$5:$G$13,1))+($A59-INDEX('Scratch Data'!$G$5:$G$13,MATCH($A59,'Scratch Data'!$G$5:$G$13,1)))*(INDEX('Scratch Data'!$H$5:$H$13,MIN(MATCH($A59,'Scratch Data'!$G$5:$G$13,1)+1,ROWS('Scratch Data'!$G$5:$G$13)))-INDEX('Scratch Data'!$H$5:$H$13,MATCH($A59,'Scratch Data'!$G$5:$G$13,1)))/MAX(INDEX('Scratch Data'!$G$5:$G$13,MIN(MATCH($A59,'Scratch Data'!$G$5:$G$13,1)+1,ROWS('Scratch Data'!$G$5:$G$13)))-INDEX('Scratch Data'!$G$5:$G$13,MATCH($A59,'Scratch Data'!$G$5:$G$13,1)),0.0001))*Inputs!$B$15*INDEX(Baseline!$I$3:$I$102,MIN(MAX(ROUND(Inputs!$B$11*(INDEX('Scratch Data'!$I$5:$I$13,MATCH($A59,'Scratch Data'!$G$5:$G$13,1))+($A59-INDEX('Scratch Data'!$G$5:$G$13,MATCH($A59,'Scratch Data'!$G$5:$G$13,1)))*(INDEX('Scratch Data'!$I$5:$I$13,MIN(MATCH($A59,'Scratch Data'!$G$5:$G$13,1)+1,ROWS('Scratch Data'!$G$5:$G$13)))-INDEX('Scratch Data'!$I$5:$I$13,MATCH($A59,'Scratch Data'!$G$5:$G$13,1)))/MAX(INDEX('Scratch Data'!$G$5:$G$13,MIN(MATCH($A59,'Scratch Data'!$G$5:$G$13,1)+1,ROWS('Scratch Data'!$G$5:$G$13)))-INDEX('Scratch Data'!$G$5:$G$13,MATCH($A59,'Scratch Data'!$G$5:$G$13,1)),0.0001))*Inputs!$B$16,0),1),100))+(1-(INDEX('Scratch Data'!$H$5:$H$13,MATCH($A59,'Scratch Data'!$G$5:$G$13,1))+($A59-INDEX('Scratch Data'!$G$5:$G$13,MATCH($A59,'Scratch Data'!$G$5:$G$13,1)))*(INDEX('Scratch Data'!$H$5:$H$13,MIN(MATCH($A59,'Scratch Data'!$G$5:$G$13,1)+1,ROWS('Scratch Data'!$G$5:$G$13)))-INDEX('Scratch Data'!$H$5:$H$13,MATCH($A59,'Scratch Data'!$G$5:$G$13,1)))/MAX(INDEX('Scratch Data'!$G$5:$G$13,MIN(MATCH($A59,'Scratch Data'!$G$5:$G$13,1)+1,ROWS('Scratch Data'!$G$5:$G$13)))-INDEX('Scratch Data'!$G$5:$G$13,MATCH($A59,'Scratch Data'!$G$5:$G$13,1)),0.0001))*Inputs!$B$15)*((INDEX('Scratch Data'!$J$5:$J$13,MATCH($A59,'Scratch Data'!$G$5:$G$13,1))+($A59-INDEX('Scratch Data'!$G$5:$G$13,MATCH($A59,'Scratch Data'!$G$5:$G$13,1)))*(INDEX('Scratch Data'!$J$5:$J$13,MIN(MATCH($A59,'Scratch Data'!$G$5:$G$13,1)+1,ROWS('Scratch Data'!$G$5:$G$13)))-INDEX('Scratch Data'!$J$5:$J$13,MATCH($A59,'Scratch Data'!$G$5:$G$13,1)))/MAX(INDEX('Scratch Data'!$G$5:$G$13,MIN(MATCH($A59,'Scratch Data'!$G$5:$G$13,1)+1,ROWS('Scratch Data'!$G$5:$G$13)))-INDEX('Scratch Data'!$G$5:$G$13,MATCH($A59,'Scratch Data'!$G$5:$G$13,1)),0.0001))+Inputs!$B$17)),(1+Inputs!$B$19*INDEX(Baseline!$B$3:$B$122,MATCH(MIN(MAX(ROUND((MAX($A59-Inputs!$B$22,30))/5,0)*5,5),600),Baseline!$A$3:$A$122,0))+(1-Inputs!$B$19)*INDEX(Baseline!$C$3:$C$122,MATCH(MIN(MAX(ROUND((MAX($A59-Inputs!$B$22,30))/5,0)*5,5),600),Baseline!$A$3:$A$122,0))+Inputs!$B$17)),(1+Inputs!$B$19*INDEX(Baseline!$B$3:$B$122,MATCH(MIN(MAX(ROUND((MAX($A59-Inputs!$B$22,30))/5,0)*5,5),600),Baseline!$A$3:$A$122,0))+(1-Inputs!$B$19)*INDEX(Baseline!$C$3:$C$122,MATCH(MIN(MAX(ROUND((MAX($A59-Inputs!$B$22,30))/5,0)*5,5),600),Baseline!$A$3:$A$122,0))+Inputs!$B$17)))</f>
        <v>4.33462512</v>
      </c>
      <c r="E59" s="10" t="n">
        <f aca="false">1+Inputs!$B$24+0.6*INDEX(Baseline!$B$3:$B$122,MATCH(MIN(MAX(ROUND((MAX($A59-Inputs!$B$23,15))/5,0)*5,5),600),Baseline!$A$3:$A$122,0))+0.4*INDEX(Baseline!$C$3:$C$122,MATCH(MIN(MAX(ROUND((MAX($A59-Inputs!$B$23,15))/5,0)*5,5),600),Baseline!$A$3:$A$122,0))</f>
        <v>4.555124464</v>
      </c>
      <c r="H59" s="7" t="n">
        <v>57</v>
      </c>
      <c r="I59" s="10" t="n">
        <f aca="false">(INDEX('Scratch Data'!$E$5:$E$22,MATCH($H59,'Scratch Data'!$A$5:$A$22,1))+($H59-INDEX('Scratch Data'!$A$5:$A$22,MATCH($H59,'Scratch Data'!$A$5:$A$22,1)))*(INDEX('Scratch Data'!$E$5:$E$22,MIN(MATCH($H59,'Scratch Data'!$A$5:$A$22,1)+1,ROWS('Scratch Data'!$A$5:$A$22)))-INDEX('Scratch Data'!$E$5:$E$22,MATCH($H59,'Scratch Data'!$A$5:$A$22,1)))/MAX(INDEX('Scratch Data'!$A$5:$A$22,MIN(MATCH($H59,'Scratch Data'!$A$5:$A$22,1)+1,ROWS('Scratch Data'!$A$5:$A$22)))-INDEX('Scratch Data'!$A$5:$A$22,MATCH($H59,'Scratch Data'!$A$5:$A$22,1)),0.0001))</f>
        <v>2.3124</v>
      </c>
    </row>
    <row r="60" customFormat="false" ht="15" hidden="false" customHeight="false" outlineLevel="0" collapsed="false">
      <c r="A60" s="7" t="n">
        <v>290</v>
      </c>
      <c r="B60" s="10" t="n">
        <f aca="false">IF($A60&lt;=50,(INDEX('Scratch Data'!$M$5:$M$12,MATCH($A60,'Scratch Data'!$L$5:$L$12,1))+($A60-INDEX('Scratch Data'!$L$5:$L$12,MATCH($A60,'Scratch Data'!$L$5:$L$12,1)))*(INDEX('Scratch Data'!$M$5:$M$12,MIN(MATCH($A60,'Scratch Data'!$L$5:$L$12,1)+1,ROWS('Scratch Data'!$L$5:$L$12)))-INDEX('Scratch Data'!$M$5:$M$12,MATCH($A60,'Scratch Data'!$L$5:$L$12,1)))/MAX(INDEX('Scratch Data'!$L$5:$L$12,MIN(MATCH($A60,'Scratch Data'!$L$5:$L$12,1)+1,ROWS('Scratch Data'!$L$5:$L$12)))-INDEX('Scratch Data'!$L$5:$L$12,MATCH($A60,'Scratch Data'!$L$5:$L$12,1)),0.0001)),IF($A60&lt;=250,MIN((1+(INDEX('Scratch Data'!$H$5:$H$13,MATCH($A60,'Scratch Data'!$G$5:$G$13,1))+($A60-INDEX('Scratch Data'!$G$5:$G$13,MATCH($A60,'Scratch Data'!$G$5:$G$13,1)))*(INDEX('Scratch Data'!$H$5:$H$13,MIN(MATCH($A60,'Scratch Data'!$G$5:$G$13,1)+1,ROWS('Scratch Data'!$G$5:$G$13)))-INDEX('Scratch Data'!$H$5:$H$13,MATCH($A60,'Scratch Data'!$G$5:$G$13,1)))/MAX(INDEX('Scratch Data'!$G$5:$G$13,MIN(MATCH($A60,'Scratch Data'!$G$5:$G$13,1)+1,ROWS('Scratch Data'!$G$5:$G$13)))-INDEX('Scratch Data'!$G$5:$G$13,MATCH($A60,'Scratch Data'!$G$5:$G$13,1)),0.0001))*INDEX(Baseline!$I$3:$I$102,MIN(MAX(ROUND(Inputs!$B$11*(INDEX('Scratch Data'!$I$5:$I$13,MATCH($A60,'Scratch Data'!$G$5:$G$13,1))+($A60-INDEX('Scratch Data'!$G$5:$G$13,MATCH($A60,'Scratch Data'!$G$5:$G$13,1)))*(INDEX('Scratch Data'!$I$5:$I$13,MIN(MATCH($A60,'Scratch Data'!$G$5:$G$13,1)+1,ROWS('Scratch Data'!$G$5:$G$13)))-INDEX('Scratch Data'!$I$5:$I$13,MATCH($A60,'Scratch Data'!$G$5:$G$13,1)))/MAX(INDEX('Scratch Data'!$G$5:$G$13,MIN(MATCH($A60,'Scratch Data'!$G$5:$G$13,1)+1,ROWS('Scratch Data'!$G$5:$G$13)))-INDEX('Scratch Data'!$G$5:$G$13,MATCH($A60,'Scratch Data'!$G$5:$G$13,1)),0.0001)),0),1),100))+(1-(INDEX('Scratch Data'!$H$5:$H$13,MATCH($A60,'Scratch Data'!$G$5:$G$13,1))+($A60-INDEX('Scratch Data'!$G$5:$G$13,MATCH($A60,'Scratch Data'!$G$5:$G$13,1)))*(INDEX('Scratch Data'!$H$5:$H$13,MIN(MATCH($A60,'Scratch Data'!$G$5:$G$13,1)+1,ROWS('Scratch Data'!$G$5:$G$13)))-INDEX('Scratch Data'!$H$5:$H$13,MATCH($A60,'Scratch Data'!$G$5:$G$13,1)))/MAX(INDEX('Scratch Data'!$G$5:$G$13,MIN(MATCH($A60,'Scratch Data'!$G$5:$G$13,1)+1,ROWS('Scratch Data'!$G$5:$G$13)))-INDEX('Scratch Data'!$G$5:$G$13,MATCH($A60,'Scratch Data'!$G$5:$G$13,1)),0.0001)))*(INDEX('Scratch Data'!$J$5:$J$13,MATCH($A60,'Scratch Data'!$G$5:$G$13,1))+($A60-INDEX('Scratch Data'!$G$5:$G$13,MATCH($A60,'Scratch Data'!$G$5:$G$13,1)))*(INDEX('Scratch Data'!$J$5:$J$13,MIN(MATCH($A60,'Scratch Data'!$G$5:$G$13,1)+1,ROWS('Scratch Data'!$G$5:$G$13)))-INDEX('Scratch Data'!$J$5:$J$13,MATCH($A60,'Scratch Data'!$G$5:$G$13,1)))/MAX(INDEX('Scratch Data'!$G$5:$G$13,MIN(MATCH($A60,'Scratch Data'!$G$5:$G$13,1)+1,ROWS('Scratch Data'!$G$5:$G$13)))-INDEX('Scratch Data'!$G$5:$G$13,MATCH($A60,'Scratch Data'!$G$5:$G$13,1)),0.0001))),(1+Inputs!$B$19*INDEX(Baseline!$B$3:$B$122,MATCH(MIN(MAX(ROUND((MAX($A60-Inputs!$B$20,30))/5,0)*5,5),600),Baseline!$A$3:$A$122,0))+(1-Inputs!$B$19)*INDEX(Baseline!$C$3:$C$122,MATCH(MIN(MAX(ROUND((MAX($A60-Inputs!$B$20,30))/5,0)*5,5),600),Baseline!$A$3:$A$122,0)))),(1+Inputs!$B$19*INDEX(Baseline!$B$3:$B$122,MATCH(MIN(MAX(ROUND((MAX($A60-Inputs!$B$20,30))/5,0)*5,5),600),Baseline!$A$3:$A$122,0))+(1-Inputs!$B$19)*INDEX(Baseline!$C$3:$C$122,MATCH(MIN(MAX(ROUND((MAX($A60-Inputs!$B$20,30))/5,0)*5,5),600),Baseline!$A$3:$A$122,0)))))</f>
        <v>3.9432264</v>
      </c>
      <c r="C60" s="10" t="n">
        <f aca="false">IF($A60&lt;=50,$B60+Inputs!$B$18,IF($A60&lt;=250,MIN((1+(INDEX('Scratch Data'!$H$5:$H$13,MATCH($A60,'Scratch Data'!$G$5:$G$13,1))+($A60-INDEX('Scratch Data'!$G$5:$G$13,MATCH($A60,'Scratch Data'!$G$5:$G$13,1)))*(INDEX('Scratch Data'!$H$5:$H$13,MIN(MATCH($A60,'Scratch Data'!$G$5:$G$13,1)+1,ROWS('Scratch Data'!$G$5:$G$13)))-INDEX('Scratch Data'!$H$5:$H$13,MATCH($A60,'Scratch Data'!$G$5:$G$13,1)))/MAX(INDEX('Scratch Data'!$G$5:$G$13,MIN(MATCH($A60,'Scratch Data'!$G$5:$G$13,1)+1,ROWS('Scratch Data'!$G$5:$G$13)))-INDEX('Scratch Data'!$G$5:$G$13,MATCH($A60,'Scratch Data'!$G$5:$G$13,1)),0.0001))*Inputs!$B$12*INDEX(Baseline!$I$3:$I$102,MIN(MAX(ROUND(Inputs!$B$11*(INDEX('Scratch Data'!$I$5:$I$13,MATCH($A60,'Scratch Data'!$G$5:$G$13,1))+($A60-INDEX('Scratch Data'!$G$5:$G$13,MATCH($A60,'Scratch Data'!$G$5:$G$13,1)))*(INDEX('Scratch Data'!$I$5:$I$13,MIN(MATCH($A60,'Scratch Data'!$G$5:$G$13,1)+1,ROWS('Scratch Data'!$G$5:$G$13)))-INDEX('Scratch Data'!$I$5:$I$13,MATCH($A60,'Scratch Data'!$G$5:$G$13,1)))/MAX(INDEX('Scratch Data'!$G$5:$G$13,MIN(MATCH($A60,'Scratch Data'!$G$5:$G$13,1)+1,ROWS('Scratch Data'!$G$5:$G$13)))-INDEX('Scratch Data'!$G$5:$G$13,MATCH($A60,'Scratch Data'!$G$5:$G$13,1)),0.0001))*Inputs!$B$13,0),1),100))+(1-(INDEX('Scratch Data'!$H$5:$H$13,MATCH($A60,'Scratch Data'!$G$5:$G$13,1))+($A60-INDEX('Scratch Data'!$G$5:$G$13,MATCH($A60,'Scratch Data'!$G$5:$G$13,1)))*(INDEX('Scratch Data'!$H$5:$H$13,MIN(MATCH($A60,'Scratch Data'!$G$5:$G$13,1)+1,ROWS('Scratch Data'!$G$5:$G$13)))-INDEX('Scratch Data'!$H$5:$H$13,MATCH($A60,'Scratch Data'!$G$5:$G$13,1)))/MAX(INDEX('Scratch Data'!$G$5:$G$13,MIN(MATCH($A60,'Scratch Data'!$G$5:$G$13,1)+1,ROWS('Scratch Data'!$G$5:$G$13)))-INDEX('Scratch Data'!$G$5:$G$13,MATCH($A60,'Scratch Data'!$G$5:$G$13,1)),0.0001))*Inputs!$B$12)*((INDEX('Scratch Data'!$J$5:$J$13,MATCH($A60,'Scratch Data'!$G$5:$G$13,1))+($A60-INDEX('Scratch Data'!$G$5:$G$13,MATCH($A60,'Scratch Data'!$G$5:$G$13,1)))*(INDEX('Scratch Data'!$J$5:$J$13,MIN(MATCH($A60,'Scratch Data'!$G$5:$G$13,1)+1,ROWS('Scratch Data'!$G$5:$G$13)))-INDEX('Scratch Data'!$J$5:$J$13,MATCH($A60,'Scratch Data'!$G$5:$G$13,1)))/MAX(INDEX('Scratch Data'!$G$5:$G$13,MIN(MATCH($A60,'Scratch Data'!$G$5:$G$13,1)+1,ROWS('Scratch Data'!$G$5:$G$13)))-INDEX('Scratch Data'!$G$5:$G$13,MATCH($A60,'Scratch Data'!$G$5:$G$13,1)),0.0001))+Inputs!$B$14)),(1+Inputs!$B$19*INDEX(Baseline!$B$3:$B$122,MATCH(MIN(MAX(ROUND((MAX($A60-Inputs!$B$21,30))/5,0)*5,5),600),Baseline!$A$3:$A$122,0))+(1-Inputs!$B$19)*INDEX(Baseline!$C$3:$C$122,MATCH(MIN(MAX(ROUND((MAX($A60-Inputs!$B$21,30))/5,0)*5,5),600),Baseline!$A$3:$A$122,0))+Inputs!$B$14)),(1+Inputs!$B$19*INDEX(Baseline!$B$3:$B$122,MATCH(MIN(MAX(ROUND((MAX($A60-Inputs!$B$21,30))/5,0)*5,5),600),Baseline!$A$3:$A$122,0))+(1-Inputs!$B$19)*INDEX(Baseline!$C$3:$C$122,MATCH(MIN(MAX(ROUND((MAX($A60-Inputs!$B$21,30))/5,0)*5,5),600),Baseline!$A$3:$A$122,0))+Inputs!$B$14)))</f>
        <v>4.18301152</v>
      </c>
      <c r="D60" s="10" t="n">
        <f aca="false">IF($A60&lt;=50,(INDEX('Scratch Data'!$P$5:$P$11,MATCH($A60,'Scratch Data'!$O$5:$O$11,1))+($A60-INDEX('Scratch Data'!$O$5:$O$11,MATCH($A60,'Scratch Data'!$O$5:$O$11,1)))*(INDEX('Scratch Data'!$P$5:$P$11,MIN(MATCH($A60,'Scratch Data'!$O$5:$O$11,1)+1,ROWS('Scratch Data'!$O$5:$O$11)))-INDEX('Scratch Data'!$P$5:$P$11,MATCH($A60,'Scratch Data'!$O$5:$O$11,1)))/MAX(INDEX('Scratch Data'!$O$5:$O$11,MIN(MATCH($A60,'Scratch Data'!$O$5:$O$11,1)+1,ROWS('Scratch Data'!$O$5:$O$11)))-INDEX('Scratch Data'!$O$5:$O$11,MATCH($A60,'Scratch Data'!$O$5:$O$11,1)),0.0001)),IF($A60&lt;=250,MIN((1+(INDEX('Scratch Data'!$H$5:$H$13,MATCH($A60,'Scratch Data'!$G$5:$G$13,1))+($A60-INDEX('Scratch Data'!$G$5:$G$13,MATCH($A60,'Scratch Data'!$G$5:$G$13,1)))*(INDEX('Scratch Data'!$H$5:$H$13,MIN(MATCH($A60,'Scratch Data'!$G$5:$G$13,1)+1,ROWS('Scratch Data'!$G$5:$G$13)))-INDEX('Scratch Data'!$H$5:$H$13,MATCH($A60,'Scratch Data'!$G$5:$G$13,1)))/MAX(INDEX('Scratch Data'!$G$5:$G$13,MIN(MATCH($A60,'Scratch Data'!$G$5:$G$13,1)+1,ROWS('Scratch Data'!$G$5:$G$13)))-INDEX('Scratch Data'!$G$5:$G$13,MATCH($A60,'Scratch Data'!$G$5:$G$13,1)),0.0001))*Inputs!$B$15*INDEX(Baseline!$I$3:$I$102,MIN(MAX(ROUND(Inputs!$B$11*(INDEX('Scratch Data'!$I$5:$I$13,MATCH($A60,'Scratch Data'!$G$5:$G$13,1))+($A60-INDEX('Scratch Data'!$G$5:$G$13,MATCH($A60,'Scratch Data'!$G$5:$G$13,1)))*(INDEX('Scratch Data'!$I$5:$I$13,MIN(MATCH($A60,'Scratch Data'!$G$5:$G$13,1)+1,ROWS('Scratch Data'!$G$5:$G$13)))-INDEX('Scratch Data'!$I$5:$I$13,MATCH($A60,'Scratch Data'!$G$5:$G$13,1)))/MAX(INDEX('Scratch Data'!$G$5:$G$13,MIN(MATCH($A60,'Scratch Data'!$G$5:$G$13,1)+1,ROWS('Scratch Data'!$G$5:$G$13)))-INDEX('Scratch Data'!$G$5:$G$13,MATCH($A60,'Scratch Data'!$G$5:$G$13,1)),0.0001))*Inputs!$B$16,0),1),100))+(1-(INDEX('Scratch Data'!$H$5:$H$13,MATCH($A60,'Scratch Data'!$G$5:$G$13,1))+($A60-INDEX('Scratch Data'!$G$5:$G$13,MATCH($A60,'Scratch Data'!$G$5:$G$13,1)))*(INDEX('Scratch Data'!$H$5:$H$13,MIN(MATCH($A60,'Scratch Data'!$G$5:$G$13,1)+1,ROWS('Scratch Data'!$G$5:$G$13)))-INDEX('Scratch Data'!$H$5:$H$13,MATCH($A60,'Scratch Data'!$G$5:$G$13,1)))/MAX(INDEX('Scratch Data'!$G$5:$G$13,MIN(MATCH($A60,'Scratch Data'!$G$5:$G$13,1)+1,ROWS('Scratch Data'!$G$5:$G$13)))-INDEX('Scratch Data'!$G$5:$G$13,MATCH($A60,'Scratch Data'!$G$5:$G$13,1)),0.0001))*Inputs!$B$15)*((INDEX('Scratch Data'!$J$5:$J$13,MATCH($A60,'Scratch Data'!$G$5:$G$13,1))+($A60-INDEX('Scratch Data'!$G$5:$G$13,MATCH($A60,'Scratch Data'!$G$5:$G$13,1)))*(INDEX('Scratch Data'!$J$5:$J$13,MIN(MATCH($A60,'Scratch Data'!$G$5:$G$13,1)+1,ROWS('Scratch Data'!$G$5:$G$13)))-INDEX('Scratch Data'!$J$5:$J$13,MATCH($A60,'Scratch Data'!$G$5:$G$13,1)))/MAX(INDEX('Scratch Data'!$G$5:$G$13,MIN(MATCH($A60,'Scratch Data'!$G$5:$G$13,1)+1,ROWS('Scratch Data'!$G$5:$G$13)))-INDEX('Scratch Data'!$G$5:$G$13,MATCH($A60,'Scratch Data'!$G$5:$G$13,1)),0.0001))+Inputs!$B$17)),(1+Inputs!$B$19*INDEX(Baseline!$B$3:$B$122,MATCH(MIN(MAX(ROUND((MAX($A60-Inputs!$B$22,30))/5,0)*5,5),600),Baseline!$A$3:$A$122,0))+(1-Inputs!$B$19)*INDEX(Baseline!$C$3:$C$122,MATCH(MIN(MAX(ROUND((MAX($A60-Inputs!$B$22,30))/5,0)*5,5),600),Baseline!$A$3:$A$122,0))+Inputs!$B$17)),(1+Inputs!$B$19*INDEX(Baseline!$B$3:$B$122,MATCH(MIN(MAX(ROUND((MAX($A60-Inputs!$B$22,30))/5,0)*5,5),600),Baseline!$A$3:$A$122,0))+(1-Inputs!$B$19)*INDEX(Baseline!$C$3:$C$122,MATCH(MIN(MAX(ROUND((MAX($A60-Inputs!$B$22,30))/5,0)*5,5),600),Baseline!$A$3:$A$122,0))+Inputs!$B$17)))</f>
        <v>4.358446656</v>
      </c>
      <c r="E60" s="10" t="n">
        <f aca="false">1+Inputs!$B$24+0.6*INDEX(Baseline!$B$3:$B$122,MATCH(MIN(MAX(ROUND((MAX($A60-Inputs!$B$23,15))/5,0)*5,5),600),Baseline!$A$3:$A$122,0))+0.4*INDEX(Baseline!$C$3:$C$122,MATCH(MIN(MAX(ROUND((MAX($A60-Inputs!$B$23,15))/5,0)*5,5),600),Baseline!$A$3:$A$122,0))</f>
        <v>4.5795712</v>
      </c>
      <c r="H60" s="7" t="n">
        <v>58</v>
      </c>
      <c r="I60" s="10" t="n">
        <f aca="false">(INDEX('Scratch Data'!$E$5:$E$22,MATCH($H60,'Scratch Data'!$A$5:$A$22,1))+($H60-INDEX('Scratch Data'!$A$5:$A$22,MATCH($H60,'Scratch Data'!$A$5:$A$22,1)))*(INDEX('Scratch Data'!$E$5:$E$22,MIN(MATCH($H60,'Scratch Data'!$A$5:$A$22,1)+1,ROWS('Scratch Data'!$A$5:$A$22)))-INDEX('Scratch Data'!$E$5:$E$22,MATCH($H60,'Scratch Data'!$A$5:$A$22,1)))/MAX(INDEX('Scratch Data'!$A$5:$A$22,MIN(MATCH($H60,'Scratch Data'!$A$5:$A$22,1)+1,ROWS('Scratch Data'!$A$5:$A$22)))-INDEX('Scratch Data'!$A$5:$A$22,MATCH($H60,'Scratch Data'!$A$5:$A$22,1)),0.0001))</f>
        <v>2.3206</v>
      </c>
    </row>
    <row r="61" customFormat="false" ht="15" hidden="false" customHeight="false" outlineLevel="0" collapsed="false">
      <c r="A61" s="7" t="n">
        <v>295</v>
      </c>
      <c r="B61" s="10" t="n">
        <f aca="false">IF($A61&lt;=50,(INDEX('Scratch Data'!$M$5:$M$12,MATCH($A61,'Scratch Data'!$L$5:$L$12,1))+($A61-INDEX('Scratch Data'!$L$5:$L$12,MATCH($A61,'Scratch Data'!$L$5:$L$12,1)))*(INDEX('Scratch Data'!$M$5:$M$12,MIN(MATCH($A61,'Scratch Data'!$L$5:$L$12,1)+1,ROWS('Scratch Data'!$L$5:$L$12)))-INDEX('Scratch Data'!$M$5:$M$12,MATCH($A61,'Scratch Data'!$L$5:$L$12,1)))/MAX(INDEX('Scratch Data'!$L$5:$L$12,MIN(MATCH($A61,'Scratch Data'!$L$5:$L$12,1)+1,ROWS('Scratch Data'!$L$5:$L$12)))-INDEX('Scratch Data'!$L$5:$L$12,MATCH($A61,'Scratch Data'!$L$5:$L$12,1)),0.0001)),IF($A61&lt;=250,MIN((1+(INDEX('Scratch Data'!$H$5:$H$13,MATCH($A61,'Scratch Data'!$G$5:$G$13,1))+($A61-INDEX('Scratch Data'!$G$5:$G$13,MATCH($A61,'Scratch Data'!$G$5:$G$13,1)))*(INDEX('Scratch Data'!$H$5:$H$13,MIN(MATCH($A61,'Scratch Data'!$G$5:$G$13,1)+1,ROWS('Scratch Data'!$G$5:$G$13)))-INDEX('Scratch Data'!$H$5:$H$13,MATCH($A61,'Scratch Data'!$G$5:$G$13,1)))/MAX(INDEX('Scratch Data'!$G$5:$G$13,MIN(MATCH($A61,'Scratch Data'!$G$5:$G$13,1)+1,ROWS('Scratch Data'!$G$5:$G$13)))-INDEX('Scratch Data'!$G$5:$G$13,MATCH($A61,'Scratch Data'!$G$5:$G$13,1)),0.0001))*INDEX(Baseline!$I$3:$I$102,MIN(MAX(ROUND(Inputs!$B$11*(INDEX('Scratch Data'!$I$5:$I$13,MATCH($A61,'Scratch Data'!$G$5:$G$13,1))+($A61-INDEX('Scratch Data'!$G$5:$G$13,MATCH($A61,'Scratch Data'!$G$5:$G$13,1)))*(INDEX('Scratch Data'!$I$5:$I$13,MIN(MATCH($A61,'Scratch Data'!$G$5:$G$13,1)+1,ROWS('Scratch Data'!$G$5:$G$13)))-INDEX('Scratch Data'!$I$5:$I$13,MATCH($A61,'Scratch Data'!$G$5:$G$13,1)))/MAX(INDEX('Scratch Data'!$G$5:$G$13,MIN(MATCH($A61,'Scratch Data'!$G$5:$G$13,1)+1,ROWS('Scratch Data'!$G$5:$G$13)))-INDEX('Scratch Data'!$G$5:$G$13,MATCH($A61,'Scratch Data'!$G$5:$G$13,1)),0.0001)),0),1),100))+(1-(INDEX('Scratch Data'!$H$5:$H$13,MATCH($A61,'Scratch Data'!$G$5:$G$13,1))+($A61-INDEX('Scratch Data'!$G$5:$G$13,MATCH($A61,'Scratch Data'!$G$5:$G$13,1)))*(INDEX('Scratch Data'!$H$5:$H$13,MIN(MATCH($A61,'Scratch Data'!$G$5:$G$13,1)+1,ROWS('Scratch Data'!$G$5:$G$13)))-INDEX('Scratch Data'!$H$5:$H$13,MATCH($A61,'Scratch Data'!$G$5:$G$13,1)))/MAX(INDEX('Scratch Data'!$G$5:$G$13,MIN(MATCH($A61,'Scratch Data'!$G$5:$G$13,1)+1,ROWS('Scratch Data'!$G$5:$G$13)))-INDEX('Scratch Data'!$G$5:$G$13,MATCH($A61,'Scratch Data'!$G$5:$G$13,1)),0.0001)))*(INDEX('Scratch Data'!$J$5:$J$13,MATCH($A61,'Scratch Data'!$G$5:$G$13,1))+($A61-INDEX('Scratch Data'!$G$5:$G$13,MATCH($A61,'Scratch Data'!$G$5:$G$13,1)))*(INDEX('Scratch Data'!$J$5:$J$13,MIN(MATCH($A61,'Scratch Data'!$G$5:$G$13,1)+1,ROWS('Scratch Data'!$G$5:$G$13)))-INDEX('Scratch Data'!$J$5:$J$13,MATCH($A61,'Scratch Data'!$G$5:$G$13,1)))/MAX(INDEX('Scratch Data'!$G$5:$G$13,MIN(MATCH($A61,'Scratch Data'!$G$5:$G$13,1)+1,ROWS('Scratch Data'!$G$5:$G$13)))-INDEX('Scratch Data'!$G$5:$G$13,MATCH($A61,'Scratch Data'!$G$5:$G$13,1)),0.0001))),(1+Inputs!$B$19*INDEX(Baseline!$B$3:$B$122,MATCH(MIN(MAX(ROUND((MAX($A61-Inputs!$B$20,30))/5,0)*5,5),600),Baseline!$A$3:$A$122,0))+(1-Inputs!$B$19)*INDEX(Baseline!$C$3:$C$122,MATCH(MIN(MAX(ROUND((MAX($A61-Inputs!$B$20,30))/5,0)*5,5),600),Baseline!$A$3:$A$122,0)))),(1+Inputs!$B$19*INDEX(Baseline!$B$3:$B$122,MATCH(MIN(MAX(ROUND((MAX($A61-Inputs!$B$20,30))/5,0)*5,5),600),Baseline!$A$3:$A$122,0))+(1-Inputs!$B$19)*INDEX(Baseline!$C$3:$C$122,MATCH(MIN(MAX(ROUND((MAX($A61-Inputs!$B$20,30))/5,0)*5,5),600),Baseline!$A$3:$A$122,0)))))</f>
        <v>3.97765</v>
      </c>
      <c r="C61" s="10" t="n">
        <f aca="false">IF($A61&lt;=50,$B61+Inputs!$B$18,IF($A61&lt;=250,MIN((1+(INDEX('Scratch Data'!$H$5:$H$13,MATCH($A61,'Scratch Data'!$G$5:$G$13,1))+($A61-INDEX('Scratch Data'!$G$5:$G$13,MATCH($A61,'Scratch Data'!$G$5:$G$13,1)))*(INDEX('Scratch Data'!$H$5:$H$13,MIN(MATCH($A61,'Scratch Data'!$G$5:$G$13,1)+1,ROWS('Scratch Data'!$G$5:$G$13)))-INDEX('Scratch Data'!$H$5:$H$13,MATCH($A61,'Scratch Data'!$G$5:$G$13,1)))/MAX(INDEX('Scratch Data'!$G$5:$G$13,MIN(MATCH($A61,'Scratch Data'!$G$5:$G$13,1)+1,ROWS('Scratch Data'!$G$5:$G$13)))-INDEX('Scratch Data'!$G$5:$G$13,MATCH($A61,'Scratch Data'!$G$5:$G$13,1)),0.0001))*Inputs!$B$12*INDEX(Baseline!$I$3:$I$102,MIN(MAX(ROUND(Inputs!$B$11*(INDEX('Scratch Data'!$I$5:$I$13,MATCH($A61,'Scratch Data'!$G$5:$G$13,1))+($A61-INDEX('Scratch Data'!$G$5:$G$13,MATCH($A61,'Scratch Data'!$G$5:$G$13,1)))*(INDEX('Scratch Data'!$I$5:$I$13,MIN(MATCH($A61,'Scratch Data'!$G$5:$G$13,1)+1,ROWS('Scratch Data'!$G$5:$G$13)))-INDEX('Scratch Data'!$I$5:$I$13,MATCH($A61,'Scratch Data'!$G$5:$G$13,1)))/MAX(INDEX('Scratch Data'!$G$5:$G$13,MIN(MATCH($A61,'Scratch Data'!$G$5:$G$13,1)+1,ROWS('Scratch Data'!$G$5:$G$13)))-INDEX('Scratch Data'!$G$5:$G$13,MATCH($A61,'Scratch Data'!$G$5:$G$13,1)),0.0001))*Inputs!$B$13,0),1),100))+(1-(INDEX('Scratch Data'!$H$5:$H$13,MATCH($A61,'Scratch Data'!$G$5:$G$13,1))+($A61-INDEX('Scratch Data'!$G$5:$G$13,MATCH($A61,'Scratch Data'!$G$5:$G$13,1)))*(INDEX('Scratch Data'!$H$5:$H$13,MIN(MATCH($A61,'Scratch Data'!$G$5:$G$13,1)+1,ROWS('Scratch Data'!$G$5:$G$13)))-INDEX('Scratch Data'!$H$5:$H$13,MATCH($A61,'Scratch Data'!$G$5:$G$13,1)))/MAX(INDEX('Scratch Data'!$G$5:$G$13,MIN(MATCH($A61,'Scratch Data'!$G$5:$G$13,1)+1,ROWS('Scratch Data'!$G$5:$G$13)))-INDEX('Scratch Data'!$G$5:$G$13,MATCH($A61,'Scratch Data'!$G$5:$G$13,1)),0.0001))*Inputs!$B$12)*((INDEX('Scratch Data'!$J$5:$J$13,MATCH($A61,'Scratch Data'!$G$5:$G$13,1))+($A61-INDEX('Scratch Data'!$G$5:$G$13,MATCH($A61,'Scratch Data'!$G$5:$G$13,1)))*(INDEX('Scratch Data'!$J$5:$J$13,MIN(MATCH($A61,'Scratch Data'!$G$5:$G$13,1)+1,ROWS('Scratch Data'!$G$5:$G$13)))-INDEX('Scratch Data'!$J$5:$J$13,MATCH($A61,'Scratch Data'!$G$5:$G$13,1)))/MAX(INDEX('Scratch Data'!$G$5:$G$13,MIN(MATCH($A61,'Scratch Data'!$G$5:$G$13,1)+1,ROWS('Scratch Data'!$G$5:$G$13)))-INDEX('Scratch Data'!$G$5:$G$13,MATCH($A61,'Scratch Data'!$G$5:$G$13,1)),0.0001))+Inputs!$B$14)),(1+Inputs!$B$19*INDEX(Baseline!$B$3:$B$122,MATCH(MIN(MAX(ROUND((MAX($A61-Inputs!$B$21,30))/5,0)*5,5),600),Baseline!$A$3:$A$122,0))+(1-Inputs!$B$19)*INDEX(Baseline!$C$3:$C$122,MATCH(MIN(MAX(ROUND((MAX($A61-Inputs!$B$21,30))/5,0)*5,5),600),Baseline!$A$3:$A$122,0))+Inputs!$B$14)),(1+Inputs!$B$19*INDEX(Baseline!$B$3:$B$122,MATCH(MIN(MAX(ROUND((MAX($A61-Inputs!$B$21,30))/5,0)*5,5),600),Baseline!$A$3:$A$122,0))+(1-Inputs!$B$19)*INDEX(Baseline!$C$3:$C$122,MATCH(MIN(MAX(ROUND((MAX($A61-Inputs!$B$21,30))/5,0)*5,5),600),Baseline!$A$3:$A$122,0))+Inputs!$B$14)))</f>
        <v>4.198019136</v>
      </c>
      <c r="D61" s="10" t="n">
        <f aca="false">IF($A61&lt;=50,(INDEX('Scratch Data'!$P$5:$P$11,MATCH($A61,'Scratch Data'!$O$5:$O$11,1))+($A61-INDEX('Scratch Data'!$O$5:$O$11,MATCH($A61,'Scratch Data'!$O$5:$O$11,1)))*(INDEX('Scratch Data'!$P$5:$P$11,MIN(MATCH($A61,'Scratch Data'!$O$5:$O$11,1)+1,ROWS('Scratch Data'!$O$5:$O$11)))-INDEX('Scratch Data'!$P$5:$P$11,MATCH($A61,'Scratch Data'!$O$5:$O$11,1)))/MAX(INDEX('Scratch Data'!$O$5:$O$11,MIN(MATCH($A61,'Scratch Data'!$O$5:$O$11,1)+1,ROWS('Scratch Data'!$O$5:$O$11)))-INDEX('Scratch Data'!$O$5:$O$11,MATCH($A61,'Scratch Data'!$O$5:$O$11,1)),0.0001)),IF($A61&lt;=250,MIN((1+(INDEX('Scratch Data'!$H$5:$H$13,MATCH($A61,'Scratch Data'!$G$5:$G$13,1))+($A61-INDEX('Scratch Data'!$G$5:$G$13,MATCH($A61,'Scratch Data'!$G$5:$G$13,1)))*(INDEX('Scratch Data'!$H$5:$H$13,MIN(MATCH($A61,'Scratch Data'!$G$5:$G$13,1)+1,ROWS('Scratch Data'!$G$5:$G$13)))-INDEX('Scratch Data'!$H$5:$H$13,MATCH($A61,'Scratch Data'!$G$5:$G$13,1)))/MAX(INDEX('Scratch Data'!$G$5:$G$13,MIN(MATCH($A61,'Scratch Data'!$G$5:$G$13,1)+1,ROWS('Scratch Data'!$G$5:$G$13)))-INDEX('Scratch Data'!$G$5:$G$13,MATCH($A61,'Scratch Data'!$G$5:$G$13,1)),0.0001))*Inputs!$B$15*INDEX(Baseline!$I$3:$I$102,MIN(MAX(ROUND(Inputs!$B$11*(INDEX('Scratch Data'!$I$5:$I$13,MATCH($A61,'Scratch Data'!$G$5:$G$13,1))+($A61-INDEX('Scratch Data'!$G$5:$G$13,MATCH($A61,'Scratch Data'!$G$5:$G$13,1)))*(INDEX('Scratch Data'!$I$5:$I$13,MIN(MATCH($A61,'Scratch Data'!$G$5:$G$13,1)+1,ROWS('Scratch Data'!$G$5:$G$13)))-INDEX('Scratch Data'!$I$5:$I$13,MATCH($A61,'Scratch Data'!$G$5:$G$13,1)))/MAX(INDEX('Scratch Data'!$G$5:$G$13,MIN(MATCH($A61,'Scratch Data'!$G$5:$G$13,1)+1,ROWS('Scratch Data'!$G$5:$G$13)))-INDEX('Scratch Data'!$G$5:$G$13,MATCH($A61,'Scratch Data'!$G$5:$G$13,1)),0.0001))*Inputs!$B$16,0),1),100))+(1-(INDEX('Scratch Data'!$H$5:$H$13,MATCH($A61,'Scratch Data'!$G$5:$G$13,1))+($A61-INDEX('Scratch Data'!$G$5:$G$13,MATCH($A61,'Scratch Data'!$G$5:$G$13,1)))*(INDEX('Scratch Data'!$H$5:$H$13,MIN(MATCH($A61,'Scratch Data'!$G$5:$G$13,1)+1,ROWS('Scratch Data'!$G$5:$G$13)))-INDEX('Scratch Data'!$H$5:$H$13,MATCH($A61,'Scratch Data'!$G$5:$G$13,1)))/MAX(INDEX('Scratch Data'!$G$5:$G$13,MIN(MATCH($A61,'Scratch Data'!$G$5:$G$13,1)+1,ROWS('Scratch Data'!$G$5:$G$13)))-INDEX('Scratch Data'!$G$5:$G$13,MATCH($A61,'Scratch Data'!$G$5:$G$13,1)),0.0001))*Inputs!$B$15)*((INDEX('Scratch Data'!$J$5:$J$13,MATCH($A61,'Scratch Data'!$G$5:$G$13,1))+($A61-INDEX('Scratch Data'!$G$5:$G$13,MATCH($A61,'Scratch Data'!$G$5:$G$13,1)))*(INDEX('Scratch Data'!$J$5:$J$13,MIN(MATCH($A61,'Scratch Data'!$G$5:$G$13,1)+1,ROWS('Scratch Data'!$G$5:$G$13)))-INDEX('Scratch Data'!$J$5:$J$13,MATCH($A61,'Scratch Data'!$G$5:$G$13,1)))/MAX(INDEX('Scratch Data'!$G$5:$G$13,MIN(MATCH($A61,'Scratch Data'!$G$5:$G$13,1)+1,ROWS('Scratch Data'!$G$5:$G$13)))-INDEX('Scratch Data'!$G$5:$G$13,MATCH($A61,'Scratch Data'!$G$5:$G$13,1)),0.0001))+Inputs!$B$17)),(1+Inputs!$B$19*INDEX(Baseline!$B$3:$B$122,MATCH(MIN(MAX(ROUND((MAX($A61-Inputs!$B$22,30))/5,0)*5,5),600),Baseline!$A$3:$A$122,0))+(1-Inputs!$B$19)*INDEX(Baseline!$C$3:$C$122,MATCH(MIN(MAX(ROUND((MAX($A61-Inputs!$B$22,30))/5,0)*5,5),600),Baseline!$A$3:$A$122,0))+Inputs!$B$17)),(1+Inputs!$B$19*INDEX(Baseline!$B$3:$B$122,MATCH(MIN(MAX(ROUND((MAX($A61-Inputs!$B$22,30))/5,0)*5,5),600),Baseline!$A$3:$A$122,0))+(1-Inputs!$B$19)*INDEX(Baseline!$C$3:$C$122,MATCH(MIN(MAX(ROUND((MAX($A61-Inputs!$B$22,30))/5,0)*5,5),600),Baseline!$A$3:$A$122,0))+Inputs!$B$17)))</f>
        <v>4.38204432</v>
      </c>
      <c r="E61" s="10" t="n">
        <f aca="false">1+Inputs!$B$24+0.6*INDEX(Baseline!$B$3:$B$122,MATCH(MIN(MAX(ROUND((MAX($A61-Inputs!$B$23,15))/5,0)*5,5),600),Baseline!$A$3:$A$122,0))+0.4*INDEX(Baseline!$C$3:$C$122,MATCH(MIN(MAX(ROUND((MAX($A61-Inputs!$B$23,15))/5,0)*5,5),600),Baseline!$A$3:$A$122,0))</f>
        <v>4.604057392</v>
      </c>
      <c r="H61" s="7" t="n">
        <v>59</v>
      </c>
      <c r="I61" s="10" t="n">
        <f aca="false">(INDEX('Scratch Data'!$E$5:$E$22,MATCH($H61,'Scratch Data'!$A$5:$A$22,1))+($H61-INDEX('Scratch Data'!$A$5:$A$22,MATCH($H61,'Scratch Data'!$A$5:$A$22,1)))*(INDEX('Scratch Data'!$E$5:$E$22,MIN(MATCH($H61,'Scratch Data'!$A$5:$A$22,1)+1,ROWS('Scratch Data'!$A$5:$A$22)))-INDEX('Scratch Data'!$E$5:$E$22,MATCH($H61,'Scratch Data'!$A$5:$A$22,1)))/MAX(INDEX('Scratch Data'!$A$5:$A$22,MIN(MATCH($H61,'Scratch Data'!$A$5:$A$22,1)+1,ROWS('Scratch Data'!$A$5:$A$22)))-INDEX('Scratch Data'!$A$5:$A$22,MATCH($H61,'Scratch Data'!$A$5:$A$22,1)),0.0001))</f>
        <v>2.3288</v>
      </c>
    </row>
    <row r="62" customFormat="false" ht="15" hidden="false" customHeight="false" outlineLevel="0" collapsed="false">
      <c r="A62" s="7" t="n">
        <v>300</v>
      </c>
      <c r="B62" s="10" t="n">
        <f aca="false">IF($A62&lt;=50,(INDEX('Scratch Data'!$M$5:$M$12,MATCH($A62,'Scratch Data'!$L$5:$L$12,1))+($A62-INDEX('Scratch Data'!$L$5:$L$12,MATCH($A62,'Scratch Data'!$L$5:$L$12,1)))*(INDEX('Scratch Data'!$M$5:$M$12,MIN(MATCH($A62,'Scratch Data'!$L$5:$L$12,1)+1,ROWS('Scratch Data'!$L$5:$L$12)))-INDEX('Scratch Data'!$M$5:$M$12,MATCH($A62,'Scratch Data'!$L$5:$L$12,1)))/MAX(INDEX('Scratch Data'!$L$5:$L$12,MIN(MATCH($A62,'Scratch Data'!$L$5:$L$12,1)+1,ROWS('Scratch Data'!$L$5:$L$12)))-INDEX('Scratch Data'!$L$5:$L$12,MATCH($A62,'Scratch Data'!$L$5:$L$12,1)),0.0001)),IF($A62&lt;=250,MIN((1+(INDEX('Scratch Data'!$H$5:$H$13,MATCH($A62,'Scratch Data'!$G$5:$G$13,1))+($A62-INDEX('Scratch Data'!$G$5:$G$13,MATCH($A62,'Scratch Data'!$G$5:$G$13,1)))*(INDEX('Scratch Data'!$H$5:$H$13,MIN(MATCH($A62,'Scratch Data'!$G$5:$G$13,1)+1,ROWS('Scratch Data'!$G$5:$G$13)))-INDEX('Scratch Data'!$H$5:$H$13,MATCH($A62,'Scratch Data'!$G$5:$G$13,1)))/MAX(INDEX('Scratch Data'!$G$5:$G$13,MIN(MATCH($A62,'Scratch Data'!$G$5:$G$13,1)+1,ROWS('Scratch Data'!$G$5:$G$13)))-INDEX('Scratch Data'!$G$5:$G$13,MATCH($A62,'Scratch Data'!$G$5:$G$13,1)),0.0001))*INDEX(Baseline!$I$3:$I$102,MIN(MAX(ROUND(Inputs!$B$11*(INDEX('Scratch Data'!$I$5:$I$13,MATCH($A62,'Scratch Data'!$G$5:$G$13,1))+($A62-INDEX('Scratch Data'!$G$5:$G$13,MATCH($A62,'Scratch Data'!$G$5:$G$13,1)))*(INDEX('Scratch Data'!$I$5:$I$13,MIN(MATCH($A62,'Scratch Data'!$G$5:$G$13,1)+1,ROWS('Scratch Data'!$G$5:$G$13)))-INDEX('Scratch Data'!$I$5:$I$13,MATCH($A62,'Scratch Data'!$G$5:$G$13,1)))/MAX(INDEX('Scratch Data'!$G$5:$G$13,MIN(MATCH($A62,'Scratch Data'!$G$5:$G$13,1)+1,ROWS('Scratch Data'!$G$5:$G$13)))-INDEX('Scratch Data'!$G$5:$G$13,MATCH($A62,'Scratch Data'!$G$5:$G$13,1)),0.0001)),0),1),100))+(1-(INDEX('Scratch Data'!$H$5:$H$13,MATCH($A62,'Scratch Data'!$G$5:$G$13,1))+($A62-INDEX('Scratch Data'!$G$5:$G$13,MATCH($A62,'Scratch Data'!$G$5:$G$13,1)))*(INDEX('Scratch Data'!$H$5:$H$13,MIN(MATCH($A62,'Scratch Data'!$G$5:$G$13,1)+1,ROWS('Scratch Data'!$G$5:$G$13)))-INDEX('Scratch Data'!$H$5:$H$13,MATCH($A62,'Scratch Data'!$G$5:$G$13,1)))/MAX(INDEX('Scratch Data'!$G$5:$G$13,MIN(MATCH($A62,'Scratch Data'!$G$5:$G$13,1)+1,ROWS('Scratch Data'!$G$5:$G$13)))-INDEX('Scratch Data'!$G$5:$G$13,MATCH($A62,'Scratch Data'!$G$5:$G$13,1)),0.0001)))*(INDEX('Scratch Data'!$J$5:$J$13,MATCH($A62,'Scratch Data'!$G$5:$G$13,1))+($A62-INDEX('Scratch Data'!$G$5:$G$13,MATCH($A62,'Scratch Data'!$G$5:$G$13,1)))*(INDEX('Scratch Data'!$J$5:$J$13,MIN(MATCH($A62,'Scratch Data'!$G$5:$G$13,1)+1,ROWS('Scratch Data'!$G$5:$G$13)))-INDEX('Scratch Data'!$J$5:$J$13,MATCH($A62,'Scratch Data'!$G$5:$G$13,1)))/MAX(INDEX('Scratch Data'!$G$5:$G$13,MIN(MATCH($A62,'Scratch Data'!$G$5:$G$13,1)+1,ROWS('Scratch Data'!$G$5:$G$13)))-INDEX('Scratch Data'!$G$5:$G$13,MATCH($A62,'Scratch Data'!$G$5:$G$13,1)),0.0001))),(1+Inputs!$B$19*INDEX(Baseline!$B$3:$B$122,MATCH(MIN(MAX(ROUND((MAX($A62-Inputs!$B$20,30))/5,0)*5,5),600),Baseline!$A$3:$A$122,0))+(1-Inputs!$B$19)*INDEX(Baseline!$C$3:$C$122,MATCH(MIN(MAX(ROUND((MAX($A62-Inputs!$B$20,30))/5,0)*5,5),600),Baseline!$A$3:$A$122,0)))),(1+Inputs!$B$19*INDEX(Baseline!$B$3:$B$122,MATCH(MIN(MAX(ROUND((MAX($A62-Inputs!$B$20,30))/5,0)*5,5),600),Baseline!$A$3:$A$122,0))+(1-Inputs!$B$19)*INDEX(Baseline!$C$3:$C$122,MATCH(MIN(MAX(ROUND((MAX($A62-Inputs!$B$20,30))/5,0)*5,5),600),Baseline!$A$3:$A$122,0)))))</f>
        <v>3.992564608</v>
      </c>
      <c r="C62" s="10" t="n">
        <f aca="false">IF($A62&lt;=50,$B62+Inputs!$B$18,IF($A62&lt;=250,MIN((1+(INDEX('Scratch Data'!$H$5:$H$13,MATCH($A62,'Scratch Data'!$G$5:$G$13,1))+($A62-INDEX('Scratch Data'!$G$5:$G$13,MATCH($A62,'Scratch Data'!$G$5:$G$13,1)))*(INDEX('Scratch Data'!$H$5:$H$13,MIN(MATCH($A62,'Scratch Data'!$G$5:$G$13,1)+1,ROWS('Scratch Data'!$G$5:$G$13)))-INDEX('Scratch Data'!$H$5:$H$13,MATCH($A62,'Scratch Data'!$G$5:$G$13,1)))/MAX(INDEX('Scratch Data'!$G$5:$G$13,MIN(MATCH($A62,'Scratch Data'!$G$5:$G$13,1)+1,ROWS('Scratch Data'!$G$5:$G$13)))-INDEX('Scratch Data'!$G$5:$G$13,MATCH($A62,'Scratch Data'!$G$5:$G$13,1)),0.0001))*Inputs!$B$12*INDEX(Baseline!$I$3:$I$102,MIN(MAX(ROUND(Inputs!$B$11*(INDEX('Scratch Data'!$I$5:$I$13,MATCH($A62,'Scratch Data'!$G$5:$G$13,1))+($A62-INDEX('Scratch Data'!$G$5:$G$13,MATCH($A62,'Scratch Data'!$G$5:$G$13,1)))*(INDEX('Scratch Data'!$I$5:$I$13,MIN(MATCH($A62,'Scratch Data'!$G$5:$G$13,1)+1,ROWS('Scratch Data'!$G$5:$G$13)))-INDEX('Scratch Data'!$I$5:$I$13,MATCH($A62,'Scratch Data'!$G$5:$G$13,1)))/MAX(INDEX('Scratch Data'!$G$5:$G$13,MIN(MATCH($A62,'Scratch Data'!$G$5:$G$13,1)+1,ROWS('Scratch Data'!$G$5:$G$13)))-INDEX('Scratch Data'!$G$5:$G$13,MATCH($A62,'Scratch Data'!$G$5:$G$13,1)),0.0001))*Inputs!$B$13,0),1),100))+(1-(INDEX('Scratch Data'!$H$5:$H$13,MATCH($A62,'Scratch Data'!$G$5:$G$13,1))+($A62-INDEX('Scratch Data'!$G$5:$G$13,MATCH($A62,'Scratch Data'!$G$5:$G$13,1)))*(INDEX('Scratch Data'!$H$5:$H$13,MIN(MATCH($A62,'Scratch Data'!$G$5:$G$13,1)+1,ROWS('Scratch Data'!$G$5:$G$13)))-INDEX('Scratch Data'!$H$5:$H$13,MATCH($A62,'Scratch Data'!$G$5:$G$13,1)))/MAX(INDEX('Scratch Data'!$G$5:$G$13,MIN(MATCH($A62,'Scratch Data'!$G$5:$G$13,1)+1,ROWS('Scratch Data'!$G$5:$G$13)))-INDEX('Scratch Data'!$G$5:$G$13,MATCH($A62,'Scratch Data'!$G$5:$G$13,1)),0.0001))*Inputs!$B$12)*((INDEX('Scratch Data'!$J$5:$J$13,MATCH($A62,'Scratch Data'!$G$5:$G$13,1))+($A62-INDEX('Scratch Data'!$G$5:$G$13,MATCH($A62,'Scratch Data'!$G$5:$G$13,1)))*(INDEX('Scratch Data'!$J$5:$J$13,MIN(MATCH($A62,'Scratch Data'!$G$5:$G$13,1)+1,ROWS('Scratch Data'!$G$5:$G$13)))-INDEX('Scratch Data'!$J$5:$J$13,MATCH($A62,'Scratch Data'!$G$5:$G$13,1)))/MAX(INDEX('Scratch Data'!$G$5:$G$13,MIN(MATCH($A62,'Scratch Data'!$G$5:$G$13,1)+1,ROWS('Scratch Data'!$G$5:$G$13)))-INDEX('Scratch Data'!$G$5:$G$13,MATCH($A62,'Scratch Data'!$G$5:$G$13,1)),0.0001))+Inputs!$B$14)),(1+Inputs!$B$19*INDEX(Baseline!$B$3:$B$122,MATCH(MIN(MAX(ROUND((MAX($A62-Inputs!$B$21,30))/5,0)*5,5),600),Baseline!$A$3:$A$122,0))+(1-Inputs!$B$19)*INDEX(Baseline!$C$3:$C$122,MATCH(MIN(MAX(ROUND((MAX($A62-Inputs!$B$21,30))/5,0)*5,5),600),Baseline!$A$3:$A$122,0))+Inputs!$B$14)),(1+Inputs!$B$19*INDEX(Baseline!$B$3:$B$122,MATCH(MIN(MAX(ROUND((MAX($A62-Inputs!$B$21,30))/5,0)*5,5),600),Baseline!$A$3:$A$122,0))+(1-Inputs!$B$19)*INDEX(Baseline!$C$3:$C$122,MATCH(MIN(MAX(ROUND((MAX($A62-Inputs!$B$21,30))/5,0)*5,5),600),Baseline!$A$3:$A$122,0))+Inputs!$B$14)))</f>
        <v>4.22286528</v>
      </c>
      <c r="D62" s="10" t="n">
        <f aca="false">IF($A62&lt;=50,(INDEX('Scratch Data'!$P$5:$P$11,MATCH($A62,'Scratch Data'!$O$5:$O$11,1))+($A62-INDEX('Scratch Data'!$O$5:$O$11,MATCH($A62,'Scratch Data'!$O$5:$O$11,1)))*(INDEX('Scratch Data'!$P$5:$P$11,MIN(MATCH($A62,'Scratch Data'!$O$5:$O$11,1)+1,ROWS('Scratch Data'!$O$5:$O$11)))-INDEX('Scratch Data'!$P$5:$P$11,MATCH($A62,'Scratch Data'!$O$5:$O$11,1)))/MAX(INDEX('Scratch Data'!$O$5:$O$11,MIN(MATCH($A62,'Scratch Data'!$O$5:$O$11,1)+1,ROWS('Scratch Data'!$O$5:$O$11)))-INDEX('Scratch Data'!$O$5:$O$11,MATCH($A62,'Scratch Data'!$O$5:$O$11,1)),0.0001)),IF($A62&lt;=250,MIN((1+(INDEX('Scratch Data'!$H$5:$H$13,MATCH($A62,'Scratch Data'!$G$5:$G$13,1))+($A62-INDEX('Scratch Data'!$G$5:$G$13,MATCH($A62,'Scratch Data'!$G$5:$G$13,1)))*(INDEX('Scratch Data'!$H$5:$H$13,MIN(MATCH($A62,'Scratch Data'!$G$5:$G$13,1)+1,ROWS('Scratch Data'!$G$5:$G$13)))-INDEX('Scratch Data'!$H$5:$H$13,MATCH($A62,'Scratch Data'!$G$5:$G$13,1)))/MAX(INDEX('Scratch Data'!$G$5:$G$13,MIN(MATCH($A62,'Scratch Data'!$G$5:$G$13,1)+1,ROWS('Scratch Data'!$G$5:$G$13)))-INDEX('Scratch Data'!$G$5:$G$13,MATCH($A62,'Scratch Data'!$G$5:$G$13,1)),0.0001))*Inputs!$B$15*INDEX(Baseline!$I$3:$I$102,MIN(MAX(ROUND(Inputs!$B$11*(INDEX('Scratch Data'!$I$5:$I$13,MATCH($A62,'Scratch Data'!$G$5:$G$13,1))+($A62-INDEX('Scratch Data'!$G$5:$G$13,MATCH($A62,'Scratch Data'!$G$5:$G$13,1)))*(INDEX('Scratch Data'!$I$5:$I$13,MIN(MATCH($A62,'Scratch Data'!$G$5:$G$13,1)+1,ROWS('Scratch Data'!$G$5:$G$13)))-INDEX('Scratch Data'!$I$5:$I$13,MATCH($A62,'Scratch Data'!$G$5:$G$13,1)))/MAX(INDEX('Scratch Data'!$G$5:$G$13,MIN(MATCH($A62,'Scratch Data'!$G$5:$G$13,1)+1,ROWS('Scratch Data'!$G$5:$G$13)))-INDEX('Scratch Data'!$G$5:$G$13,MATCH($A62,'Scratch Data'!$G$5:$G$13,1)),0.0001))*Inputs!$B$16,0),1),100))+(1-(INDEX('Scratch Data'!$H$5:$H$13,MATCH($A62,'Scratch Data'!$G$5:$G$13,1))+($A62-INDEX('Scratch Data'!$G$5:$G$13,MATCH($A62,'Scratch Data'!$G$5:$G$13,1)))*(INDEX('Scratch Data'!$H$5:$H$13,MIN(MATCH($A62,'Scratch Data'!$G$5:$G$13,1)+1,ROWS('Scratch Data'!$G$5:$G$13)))-INDEX('Scratch Data'!$H$5:$H$13,MATCH($A62,'Scratch Data'!$G$5:$G$13,1)))/MAX(INDEX('Scratch Data'!$G$5:$G$13,MIN(MATCH($A62,'Scratch Data'!$G$5:$G$13,1)+1,ROWS('Scratch Data'!$G$5:$G$13)))-INDEX('Scratch Data'!$G$5:$G$13,MATCH($A62,'Scratch Data'!$G$5:$G$13,1)),0.0001))*Inputs!$B$15)*((INDEX('Scratch Data'!$J$5:$J$13,MATCH($A62,'Scratch Data'!$G$5:$G$13,1))+($A62-INDEX('Scratch Data'!$G$5:$G$13,MATCH($A62,'Scratch Data'!$G$5:$G$13,1)))*(INDEX('Scratch Data'!$J$5:$J$13,MIN(MATCH($A62,'Scratch Data'!$G$5:$G$13,1)+1,ROWS('Scratch Data'!$G$5:$G$13)))-INDEX('Scratch Data'!$J$5:$J$13,MATCH($A62,'Scratch Data'!$G$5:$G$13,1)))/MAX(INDEX('Scratch Data'!$G$5:$G$13,MIN(MATCH($A62,'Scratch Data'!$G$5:$G$13,1)+1,ROWS('Scratch Data'!$G$5:$G$13)))-INDEX('Scratch Data'!$G$5:$G$13,MATCH($A62,'Scratch Data'!$G$5:$G$13,1)),0.0001))+Inputs!$B$17)),(1+Inputs!$B$19*INDEX(Baseline!$B$3:$B$122,MATCH(MIN(MAX(ROUND((MAX($A62-Inputs!$B$22,30))/5,0)*5,5),600),Baseline!$A$3:$A$122,0))+(1-Inputs!$B$19)*INDEX(Baseline!$C$3:$C$122,MATCH(MIN(MAX(ROUND((MAX($A62-Inputs!$B$22,30))/5,0)*5,5),600),Baseline!$A$3:$A$122,0))+Inputs!$B$17)),(1+Inputs!$B$19*INDEX(Baseline!$B$3:$B$122,MATCH(MIN(MAX(ROUND((MAX($A62-Inputs!$B$22,30))/5,0)*5,5),600),Baseline!$A$3:$A$122,0))+(1-Inputs!$B$19)*INDEX(Baseline!$C$3:$C$122,MATCH(MIN(MAX(ROUND((MAX($A62-Inputs!$B$22,30))/5,0)*5,5),600),Baseline!$A$3:$A$122,0))+Inputs!$B$17)))</f>
        <v>4.397690144</v>
      </c>
      <c r="E62" s="10" t="n">
        <f aca="false">1+Inputs!$B$24+0.6*INDEX(Baseline!$B$3:$B$122,MATCH(MIN(MAX(ROUND((MAX($A62-Inputs!$B$23,15))/5,0)*5,5),600),Baseline!$A$3:$A$122,0))+0.4*INDEX(Baseline!$C$3:$C$122,MATCH(MIN(MAX(ROUND((MAX($A62-Inputs!$B$23,15))/5,0)*5,5),600),Baseline!$A$3:$A$122,0))</f>
        <v>4.62534544</v>
      </c>
      <c r="H62" s="7" t="n">
        <v>60</v>
      </c>
      <c r="I62" s="10" t="n">
        <f aca="false">(INDEX('Scratch Data'!$E$5:$E$22,MATCH($H62,'Scratch Data'!$A$5:$A$22,1))+($H62-INDEX('Scratch Data'!$A$5:$A$22,MATCH($H62,'Scratch Data'!$A$5:$A$22,1)))*(INDEX('Scratch Data'!$E$5:$E$22,MIN(MATCH($H62,'Scratch Data'!$A$5:$A$22,1)+1,ROWS('Scratch Data'!$A$5:$A$22)))-INDEX('Scratch Data'!$E$5:$E$22,MATCH($H62,'Scratch Data'!$A$5:$A$22,1)))/MAX(INDEX('Scratch Data'!$A$5:$A$22,MIN(MATCH($H62,'Scratch Data'!$A$5:$A$22,1)+1,ROWS('Scratch Data'!$A$5:$A$22)))-INDEX('Scratch Data'!$A$5:$A$22,MATCH($H62,'Scratch Data'!$A$5:$A$22,1)),0.0001))</f>
        <v>2.337</v>
      </c>
    </row>
    <row r="63" customFormat="false" ht="15" hidden="false" customHeight="false" outlineLevel="0" collapsed="false">
      <c r="A63" s="7" t="n">
        <v>305</v>
      </c>
      <c r="B63" s="10" t="n">
        <f aca="false">IF($A63&lt;=50,(INDEX('Scratch Data'!$M$5:$M$12,MATCH($A63,'Scratch Data'!$L$5:$L$12,1))+($A63-INDEX('Scratch Data'!$L$5:$L$12,MATCH($A63,'Scratch Data'!$L$5:$L$12,1)))*(INDEX('Scratch Data'!$M$5:$M$12,MIN(MATCH($A63,'Scratch Data'!$L$5:$L$12,1)+1,ROWS('Scratch Data'!$L$5:$L$12)))-INDEX('Scratch Data'!$M$5:$M$12,MATCH($A63,'Scratch Data'!$L$5:$L$12,1)))/MAX(INDEX('Scratch Data'!$L$5:$L$12,MIN(MATCH($A63,'Scratch Data'!$L$5:$L$12,1)+1,ROWS('Scratch Data'!$L$5:$L$12)))-INDEX('Scratch Data'!$L$5:$L$12,MATCH($A63,'Scratch Data'!$L$5:$L$12,1)),0.0001)),IF($A63&lt;=250,MIN((1+(INDEX('Scratch Data'!$H$5:$H$13,MATCH($A63,'Scratch Data'!$G$5:$G$13,1))+($A63-INDEX('Scratch Data'!$G$5:$G$13,MATCH($A63,'Scratch Data'!$G$5:$G$13,1)))*(INDEX('Scratch Data'!$H$5:$H$13,MIN(MATCH($A63,'Scratch Data'!$G$5:$G$13,1)+1,ROWS('Scratch Data'!$G$5:$G$13)))-INDEX('Scratch Data'!$H$5:$H$13,MATCH($A63,'Scratch Data'!$G$5:$G$13,1)))/MAX(INDEX('Scratch Data'!$G$5:$G$13,MIN(MATCH($A63,'Scratch Data'!$G$5:$G$13,1)+1,ROWS('Scratch Data'!$G$5:$G$13)))-INDEX('Scratch Data'!$G$5:$G$13,MATCH($A63,'Scratch Data'!$G$5:$G$13,1)),0.0001))*INDEX(Baseline!$I$3:$I$102,MIN(MAX(ROUND(Inputs!$B$11*(INDEX('Scratch Data'!$I$5:$I$13,MATCH($A63,'Scratch Data'!$G$5:$G$13,1))+($A63-INDEX('Scratch Data'!$G$5:$G$13,MATCH($A63,'Scratch Data'!$G$5:$G$13,1)))*(INDEX('Scratch Data'!$I$5:$I$13,MIN(MATCH($A63,'Scratch Data'!$G$5:$G$13,1)+1,ROWS('Scratch Data'!$G$5:$G$13)))-INDEX('Scratch Data'!$I$5:$I$13,MATCH($A63,'Scratch Data'!$G$5:$G$13,1)))/MAX(INDEX('Scratch Data'!$G$5:$G$13,MIN(MATCH($A63,'Scratch Data'!$G$5:$G$13,1)+1,ROWS('Scratch Data'!$G$5:$G$13)))-INDEX('Scratch Data'!$G$5:$G$13,MATCH($A63,'Scratch Data'!$G$5:$G$13,1)),0.0001)),0),1),100))+(1-(INDEX('Scratch Data'!$H$5:$H$13,MATCH($A63,'Scratch Data'!$G$5:$G$13,1))+($A63-INDEX('Scratch Data'!$G$5:$G$13,MATCH($A63,'Scratch Data'!$G$5:$G$13,1)))*(INDEX('Scratch Data'!$H$5:$H$13,MIN(MATCH($A63,'Scratch Data'!$G$5:$G$13,1)+1,ROWS('Scratch Data'!$G$5:$G$13)))-INDEX('Scratch Data'!$H$5:$H$13,MATCH($A63,'Scratch Data'!$G$5:$G$13,1)))/MAX(INDEX('Scratch Data'!$G$5:$G$13,MIN(MATCH($A63,'Scratch Data'!$G$5:$G$13,1)+1,ROWS('Scratch Data'!$G$5:$G$13)))-INDEX('Scratch Data'!$G$5:$G$13,MATCH($A63,'Scratch Data'!$G$5:$G$13,1)),0.0001)))*(INDEX('Scratch Data'!$J$5:$J$13,MATCH($A63,'Scratch Data'!$G$5:$G$13,1))+($A63-INDEX('Scratch Data'!$G$5:$G$13,MATCH($A63,'Scratch Data'!$G$5:$G$13,1)))*(INDEX('Scratch Data'!$J$5:$J$13,MIN(MATCH($A63,'Scratch Data'!$G$5:$G$13,1)+1,ROWS('Scratch Data'!$G$5:$G$13)))-INDEX('Scratch Data'!$J$5:$J$13,MATCH($A63,'Scratch Data'!$G$5:$G$13,1)))/MAX(INDEX('Scratch Data'!$G$5:$G$13,MIN(MATCH($A63,'Scratch Data'!$G$5:$G$13,1)+1,ROWS('Scratch Data'!$G$5:$G$13)))-INDEX('Scratch Data'!$G$5:$G$13,MATCH($A63,'Scratch Data'!$G$5:$G$13,1)),0.0001))),(1+Inputs!$B$19*INDEX(Baseline!$B$3:$B$122,MATCH(MIN(MAX(ROUND((MAX($A63-Inputs!$B$20,30))/5,0)*5,5),600),Baseline!$A$3:$A$122,0))+(1-Inputs!$B$19)*INDEX(Baseline!$C$3:$C$122,MATCH(MIN(MAX(ROUND((MAX($A63-Inputs!$B$20,30))/5,0)*5,5),600),Baseline!$A$3:$A$122,0)))),(1+Inputs!$B$19*INDEX(Baseline!$B$3:$B$122,MATCH(MIN(MAX(ROUND((MAX($A63-Inputs!$B$20,30))/5,0)*5,5),600),Baseline!$A$3:$A$122,0))+(1-Inputs!$B$19)*INDEX(Baseline!$C$3:$C$122,MATCH(MIN(MAX(ROUND((MAX($A63-Inputs!$B$20,30))/5,0)*5,5),600),Baseline!$A$3:$A$122,0)))))</f>
        <v>4.01724582933333</v>
      </c>
      <c r="C63" s="10" t="n">
        <f aca="false">IF($A63&lt;=50,$B63+Inputs!$B$18,IF($A63&lt;=250,MIN((1+(INDEX('Scratch Data'!$H$5:$H$13,MATCH($A63,'Scratch Data'!$G$5:$G$13,1))+($A63-INDEX('Scratch Data'!$G$5:$G$13,MATCH($A63,'Scratch Data'!$G$5:$G$13,1)))*(INDEX('Scratch Data'!$H$5:$H$13,MIN(MATCH($A63,'Scratch Data'!$G$5:$G$13,1)+1,ROWS('Scratch Data'!$G$5:$G$13)))-INDEX('Scratch Data'!$H$5:$H$13,MATCH($A63,'Scratch Data'!$G$5:$G$13,1)))/MAX(INDEX('Scratch Data'!$G$5:$G$13,MIN(MATCH($A63,'Scratch Data'!$G$5:$G$13,1)+1,ROWS('Scratch Data'!$G$5:$G$13)))-INDEX('Scratch Data'!$G$5:$G$13,MATCH($A63,'Scratch Data'!$G$5:$G$13,1)),0.0001))*Inputs!$B$12*INDEX(Baseline!$I$3:$I$102,MIN(MAX(ROUND(Inputs!$B$11*(INDEX('Scratch Data'!$I$5:$I$13,MATCH($A63,'Scratch Data'!$G$5:$G$13,1))+($A63-INDEX('Scratch Data'!$G$5:$G$13,MATCH($A63,'Scratch Data'!$G$5:$G$13,1)))*(INDEX('Scratch Data'!$I$5:$I$13,MIN(MATCH($A63,'Scratch Data'!$G$5:$G$13,1)+1,ROWS('Scratch Data'!$G$5:$G$13)))-INDEX('Scratch Data'!$I$5:$I$13,MATCH($A63,'Scratch Data'!$G$5:$G$13,1)))/MAX(INDEX('Scratch Data'!$G$5:$G$13,MIN(MATCH($A63,'Scratch Data'!$G$5:$G$13,1)+1,ROWS('Scratch Data'!$G$5:$G$13)))-INDEX('Scratch Data'!$G$5:$G$13,MATCH($A63,'Scratch Data'!$G$5:$G$13,1)),0.0001))*Inputs!$B$13,0),1),100))+(1-(INDEX('Scratch Data'!$H$5:$H$13,MATCH($A63,'Scratch Data'!$G$5:$G$13,1))+($A63-INDEX('Scratch Data'!$G$5:$G$13,MATCH($A63,'Scratch Data'!$G$5:$G$13,1)))*(INDEX('Scratch Data'!$H$5:$H$13,MIN(MATCH($A63,'Scratch Data'!$G$5:$G$13,1)+1,ROWS('Scratch Data'!$G$5:$G$13)))-INDEX('Scratch Data'!$H$5:$H$13,MATCH($A63,'Scratch Data'!$G$5:$G$13,1)))/MAX(INDEX('Scratch Data'!$G$5:$G$13,MIN(MATCH($A63,'Scratch Data'!$G$5:$G$13,1)+1,ROWS('Scratch Data'!$G$5:$G$13)))-INDEX('Scratch Data'!$G$5:$G$13,MATCH($A63,'Scratch Data'!$G$5:$G$13,1)),0.0001))*Inputs!$B$12)*((INDEX('Scratch Data'!$J$5:$J$13,MATCH($A63,'Scratch Data'!$G$5:$G$13,1))+($A63-INDEX('Scratch Data'!$G$5:$G$13,MATCH($A63,'Scratch Data'!$G$5:$G$13,1)))*(INDEX('Scratch Data'!$J$5:$J$13,MIN(MATCH($A63,'Scratch Data'!$G$5:$G$13,1)+1,ROWS('Scratch Data'!$G$5:$G$13)))-INDEX('Scratch Data'!$J$5:$J$13,MATCH($A63,'Scratch Data'!$G$5:$G$13,1)))/MAX(INDEX('Scratch Data'!$G$5:$G$13,MIN(MATCH($A63,'Scratch Data'!$G$5:$G$13,1)+1,ROWS('Scratch Data'!$G$5:$G$13)))-INDEX('Scratch Data'!$G$5:$G$13,MATCH($A63,'Scratch Data'!$G$5:$G$13,1)),0.0001))+Inputs!$B$14)),(1+Inputs!$B$19*INDEX(Baseline!$B$3:$B$122,MATCH(MIN(MAX(ROUND((MAX($A63-Inputs!$B$21,30))/5,0)*5,5),600),Baseline!$A$3:$A$122,0))+(1-Inputs!$B$19)*INDEX(Baseline!$C$3:$C$122,MATCH(MIN(MAX(ROUND((MAX($A63-Inputs!$B$21,30))/5,0)*5,5),600),Baseline!$A$3:$A$122,0))+Inputs!$B$14)),(1+Inputs!$B$19*INDEX(Baseline!$B$3:$B$122,MATCH(MIN(MAX(ROUND((MAX($A63-Inputs!$B$21,30))/5,0)*5,5),600),Baseline!$A$3:$A$122,0))+(1-Inputs!$B$19)*INDEX(Baseline!$C$3:$C$122,MATCH(MIN(MAX(ROUND((MAX($A63-Inputs!$B$21,30))/5,0)*5,5),600),Baseline!$A$3:$A$122,0))+Inputs!$B$14)))</f>
        <v>4.23462512</v>
      </c>
      <c r="D63" s="10" t="n">
        <f aca="false">IF($A63&lt;=50,(INDEX('Scratch Data'!$P$5:$P$11,MATCH($A63,'Scratch Data'!$O$5:$O$11,1))+($A63-INDEX('Scratch Data'!$O$5:$O$11,MATCH($A63,'Scratch Data'!$O$5:$O$11,1)))*(INDEX('Scratch Data'!$P$5:$P$11,MIN(MATCH($A63,'Scratch Data'!$O$5:$O$11,1)+1,ROWS('Scratch Data'!$O$5:$O$11)))-INDEX('Scratch Data'!$P$5:$P$11,MATCH($A63,'Scratch Data'!$O$5:$O$11,1)))/MAX(INDEX('Scratch Data'!$O$5:$O$11,MIN(MATCH($A63,'Scratch Data'!$O$5:$O$11,1)+1,ROWS('Scratch Data'!$O$5:$O$11)))-INDEX('Scratch Data'!$O$5:$O$11,MATCH($A63,'Scratch Data'!$O$5:$O$11,1)),0.0001)),IF($A63&lt;=250,MIN((1+(INDEX('Scratch Data'!$H$5:$H$13,MATCH($A63,'Scratch Data'!$G$5:$G$13,1))+($A63-INDEX('Scratch Data'!$G$5:$G$13,MATCH($A63,'Scratch Data'!$G$5:$G$13,1)))*(INDEX('Scratch Data'!$H$5:$H$13,MIN(MATCH($A63,'Scratch Data'!$G$5:$G$13,1)+1,ROWS('Scratch Data'!$G$5:$G$13)))-INDEX('Scratch Data'!$H$5:$H$13,MATCH($A63,'Scratch Data'!$G$5:$G$13,1)))/MAX(INDEX('Scratch Data'!$G$5:$G$13,MIN(MATCH($A63,'Scratch Data'!$G$5:$G$13,1)+1,ROWS('Scratch Data'!$G$5:$G$13)))-INDEX('Scratch Data'!$G$5:$G$13,MATCH($A63,'Scratch Data'!$G$5:$G$13,1)),0.0001))*Inputs!$B$15*INDEX(Baseline!$I$3:$I$102,MIN(MAX(ROUND(Inputs!$B$11*(INDEX('Scratch Data'!$I$5:$I$13,MATCH($A63,'Scratch Data'!$G$5:$G$13,1))+($A63-INDEX('Scratch Data'!$G$5:$G$13,MATCH($A63,'Scratch Data'!$G$5:$G$13,1)))*(INDEX('Scratch Data'!$I$5:$I$13,MIN(MATCH($A63,'Scratch Data'!$G$5:$G$13,1)+1,ROWS('Scratch Data'!$G$5:$G$13)))-INDEX('Scratch Data'!$I$5:$I$13,MATCH($A63,'Scratch Data'!$G$5:$G$13,1)))/MAX(INDEX('Scratch Data'!$G$5:$G$13,MIN(MATCH($A63,'Scratch Data'!$G$5:$G$13,1)+1,ROWS('Scratch Data'!$G$5:$G$13)))-INDEX('Scratch Data'!$G$5:$G$13,MATCH($A63,'Scratch Data'!$G$5:$G$13,1)),0.0001))*Inputs!$B$16,0),1),100))+(1-(INDEX('Scratch Data'!$H$5:$H$13,MATCH($A63,'Scratch Data'!$G$5:$G$13,1))+($A63-INDEX('Scratch Data'!$G$5:$G$13,MATCH($A63,'Scratch Data'!$G$5:$G$13,1)))*(INDEX('Scratch Data'!$H$5:$H$13,MIN(MATCH($A63,'Scratch Data'!$G$5:$G$13,1)+1,ROWS('Scratch Data'!$G$5:$G$13)))-INDEX('Scratch Data'!$H$5:$H$13,MATCH($A63,'Scratch Data'!$G$5:$G$13,1)))/MAX(INDEX('Scratch Data'!$G$5:$G$13,MIN(MATCH($A63,'Scratch Data'!$G$5:$G$13,1)+1,ROWS('Scratch Data'!$G$5:$G$13)))-INDEX('Scratch Data'!$G$5:$G$13,MATCH($A63,'Scratch Data'!$G$5:$G$13,1)),0.0001))*Inputs!$B$15)*((INDEX('Scratch Data'!$J$5:$J$13,MATCH($A63,'Scratch Data'!$G$5:$G$13,1))+($A63-INDEX('Scratch Data'!$G$5:$G$13,MATCH($A63,'Scratch Data'!$G$5:$G$13,1)))*(INDEX('Scratch Data'!$J$5:$J$13,MIN(MATCH($A63,'Scratch Data'!$G$5:$G$13,1)+1,ROWS('Scratch Data'!$G$5:$G$13)))-INDEX('Scratch Data'!$J$5:$J$13,MATCH($A63,'Scratch Data'!$G$5:$G$13,1)))/MAX(INDEX('Scratch Data'!$G$5:$G$13,MIN(MATCH($A63,'Scratch Data'!$G$5:$G$13,1)+1,ROWS('Scratch Data'!$G$5:$G$13)))-INDEX('Scratch Data'!$G$5:$G$13,MATCH($A63,'Scratch Data'!$G$5:$G$13,1)),0.0001))+Inputs!$B$17)),(1+Inputs!$B$19*INDEX(Baseline!$B$3:$B$122,MATCH(MIN(MAX(ROUND((MAX($A63-Inputs!$B$22,30))/5,0)*5,5),600),Baseline!$A$3:$A$122,0))+(1-Inputs!$B$19)*INDEX(Baseline!$C$3:$C$122,MATCH(MIN(MAX(ROUND((MAX($A63-Inputs!$B$22,30))/5,0)*5,5),600),Baseline!$A$3:$A$122,0))+Inputs!$B$17)),(1+Inputs!$B$19*INDEX(Baseline!$B$3:$B$122,MATCH(MIN(MAX(ROUND((MAX($A63-Inputs!$B$22,30))/5,0)*5,5),600),Baseline!$A$3:$A$122,0))+(1-Inputs!$B$19)*INDEX(Baseline!$C$3:$C$122,MATCH(MIN(MAX(ROUND((MAX($A63-Inputs!$B$22,30))/5,0)*5,5),600),Baseline!$A$3:$A$122,0))+Inputs!$B$17)))</f>
        <v>4.422275584</v>
      </c>
      <c r="E63" s="10" t="n">
        <f aca="false">1+Inputs!$B$24+0.6*INDEX(Baseline!$B$3:$B$122,MATCH(MIN(MAX(ROUND((MAX($A63-Inputs!$B$23,15))/5,0)*5,5),600),Baseline!$A$3:$A$122,0))+0.4*INDEX(Baseline!$C$3:$C$122,MATCH(MIN(MAX(ROUND((MAX($A63-Inputs!$B$23,15))/5,0)*5,5),600),Baseline!$A$3:$A$122,0))</f>
        <v>4.650156928</v>
      </c>
      <c r="H63" s="7" t="n">
        <v>61</v>
      </c>
      <c r="I63" s="10" t="n">
        <f aca="false">(INDEX('Scratch Data'!$E$5:$E$22,MATCH($H63,'Scratch Data'!$A$5:$A$22,1))+($H63-INDEX('Scratch Data'!$A$5:$A$22,MATCH($H63,'Scratch Data'!$A$5:$A$22,1)))*(INDEX('Scratch Data'!$E$5:$E$22,MIN(MATCH($H63,'Scratch Data'!$A$5:$A$22,1)+1,ROWS('Scratch Data'!$A$5:$A$22)))-INDEX('Scratch Data'!$E$5:$E$22,MATCH($H63,'Scratch Data'!$A$5:$A$22,1)))/MAX(INDEX('Scratch Data'!$A$5:$A$22,MIN(MATCH($H63,'Scratch Data'!$A$5:$A$22,1)+1,ROWS('Scratch Data'!$A$5:$A$22)))-INDEX('Scratch Data'!$A$5:$A$22,MATCH($H63,'Scratch Data'!$A$5:$A$22,1)),0.0001))</f>
        <v>2.3434</v>
      </c>
    </row>
    <row r="64" customFormat="false" ht="15" hidden="false" customHeight="false" outlineLevel="0" collapsed="false">
      <c r="A64" s="7" t="n">
        <v>310</v>
      </c>
      <c r="B64" s="10" t="n">
        <f aca="false">IF($A64&lt;=50,(INDEX('Scratch Data'!$M$5:$M$12,MATCH($A64,'Scratch Data'!$L$5:$L$12,1))+($A64-INDEX('Scratch Data'!$L$5:$L$12,MATCH($A64,'Scratch Data'!$L$5:$L$12,1)))*(INDEX('Scratch Data'!$M$5:$M$12,MIN(MATCH($A64,'Scratch Data'!$L$5:$L$12,1)+1,ROWS('Scratch Data'!$L$5:$L$12)))-INDEX('Scratch Data'!$M$5:$M$12,MATCH($A64,'Scratch Data'!$L$5:$L$12,1)))/MAX(INDEX('Scratch Data'!$L$5:$L$12,MIN(MATCH($A64,'Scratch Data'!$L$5:$L$12,1)+1,ROWS('Scratch Data'!$L$5:$L$12)))-INDEX('Scratch Data'!$L$5:$L$12,MATCH($A64,'Scratch Data'!$L$5:$L$12,1)),0.0001)),IF($A64&lt;=250,MIN((1+(INDEX('Scratch Data'!$H$5:$H$13,MATCH($A64,'Scratch Data'!$G$5:$G$13,1))+($A64-INDEX('Scratch Data'!$G$5:$G$13,MATCH($A64,'Scratch Data'!$G$5:$G$13,1)))*(INDEX('Scratch Data'!$H$5:$H$13,MIN(MATCH($A64,'Scratch Data'!$G$5:$G$13,1)+1,ROWS('Scratch Data'!$G$5:$G$13)))-INDEX('Scratch Data'!$H$5:$H$13,MATCH($A64,'Scratch Data'!$G$5:$G$13,1)))/MAX(INDEX('Scratch Data'!$G$5:$G$13,MIN(MATCH($A64,'Scratch Data'!$G$5:$G$13,1)+1,ROWS('Scratch Data'!$G$5:$G$13)))-INDEX('Scratch Data'!$G$5:$G$13,MATCH($A64,'Scratch Data'!$G$5:$G$13,1)),0.0001))*INDEX(Baseline!$I$3:$I$102,MIN(MAX(ROUND(Inputs!$B$11*(INDEX('Scratch Data'!$I$5:$I$13,MATCH($A64,'Scratch Data'!$G$5:$G$13,1))+($A64-INDEX('Scratch Data'!$G$5:$G$13,MATCH($A64,'Scratch Data'!$G$5:$G$13,1)))*(INDEX('Scratch Data'!$I$5:$I$13,MIN(MATCH($A64,'Scratch Data'!$G$5:$G$13,1)+1,ROWS('Scratch Data'!$G$5:$G$13)))-INDEX('Scratch Data'!$I$5:$I$13,MATCH($A64,'Scratch Data'!$G$5:$G$13,1)))/MAX(INDEX('Scratch Data'!$G$5:$G$13,MIN(MATCH($A64,'Scratch Data'!$G$5:$G$13,1)+1,ROWS('Scratch Data'!$G$5:$G$13)))-INDEX('Scratch Data'!$G$5:$G$13,MATCH($A64,'Scratch Data'!$G$5:$G$13,1)),0.0001)),0),1),100))+(1-(INDEX('Scratch Data'!$H$5:$H$13,MATCH($A64,'Scratch Data'!$G$5:$G$13,1))+($A64-INDEX('Scratch Data'!$G$5:$G$13,MATCH($A64,'Scratch Data'!$G$5:$G$13,1)))*(INDEX('Scratch Data'!$H$5:$H$13,MIN(MATCH($A64,'Scratch Data'!$G$5:$G$13,1)+1,ROWS('Scratch Data'!$G$5:$G$13)))-INDEX('Scratch Data'!$H$5:$H$13,MATCH($A64,'Scratch Data'!$G$5:$G$13,1)))/MAX(INDEX('Scratch Data'!$G$5:$G$13,MIN(MATCH($A64,'Scratch Data'!$G$5:$G$13,1)+1,ROWS('Scratch Data'!$G$5:$G$13)))-INDEX('Scratch Data'!$G$5:$G$13,MATCH($A64,'Scratch Data'!$G$5:$G$13,1)),0.0001)))*(INDEX('Scratch Data'!$J$5:$J$13,MATCH($A64,'Scratch Data'!$G$5:$G$13,1))+($A64-INDEX('Scratch Data'!$G$5:$G$13,MATCH($A64,'Scratch Data'!$G$5:$G$13,1)))*(INDEX('Scratch Data'!$J$5:$J$13,MIN(MATCH($A64,'Scratch Data'!$G$5:$G$13,1)+1,ROWS('Scratch Data'!$G$5:$G$13)))-INDEX('Scratch Data'!$J$5:$J$13,MATCH($A64,'Scratch Data'!$G$5:$G$13,1)))/MAX(INDEX('Scratch Data'!$G$5:$G$13,MIN(MATCH($A64,'Scratch Data'!$G$5:$G$13,1)+1,ROWS('Scratch Data'!$G$5:$G$13)))-INDEX('Scratch Data'!$G$5:$G$13,MATCH($A64,'Scratch Data'!$G$5:$G$13,1)),0.0001))),(1+Inputs!$B$19*INDEX(Baseline!$B$3:$B$122,MATCH(MIN(MAX(ROUND((MAX($A64-Inputs!$B$20,30))/5,0)*5,5),600),Baseline!$A$3:$A$122,0))+(1-Inputs!$B$19)*INDEX(Baseline!$C$3:$C$122,MATCH(MIN(MAX(ROUND((MAX($A64-Inputs!$B$20,30))/5,0)*5,5),600),Baseline!$A$3:$A$122,0)))),(1+Inputs!$B$19*INDEX(Baseline!$B$3:$B$122,MATCH(MIN(MAX(ROUND((MAX($A64-Inputs!$B$20,30))/5,0)*5,5),600),Baseline!$A$3:$A$122,0))+(1-Inputs!$B$19)*INDEX(Baseline!$C$3:$C$122,MATCH(MIN(MAX(ROUND((MAX($A64-Inputs!$B$20,30))/5,0)*5,5),600),Baseline!$A$3:$A$122,0)))))</f>
        <v>4.045111968</v>
      </c>
      <c r="C64" s="10" t="n">
        <f aca="false">IF($A64&lt;=50,$B64+Inputs!$B$18,IF($A64&lt;=250,MIN((1+(INDEX('Scratch Data'!$H$5:$H$13,MATCH($A64,'Scratch Data'!$G$5:$G$13,1))+($A64-INDEX('Scratch Data'!$G$5:$G$13,MATCH($A64,'Scratch Data'!$G$5:$G$13,1)))*(INDEX('Scratch Data'!$H$5:$H$13,MIN(MATCH($A64,'Scratch Data'!$G$5:$G$13,1)+1,ROWS('Scratch Data'!$G$5:$G$13)))-INDEX('Scratch Data'!$H$5:$H$13,MATCH($A64,'Scratch Data'!$G$5:$G$13,1)))/MAX(INDEX('Scratch Data'!$G$5:$G$13,MIN(MATCH($A64,'Scratch Data'!$G$5:$G$13,1)+1,ROWS('Scratch Data'!$G$5:$G$13)))-INDEX('Scratch Data'!$G$5:$G$13,MATCH($A64,'Scratch Data'!$G$5:$G$13,1)),0.0001))*Inputs!$B$12*INDEX(Baseline!$I$3:$I$102,MIN(MAX(ROUND(Inputs!$B$11*(INDEX('Scratch Data'!$I$5:$I$13,MATCH($A64,'Scratch Data'!$G$5:$G$13,1))+($A64-INDEX('Scratch Data'!$G$5:$G$13,MATCH($A64,'Scratch Data'!$G$5:$G$13,1)))*(INDEX('Scratch Data'!$I$5:$I$13,MIN(MATCH($A64,'Scratch Data'!$G$5:$G$13,1)+1,ROWS('Scratch Data'!$G$5:$G$13)))-INDEX('Scratch Data'!$I$5:$I$13,MATCH($A64,'Scratch Data'!$G$5:$G$13,1)))/MAX(INDEX('Scratch Data'!$G$5:$G$13,MIN(MATCH($A64,'Scratch Data'!$G$5:$G$13,1)+1,ROWS('Scratch Data'!$G$5:$G$13)))-INDEX('Scratch Data'!$G$5:$G$13,MATCH($A64,'Scratch Data'!$G$5:$G$13,1)),0.0001))*Inputs!$B$13,0),1),100))+(1-(INDEX('Scratch Data'!$H$5:$H$13,MATCH($A64,'Scratch Data'!$G$5:$G$13,1))+($A64-INDEX('Scratch Data'!$G$5:$G$13,MATCH($A64,'Scratch Data'!$G$5:$G$13,1)))*(INDEX('Scratch Data'!$H$5:$H$13,MIN(MATCH($A64,'Scratch Data'!$G$5:$G$13,1)+1,ROWS('Scratch Data'!$G$5:$G$13)))-INDEX('Scratch Data'!$H$5:$H$13,MATCH($A64,'Scratch Data'!$G$5:$G$13,1)))/MAX(INDEX('Scratch Data'!$G$5:$G$13,MIN(MATCH($A64,'Scratch Data'!$G$5:$G$13,1)+1,ROWS('Scratch Data'!$G$5:$G$13)))-INDEX('Scratch Data'!$G$5:$G$13,MATCH($A64,'Scratch Data'!$G$5:$G$13,1)),0.0001))*Inputs!$B$12)*((INDEX('Scratch Data'!$J$5:$J$13,MATCH($A64,'Scratch Data'!$G$5:$G$13,1))+($A64-INDEX('Scratch Data'!$G$5:$G$13,MATCH($A64,'Scratch Data'!$G$5:$G$13,1)))*(INDEX('Scratch Data'!$J$5:$J$13,MIN(MATCH($A64,'Scratch Data'!$G$5:$G$13,1)+1,ROWS('Scratch Data'!$G$5:$G$13)))-INDEX('Scratch Data'!$J$5:$J$13,MATCH($A64,'Scratch Data'!$G$5:$G$13,1)))/MAX(INDEX('Scratch Data'!$G$5:$G$13,MIN(MATCH($A64,'Scratch Data'!$G$5:$G$13,1)+1,ROWS('Scratch Data'!$G$5:$G$13)))-INDEX('Scratch Data'!$G$5:$G$13,MATCH($A64,'Scratch Data'!$G$5:$G$13,1)),0.0001))+Inputs!$B$14)),(1+Inputs!$B$19*INDEX(Baseline!$B$3:$B$122,MATCH(MIN(MAX(ROUND((MAX($A64-Inputs!$B$21,30))/5,0)*5,5),600),Baseline!$A$3:$A$122,0))+(1-Inputs!$B$19)*INDEX(Baseline!$C$3:$C$122,MATCH(MIN(MAX(ROUND((MAX($A64-Inputs!$B$21,30))/5,0)*5,5),600),Baseline!$A$3:$A$122,0))+Inputs!$B$14)),(1+Inputs!$B$19*INDEX(Baseline!$B$3:$B$122,MATCH(MIN(MAX(ROUND((MAX($A64-Inputs!$B$21,30))/5,0)*5,5),600),Baseline!$A$3:$A$122,0))+(1-Inputs!$B$19)*INDEX(Baseline!$C$3:$C$122,MATCH(MIN(MAX(ROUND((MAX($A64-Inputs!$B$21,30))/5,0)*5,5),600),Baseline!$A$3:$A$122,0))+Inputs!$B$14)))</f>
        <v>4.258446656</v>
      </c>
      <c r="D64" s="10" t="n">
        <f aca="false">IF($A64&lt;=50,(INDEX('Scratch Data'!$P$5:$P$11,MATCH($A64,'Scratch Data'!$O$5:$O$11,1))+($A64-INDEX('Scratch Data'!$O$5:$O$11,MATCH($A64,'Scratch Data'!$O$5:$O$11,1)))*(INDEX('Scratch Data'!$P$5:$P$11,MIN(MATCH($A64,'Scratch Data'!$O$5:$O$11,1)+1,ROWS('Scratch Data'!$O$5:$O$11)))-INDEX('Scratch Data'!$P$5:$P$11,MATCH($A64,'Scratch Data'!$O$5:$O$11,1)))/MAX(INDEX('Scratch Data'!$O$5:$O$11,MIN(MATCH($A64,'Scratch Data'!$O$5:$O$11,1)+1,ROWS('Scratch Data'!$O$5:$O$11)))-INDEX('Scratch Data'!$O$5:$O$11,MATCH($A64,'Scratch Data'!$O$5:$O$11,1)),0.0001)),IF($A64&lt;=250,MIN((1+(INDEX('Scratch Data'!$H$5:$H$13,MATCH($A64,'Scratch Data'!$G$5:$G$13,1))+($A64-INDEX('Scratch Data'!$G$5:$G$13,MATCH($A64,'Scratch Data'!$G$5:$G$13,1)))*(INDEX('Scratch Data'!$H$5:$H$13,MIN(MATCH($A64,'Scratch Data'!$G$5:$G$13,1)+1,ROWS('Scratch Data'!$G$5:$G$13)))-INDEX('Scratch Data'!$H$5:$H$13,MATCH($A64,'Scratch Data'!$G$5:$G$13,1)))/MAX(INDEX('Scratch Data'!$G$5:$G$13,MIN(MATCH($A64,'Scratch Data'!$G$5:$G$13,1)+1,ROWS('Scratch Data'!$G$5:$G$13)))-INDEX('Scratch Data'!$G$5:$G$13,MATCH($A64,'Scratch Data'!$G$5:$G$13,1)),0.0001))*Inputs!$B$15*INDEX(Baseline!$I$3:$I$102,MIN(MAX(ROUND(Inputs!$B$11*(INDEX('Scratch Data'!$I$5:$I$13,MATCH($A64,'Scratch Data'!$G$5:$G$13,1))+($A64-INDEX('Scratch Data'!$G$5:$G$13,MATCH($A64,'Scratch Data'!$G$5:$G$13,1)))*(INDEX('Scratch Data'!$I$5:$I$13,MIN(MATCH($A64,'Scratch Data'!$G$5:$G$13,1)+1,ROWS('Scratch Data'!$G$5:$G$13)))-INDEX('Scratch Data'!$I$5:$I$13,MATCH($A64,'Scratch Data'!$G$5:$G$13,1)))/MAX(INDEX('Scratch Data'!$G$5:$G$13,MIN(MATCH($A64,'Scratch Data'!$G$5:$G$13,1)+1,ROWS('Scratch Data'!$G$5:$G$13)))-INDEX('Scratch Data'!$G$5:$G$13,MATCH($A64,'Scratch Data'!$G$5:$G$13,1)),0.0001))*Inputs!$B$16,0),1),100))+(1-(INDEX('Scratch Data'!$H$5:$H$13,MATCH($A64,'Scratch Data'!$G$5:$G$13,1))+($A64-INDEX('Scratch Data'!$G$5:$G$13,MATCH($A64,'Scratch Data'!$G$5:$G$13,1)))*(INDEX('Scratch Data'!$H$5:$H$13,MIN(MATCH($A64,'Scratch Data'!$G$5:$G$13,1)+1,ROWS('Scratch Data'!$G$5:$G$13)))-INDEX('Scratch Data'!$H$5:$H$13,MATCH($A64,'Scratch Data'!$G$5:$G$13,1)))/MAX(INDEX('Scratch Data'!$G$5:$G$13,MIN(MATCH($A64,'Scratch Data'!$G$5:$G$13,1)+1,ROWS('Scratch Data'!$G$5:$G$13)))-INDEX('Scratch Data'!$G$5:$G$13,MATCH($A64,'Scratch Data'!$G$5:$G$13,1)),0.0001))*Inputs!$B$15)*((INDEX('Scratch Data'!$J$5:$J$13,MATCH($A64,'Scratch Data'!$G$5:$G$13,1))+($A64-INDEX('Scratch Data'!$G$5:$G$13,MATCH($A64,'Scratch Data'!$G$5:$G$13,1)))*(INDEX('Scratch Data'!$J$5:$J$13,MIN(MATCH($A64,'Scratch Data'!$G$5:$G$13,1)+1,ROWS('Scratch Data'!$G$5:$G$13)))-INDEX('Scratch Data'!$J$5:$J$13,MATCH($A64,'Scratch Data'!$G$5:$G$13,1)))/MAX(INDEX('Scratch Data'!$G$5:$G$13,MIN(MATCH($A64,'Scratch Data'!$G$5:$G$13,1)+1,ROWS('Scratch Data'!$G$5:$G$13)))-INDEX('Scratch Data'!$G$5:$G$13,MATCH($A64,'Scratch Data'!$G$5:$G$13,1)),0.0001))+Inputs!$B$17)),(1+Inputs!$B$19*INDEX(Baseline!$B$3:$B$122,MATCH(MIN(MAX(ROUND((MAX($A64-Inputs!$B$22,30))/5,0)*5,5),600),Baseline!$A$3:$A$122,0))+(1-Inputs!$B$19)*INDEX(Baseline!$C$3:$C$122,MATCH(MIN(MAX(ROUND((MAX($A64-Inputs!$B$22,30))/5,0)*5,5),600),Baseline!$A$3:$A$122,0))+Inputs!$B$17)),(1+Inputs!$B$19*INDEX(Baseline!$B$3:$B$122,MATCH(MIN(MAX(ROUND((MAX($A64-Inputs!$B$22,30))/5,0)*5,5),600),Baseline!$A$3:$A$122,0))+(1-Inputs!$B$19)*INDEX(Baseline!$C$3:$C$122,MATCH(MIN(MAX(ROUND((MAX($A64-Inputs!$B$22,30))/5,0)*5,5),600),Baseline!$A$3:$A$122,0))+Inputs!$B$17)))</f>
        <v>4.444352576</v>
      </c>
      <c r="E64" s="10" t="n">
        <f aca="false">1+Inputs!$B$24+0.6*INDEX(Baseline!$B$3:$B$122,MATCH(MIN(MAX(ROUND((MAX($A64-Inputs!$B$23,15))/5,0)*5,5),600),Baseline!$A$3:$A$122,0))+0.4*INDEX(Baseline!$C$3:$C$122,MATCH(MIN(MAX(ROUND((MAX($A64-Inputs!$B$23,15))/5,0)*5,5),600),Baseline!$A$3:$A$122,0))</f>
        <v>4.674227168</v>
      </c>
      <c r="H64" s="7" t="n">
        <v>62</v>
      </c>
      <c r="I64" s="10" t="n">
        <f aca="false">(INDEX('Scratch Data'!$E$5:$E$22,MATCH($H64,'Scratch Data'!$A$5:$A$22,1))+($H64-INDEX('Scratch Data'!$A$5:$A$22,MATCH($H64,'Scratch Data'!$A$5:$A$22,1)))*(INDEX('Scratch Data'!$E$5:$E$22,MIN(MATCH($H64,'Scratch Data'!$A$5:$A$22,1)+1,ROWS('Scratch Data'!$A$5:$A$22)))-INDEX('Scratch Data'!$E$5:$E$22,MATCH($H64,'Scratch Data'!$A$5:$A$22,1)))/MAX(INDEX('Scratch Data'!$A$5:$A$22,MIN(MATCH($H64,'Scratch Data'!$A$5:$A$22,1)+1,ROWS('Scratch Data'!$A$5:$A$22)))-INDEX('Scratch Data'!$A$5:$A$22,MATCH($H64,'Scratch Data'!$A$5:$A$22,1)),0.0001))</f>
        <v>2.3498</v>
      </c>
    </row>
    <row r="65" customFormat="false" ht="15" hidden="false" customHeight="false" outlineLevel="0" collapsed="false">
      <c r="A65" s="7" t="n">
        <v>315</v>
      </c>
      <c r="B65" s="10" t="n">
        <f aca="false">IF($A65&lt;=50,(INDEX('Scratch Data'!$M$5:$M$12,MATCH($A65,'Scratch Data'!$L$5:$L$12,1))+($A65-INDEX('Scratch Data'!$L$5:$L$12,MATCH($A65,'Scratch Data'!$L$5:$L$12,1)))*(INDEX('Scratch Data'!$M$5:$M$12,MIN(MATCH($A65,'Scratch Data'!$L$5:$L$12,1)+1,ROWS('Scratch Data'!$L$5:$L$12)))-INDEX('Scratch Data'!$M$5:$M$12,MATCH($A65,'Scratch Data'!$L$5:$L$12,1)))/MAX(INDEX('Scratch Data'!$L$5:$L$12,MIN(MATCH($A65,'Scratch Data'!$L$5:$L$12,1)+1,ROWS('Scratch Data'!$L$5:$L$12)))-INDEX('Scratch Data'!$L$5:$L$12,MATCH($A65,'Scratch Data'!$L$5:$L$12,1)),0.0001)),IF($A65&lt;=250,MIN((1+(INDEX('Scratch Data'!$H$5:$H$13,MATCH($A65,'Scratch Data'!$G$5:$G$13,1))+($A65-INDEX('Scratch Data'!$G$5:$G$13,MATCH($A65,'Scratch Data'!$G$5:$G$13,1)))*(INDEX('Scratch Data'!$H$5:$H$13,MIN(MATCH($A65,'Scratch Data'!$G$5:$G$13,1)+1,ROWS('Scratch Data'!$G$5:$G$13)))-INDEX('Scratch Data'!$H$5:$H$13,MATCH($A65,'Scratch Data'!$G$5:$G$13,1)))/MAX(INDEX('Scratch Data'!$G$5:$G$13,MIN(MATCH($A65,'Scratch Data'!$G$5:$G$13,1)+1,ROWS('Scratch Data'!$G$5:$G$13)))-INDEX('Scratch Data'!$G$5:$G$13,MATCH($A65,'Scratch Data'!$G$5:$G$13,1)),0.0001))*INDEX(Baseline!$I$3:$I$102,MIN(MAX(ROUND(Inputs!$B$11*(INDEX('Scratch Data'!$I$5:$I$13,MATCH($A65,'Scratch Data'!$G$5:$G$13,1))+($A65-INDEX('Scratch Data'!$G$5:$G$13,MATCH($A65,'Scratch Data'!$G$5:$G$13,1)))*(INDEX('Scratch Data'!$I$5:$I$13,MIN(MATCH($A65,'Scratch Data'!$G$5:$G$13,1)+1,ROWS('Scratch Data'!$G$5:$G$13)))-INDEX('Scratch Data'!$I$5:$I$13,MATCH($A65,'Scratch Data'!$G$5:$G$13,1)))/MAX(INDEX('Scratch Data'!$G$5:$G$13,MIN(MATCH($A65,'Scratch Data'!$G$5:$G$13,1)+1,ROWS('Scratch Data'!$G$5:$G$13)))-INDEX('Scratch Data'!$G$5:$G$13,MATCH($A65,'Scratch Data'!$G$5:$G$13,1)),0.0001)),0),1),100))+(1-(INDEX('Scratch Data'!$H$5:$H$13,MATCH($A65,'Scratch Data'!$G$5:$G$13,1))+($A65-INDEX('Scratch Data'!$G$5:$G$13,MATCH($A65,'Scratch Data'!$G$5:$G$13,1)))*(INDEX('Scratch Data'!$H$5:$H$13,MIN(MATCH($A65,'Scratch Data'!$G$5:$G$13,1)+1,ROWS('Scratch Data'!$G$5:$G$13)))-INDEX('Scratch Data'!$H$5:$H$13,MATCH($A65,'Scratch Data'!$G$5:$G$13,1)))/MAX(INDEX('Scratch Data'!$G$5:$G$13,MIN(MATCH($A65,'Scratch Data'!$G$5:$G$13,1)+1,ROWS('Scratch Data'!$G$5:$G$13)))-INDEX('Scratch Data'!$G$5:$G$13,MATCH($A65,'Scratch Data'!$G$5:$G$13,1)),0.0001)))*(INDEX('Scratch Data'!$J$5:$J$13,MATCH($A65,'Scratch Data'!$G$5:$G$13,1))+($A65-INDEX('Scratch Data'!$G$5:$G$13,MATCH($A65,'Scratch Data'!$G$5:$G$13,1)))*(INDEX('Scratch Data'!$J$5:$J$13,MIN(MATCH($A65,'Scratch Data'!$G$5:$G$13,1)+1,ROWS('Scratch Data'!$G$5:$G$13)))-INDEX('Scratch Data'!$J$5:$J$13,MATCH($A65,'Scratch Data'!$G$5:$G$13,1)))/MAX(INDEX('Scratch Data'!$G$5:$G$13,MIN(MATCH($A65,'Scratch Data'!$G$5:$G$13,1)+1,ROWS('Scratch Data'!$G$5:$G$13)))-INDEX('Scratch Data'!$G$5:$G$13,MATCH($A65,'Scratch Data'!$G$5:$G$13,1)),0.0001))),(1+Inputs!$B$19*INDEX(Baseline!$B$3:$B$122,MATCH(MIN(MAX(ROUND((MAX($A65-Inputs!$B$20,30))/5,0)*5,5),600),Baseline!$A$3:$A$122,0))+(1-Inputs!$B$19)*INDEX(Baseline!$C$3:$C$122,MATCH(MIN(MAX(ROUND((MAX($A65-Inputs!$B$20,30))/5,0)*5,5),600),Baseline!$A$3:$A$122,0)))),(1+Inputs!$B$19*INDEX(Baseline!$B$3:$B$122,MATCH(MIN(MAX(ROUND((MAX($A65-Inputs!$B$20,30))/5,0)*5,5),600),Baseline!$A$3:$A$122,0))+(1-Inputs!$B$19)*INDEX(Baseline!$C$3:$C$122,MATCH(MIN(MAX(ROUND((MAX($A65-Inputs!$B$20,30))/5,0)*5,5),600),Baseline!$A$3:$A$122,0)))))</f>
        <v>4.05946358933333</v>
      </c>
      <c r="C65" s="10" t="n">
        <f aca="false">IF($A65&lt;=50,$B65+Inputs!$B$18,IF($A65&lt;=250,MIN((1+(INDEX('Scratch Data'!$H$5:$H$13,MATCH($A65,'Scratch Data'!$G$5:$G$13,1))+($A65-INDEX('Scratch Data'!$G$5:$G$13,MATCH($A65,'Scratch Data'!$G$5:$G$13,1)))*(INDEX('Scratch Data'!$H$5:$H$13,MIN(MATCH($A65,'Scratch Data'!$G$5:$G$13,1)+1,ROWS('Scratch Data'!$G$5:$G$13)))-INDEX('Scratch Data'!$H$5:$H$13,MATCH($A65,'Scratch Data'!$G$5:$G$13,1)))/MAX(INDEX('Scratch Data'!$G$5:$G$13,MIN(MATCH($A65,'Scratch Data'!$G$5:$G$13,1)+1,ROWS('Scratch Data'!$G$5:$G$13)))-INDEX('Scratch Data'!$G$5:$G$13,MATCH($A65,'Scratch Data'!$G$5:$G$13,1)),0.0001))*Inputs!$B$12*INDEX(Baseline!$I$3:$I$102,MIN(MAX(ROUND(Inputs!$B$11*(INDEX('Scratch Data'!$I$5:$I$13,MATCH($A65,'Scratch Data'!$G$5:$G$13,1))+($A65-INDEX('Scratch Data'!$G$5:$G$13,MATCH($A65,'Scratch Data'!$G$5:$G$13,1)))*(INDEX('Scratch Data'!$I$5:$I$13,MIN(MATCH($A65,'Scratch Data'!$G$5:$G$13,1)+1,ROWS('Scratch Data'!$G$5:$G$13)))-INDEX('Scratch Data'!$I$5:$I$13,MATCH($A65,'Scratch Data'!$G$5:$G$13,1)))/MAX(INDEX('Scratch Data'!$G$5:$G$13,MIN(MATCH($A65,'Scratch Data'!$G$5:$G$13,1)+1,ROWS('Scratch Data'!$G$5:$G$13)))-INDEX('Scratch Data'!$G$5:$G$13,MATCH($A65,'Scratch Data'!$G$5:$G$13,1)),0.0001))*Inputs!$B$13,0),1),100))+(1-(INDEX('Scratch Data'!$H$5:$H$13,MATCH($A65,'Scratch Data'!$G$5:$G$13,1))+($A65-INDEX('Scratch Data'!$G$5:$G$13,MATCH($A65,'Scratch Data'!$G$5:$G$13,1)))*(INDEX('Scratch Data'!$H$5:$H$13,MIN(MATCH($A65,'Scratch Data'!$G$5:$G$13,1)+1,ROWS('Scratch Data'!$G$5:$G$13)))-INDEX('Scratch Data'!$H$5:$H$13,MATCH($A65,'Scratch Data'!$G$5:$G$13,1)))/MAX(INDEX('Scratch Data'!$G$5:$G$13,MIN(MATCH($A65,'Scratch Data'!$G$5:$G$13,1)+1,ROWS('Scratch Data'!$G$5:$G$13)))-INDEX('Scratch Data'!$G$5:$G$13,MATCH($A65,'Scratch Data'!$G$5:$G$13,1)),0.0001))*Inputs!$B$12)*((INDEX('Scratch Data'!$J$5:$J$13,MATCH($A65,'Scratch Data'!$G$5:$G$13,1))+($A65-INDEX('Scratch Data'!$G$5:$G$13,MATCH($A65,'Scratch Data'!$G$5:$G$13,1)))*(INDEX('Scratch Data'!$J$5:$J$13,MIN(MATCH($A65,'Scratch Data'!$G$5:$G$13,1)+1,ROWS('Scratch Data'!$G$5:$G$13)))-INDEX('Scratch Data'!$J$5:$J$13,MATCH($A65,'Scratch Data'!$G$5:$G$13,1)))/MAX(INDEX('Scratch Data'!$G$5:$G$13,MIN(MATCH($A65,'Scratch Data'!$G$5:$G$13,1)+1,ROWS('Scratch Data'!$G$5:$G$13)))-INDEX('Scratch Data'!$G$5:$G$13,MATCH($A65,'Scratch Data'!$G$5:$G$13,1)),0.0001))+Inputs!$B$14)),(1+Inputs!$B$19*INDEX(Baseline!$B$3:$B$122,MATCH(MIN(MAX(ROUND((MAX($A65-Inputs!$B$21,30))/5,0)*5,5),600),Baseline!$A$3:$A$122,0))+(1-Inputs!$B$19)*INDEX(Baseline!$C$3:$C$122,MATCH(MIN(MAX(ROUND((MAX($A65-Inputs!$B$21,30))/5,0)*5,5),600),Baseline!$A$3:$A$122,0))+Inputs!$B$14)),(1+Inputs!$B$19*INDEX(Baseline!$B$3:$B$122,MATCH(MIN(MAX(ROUND((MAX($A65-Inputs!$B$21,30))/5,0)*5,5),600),Baseline!$A$3:$A$122,0))+(1-Inputs!$B$19)*INDEX(Baseline!$C$3:$C$122,MATCH(MIN(MAX(ROUND((MAX($A65-Inputs!$B$21,30))/5,0)*5,5),600),Baseline!$A$3:$A$122,0))+Inputs!$B$14)))</f>
        <v>4.28204432</v>
      </c>
      <c r="D65" s="10" t="n">
        <f aca="false">IF($A65&lt;=50,(INDEX('Scratch Data'!$P$5:$P$11,MATCH($A65,'Scratch Data'!$O$5:$O$11,1))+($A65-INDEX('Scratch Data'!$O$5:$O$11,MATCH($A65,'Scratch Data'!$O$5:$O$11,1)))*(INDEX('Scratch Data'!$P$5:$P$11,MIN(MATCH($A65,'Scratch Data'!$O$5:$O$11,1)+1,ROWS('Scratch Data'!$O$5:$O$11)))-INDEX('Scratch Data'!$P$5:$P$11,MATCH($A65,'Scratch Data'!$O$5:$O$11,1)))/MAX(INDEX('Scratch Data'!$O$5:$O$11,MIN(MATCH($A65,'Scratch Data'!$O$5:$O$11,1)+1,ROWS('Scratch Data'!$O$5:$O$11)))-INDEX('Scratch Data'!$O$5:$O$11,MATCH($A65,'Scratch Data'!$O$5:$O$11,1)),0.0001)),IF($A65&lt;=250,MIN((1+(INDEX('Scratch Data'!$H$5:$H$13,MATCH($A65,'Scratch Data'!$G$5:$G$13,1))+($A65-INDEX('Scratch Data'!$G$5:$G$13,MATCH($A65,'Scratch Data'!$G$5:$G$13,1)))*(INDEX('Scratch Data'!$H$5:$H$13,MIN(MATCH($A65,'Scratch Data'!$G$5:$G$13,1)+1,ROWS('Scratch Data'!$G$5:$G$13)))-INDEX('Scratch Data'!$H$5:$H$13,MATCH($A65,'Scratch Data'!$G$5:$G$13,1)))/MAX(INDEX('Scratch Data'!$G$5:$G$13,MIN(MATCH($A65,'Scratch Data'!$G$5:$G$13,1)+1,ROWS('Scratch Data'!$G$5:$G$13)))-INDEX('Scratch Data'!$G$5:$G$13,MATCH($A65,'Scratch Data'!$G$5:$G$13,1)),0.0001))*Inputs!$B$15*INDEX(Baseline!$I$3:$I$102,MIN(MAX(ROUND(Inputs!$B$11*(INDEX('Scratch Data'!$I$5:$I$13,MATCH($A65,'Scratch Data'!$G$5:$G$13,1))+($A65-INDEX('Scratch Data'!$G$5:$G$13,MATCH($A65,'Scratch Data'!$G$5:$G$13,1)))*(INDEX('Scratch Data'!$I$5:$I$13,MIN(MATCH($A65,'Scratch Data'!$G$5:$G$13,1)+1,ROWS('Scratch Data'!$G$5:$G$13)))-INDEX('Scratch Data'!$I$5:$I$13,MATCH($A65,'Scratch Data'!$G$5:$G$13,1)))/MAX(INDEX('Scratch Data'!$G$5:$G$13,MIN(MATCH($A65,'Scratch Data'!$G$5:$G$13,1)+1,ROWS('Scratch Data'!$G$5:$G$13)))-INDEX('Scratch Data'!$G$5:$G$13,MATCH($A65,'Scratch Data'!$G$5:$G$13,1)),0.0001))*Inputs!$B$16,0),1),100))+(1-(INDEX('Scratch Data'!$H$5:$H$13,MATCH($A65,'Scratch Data'!$G$5:$G$13,1))+($A65-INDEX('Scratch Data'!$G$5:$G$13,MATCH($A65,'Scratch Data'!$G$5:$G$13,1)))*(INDEX('Scratch Data'!$H$5:$H$13,MIN(MATCH($A65,'Scratch Data'!$G$5:$G$13,1)+1,ROWS('Scratch Data'!$G$5:$G$13)))-INDEX('Scratch Data'!$H$5:$H$13,MATCH($A65,'Scratch Data'!$G$5:$G$13,1)))/MAX(INDEX('Scratch Data'!$G$5:$G$13,MIN(MATCH($A65,'Scratch Data'!$G$5:$G$13,1)+1,ROWS('Scratch Data'!$G$5:$G$13)))-INDEX('Scratch Data'!$G$5:$G$13,MATCH($A65,'Scratch Data'!$G$5:$G$13,1)),0.0001))*Inputs!$B$15)*((INDEX('Scratch Data'!$J$5:$J$13,MATCH($A65,'Scratch Data'!$G$5:$G$13,1))+($A65-INDEX('Scratch Data'!$G$5:$G$13,MATCH($A65,'Scratch Data'!$G$5:$G$13,1)))*(INDEX('Scratch Data'!$J$5:$J$13,MIN(MATCH($A65,'Scratch Data'!$G$5:$G$13,1)+1,ROWS('Scratch Data'!$G$5:$G$13)))-INDEX('Scratch Data'!$J$5:$J$13,MATCH($A65,'Scratch Data'!$G$5:$G$13,1)))/MAX(INDEX('Scratch Data'!$G$5:$G$13,MIN(MATCH($A65,'Scratch Data'!$G$5:$G$13,1)+1,ROWS('Scratch Data'!$G$5:$G$13)))-INDEX('Scratch Data'!$G$5:$G$13,MATCH($A65,'Scratch Data'!$G$5:$G$13,1)),0.0001))+Inputs!$B$17)),(1+Inputs!$B$19*INDEX(Baseline!$B$3:$B$122,MATCH(MIN(MAX(ROUND((MAX($A65-Inputs!$B$22,30))/5,0)*5,5),600),Baseline!$A$3:$A$122,0))+(1-Inputs!$B$19)*INDEX(Baseline!$C$3:$C$122,MATCH(MIN(MAX(ROUND((MAX($A65-Inputs!$B$22,30))/5,0)*5,5),600),Baseline!$A$3:$A$122,0))+Inputs!$B$17)),(1+Inputs!$B$19*INDEX(Baseline!$B$3:$B$122,MATCH(MIN(MAX(ROUND((MAX($A65-Inputs!$B$22,30))/5,0)*5,5),600),Baseline!$A$3:$A$122,0))+(1-Inputs!$B$19)*INDEX(Baseline!$C$3:$C$122,MATCH(MIN(MAX(ROUND((MAX($A65-Inputs!$B$22,30))/5,0)*5,5),600),Baseline!$A$3:$A$122,0))+Inputs!$B$17)))</f>
        <v>4.46010032</v>
      </c>
      <c r="E65" s="10" t="n">
        <f aca="false">1+Inputs!$B$24+0.6*INDEX(Baseline!$B$3:$B$122,MATCH(MIN(MAX(ROUND((MAX($A65-Inputs!$B$23,15))/5,0)*5,5),600),Baseline!$A$3:$A$122,0))+0.4*INDEX(Baseline!$C$3:$C$122,MATCH(MIN(MAX(ROUND((MAX($A65-Inputs!$B$23,15))/5,0)*5,5),600),Baseline!$A$3:$A$122,0))</f>
        <v>4.69846816</v>
      </c>
      <c r="H65" s="7" t="n">
        <v>63</v>
      </c>
      <c r="I65" s="10" t="n">
        <f aca="false">(INDEX('Scratch Data'!$E$5:$E$22,MATCH($H65,'Scratch Data'!$A$5:$A$22,1))+($H65-INDEX('Scratch Data'!$A$5:$A$22,MATCH($H65,'Scratch Data'!$A$5:$A$22,1)))*(INDEX('Scratch Data'!$E$5:$E$22,MIN(MATCH($H65,'Scratch Data'!$A$5:$A$22,1)+1,ROWS('Scratch Data'!$A$5:$A$22)))-INDEX('Scratch Data'!$E$5:$E$22,MATCH($H65,'Scratch Data'!$A$5:$A$22,1)))/MAX(INDEX('Scratch Data'!$A$5:$A$22,MIN(MATCH($H65,'Scratch Data'!$A$5:$A$22,1)+1,ROWS('Scratch Data'!$A$5:$A$22)))-INDEX('Scratch Data'!$A$5:$A$22,MATCH($H65,'Scratch Data'!$A$5:$A$22,1)),0.0001))</f>
        <v>2.3562</v>
      </c>
    </row>
    <row r="66" customFormat="false" ht="15" hidden="false" customHeight="false" outlineLevel="0" collapsed="false">
      <c r="A66" s="7" t="n">
        <v>320</v>
      </c>
      <c r="B66" s="10" t="n">
        <f aca="false">IF($A66&lt;=50,(INDEX('Scratch Data'!$M$5:$M$12,MATCH($A66,'Scratch Data'!$L$5:$L$12,1))+($A66-INDEX('Scratch Data'!$L$5:$L$12,MATCH($A66,'Scratch Data'!$L$5:$L$12,1)))*(INDEX('Scratch Data'!$M$5:$M$12,MIN(MATCH($A66,'Scratch Data'!$L$5:$L$12,1)+1,ROWS('Scratch Data'!$L$5:$L$12)))-INDEX('Scratch Data'!$M$5:$M$12,MATCH($A66,'Scratch Data'!$L$5:$L$12,1)))/MAX(INDEX('Scratch Data'!$L$5:$L$12,MIN(MATCH($A66,'Scratch Data'!$L$5:$L$12,1)+1,ROWS('Scratch Data'!$L$5:$L$12)))-INDEX('Scratch Data'!$L$5:$L$12,MATCH($A66,'Scratch Data'!$L$5:$L$12,1)),0.0001)),IF($A66&lt;=250,MIN((1+(INDEX('Scratch Data'!$H$5:$H$13,MATCH($A66,'Scratch Data'!$G$5:$G$13,1))+($A66-INDEX('Scratch Data'!$G$5:$G$13,MATCH($A66,'Scratch Data'!$G$5:$G$13,1)))*(INDEX('Scratch Data'!$H$5:$H$13,MIN(MATCH($A66,'Scratch Data'!$G$5:$G$13,1)+1,ROWS('Scratch Data'!$G$5:$G$13)))-INDEX('Scratch Data'!$H$5:$H$13,MATCH($A66,'Scratch Data'!$G$5:$G$13,1)))/MAX(INDEX('Scratch Data'!$G$5:$G$13,MIN(MATCH($A66,'Scratch Data'!$G$5:$G$13,1)+1,ROWS('Scratch Data'!$G$5:$G$13)))-INDEX('Scratch Data'!$G$5:$G$13,MATCH($A66,'Scratch Data'!$G$5:$G$13,1)),0.0001))*INDEX(Baseline!$I$3:$I$102,MIN(MAX(ROUND(Inputs!$B$11*(INDEX('Scratch Data'!$I$5:$I$13,MATCH($A66,'Scratch Data'!$G$5:$G$13,1))+($A66-INDEX('Scratch Data'!$G$5:$G$13,MATCH($A66,'Scratch Data'!$G$5:$G$13,1)))*(INDEX('Scratch Data'!$I$5:$I$13,MIN(MATCH($A66,'Scratch Data'!$G$5:$G$13,1)+1,ROWS('Scratch Data'!$G$5:$G$13)))-INDEX('Scratch Data'!$I$5:$I$13,MATCH($A66,'Scratch Data'!$G$5:$G$13,1)))/MAX(INDEX('Scratch Data'!$G$5:$G$13,MIN(MATCH($A66,'Scratch Data'!$G$5:$G$13,1)+1,ROWS('Scratch Data'!$G$5:$G$13)))-INDEX('Scratch Data'!$G$5:$G$13,MATCH($A66,'Scratch Data'!$G$5:$G$13,1)),0.0001)),0),1),100))+(1-(INDEX('Scratch Data'!$H$5:$H$13,MATCH($A66,'Scratch Data'!$G$5:$G$13,1))+($A66-INDEX('Scratch Data'!$G$5:$G$13,MATCH($A66,'Scratch Data'!$G$5:$G$13,1)))*(INDEX('Scratch Data'!$H$5:$H$13,MIN(MATCH($A66,'Scratch Data'!$G$5:$G$13,1)+1,ROWS('Scratch Data'!$G$5:$G$13)))-INDEX('Scratch Data'!$H$5:$H$13,MATCH($A66,'Scratch Data'!$G$5:$G$13,1)))/MAX(INDEX('Scratch Data'!$G$5:$G$13,MIN(MATCH($A66,'Scratch Data'!$G$5:$G$13,1)+1,ROWS('Scratch Data'!$G$5:$G$13)))-INDEX('Scratch Data'!$G$5:$G$13,MATCH($A66,'Scratch Data'!$G$5:$G$13,1)),0.0001)))*(INDEX('Scratch Data'!$J$5:$J$13,MATCH($A66,'Scratch Data'!$G$5:$G$13,1))+($A66-INDEX('Scratch Data'!$G$5:$G$13,MATCH($A66,'Scratch Data'!$G$5:$G$13,1)))*(INDEX('Scratch Data'!$J$5:$J$13,MIN(MATCH($A66,'Scratch Data'!$G$5:$G$13,1)+1,ROWS('Scratch Data'!$G$5:$G$13)))-INDEX('Scratch Data'!$J$5:$J$13,MATCH($A66,'Scratch Data'!$G$5:$G$13,1)))/MAX(INDEX('Scratch Data'!$G$5:$G$13,MIN(MATCH($A66,'Scratch Data'!$G$5:$G$13,1)+1,ROWS('Scratch Data'!$G$5:$G$13)))-INDEX('Scratch Data'!$G$5:$G$13,MATCH($A66,'Scratch Data'!$G$5:$G$13,1)),0.0001))),(1+Inputs!$B$19*INDEX(Baseline!$B$3:$B$122,MATCH(MIN(MAX(ROUND((MAX($A66-Inputs!$B$20,30))/5,0)*5,5),600),Baseline!$A$3:$A$122,0))+(1-Inputs!$B$19)*INDEX(Baseline!$C$3:$C$122,MATCH(MIN(MAX(ROUND((MAX($A66-Inputs!$B$20,30))/5,0)*5,5),600),Baseline!$A$3:$A$122,0)))),(1+Inputs!$B$19*INDEX(Baseline!$B$3:$B$122,MATCH(MIN(MAX(ROUND((MAX($A66-Inputs!$B$20,30))/5,0)*5,5),600),Baseline!$A$3:$A$122,0))+(1-Inputs!$B$19)*INDEX(Baseline!$C$3:$C$122,MATCH(MIN(MAX(ROUND((MAX($A66-Inputs!$B$20,30))/5,0)*5,5),600),Baseline!$A$3:$A$122,0)))))</f>
        <v>4.08301152</v>
      </c>
      <c r="C66" s="10" t="n">
        <f aca="false">IF($A66&lt;=50,$B66+Inputs!$B$18,IF($A66&lt;=250,MIN((1+(INDEX('Scratch Data'!$H$5:$H$13,MATCH($A66,'Scratch Data'!$G$5:$G$13,1))+($A66-INDEX('Scratch Data'!$G$5:$G$13,MATCH($A66,'Scratch Data'!$G$5:$G$13,1)))*(INDEX('Scratch Data'!$H$5:$H$13,MIN(MATCH($A66,'Scratch Data'!$G$5:$G$13,1)+1,ROWS('Scratch Data'!$G$5:$G$13)))-INDEX('Scratch Data'!$H$5:$H$13,MATCH($A66,'Scratch Data'!$G$5:$G$13,1)))/MAX(INDEX('Scratch Data'!$G$5:$G$13,MIN(MATCH($A66,'Scratch Data'!$G$5:$G$13,1)+1,ROWS('Scratch Data'!$G$5:$G$13)))-INDEX('Scratch Data'!$G$5:$G$13,MATCH($A66,'Scratch Data'!$G$5:$G$13,1)),0.0001))*Inputs!$B$12*INDEX(Baseline!$I$3:$I$102,MIN(MAX(ROUND(Inputs!$B$11*(INDEX('Scratch Data'!$I$5:$I$13,MATCH($A66,'Scratch Data'!$G$5:$G$13,1))+($A66-INDEX('Scratch Data'!$G$5:$G$13,MATCH($A66,'Scratch Data'!$G$5:$G$13,1)))*(INDEX('Scratch Data'!$I$5:$I$13,MIN(MATCH($A66,'Scratch Data'!$G$5:$G$13,1)+1,ROWS('Scratch Data'!$G$5:$G$13)))-INDEX('Scratch Data'!$I$5:$I$13,MATCH($A66,'Scratch Data'!$G$5:$G$13,1)))/MAX(INDEX('Scratch Data'!$G$5:$G$13,MIN(MATCH($A66,'Scratch Data'!$G$5:$G$13,1)+1,ROWS('Scratch Data'!$G$5:$G$13)))-INDEX('Scratch Data'!$G$5:$G$13,MATCH($A66,'Scratch Data'!$G$5:$G$13,1)),0.0001))*Inputs!$B$13,0),1),100))+(1-(INDEX('Scratch Data'!$H$5:$H$13,MATCH($A66,'Scratch Data'!$G$5:$G$13,1))+($A66-INDEX('Scratch Data'!$G$5:$G$13,MATCH($A66,'Scratch Data'!$G$5:$G$13,1)))*(INDEX('Scratch Data'!$H$5:$H$13,MIN(MATCH($A66,'Scratch Data'!$G$5:$G$13,1)+1,ROWS('Scratch Data'!$G$5:$G$13)))-INDEX('Scratch Data'!$H$5:$H$13,MATCH($A66,'Scratch Data'!$G$5:$G$13,1)))/MAX(INDEX('Scratch Data'!$G$5:$G$13,MIN(MATCH($A66,'Scratch Data'!$G$5:$G$13,1)+1,ROWS('Scratch Data'!$G$5:$G$13)))-INDEX('Scratch Data'!$G$5:$G$13,MATCH($A66,'Scratch Data'!$G$5:$G$13,1)),0.0001))*Inputs!$B$12)*((INDEX('Scratch Data'!$J$5:$J$13,MATCH($A66,'Scratch Data'!$G$5:$G$13,1))+($A66-INDEX('Scratch Data'!$G$5:$G$13,MATCH($A66,'Scratch Data'!$G$5:$G$13,1)))*(INDEX('Scratch Data'!$J$5:$J$13,MIN(MATCH($A66,'Scratch Data'!$G$5:$G$13,1)+1,ROWS('Scratch Data'!$G$5:$G$13)))-INDEX('Scratch Data'!$J$5:$J$13,MATCH($A66,'Scratch Data'!$G$5:$G$13,1)))/MAX(INDEX('Scratch Data'!$G$5:$G$13,MIN(MATCH($A66,'Scratch Data'!$G$5:$G$13,1)+1,ROWS('Scratch Data'!$G$5:$G$13)))-INDEX('Scratch Data'!$G$5:$G$13,MATCH($A66,'Scratch Data'!$G$5:$G$13,1)),0.0001))+Inputs!$B$14)),(1+Inputs!$B$19*INDEX(Baseline!$B$3:$B$122,MATCH(MIN(MAX(ROUND((MAX($A66-Inputs!$B$21,30))/5,0)*5,5),600),Baseline!$A$3:$A$122,0))+(1-Inputs!$B$19)*INDEX(Baseline!$C$3:$C$122,MATCH(MIN(MAX(ROUND((MAX($A66-Inputs!$B$21,30))/5,0)*5,5),600),Baseline!$A$3:$A$122,0))+Inputs!$B$14)),(1+Inputs!$B$19*INDEX(Baseline!$B$3:$B$122,MATCH(MIN(MAX(ROUND((MAX($A66-Inputs!$B$21,30))/5,0)*5,5),600),Baseline!$A$3:$A$122,0))+(1-Inputs!$B$19)*INDEX(Baseline!$C$3:$C$122,MATCH(MIN(MAX(ROUND((MAX($A66-Inputs!$B$21,30))/5,0)*5,5),600),Baseline!$A$3:$A$122,0))+Inputs!$B$14)))</f>
        <v>4.297690144</v>
      </c>
      <c r="D66" s="10" t="n">
        <f aca="false">IF($A66&lt;=50,(INDEX('Scratch Data'!$P$5:$P$11,MATCH($A66,'Scratch Data'!$O$5:$O$11,1))+($A66-INDEX('Scratch Data'!$O$5:$O$11,MATCH($A66,'Scratch Data'!$O$5:$O$11,1)))*(INDEX('Scratch Data'!$P$5:$P$11,MIN(MATCH($A66,'Scratch Data'!$O$5:$O$11,1)+1,ROWS('Scratch Data'!$O$5:$O$11)))-INDEX('Scratch Data'!$P$5:$P$11,MATCH($A66,'Scratch Data'!$O$5:$O$11,1)))/MAX(INDEX('Scratch Data'!$O$5:$O$11,MIN(MATCH($A66,'Scratch Data'!$O$5:$O$11,1)+1,ROWS('Scratch Data'!$O$5:$O$11)))-INDEX('Scratch Data'!$O$5:$O$11,MATCH($A66,'Scratch Data'!$O$5:$O$11,1)),0.0001)),IF($A66&lt;=250,MIN((1+(INDEX('Scratch Data'!$H$5:$H$13,MATCH($A66,'Scratch Data'!$G$5:$G$13,1))+($A66-INDEX('Scratch Data'!$G$5:$G$13,MATCH($A66,'Scratch Data'!$G$5:$G$13,1)))*(INDEX('Scratch Data'!$H$5:$H$13,MIN(MATCH($A66,'Scratch Data'!$G$5:$G$13,1)+1,ROWS('Scratch Data'!$G$5:$G$13)))-INDEX('Scratch Data'!$H$5:$H$13,MATCH($A66,'Scratch Data'!$G$5:$G$13,1)))/MAX(INDEX('Scratch Data'!$G$5:$G$13,MIN(MATCH($A66,'Scratch Data'!$G$5:$G$13,1)+1,ROWS('Scratch Data'!$G$5:$G$13)))-INDEX('Scratch Data'!$G$5:$G$13,MATCH($A66,'Scratch Data'!$G$5:$G$13,1)),0.0001))*Inputs!$B$15*INDEX(Baseline!$I$3:$I$102,MIN(MAX(ROUND(Inputs!$B$11*(INDEX('Scratch Data'!$I$5:$I$13,MATCH($A66,'Scratch Data'!$G$5:$G$13,1))+($A66-INDEX('Scratch Data'!$G$5:$G$13,MATCH($A66,'Scratch Data'!$G$5:$G$13,1)))*(INDEX('Scratch Data'!$I$5:$I$13,MIN(MATCH($A66,'Scratch Data'!$G$5:$G$13,1)+1,ROWS('Scratch Data'!$G$5:$G$13)))-INDEX('Scratch Data'!$I$5:$I$13,MATCH($A66,'Scratch Data'!$G$5:$G$13,1)))/MAX(INDEX('Scratch Data'!$G$5:$G$13,MIN(MATCH($A66,'Scratch Data'!$G$5:$G$13,1)+1,ROWS('Scratch Data'!$G$5:$G$13)))-INDEX('Scratch Data'!$G$5:$G$13,MATCH($A66,'Scratch Data'!$G$5:$G$13,1)),0.0001))*Inputs!$B$16,0),1),100))+(1-(INDEX('Scratch Data'!$H$5:$H$13,MATCH($A66,'Scratch Data'!$G$5:$G$13,1))+($A66-INDEX('Scratch Data'!$G$5:$G$13,MATCH($A66,'Scratch Data'!$G$5:$G$13,1)))*(INDEX('Scratch Data'!$H$5:$H$13,MIN(MATCH($A66,'Scratch Data'!$G$5:$G$13,1)+1,ROWS('Scratch Data'!$G$5:$G$13)))-INDEX('Scratch Data'!$H$5:$H$13,MATCH($A66,'Scratch Data'!$G$5:$G$13,1)))/MAX(INDEX('Scratch Data'!$G$5:$G$13,MIN(MATCH($A66,'Scratch Data'!$G$5:$G$13,1)+1,ROWS('Scratch Data'!$G$5:$G$13)))-INDEX('Scratch Data'!$G$5:$G$13,MATCH($A66,'Scratch Data'!$G$5:$G$13,1)),0.0001))*Inputs!$B$15)*((INDEX('Scratch Data'!$J$5:$J$13,MATCH($A66,'Scratch Data'!$G$5:$G$13,1))+($A66-INDEX('Scratch Data'!$G$5:$G$13,MATCH($A66,'Scratch Data'!$G$5:$G$13,1)))*(INDEX('Scratch Data'!$J$5:$J$13,MIN(MATCH($A66,'Scratch Data'!$G$5:$G$13,1)+1,ROWS('Scratch Data'!$G$5:$G$13)))-INDEX('Scratch Data'!$J$5:$J$13,MATCH($A66,'Scratch Data'!$G$5:$G$13,1)))/MAX(INDEX('Scratch Data'!$G$5:$G$13,MIN(MATCH($A66,'Scratch Data'!$G$5:$G$13,1)+1,ROWS('Scratch Data'!$G$5:$G$13)))-INDEX('Scratch Data'!$G$5:$G$13,MATCH($A66,'Scratch Data'!$G$5:$G$13,1)),0.0001))+Inputs!$B$17)),(1+Inputs!$B$19*INDEX(Baseline!$B$3:$B$122,MATCH(MIN(MAX(ROUND((MAX($A66-Inputs!$B$22,30))/5,0)*5,5),600),Baseline!$A$3:$A$122,0))+(1-Inputs!$B$19)*INDEX(Baseline!$C$3:$C$122,MATCH(MIN(MAX(ROUND((MAX($A66-Inputs!$B$22,30))/5,0)*5,5),600),Baseline!$A$3:$A$122,0))+Inputs!$B$17)),(1+Inputs!$B$19*INDEX(Baseline!$B$3:$B$122,MATCH(MIN(MAX(ROUND((MAX($A66-Inputs!$B$22,30))/5,0)*5,5),600),Baseline!$A$3:$A$122,0))+(1-Inputs!$B$19)*INDEX(Baseline!$C$3:$C$122,MATCH(MIN(MAX(ROUND((MAX($A66-Inputs!$B$22,30))/5,0)*5,5),600),Baseline!$A$3:$A$122,0))+Inputs!$B$17)))</f>
        <v>4.4819754</v>
      </c>
      <c r="E66" s="10" t="n">
        <f aca="false">1+Inputs!$B$24+0.6*INDEX(Baseline!$B$3:$B$122,MATCH(MIN(MAX(ROUND((MAX($A66-Inputs!$B$23,15))/5,0)*5,5),600),Baseline!$A$3:$A$122,0))+0.4*INDEX(Baseline!$C$3:$C$122,MATCH(MIN(MAX(ROUND((MAX($A66-Inputs!$B$23,15))/5,0)*5,5),600),Baseline!$A$3:$A$122,0))</f>
        <v>4.722708</v>
      </c>
      <c r="H66" s="7" t="n">
        <v>64</v>
      </c>
      <c r="I66" s="10" t="n">
        <f aca="false">(INDEX('Scratch Data'!$E$5:$E$22,MATCH($H66,'Scratch Data'!$A$5:$A$22,1))+($H66-INDEX('Scratch Data'!$A$5:$A$22,MATCH($H66,'Scratch Data'!$A$5:$A$22,1)))*(INDEX('Scratch Data'!$E$5:$E$22,MIN(MATCH($H66,'Scratch Data'!$A$5:$A$22,1)+1,ROWS('Scratch Data'!$A$5:$A$22)))-INDEX('Scratch Data'!$E$5:$E$22,MATCH($H66,'Scratch Data'!$A$5:$A$22,1)))/MAX(INDEX('Scratch Data'!$A$5:$A$22,MIN(MATCH($H66,'Scratch Data'!$A$5:$A$22,1)+1,ROWS('Scratch Data'!$A$5:$A$22)))-INDEX('Scratch Data'!$A$5:$A$22,MATCH($H66,'Scratch Data'!$A$5:$A$22,1)),0.0001))</f>
        <v>2.3626</v>
      </c>
    </row>
    <row r="67" customFormat="false" ht="15" hidden="false" customHeight="false" outlineLevel="0" collapsed="false">
      <c r="A67" s="7" t="n">
        <v>325</v>
      </c>
      <c r="B67" s="10" t="n">
        <f aca="false">IF($A67&lt;=50,(INDEX('Scratch Data'!$M$5:$M$12,MATCH($A67,'Scratch Data'!$L$5:$L$12,1))+($A67-INDEX('Scratch Data'!$L$5:$L$12,MATCH($A67,'Scratch Data'!$L$5:$L$12,1)))*(INDEX('Scratch Data'!$M$5:$M$12,MIN(MATCH($A67,'Scratch Data'!$L$5:$L$12,1)+1,ROWS('Scratch Data'!$L$5:$L$12)))-INDEX('Scratch Data'!$M$5:$M$12,MATCH($A67,'Scratch Data'!$L$5:$L$12,1)))/MAX(INDEX('Scratch Data'!$L$5:$L$12,MIN(MATCH($A67,'Scratch Data'!$L$5:$L$12,1)+1,ROWS('Scratch Data'!$L$5:$L$12)))-INDEX('Scratch Data'!$L$5:$L$12,MATCH($A67,'Scratch Data'!$L$5:$L$12,1)),0.0001)),IF($A67&lt;=250,MIN((1+(INDEX('Scratch Data'!$H$5:$H$13,MATCH($A67,'Scratch Data'!$G$5:$G$13,1))+($A67-INDEX('Scratch Data'!$G$5:$G$13,MATCH($A67,'Scratch Data'!$G$5:$G$13,1)))*(INDEX('Scratch Data'!$H$5:$H$13,MIN(MATCH($A67,'Scratch Data'!$G$5:$G$13,1)+1,ROWS('Scratch Data'!$G$5:$G$13)))-INDEX('Scratch Data'!$H$5:$H$13,MATCH($A67,'Scratch Data'!$G$5:$G$13,1)))/MAX(INDEX('Scratch Data'!$G$5:$G$13,MIN(MATCH($A67,'Scratch Data'!$G$5:$G$13,1)+1,ROWS('Scratch Data'!$G$5:$G$13)))-INDEX('Scratch Data'!$G$5:$G$13,MATCH($A67,'Scratch Data'!$G$5:$G$13,1)),0.0001))*INDEX(Baseline!$I$3:$I$102,MIN(MAX(ROUND(Inputs!$B$11*(INDEX('Scratch Data'!$I$5:$I$13,MATCH($A67,'Scratch Data'!$G$5:$G$13,1))+($A67-INDEX('Scratch Data'!$G$5:$G$13,MATCH($A67,'Scratch Data'!$G$5:$G$13,1)))*(INDEX('Scratch Data'!$I$5:$I$13,MIN(MATCH($A67,'Scratch Data'!$G$5:$G$13,1)+1,ROWS('Scratch Data'!$G$5:$G$13)))-INDEX('Scratch Data'!$I$5:$I$13,MATCH($A67,'Scratch Data'!$G$5:$G$13,1)))/MAX(INDEX('Scratch Data'!$G$5:$G$13,MIN(MATCH($A67,'Scratch Data'!$G$5:$G$13,1)+1,ROWS('Scratch Data'!$G$5:$G$13)))-INDEX('Scratch Data'!$G$5:$G$13,MATCH($A67,'Scratch Data'!$G$5:$G$13,1)),0.0001)),0),1),100))+(1-(INDEX('Scratch Data'!$H$5:$H$13,MATCH($A67,'Scratch Data'!$G$5:$G$13,1))+($A67-INDEX('Scratch Data'!$G$5:$G$13,MATCH($A67,'Scratch Data'!$G$5:$G$13,1)))*(INDEX('Scratch Data'!$H$5:$H$13,MIN(MATCH($A67,'Scratch Data'!$G$5:$G$13,1)+1,ROWS('Scratch Data'!$G$5:$G$13)))-INDEX('Scratch Data'!$H$5:$H$13,MATCH($A67,'Scratch Data'!$G$5:$G$13,1)))/MAX(INDEX('Scratch Data'!$G$5:$G$13,MIN(MATCH($A67,'Scratch Data'!$G$5:$G$13,1)+1,ROWS('Scratch Data'!$G$5:$G$13)))-INDEX('Scratch Data'!$G$5:$G$13,MATCH($A67,'Scratch Data'!$G$5:$G$13,1)),0.0001)))*(INDEX('Scratch Data'!$J$5:$J$13,MATCH($A67,'Scratch Data'!$G$5:$G$13,1))+($A67-INDEX('Scratch Data'!$G$5:$G$13,MATCH($A67,'Scratch Data'!$G$5:$G$13,1)))*(INDEX('Scratch Data'!$J$5:$J$13,MIN(MATCH($A67,'Scratch Data'!$G$5:$G$13,1)+1,ROWS('Scratch Data'!$G$5:$G$13)))-INDEX('Scratch Data'!$J$5:$J$13,MATCH($A67,'Scratch Data'!$G$5:$G$13,1)))/MAX(INDEX('Scratch Data'!$G$5:$G$13,MIN(MATCH($A67,'Scratch Data'!$G$5:$G$13,1)+1,ROWS('Scratch Data'!$G$5:$G$13)))-INDEX('Scratch Data'!$G$5:$G$13,MATCH($A67,'Scratch Data'!$G$5:$G$13,1)),0.0001))),(1+Inputs!$B$19*INDEX(Baseline!$B$3:$B$122,MATCH(MIN(MAX(ROUND((MAX($A67-Inputs!$B$20,30))/5,0)*5,5),600),Baseline!$A$3:$A$122,0))+(1-Inputs!$B$19)*INDEX(Baseline!$C$3:$C$122,MATCH(MIN(MAX(ROUND((MAX($A67-Inputs!$B$20,30))/5,0)*5,5),600),Baseline!$A$3:$A$122,0)))),(1+Inputs!$B$19*INDEX(Baseline!$B$3:$B$122,MATCH(MIN(MAX(ROUND((MAX($A67-Inputs!$B$20,30))/5,0)*5,5),600),Baseline!$A$3:$A$122,0))+(1-Inputs!$B$19)*INDEX(Baseline!$C$3:$C$122,MATCH(MIN(MAX(ROUND((MAX($A67-Inputs!$B$20,30))/5,0)*5,5),600),Baseline!$A$3:$A$122,0)))))</f>
        <v>4.098019136</v>
      </c>
      <c r="C67" s="10" t="n">
        <f aca="false">IF($A67&lt;=50,$B67+Inputs!$B$18,IF($A67&lt;=250,MIN((1+(INDEX('Scratch Data'!$H$5:$H$13,MATCH($A67,'Scratch Data'!$G$5:$G$13,1))+($A67-INDEX('Scratch Data'!$G$5:$G$13,MATCH($A67,'Scratch Data'!$G$5:$G$13,1)))*(INDEX('Scratch Data'!$H$5:$H$13,MIN(MATCH($A67,'Scratch Data'!$G$5:$G$13,1)+1,ROWS('Scratch Data'!$G$5:$G$13)))-INDEX('Scratch Data'!$H$5:$H$13,MATCH($A67,'Scratch Data'!$G$5:$G$13,1)))/MAX(INDEX('Scratch Data'!$G$5:$G$13,MIN(MATCH($A67,'Scratch Data'!$G$5:$G$13,1)+1,ROWS('Scratch Data'!$G$5:$G$13)))-INDEX('Scratch Data'!$G$5:$G$13,MATCH($A67,'Scratch Data'!$G$5:$G$13,1)),0.0001))*Inputs!$B$12*INDEX(Baseline!$I$3:$I$102,MIN(MAX(ROUND(Inputs!$B$11*(INDEX('Scratch Data'!$I$5:$I$13,MATCH($A67,'Scratch Data'!$G$5:$G$13,1))+($A67-INDEX('Scratch Data'!$G$5:$G$13,MATCH($A67,'Scratch Data'!$G$5:$G$13,1)))*(INDEX('Scratch Data'!$I$5:$I$13,MIN(MATCH($A67,'Scratch Data'!$G$5:$G$13,1)+1,ROWS('Scratch Data'!$G$5:$G$13)))-INDEX('Scratch Data'!$I$5:$I$13,MATCH($A67,'Scratch Data'!$G$5:$G$13,1)))/MAX(INDEX('Scratch Data'!$G$5:$G$13,MIN(MATCH($A67,'Scratch Data'!$G$5:$G$13,1)+1,ROWS('Scratch Data'!$G$5:$G$13)))-INDEX('Scratch Data'!$G$5:$G$13,MATCH($A67,'Scratch Data'!$G$5:$G$13,1)),0.0001))*Inputs!$B$13,0),1),100))+(1-(INDEX('Scratch Data'!$H$5:$H$13,MATCH($A67,'Scratch Data'!$G$5:$G$13,1))+($A67-INDEX('Scratch Data'!$G$5:$G$13,MATCH($A67,'Scratch Data'!$G$5:$G$13,1)))*(INDEX('Scratch Data'!$H$5:$H$13,MIN(MATCH($A67,'Scratch Data'!$G$5:$G$13,1)+1,ROWS('Scratch Data'!$G$5:$G$13)))-INDEX('Scratch Data'!$H$5:$H$13,MATCH($A67,'Scratch Data'!$G$5:$G$13,1)))/MAX(INDEX('Scratch Data'!$G$5:$G$13,MIN(MATCH($A67,'Scratch Data'!$G$5:$G$13,1)+1,ROWS('Scratch Data'!$G$5:$G$13)))-INDEX('Scratch Data'!$G$5:$G$13,MATCH($A67,'Scratch Data'!$G$5:$G$13,1)),0.0001))*Inputs!$B$12)*((INDEX('Scratch Data'!$J$5:$J$13,MATCH($A67,'Scratch Data'!$G$5:$G$13,1))+($A67-INDEX('Scratch Data'!$G$5:$G$13,MATCH($A67,'Scratch Data'!$G$5:$G$13,1)))*(INDEX('Scratch Data'!$J$5:$J$13,MIN(MATCH($A67,'Scratch Data'!$G$5:$G$13,1)+1,ROWS('Scratch Data'!$G$5:$G$13)))-INDEX('Scratch Data'!$J$5:$J$13,MATCH($A67,'Scratch Data'!$G$5:$G$13,1)))/MAX(INDEX('Scratch Data'!$G$5:$G$13,MIN(MATCH($A67,'Scratch Data'!$G$5:$G$13,1)+1,ROWS('Scratch Data'!$G$5:$G$13)))-INDEX('Scratch Data'!$G$5:$G$13,MATCH($A67,'Scratch Data'!$G$5:$G$13,1)),0.0001))+Inputs!$B$14)),(1+Inputs!$B$19*INDEX(Baseline!$B$3:$B$122,MATCH(MIN(MAX(ROUND((MAX($A67-Inputs!$B$21,30))/5,0)*5,5),600),Baseline!$A$3:$A$122,0))+(1-Inputs!$B$19)*INDEX(Baseline!$C$3:$C$122,MATCH(MIN(MAX(ROUND((MAX($A67-Inputs!$B$21,30))/5,0)*5,5),600),Baseline!$A$3:$A$122,0))+Inputs!$B$14)),(1+Inputs!$B$19*INDEX(Baseline!$B$3:$B$122,MATCH(MIN(MAX(ROUND((MAX($A67-Inputs!$B$21,30))/5,0)*5,5),600),Baseline!$A$3:$A$122,0))+(1-Inputs!$B$19)*INDEX(Baseline!$C$3:$C$122,MATCH(MIN(MAX(ROUND((MAX($A67-Inputs!$B$21,30))/5,0)*5,5),600),Baseline!$A$3:$A$122,0))+Inputs!$B$14)))</f>
        <v>4.322275584</v>
      </c>
      <c r="D67" s="10" t="n">
        <f aca="false">IF($A67&lt;=50,(INDEX('Scratch Data'!$P$5:$P$11,MATCH($A67,'Scratch Data'!$O$5:$O$11,1))+($A67-INDEX('Scratch Data'!$O$5:$O$11,MATCH($A67,'Scratch Data'!$O$5:$O$11,1)))*(INDEX('Scratch Data'!$P$5:$P$11,MIN(MATCH($A67,'Scratch Data'!$O$5:$O$11,1)+1,ROWS('Scratch Data'!$O$5:$O$11)))-INDEX('Scratch Data'!$P$5:$P$11,MATCH($A67,'Scratch Data'!$O$5:$O$11,1)))/MAX(INDEX('Scratch Data'!$O$5:$O$11,MIN(MATCH($A67,'Scratch Data'!$O$5:$O$11,1)+1,ROWS('Scratch Data'!$O$5:$O$11)))-INDEX('Scratch Data'!$O$5:$O$11,MATCH($A67,'Scratch Data'!$O$5:$O$11,1)),0.0001)),IF($A67&lt;=250,MIN((1+(INDEX('Scratch Data'!$H$5:$H$13,MATCH($A67,'Scratch Data'!$G$5:$G$13,1))+($A67-INDEX('Scratch Data'!$G$5:$G$13,MATCH($A67,'Scratch Data'!$G$5:$G$13,1)))*(INDEX('Scratch Data'!$H$5:$H$13,MIN(MATCH($A67,'Scratch Data'!$G$5:$G$13,1)+1,ROWS('Scratch Data'!$G$5:$G$13)))-INDEX('Scratch Data'!$H$5:$H$13,MATCH($A67,'Scratch Data'!$G$5:$G$13,1)))/MAX(INDEX('Scratch Data'!$G$5:$G$13,MIN(MATCH($A67,'Scratch Data'!$G$5:$G$13,1)+1,ROWS('Scratch Data'!$G$5:$G$13)))-INDEX('Scratch Data'!$G$5:$G$13,MATCH($A67,'Scratch Data'!$G$5:$G$13,1)),0.0001))*Inputs!$B$15*INDEX(Baseline!$I$3:$I$102,MIN(MAX(ROUND(Inputs!$B$11*(INDEX('Scratch Data'!$I$5:$I$13,MATCH($A67,'Scratch Data'!$G$5:$G$13,1))+($A67-INDEX('Scratch Data'!$G$5:$G$13,MATCH($A67,'Scratch Data'!$G$5:$G$13,1)))*(INDEX('Scratch Data'!$I$5:$I$13,MIN(MATCH($A67,'Scratch Data'!$G$5:$G$13,1)+1,ROWS('Scratch Data'!$G$5:$G$13)))-INDEX('Scratch Data'!$I$5:$I$13,MATCH($A67,'Scratch Data'!$G$5:$G$13,1)))/MAX(INDEX('Scratch Data'!$G$5:$G$13,MIN(MATCH($A67,'Scratch Data'!$G$5:$G$13,1)+1,ROWS('Scratch Data'!$G$5:$G$13)))-INDEX('Scratch Data'!$G$5:$G$13,MATCH($A67,'Scratch Data'!$G$5:$G$13,1)),0.0001))*Inputs!$B$16,0),1),100))+(1-(INDEX('Scratch Data'!$H$5:$H$13,MATCH($A67,'Scratch Data'!$G$5:$G$13,1))+($A67-INDEX('Scratch Data'!$G$5:$G$13,MATCH($A67,'Scratch Data'!$G$5:$G$13,1)))*(INDEX('Scratch Data'!$H$5:$H$13,MIN(MATCH($A67,'Scratch Data'!$G$5:$G$13,1)+1,ROWS('Scratch Data'!$G$5:$G$13)))-INDEX('Scratch Data'!$H$5:$H$13,MATCH($A67,'Scratch Data'!$G$5:$G$13,1)))/MAX(INDEX('Scratch Data'!$G$5:$G$13,MIN(MATCH($A67,'Scratch Data'!$G$5:$G$13,1)+1,ROWS('Scratch Data'!$G$5:$G$13)))-INDEX('Scratch Data'!$G$5:$G$13,MATCH($A67,'Scratch Data'!$G$5:$G$13,1)),0.0001))*Inputs!$B$15)*((INDEX('Scratch Data'!$J$5:$J$13,MATCH($A67,'Scratch Data'!$G$5:$G$13,1))+($A67-INDEX('Scratch Data'!$G$5:$G$13,MATCH($A67,'Scratch Data'!$G$5:$G$13,1)))*(INDEX('Scratch Data'!$J$5:$J$13,MIN(MATCH($A67,'Scratch Data'!$G$5:$G$13,1)+1,ROWS('Scratch Data'!$G$5:$G$13)))-INDEX('Scratch Data'!$J$5:$J$13,MATCH($A67,'Scratch Data'!$G$5:$G$13,1)))/MAX(INDEX('Scratch Data'!$G$5:$G$13,MIN(MATCH($A67,'Scratch Data'!$G$5:$G$13,1)+1,ROWS('Scratch Data'!$G$5:$G$13)))-INDEX('Scratch Data'!$G$5:$G$13,MATCH($A67,'Scratch Data'!$G$5:$G$13,1)),0.0001))+Inputs!$B$17)),(1+Inputs!$B$19*INDEX(Baseline!$B$3:$B$122,MATCH(MIN(MAX(ROUND((MAX($A67-Inputs!$B$22,30))/5,0)*5,5),600),Baseline!$A$3:$A$122,0))+(1-Inputs!$B$19)*INDEX(Baseline!$C$3:$C$122,MATCH(MIN(MAX(ROUND((MAX($A67-Inputs!$B$22,30))/5,0)*5,5),600),Baseline!$A$3:$A$122,0))+Inputs!$B$17)),(1+Inputs!$B$19*INDEX(Baseline!$B$3:$B$122,MATCH(MIN(MAX(ROUND((MAX($A67-Inputs!$B$22,30))/5,0)*5,5),600),Baseline!$A$3:$A$122,0))+(1-Inputs!$B$19)*INDEX(Baseline!$C$3:$C$122,MATCH(MIN(MAX(ROUND((MAX($A67-Inputs!$B$22,30))/5,0)*5,5),600),Baseline!$A$3:$A$122,0))+Inputs!$B$17)))</f>
        <v>4.504955584</v>
      </c>
      <c r="E67" s="10" t="n">
        <f aca="false">1+Inputs!$B$24+0.6*INDEX(Baseline!$B$3:$B$122,MATCH(MIN(MAX(ROUND((MAX($A67-Inputs!$B$23,15))/5,0)*5,5),600),Baseline!$A$3:$A$122,0))+0.4*INDEX(Baseline!$C$3:$C$122,MATCH(MIN(MAX(ROUND((MAX($A67-Inputs!$B$23,15))/5,0)*5,5),600),Baseline!$A$3:$A$122,0))</f>
        <v>4.747136</v>
      </c>
      <c r="H67" s="7" t="n">
        <v>65</v>
      </c>
      <c r="I67" s="10" t="n">
        <f aca="false">(INDEX('Scratch Data'!$E$5:$E$22,MATCH($H67,'Scratch Data'!$A$5:$A$22,1))+($H67-INDEX('Scratch Data'!$A$5:$A$22,MATCH($H67,'Scratch Data'!$A$5:$A$22,1)))*(INDEX('Scratch Data'!$E$5:$E$22,MIN(MATCH($H67,'Scratch Data'!$A$5:$A$22,1)+1,ROWS('Scratch Data'!$A$5:$A$22)))-INDEX('Scratch Data'!$E$5:$E$22,MATCH($H67,'Scratch Data'!$A$5:$A$22,1)))/MAX(INDEX('Scratch Data'!$A$5:$A$22,MIN(MATCH($H67,'Scratch Data'!$A$5:$A$22,1)+1,ROWS('Scratch Data'!$A$5:$A$22)))-INDEX('Scratch Data'!$A$5:$A$22,MATCH($H67,'Scratch Data'!$A$5:$A$22,1)),0.0001))</f>
        <v>2.369</v>
      </c>
    </row>
    <row r="68" customFormat="false" ht="15" hidden="false" customHeight="false" outlineLevel="0" collapsed="false">
      <c r="A68" s="7" t="n">
        <v>330</v>
      </c>
      <c r="B68" s="10" t="n">
        <f aca="false">IF($A68&lt;=50,(INDEX('Scratch Data'!$M$5:$M$12,MATCH($A68,'Scratch Data'!$L$5:$L$12,1))+($A68-INDEX('Scratch Data'!$L$5:$L$12,MATCH($A68,'Scratch Data'!$L$5:$L$12,1)))*(INDEX('Scratch Data'!$M$5:$M$12,MIN(MATCH($A68,'Scratch Data'!$L$5:$L$12,1)+1,ROWS('Scratch Data'!$L$5:$L$12)))-INDEX('Scratch Data'!$M$5:$M$12,MATCH($A68,'Scratch Data'!$L$5:$L$12,1)))/MAX(INDEX('Scratch Data'!$L$5:$L$12,MIN(MATCH($A68,'Scratch Data'!$L$5:$L$12,1)+1,ROWS('Scratch Data'!$L$5:$L$12)))-INDEX('Scratch Data'!$L$5:$L$12,MATCH($A68,'Scratch Data'!$L$5:$L$12,1)),0.0001)),IF($A68&lt;=250,MIN((1+(INDEX('Scratch Data'!$H$5:$H$13,MATCH($A68,'Scratch Data'!$G$5:$G$13,1))+($A68-INDEX('Scratch Data'!$G$5:$G$13,MATCH($A68,'Scratch Data'!$G$5:$G$13,1)))*(INDEX('Scratch Data'!$H$5:$H$13,MIN(MATCH($A68,'Scratch Data'!$G$5:$G$13,1)+1,ROWS('Scratch Data'!$G$5:$G$13)))-INDEX('Scratch Data'!$H$5:$H$13,MATCH($A68,'Scratch Data'!$G$5:$G$13,1)))/MAX(INDEX('Scratch Data'!$G$5:$G$13,MIN(MATCH($A68,'Scratch Data'!$G$5:$G$13,1)+1,ROWS('Scratch Data'!$G$5:$G$13)))-INDEX('Scratch Data'!$G$5:$G$13,MATCH($A68,'Scratch Data'!$G$5:$G$13,1)),0.0001))*INDEX(Baseline!$I$3:$I$102,MIN(MAX(ROUND(Inputs!$B$11*(INDEX('Scratch Data'!$I$5:$I$13,MATCH($A68,'Scratch Data'!$G$5:$G$13,1))+($A68-INDEX('Scratch Data'!$G$5:$G$13,MATCH($A68,'Scratch Data'!$G$5:$G$13,1)))*(INDEX('Scratch Data'!$I$5:$I$13,MIN(MATCH($A68,'Scratch Data'!$G$5:$G$13,1)+1,ROWS('Scratch Data'!$G$5:$G$13)))-INDEX('Scratch Data'!$I$5:$I$13,MATCH($A68,'Scratch Data'!$G$5:$G$13,1)))/MAX(INDEX('Scratch Data'!$G$5:$G$13,MIN(MATCH($A68,'Scratch Data'!$G$5:$G$13,1)+1,ROWS('Scratch Data'!$G$5:$G$13)))-INDEX('Scratch Data'!$G$5:$G$13,MATCH($A68,'Scratch Data'!$G$5:$G$13,1)),0.0001)),0),1),100))+(1-(INDEX('Scratch Data'!$H$5:$H$13,MATCH($A68,'Scratch Data'!$G$5:$G$13,1))+($A68-INDEX('Scratch Data'!$G$5:$G$13,MATCH($A68,'Scratch Data'!$G$5:$G$13,1)))*(INDEX('Scratch Data'!$H$5:$H$13,MIN(MATCH($A68,'Scratch Data'!$G$5:$G$13,1)+1,ROWS('Scratch Data'!$G$5:$G$13)))-INDEX('Scratch Data'!$H$5:$H$13,MATCH($A68,'Scratch Data'!$G$5:$G$13,1)))/MAX(INDEX('Scratch Data'!$G$5:$G$13,MIN(MATCH($A68,'Scratch Data'!$G$5:$G$13,1)+1,ROWS('Scratch Data'!$G$5:$G$13)))-INDEX('Scratch Data'!$G$5:$G$13,MATCH($A68,'Scratch Data'!$G$5:$G$13,1)),0.0001)))*(INDEX('Scratch Data'!$J$5:$J$13,MATCH($A68,'Scratch Data'!$G$5:$G$13,1))+($A68-INDEX('Scratch Data'!$G$5:$G$13,MATCH($A68,'Scratch Data'!$G$5:$G$13,1)))*(INDEX('Scratch Data'!$J$5:$J$13,MIN(MATCH($A68,'Scratch Data'!$G$5:$G$13,1)+1,ROWS('Scratch Data'!$G$5:$G$13)))-INDEX('Scratch Data'!$J$5:$J$13,MATCH($A68,'Scratch Data'!$G$5:$G$13,1)))/MAX(INDEX('Scratch Data'!$G$5:$G$13,MIN(MATCH($A68,'Scratch Data'!$G$5:$G$13,1)+1,ROWS('Scratch Data'!$G$5:$G$13)))-INDEX('Scratch Data'!$G$5:$G$13,MATCH($A68,'Scratch Data'!$G$5:$G$13,1)),0.0001))),(1+Inputs!$B$19*INDEX(Baseline!$B$3:$B$122,MATCH(MIN(MAX(ROUND((MAX($A68-Inputs!$B$20,30))/5,0)*5,5),600),Baseline!$A$3:$A$122,0))+(1-Inputs!$B$19)*INDEX(Baseline!$C$3:$C$122,MATCH(MIN(MAX(ROUND((MAX($A68-Inputs!$B$20,30))/5,0)*5,5),600),Baseline!$A$3:$A$122,0)))),(1+Inputs!$B$19*INDEX(Baseline!$B$3:$B$122,MATCH(MIN(MAX(ROUND((MAX($A68-Inputs!$B$20,30))/5,0)*5,5),600),Baseline!$A$3:$A$122,0))+(1-Inputs!$B$19)*INDEX(Baseline!$C$3:$C$122,MATCH(MIN(MAX(ROUND((MAX($A68-Inputs!$B$20,30))/5,0)*5,5),600),Baseline!$A$3:$A$122,0)))))</f>
        <v>4.12286528</v>
      </c>
      <c r="C68" s="10" t="n">
        <f aca="false">IF($A68&lt;=50,$B68+Inputs!$B$18,IF($A68&lt;=250,MIN((1+(INDEX('Scratch Data'!$H$5:$H$13,MATCH($A68,'Scratch Data'!$G$5:$G$13,1))+($A68-INDEX('Scratch Data'!$G$5:$G$13,MATCH($A68,'Scratch Data'!$G$5:$G$13,1)))*(INDEX('Scratch Data'!$H$5:$H$13,MIN(MATCH($A68,'Scratch Data'!$G$5:$G$13,1)+1,ROWS('Scratch Data'!$G$5:$G$13)))-INDEX('Scratch Data'!$H$5:$H$13,MATCH($A68,'Scratch Data'!$G$5:$G$13,1)))/MAX(INDEX('Scratch Data'!$G$5:$G$13,MIN(MATCH($A68,'Scratch Data'!$G$5:$G$13,1)+1,ROWS('Scratch Data'!$G$5:$G$13)))-INDEX('Scratch Data'!$G$5:$G$13,MATCH($A68,'Scratch Data'!$G$5:$G$13,1)),0.0001))*Inputs!$B$12*INDEX(Baseline!$I$3:$I$102,MIN(MAX(ROUND(Inputs!$B$11*(INDEX('Scratch Data'!$I$5:$I$13,MATCH($A68,'Scratch Data'!$G$5:$G$13,1))+($A68-INDEX('Scratch Data'!$G$5:$G$13,MATCH($A68,'Scratch Data'!$G$5:$G$13,1)))*(INDEX('Scratch Data'!$I$5:$I$13,MIN(MATCH($A68,'Scratch Data'!$G$5:$G$13,1)+1,ROWS('Scratch Data'!$G$5:$G$13)))-INDEX('Scratch Data'!$I$5:$I$13,MATCH($A68,'Scratch Data'!$G$5:$G$13,1)))/MAX(INDEX('Scratch Data'!$G$5:$G$13,MIN(MATCH($A68,'Scratch Data'!$G$5:$G$13,1)+1,ROWS('Scratch Data'!$G$5:$G$13)))-INDEX('Scratch Data'!$G$5:$G$13,MATCH($A68,'Scratch Data'!$G$5:$G$13,1)),0.0001))*Inputs!$B$13,0),1),100))+(1-(INDEX('Scratch Data'!$H$5:$H$13,MATCH($A68,'Scratch Data'!$G$5:$G$13,1))+($A68-INDEX('Scratch Data'!$G$5:$G$13,MATCH($A68,'Scratch Data'!$G$5:$G$13,1)))*(INDEX('Scratch Data'!$H$5:$H$13,MIN(MATCH($A68,'Scratch Data'!$G$5:$G$13,1)+1,ROWS('Scratch Data'!$G$5:$G$13)))-INDEX('Scratch Data'!$H$5:$H$13,MATCH($A68,'Scratch Data'!$G$5:$G$13,1)))/MAX(INDEX('Scratch Data'!$G$5:$G$13,MIN(MATCH($A68,'Scratch Data'!$G$5:$G$13,1)+1,ROWS('Scratch Data'!$G$5:$G$13)))-INDEX('Scratch Data'!$G$5:$G$13,MATCH($A68,'Scratch Data'!$G$5:$G$13,1)),0.0001))*Inputs!$B$12)*((INDEX('Scratch Data'!$J$5:$J$13,MATCH($A68,'Scratch Data'!$G$5:$G$13,1))+($A68-INDEX('Scratch Data'!$G$5:$G$13,MATCH($A68,'Scratch Data'!$G$5:$G$13,1)))*(INDEX('Scratch Data'!$J$5:$J$13,MIN(MATCH($A68,'Scratch Data'!$G$5:$G$13,1)+1,ROWS('Scratch Data'!$G$5:$G$13)))-INDEX('Scratch Data'!$J$5:$J$13,MATCH($A68,'Scratch Data'!$G$5:$G$13,1)))/MAX(INDEX('Scratch Data'!$G$5:$G$13,MIN(MATCH($A68,'Scratch Data'!$G$5:$G$13,1)+1,ROWS('Scratch Data'!$G$5:$G$13)))-INDEX('Scratch Data'!$G$5:$G$13,MATCH($A68,'Scratch Data'!$G$5:$G$13,1)),0.0001))+Inputs!$B$14)),(1+Inputs!$B$19*INDEX(Baseline!$B$3:$B$122,MATCH(MIN(MAX(ROUND((MAX($A68-Inputs!$B$21,30))/5,0)*5,5),600),Baseline!$A$3:$A$122,0))+(1-Inputs!$B$19)*INDEX(Baseline!$C$3:$C$122,MATCH(MIN(MAX(ROUND((MAX($A68-Inputs!$B$21,30))/5,0)*5,5),600),Baseline!$A$3:$A$122,0))+Inputs!$B$14)),(1+Inputs!$B$19*INDEX(Baseline!$B$3:$B$122,MATCH(MIN(MAX(ROUND((MAX($A68-Inputs!$B$21,30))/5,0)*5,5),600),Baseline!$A$3:$A$122,0))+(1-Inputs!$B$19)*INDEX(Baseline!$C$3:$C$122,MATCH(MIN(MAX(ROUND((MAX($A68-Inputs!$B$21,30))/5,0)*5,5),600),Baseline!$A$3:$A$122,0))+Inputs!$B$14)))</f>
        <v>4.344352576</v>
      </c>
      <c r="D68" s="10" t="n">
        <f aca="false">IF($A68&lt;=50,(INDEX('Scratch Data'!$P$5:$P$11,MATCH($A68,'Scratch Data'!$O$5:$O$11,1))+($A68-INDEX('Scratch Data'!$O$5:$O$11,MATCH($A68,'Scratch Data'!$O$5:$O$11,1)))*(INDEX('Scratch Data'!$P$5:$P$11,MIN(MATCH($A68,'Scratch Data'!$O$5:$O$11,1)+1,ROWS('Scratch Data'!$O$5:$O$11)))-INDEX('Scratch Data'!$P$5:$P$11,MATCH($A68,'Scratch Data'!$O$5:$O$11,1)))/MAX(INDEX('Scratch Data'!$O$5:$O$11,MIN(MATCH($A68,'Scratch Data'!$O$5:$O$11,1)+1,ROWS('Scratch Data'!$O$5:$O$11)))-INDEX('Scratch Data'!$O$5:$O$11,MATCH($A68,'Scratch Data'!$O$5:$O$11,1)),0.0001)),IF($A68&lt;=250,MIN((1+(INDEX('Scratch Data'!$H$5:$H$13,MATCH($A68,'Scratch Data'!$G$5:$G$13,1))+($A68-INDEX('Scratch Data'!$G$5:$G$13,MATCH($A68,'Scratch Data'!$G$5:$G$13,1)))*(INDEX('Scratch Data'!$H$5:$H$13,MIN(MATCH($A68,'Scratch Data'!$G$5:$G$13,1)+1,ROWS('Scratch Data'!$G$5:$G$13)))-INDEX('Scratch Data'!$H$5:$H$13,MATCH($A68,'Scratch Data'!$G$5:$G$13,1)))/MAX(INDEX('Scratch Data'!$G$5:$G$13,MIN(MATCH($A68,'Scratch Data'!$G$5:$G$13,1)+1,ROWS('Scratch Data'!$G$5:$G$13)))-INDEX('Scratch Data'!$G$5:$G$13,MATCH($A68,'Scratch Data'!$G$5:$G$13,1)),0.0001))*Inputs!$B$15*INDEX(Baseline!$I$3:$I$102,MIN(MAX(ROUND(Inputs!$B$11*(INDEX('Scratch Data'!$I$5:$I$13,MATCH($A68,'Scratch Data'!$G$5:$G$13,1))+($A68-INDEX('Scratch Data'!$G$5:$G$13,MATCH($A68,'Scratch Data'!$G$5:$G$13,1)))*(INDEX('Scratch Data'!$I$5:$I$13,MIN(MATCH($A68,'Scratch Data'!$G$5:$G$13,1)+1,ROWS('Scratch Data'!$G$5:$G$13)))-INDEX('Scratch Data'!$I$5:$I$13,MATCH($A68,'Scratch Data'!$G$5:$G$13,1)))/MAX(INDEX('Scratch Data'!$G$5:$G$13,MIN(MATCH($A68,'Scratch Data'!$G$5:$G$13,1)+1,ROWS('Scratch Data'!$G$5:$G$13)))-INDEX('Scratch Data'!$G$5:$G$13,MATCH($A68,'Scratch Data'!$G$5:$G$13,1)),0.0001))*Inputs!$B$16,0),1),100))+(1-(INDEX('Scratch Data'!$H$5:$H$13,MATCH($A68,'Scratch Data'!$G$5:$G$13,1))+($A68-INDEX('Scratch Data'!$G$5:$G$13,MATCH($A68,'Scratch Data'!$G$5:$G$13,1)))*(INDEX('Scratch Data'!$H$5:$H$13,MIN(MATCH($A68,'Scratch Data'!$G$5:$G$13,1)+1,ROWS('Scratch Data'!$G$5:$G$13)))-INDEX('Scratch Data'!$H$5:$H$13,MATCH($A68,'Scratch Data'!$G$5:$G$13,1)))/MAX(INDEX('Scratch Data'!$G$5:$G$13,MIN(MATCH($A68,'Scratch Data'!$G$5:$G$13,1)+1,ROWS('Scratch Data'!$G$5:$G$13)))-INDEX('Scratch Data'!$G$5:$G$13,MATCH($A68,'Scratch Data'!$G$5:$G$13,1)),0.0001))*Inputs!$B$15)*((INDEX('Scratch Data'!$J$5:$J$13,MATCH($A68,'Scratch Data'!$G$5:$G$13,1))+($A68-INDEX('Scratch Data'!$G$5:$G$13,MATCH($A68,'Scratch Data'!$G$5:$G$13,1)))*(INDEX('Scratch Data'!$J$5:$J$13,MIN(MATCH($A68,'Scratch Data'!$G$5:$G$13,1)+1,ROWS('Scratch Data'!$G$5:$G$13)))-INDEX('Scratch Data'!$J$5:$J$13,MATCH($A68,'Scratch Data'!$G$5:$G$13,1)))/MAX(INDEX('Scratch Data'!$G$5:$G$13,MIN(MATCH($A68,'Scratch Data'!$G$5:$G$13,1)+1,ROWS('Scratch Data'!$G$5:$G$13)))-INDEX('Scratch Data'!$G$5:$G$13,MATCH($A68,'Scratch Data'!$G$5:$G$13,1)),0.0001))+Inputs!$B$17)),(1+Inputs!$B$19*INDEX(Baseline!$B$3:$B$122,MATCH(MIN(MAX(ROUND((MAX($A68-Inputs!$B$22,30))/5,0)*5,5),600),Baseline!$A$3:$A$122,0))+(1-Inputs!$B$19)*INDEX(Baseline!$C$3:$C$122,MATCH(MIN(MAX(ROUND((MAX($A68-Inputs!$B$22,30))/5,0)*5,5),600),Baseline!$A$3:$A$122,0))+Inputs!$B$17)),(1+Inputs!$B$19*INDEX(Baseline!$B$3:$B$122,MATCH(MIN(MAX(ROUND((MAX($A68-Inputs!$B$22,30))/5,0)*5,5),600),Baseline!$A$3:$A$122,0))+(1-Inputs!$B$19)*INDEX(Baseline!$C$3:$C$122,MATCH(MIN(MAX(ROUND((MAX($A68-Inputs!$B$22,30))/5,0)*5,5),600),Baseline!$A$3:$A$122,0))+Inputs!$B$17)))</f>
        <v>4.527764632</v>
      </c>
      <c r="E68" s="10" t="n">
        <f aca="false">1+Inputs!$B$24+0.6*INDEX(Baseline!$B$3:$B$122,MATCH(MIN(MAX(ROUND((MAX($A68-Inputs!$B$23,15))/5,0)*5,5),600),Baseline!$A$3:$A$122,0))+0.4*INDEX(Baseline!$C$3:$C$122,MATCH(MIN(MAX(ROUND((MAX($A68-Inputs!$B$23,15))/5,0)*5,5),600),Baseline!$A$3:$A$122,0))</f>
        <v>4.77470704</v>
      </c>
      <c r="H68" s="7" t="n">
        <v>66</v>
      </c>
      <c r="I68" s="10" t="n">
        <f aca="false">(INDEX('Scratch Data'!$E$5:$E$22,MATCH($H68,'Scratch Data'!$A$5:$A$22,1))+($H68-INDEX('Scratch Data'!$A$5:$A$22,MATCH($H68,'Scratch Data'!$A$5:$A$22,1)))*(INDEX('Scratch Data'!$E$5:$E$22,MIN(MATCH($H68,'Scratch Data'!$A$5:$A$22,1)+1,ROWS('Scratch Data'!$A$5:$A$22)))-INDEX('Scratch Data'!$E$5:$E$22,MATCH($H68,'Scratch Data'!$A$5:$A$22,1)))/MAX(INDEX('Scratch Data'!$A$5:$A$22,MIN(MATCH($H68,'Scratch Data'!$A$5:$A$22,1)+1,ROWS('Scratch Data'!$A$5:$A$22)))-INDEX('Scratch Data'!$A$5:$A$22,MATCH($H68,'Scratch Data'!$A$5:$A$22,1)),0.0001))</f>
        <v>2.3754</v>
      </c>
    </row>
    <row r="69" customFormat="false" ht="15" hidden="false" customHeight="false" outlineLevel="0" collapsed="false">
      <c r="A69" s="7" t="n">
        <v>335</v>
      </c>
      <c r="B69" s="10" t="n">
        <f aca="false">IF($A69&lt;=50,(INDEX('Scratch Data'!$M$5:$M$12,MATCH($A69,'Scratch Data'!$L$5:$L$12,1))+($A69-INDEX('Scratch Data'!$L$5:$L$12,MATCH($A69,'Scratch Data'!$L$5:$L$12,1)))*(INDEX('Scratch Data'!$M$5:$M$12,MIN(MATCH($A69,'Scratch Data'!$L$5:$L$12,1)+1,ROWS('Scratch Data'!$L$5:$L$12)))-INDEX('Scratch Data'!$M$5:$M$12,MATCH($A69,'Scratch Data'!$L$5:$L$12,1)))/MAX(INDEX('Scratch Data'!$L$5:$L$12,MIN(MATCH($A69,'Scratch Data'!$L$5:$L$12,1)+1,ROWS('Scratch Data'!$L$5:$L$12)))-INDEX('Scratch Data'!$L$5:$L$12,MATCH($A69,'Scratch Data'!$L$5:$L$12,1)),0.0001)),IF($A69&lt;=250,MIN((1+(INDEX('Scratch Data'!$H$5:$H$13,MATCH($A69,'Scratch Data'!$G$5:$G$13,1))+($A69-INDEX('Scratch Data'!$G$5:$G$13,MATCH($A69,'Scratch Data'!$G$5:$G$13,1)))*(INDEX('Scratch Data'!$H$5:$H$13,MIN(MATCH($A69,'Scratch Data'!$G$5:$G$13,1)+1,ROWS('Scratch Data'!$G$5:$G$13)))-INDEX('Scratch Data'!$H$5:$H$13,MATCH($A69,'Scratch Data'!$G$5:$G$13,1)))/MAX(INDEX('Scratch Data'!$G$5:$G$13,MIN(MATCH($A69,'Scratch Data'!$G$5:$G$13,1)+1,ROWS('Scratch Data'!$G$5:$G$13)))-INDEX('Scratch Data'!$G$5:$G$13,MATCH($A69,'Scratch Data'!$G$5:$G$13,1)),0.0001))*INDEX(Baseline!$I$3:$I$102,MIN(MAX(ROUND(Inputs!$B$11*(INDEX('Scratch Data'!$I$5:$I$13,MATCH($A69,'Scratch Data'!$G$5:$G$13,1))+($A69-INDEX('Scratch Data'!$G$5:$G$13,MATCH($A69,'Scratch Data'!$G$5:$G$13,1)))*(INDEX('Scratch Data'!$I$5:$I$13,MIN(MATCH($A69,'Scratch Data'!$G$5:$G$13,1)+1,ROWS('Scratch Data'!$G$5:$G$13)))-INDEX('Scratch Data'!$I$5:$I$13,MATCH($A69,'Scratch Data'!$G$5:$G$13,1)))/MAX(INDEX('Scratch Data'!$G$5:$G$13,MIN(MATCH($A69,'Scratch Data'!$G$5:$G$13,1)+1,ROWS('Scratch Data'!$G$5:$G$13)))-INDEX('Scratch Data'!$G$5:$G$13,MATCH($A69,'Scratch Data'!$G$5:$G$13,1)),0.0001)),0),1),100))+(1-(INDEX('Scratch Data'!$H$5:$H$13,MATCH($A69,'Scratch Data'!$G$5:$G$13,1))+($A69-INDEX('Scratch Data'!$G$5:$G$13,MATCH($A69,'Scratch Data'!$G$5:$G$13,1)))*(INDEX('Scratch Data'!$H$5:$H$13,MIN(MATCH($A69,'Scratch Data'!$G$5:$G$13,1)+1,ROWS('Scratch Data'!$G$5:$G$13)))-INDEX('Scratch Data'!$H$5:$H$13,MATCH($A69,'Scratch Data'!$G$5:$G$13,1)))/MAX(INDEX('Scratch Data'!$G$5:$G$13,MIN(MATCH($A69,'Scratch Data'!$G$5:$G$13,1)+1,ROWS('Scratch Data'!$G$5:$G$13)))-INDEX('Scratch Data'!$G$5:$G$13,MATCH($A69,'Scratch Data'!$G$5:$G$13,1)),0.0001)))*(INDEX('Scratch Data'!$J$5:$J$13,MATCH($A69,'Scratch Data'!$G$5:$G$13,1))+($A69-INDEX('Scratch Data'!$G$5:$G$13,MATCH($A69,'Scratch Data'!$G$5:$G$13,1)))*(INDEX('Scratch Data'!$J$5:$J$13,MIN(MATCH($A69,'Scratch Data'!$G$5:$G$13,1)+1,ROWS('Scratch Data'!$G$5:$G$13)))-INDEX('Scratch Data'!$J$5:$J$13,MATCH($A69,'Scratch Data'!$G$5:$G$13,1)))/MAX(INDEX('Scratch Data'!$G$5:$G$13,MIN(MATCH($A69,'Scratch Data'!$G$5:$G$13,1)+1,ROWS('Scratch Data'!$G$5:$G$13)))-INDEX('Scratch Data'!$G$5:$G$13,MATCH($A69,'Scratch Data'!$G$5:$G$13,1)),0.0001))),(1+Inputs!$B$19*INDEX(Baseline!$B$3:$B$122,MATCH(MIN(MAX(ROUND((MAX($A69-Inputs!$B$20,30))/5,0)*5,5),600),Baseline!$A$3:$A$122,0))+(1-Inputs!$B$19)*INDEX(Baseline!$C$3:$C$122,MATCH(MIN(MAX(ROUND((MAX($A69-Inputs!$B$20,30))/5,0)*5,5),600),Baseline!$A$3:$A$122,0)))),(1+Inputs!$B$19*INDEX(Baseline!$B$3:$B$122,MATCH(MIN(MAX(ROUND((MAX($A69-Inputs!$B$20,30))/5,0)*5,5),600),Baseline!$A$3:$A$122,0))+(1-Inputs!$B$19)*INDEX(Baseline!$C$3:$C$122,MATCH(MIN(MAX(ROUND((MAX($A69-Inputs!$B$20,30))/5,0)*5,5),600),Baseline!$A$3:$A$122,0)))))</f>
        <v>4.13462512</v>
      </c>
      <c r="C69" s="10" t="n">
        <f aca="false">IF($A69&lt;=50,$B69+Inputs!$B$18,IF($A69&lt;=250,MIN((1+(INDEX('Scratch Data'!$H$5:$H$13,MATCH($A69,'Scratch Data'!$G$5:$G$13,1))+($A69-INDEX('Scratch Data'!$G$5:$G$13,MATCH($A69,'Scratch Data'!$G$5:$G$13,1)))*(INDEX('Scratch Data'!$H$5:$H$13,MIN(MATCH($A69,'Scratch Data'!$G$5:$G$13,1)+1,ROWS('Scratch Data'!$G$5:$G$13)))-INDEX('Scratch Data'!$H$5:$H$13,MATCH($A69,'Scratch Data'!$G$5:$G$13,1)))/MAX(INDEX('Scratch Data'!$G$5:$G$13,MIN(MATCH($A69,'Scratch Data'!$G$5:$G$13,1)+1,ROWS('Scratch Data'!$G$5:$G$13)))-INDEX('Scratch Data'!$G$5:$G$13,MATCH($A69,'Scratch Data'!$G$5:$G$13,1)),0.0001))*Inputs!$B$12*INDEX(Baseline!$I$3:$I$102,MIN(MAX(ROUND(Inputs!$B$11*(INDEX('Scratch Data'!$I$5:$I$13,MATCH($A69,'Scratch Data'!$G$5:$G$13,1))+($A69-INDEX('Scratch Data'!$G$5:$G$13,MATCH($A69,'Scratch Data'!$G$5:$G$13,1)))*(INDEX('Scratch Data'!$I$5:$I$13,MIN(MATCH($A69,'Scratch Data'!$G$5:$G$13,1)+1,ROWS('Scratch Data'!$G$5:$G$13)))-INDEX('Scratch Data'!$I$5:$I$13,MATCH($A69,'Scratch Data'!$G$5:$G$13,1)))/MAX(INDEX('Scratch Data'!$G$5:$G$13,MIN(MATCH($A69,'Scratch Data'!$G$5:$G$13,1)+1,ROWS('Scratch Data'!$G$5:$G$13)))-INDEX('Scratch Data'!$G$5:$G$13,MATCH($A69,'Scratch Data'!$G$5:$G$13,1)),0.0001))*Inputs!$B$13,0),1),100))+(1-(INDEX('Scratch Data'!$H$5:$H$13,MATCH($A69,'Scratch Data'!$G$5:$G$13,1))+($A69-INDEX('Scratch Data'!$G$5:$G$13,MATCH($A69,'Scratch Data'!$G$5:$G$13,1)))*(INDEX('Scratch Data'!$H$5:$H$13,MIN(MATCH($A69,'Scratch Data'!$G$5:$G$13,1)+1,ROWS('Scratch Data'!$G$5:$G$13)))-INDEX('Scratch Data'!$H$5:$H$13,MATCH($A69,'Scratch Data'!$G$5:$G$13,1)))/MAX(INDEX('Scratch Data'!$G$5:$G$13,MIN(MATCH($A69,'Scratch Data'!$G$5:$G$13,1)+1,ROWS('Scratch Data'!$G$5:$G$13)))-INDEX('Scratch Data'!$G$5:$G$13,MATCH($A69,'Scratch Data'!$G$5:$G$13,1)),0.0001))*Inputs!$B$12)*((INDEX('Scratch Data'!$J$5:$J$13,MATCH($A69,'Scratch Data'!$G$5:$G$13,1))+($A69-INDEX('Scratch Data'!$G$5:$G$13,MATCH($A69,'Scratch Data'!$G$5:$G$13,1)))*(INDEX('Scratch Data'!$J$5:$J$13,MIN(MATCH($A69,'Scratch Data'!$G$5:$G$13,1)+1,ROWS('Scratch Data'!$G$5:$G$13)))-INDEX('Scratch Data'!$J$5:$J$13,MATCH($A69,'Scratch Data'!$G$5:$G$13,1)))/MAX(INDEX('Scratch Data'!$G$5:$G$13,MIN(MATCH($A69,'Scratch Data'!$G$5:$G$13,1)+1,ROWS('Scratch Data'!$G$5:$G$13)))-INDEX('Scratch Data'!$G$5:$G$13,MATCH($A69,'Scratch Data'!$G$5:$G$13,1)),0.0001))+Inputs!$B$14)),(1+Inputs!$B$19*INDEX(Baseline!$B$3:$B$122,MATCH(MIN(MAX(ROUND((MAX($A69-Inputs!$B$21,30))/5,0)*5,5),600),Baseline!$A$3:$A$122,0))+(1-Inputs!$B$19)*INDEX(Baseline!$C$3:$C$122,MATCH(MIN(MAX(ROUND((MAX($A69-Inputs!$B$21,30))/5,0)*5,5),600),Baseline!$A$3:$A$122,0))+Inputs!$B$14)),(1+Inputs!$B$19*INDEX(Baseline!$B$3:$B$122,MATCH(MIN(MAX(ROUND((MAX($A69-Inputs!$B$21,30))/5,0)*5,5),600),Baseline!$A$3:$A$122,0))+(1-Inputs!$B$19)*INDEX(Baseline!$C$3:$C$122,MATCH(MIN(MAX(ROUND((MAX($A69-Inputs!$B$21,30))/5,0)*5,5),600),Baseline!$A$3:$A$122,0))+Inputs!$B$14)))</f>
        <v>4.36010032</v>
      </c>
      <c r="D69" s="10" t="n">
        <f aca="false">IF($A69&lt;=50,(INDEX('Scratch Data'!$P$5:$P$11,MATCH($A69,'Scratch Data'!$O$5:$O$11,1))+($A69-INDEX('Scratch Data'!$O$5:$O$11,MATCH($A69,'Scratch Data'!$O$5:$O$11,1)))*(INDEX('Scratch Data'!$P$5:$P$11,MIN(MATCH($A69,'Scratch Data'!$O$5:$O$11,1)+1,ROWS('Scratch Data'!$O$5:$O$11)))-INDEX('Scratch Data'!$P$5:$P$11,MATCH($A69,'Scratch Data'!$O$5:$O$11,1)))/MAX(INDEX('Scratch Data'!$O$5:$O$11,MIN(MATCH($A69,'Scratch Data'!$O$5:$O$11,1)+1,ROWS('Scratch Data'!$O$5:$O$11)))-INDEX('Scratch Data'!$O$5:$O$11,MATCH($A69,'Scratch Data'!$O$5:$O$11,1)),0.0001)),IF($A69&lt;=250,MIN((1+(INDEX('Scratch Data'!$H$5:$H$13,MATCH($A69,'Scratch Data'!$G$5:$G$13,1))+($A69-INDEX('Scratch Data'!$G$5:$G$13,MATCH($A69,'Scratch Data'!$G$5:$G$13,1)))*(INDEX('Scratch Data'!$H$5:$H$13,MIN(MATCH($A69,'Scratch Data'!$G$5:$G$13,1)+1,ROWS('Scratch Data'!$G$5:$G$13)))-INDEX('Scratch Data'!$H$5:$H$13,MATCH($A69,'Scratch Data'!$G$5:$G$13,1)))/MAX(INDEX('Scratch Data'!$G$5:$G$13,MIN(MATCH($A69,'Scratch Data'!$G$5:$G$13,1)+1,ROWS('Scratch Data'!$G$5:$G$13)))-INDEX('Scratch Data'!$G$5:$G$13,MATCH($A69,'Scratch Data'!$G$5:$G$13,1)),0.0001))*Inputs!$B$15*INDEX(Baseline!$I$3:$I$102,MIN(MAX(ROUND(Inputs!$B$11*(INDEX('Scratch Data'!$I$5:$I$13,MATCH($A69,'Scratch Data'!$G$5:$G$13,1))+($A69-INDEX('Scratch Data'!$G$5:$G$13,MATCH($A69,'Scratch Data'!$G$5:$G$13,1)))*(INDEX('Scratch Data'!$I$5:$I$13,MIN(MATCH($A69,'Scratch Data'!$G$5:$G$13,1)+1,ROWS('Scratch Data'!$G$5:$G$13)))-INDEX('Scratch Data'!$I$5:$I$13,MATCH($A69,'Scratch Data'!$G$5:$G$13,1)))/MAX(INDEX('Scratch Data'!$G$5:$G$13,MIN(MATCH($A69,'Scratch Data'!$G$5:$G$13,1)+1,ROWS('Scratch Data'!$G$5:$G$13)))-INDEX('Scratch Data'!$G$5:$G$13,MATCH($A69,'Scratch Data'!$G$5:$G$13,1)),0.0001))*Inputs!$B$16,0),1),100))+(1-(INDEX('Scratch Data'!$H$5:$H$13,MATCH($A69,'Scratch Data'!$G$5:$G$13,1))+($A69-INDEX('Scratch Data'!$G$5:$G$13,MATCH($A69,'Scratch Data'!$G$5:$G$13,1)))*(INDEX('Scratch Data'!$H$5:$H$13,MIN(MATCH($A69,'Scratch Data'!$G$5:$G$13,1)+1,ROWS('Scratch Data'!$G$5:$G$13)))-INDEX('Scratch Data'!$H$5:$H$13,MATCH($A69,'Scratch Data'!$G$5:$G$13,1)))/MAX(INDEX('Scratch Data'!$G$5:$G$13,MIN(MATCH($A69,'Scratch Data'!$G$5:$G$13,1)+1,ROWS('Scratch Data'!$G$5:$G$13)))-INDEX('Scratch Data'!$G$5:$G$13,MATCH($A69,'Scratch Data'!$G$5:$G$13,1)),0.0001))*Inputs!$B$15)*((INDEX('Scratch Data'!$J$5:$J$13,MATCH($A69,'Scratch Data'!$G$5:$G$13,1))+($A69-INDEX('Scratch Data'!$G$5:$G$13,MATCH($A69,'Scratch Data'!$G$5:$G$13,1)))*(INDEX('Scratch Data'!$J$5:$J$13,MIN(MATCH($A69,'Scratch Data'!$G$5:$G$13,1)+1,ROWS('Scratch Data'!$G$5:$G$13)))-INDEX('Scratch Data'!$J$5:$J$13,MATCH($A69,'Scratch Data'!$G$5:$G$13,1)))/MAX(INDEX('Scratch Data'!$G$5:$G$13,MIN(MATCH($A69,'Scratch Data'!$G$5:$G$13,1)+1,ROWS('Scratch Data'!$G$5:$G$13)))-INDEX('Scratch Data'!$G$5:$G$13,MATCH($A69,'Scratch Data'!$G$5:$G$13,1)),0.0001))+Inputs!$B$17)),(1+Inputs!$B$19*INDEX(Baseline!$B$3:$B$122,MATCH(MIN(MAX(ROUND((MAX($A69-Inputs!$B$22,30))/5,0)*5,5),600),Baseline!$A$3:$A$122,0))+(1-Inputs!$B$19)*INDEX(Baseline!$C$3:$C$122,MATCH(MIN(MAX(ROUND((MAX($A69-Inputs!$B$22,30))/5,0)*5,5),600),Baseline!$A$3:$A$122,0))+Inputs!$B$17)),(1+Inputs!$B$19*INDEX(Baseline!$B$3:$B$122,MATCH(MIN(MAX(ROUND((MAX($A69-Inputs!$B$22,30))/5,0)*5,5),600),Baseline!$A$3:$A$122,0))+(1-Inputs!$B$19)*INDEX(Baseline!$C$3:$C$122,MATCH(MIN(MAX(ROUND((MAX($A69-Inputs!$B$22,30))/5,0)*5,5),600),Baseline!$A$3:$A$122,0))+Inputs!$B$17)))</f>
        <v>4.550402544</v>
      </c>
      <c r="E69" s="10" t="n">
        <f aca="false">1+Inputs!$B$24+0.6*INDEX(Baseline!$B$3:$B$122,MATCH(MIN(MAX(ROUND((MAX($A69-Inputs!$B$23,15))/5,0)*5,5),600),Baseline!$A$3:$A$122,0))+0.4*INDEX(Baseline!$C$3:$C$122,MATCH(MIN(MAX(ROUND((MAX($A69-Inputs!$B$23,15))/5,0)*5,5),600),Baseline!$A$3:$A$122,0))</f>
        <v>4.79688064</v>
      </c>
      <c r="H69" s="7" t="n">
        <v>67</v>
      </c>
      <c r="I69" s="10" t="n">
        <f aca="false">(INDEX('Scratch Data'!$E$5:$E$22,MATCH($H69,'Scratch Data'!$A$5:$A$22,1))+($H69-INDEX('Scratch Data'!$A$5:$A$22,MATCH($H69,'Scratch Data'!$A$5:$A$22,1)))*(INDEX('Scratch Data'!$E$5:$E$22,MIN(MATCH($H69,'Scratch Data'!$A$5:$A$22,1)+1,ROWS('Scratch Data'!$A$5:$A$22)))-INDEX('Scratch Data'!$E$5:$E$22,MATCH($H69,'Scratch Data'!$A$5:$A$22,1)))/MAX(INDEX('Scratch Data'!$A$5:$A$22,MIN(MATCH($H69,'Scratch Data'!$A$5:$A$22,1)+1,ROWS('Scratch Data'!$A$5:$A$22)))-INDEX('Scratch Data'!$A$5:$A$22,MATCH($H69,'Scratch Data'!$A$5:$A$22,1)),0.0001))</f>
        <v>2.3818</v>
      </c>
    </row>
    <row r="70" customFormat="false" ht="15" hidden="false" customHeight="false" outlineLevel="0" collapsed="false">
      <c r="A70" s="7" t="n">
        <v>340</v>
      </c>
      <c r="B70" s="10" t="n">
        <f aca="false">IF($A70&lt;=50,(INDEX('Scratch Data'!$M$5:$M$12,MATCH($A70,'Scratch Data'!$L$5:$L$12,1))+($A70-INDEX('Scratch Data'!$L$5:$L$12,MATCH($A70,'Scratch Data'!$L$5:$L$12,1)))*(INDEX('Scratch Data'!$M$5:$M$12,MIN(MATCH($A70,'Scratch Data'!$L$5:$L$12,1)+1,ROWS('Scratch Data'!$L$5:$L$12)))-INDEX('Scratch Data'!$M$5:$M$12,MATCH($A70,'Scratch Data'!$L$5:$L$12,1)))/MAX(INDEX('Scratch Data'!$L$5:$L$12,MIN(MATCH($A70,'Scratch Data'!$L$5:$L$12,1)+1,ROWS('Scratch Data'!$L$5:$L$12)))-INDEX('Scratch Data'!$L$5:$L$12,MATCH($A70,'Scratch Data'!$L$5:$L$12,1)),0.0001)),IF($A70&lt;=250,MIN((1+(INDEX('Scratch Data'!$H$5:$H$13,MATCH($A70,'Scratch Data'!$G$5:$G$13,1))+($A70-INDEX('Scratch Data'!$G$5:$G$13,MATCH($A70,'Scratch Data'!$G$5:$G$13,1)))*(INDEX('Scratch Data'!$H$5:$H$13,MIN(MATCH($A70,'Scratch Data'!$G$5:$G$13,1)+1,ROWS('Scratch Data'!$G$5:$G$13)))-INDEX('Scratch Data'!$H$5:$H$13,MATCH($A70,'Scratch Data'!$G$5:$G$13,1)))/MAX(INDEX('Scratch Data'!$G$5:$G$13,MIN(MATCH($A70,'Scratch Data'!$G$5:$G$13,1)+1,ROWS('Scratch Data'!$G$5:$G$13)))-INDEX('Scratch Data'!$G$5:$G$13,MATCH($A70,'Scratch Data'!$G$5:$G$13,1)),0.0001))*INDEX(Baseline!$I$3:$I$102,MIN(MAX(ROUND(Inputs!$B$11*(INDEX('Scratch Data'!$I$5:$I$13,MATCH($A70,'Scratch Data'!$G$5:$G$13,1))+($A70-INDEX('Scratch Data'!$G$5:$G$13,MATCH($A70,'Scratch Data'!$G$5:$G$13,1)))*(INDEX('Scratch Data'!$I$5:$I$13,MIN(MATCH($A70,'Scratch Data'!$G$5:$G$13,1)+1,ROWS('Scratch Data'!$G$5:$G$13)))-INDEX('Scratch Data'!$I$5:$I$13,MATCH($A70,'Scratch Data'!$G$5:$G$13,1)))/MAX(INDEX('Scratch Data'!$G$5:$G$13,MIN(MATCH($A70,'Scratch Data'!$G$5:$G$13,1)+1,ROWS('Scratch Data'!$G$5:$G$13)))-INDEX('Scratch Data'!$G$5:$G$13,MATCH($A70,'Scratch Data'!$G$5:$G$13,1)),0.0001)),0),1),100))+(1-(INDEX('Scratch Data'!$H$5:$H$13,MATCH($A70,'Scratch Data'!$G$5:$G$13,1))+($A70-INDEX('Scratch Data'!$G$5:$G$13,MATCH($A70,'Scratch Data'!$G$5:$G$13,1)))*(INDEX('Scratch Data'!$H$5:$H$13,MIN(MATCH($A70,'Scratch Data'!$G$5:$G$13,1)+1,ROWS('Scratch Data'!$G$5:$G$13)))-INDEX('Scratch Data'!$H$5:$H$13,MATCH($A70,'Scratch Data'!$G$5:$G$13,1)))/MAX(INDEX('Scratch Data'!$G$5:$G$13,MIN(MATCH($A70,'Scratch Data'!$G$5:$G$13,1)+1,ROWS('Scratch Data'!$G$5:$G$13)))-INDEX('Scratch Data'!$G$5:$G$13,MATCH($A70,'Scratch Data'!$G$5:$G$13,1)),0.0001)))*(INDEX('Scratch Data'!$J$5:$J$13,MATCH($A70,'Scratch Data'!$G$5:$G$13,1))+($A70-INDEX('Scratch Data'!$G$5:$G$13,MATCH($A70,'Scratch Data'!$G$5:$G$13,1)))*(INDEX('Scratch Data'!$J$5:$J$13,MIN(MATCH($A70,'Scratch Data'!$G$5:$G$13,1)+1,ROWS('Scratch Data'!$G$5:$G$13)))-INDEX('Scratch Data'!$J$5:$J$13,MATCH($A70,'Scratch Data'!$G$5:$G$13,1)))/MAX(INDEX('Scratch Data'!$G$5:$G$13,MIN(MATCH($A70,'Scratch Data'!$G$5:$G$13,1)+1,ROWS('Scratch Data'!$G$5:$G$13)))-INDEX('Scratch Data'!$G$5:$G$13,MATCH($A70,'Scratch Data'!$G$5:$G$13,1)),0.0001))),(1+Inputs!$B$19*INDEX(Baseline!$B$3:$B$122,MATCH(MIN(MAX(ROUND((MAX($A70-Inputs!$B$20,30))/5,0)*5,5),600),Baseline!$A$3:$A$122,0))+(1-Inputs!$B$19)*INDEX(Baseline!$C$3:$C$122,MATCH(MIN(MAX(ROUND((MAX($A70-Inputs!$B$20,30))/5,0)*5,5),600),Baseline!$A$3:$A$122,0)))),(1+Inputs!$B$19*INDEX(Baseline!$B$3:$B$122,MATCH(MIN(MAX(ROUND((MAX($A70-Inputs!$B$20,30))/5,0)*5,5),600),Baseline!$A$3:$A$122,0))+(1-Inputs!$B$19)*INDEX(Baseline!$C$3:$C$122,MATCH(MIN(MAX(ROUND((MAX($A70-Inputs!$B$20,30))/5,0)*5,5),600),Baseline!$A$3:$A$122,0)))))</f>
        <v>4.158446656</v>
      </c>
      <c r="C70" s="10" t="n">
        <f aca="false">IF($A70&lt;=50,$B70+Inputs!$B$18,IF($A70&lt;=250,MIN((1+(INDEX('Scratch Data'!$H$5:$H$13,MATCH($A70,'Scratch Data'!$G$5:$G$13,1))+($A70-INDEX('Scratch Data'!$G$5:$G$13,MATCH($A70,'Scratch Data'!$G$5:$G$13,1)))*(INDEX('Scratch Data'!$H$5:$H$13,MIN(MATCH($A70,'Scratch Data'!$G$5:$G$13,1)+1,ROWS('Scratch Data'!$G$5:$G$13)))-INDEX('Scratch Data'!$H$5:$H$13,MATCH($A70,'Scratch Data'!$G$5:$G$13,1)))/MAX(INDEX('Scratch Data'!$G$5:$G$13,MIN(MATCH($A70,'Scratch Data'!$G$5:$G$13,1)+1,ROWS('Scratch Data'!$G$5:$G$13)))-INDEX('Scratch Data'!$G$5:$G$13,MATCH($A70,'Scratch Data'!$G$5:$G$13,1)),0.0001))*Inputs!$B$12*INDEX(Baseline!$I$3:$I$102,MIN(MAX(ROUND(Inputs!$B$11*(INDEX('Scratch Data'!$I$5:$I$13,MATCH($A70,'Scratch Data'!$G$5:$G$13,1))+($A70-INDEX('Scratch Data'!$G$5:$G$13,MATCH($A70,'Scratch Data'!$G$5:$G$13,1)))*(INDEX('Scratch Data'!$I$5:$I$13,MIN(MATCH($A70,'Scratch Data'!$G$5:$G$13,1)+1,ROWS('Scratch Data'!$G$5:$G$13)))-INDEX('Scratch Data'!$I$5:$I$13,MATCH($A70,'Scratch Data'!$G$5:$G$13,1)))/MAX(INDEX('Scratch Data'!$G$5:$G$13,MIN(MATCH($A70,'Scratch Data'!$G$5:$G$13,1)+1,ROWS('Scratch Data'!$G$5:$G$13)))-INDEX('Scratch Data'!$G$5:$G$13,MATCH($A70,'Scratch Data'!$G$5:$G$13,1)),0.0001))*Inputs!$B$13,0),1),100))+(1-(INDEX('Scratch Data'!$H$5:$H$13,MATCH($A70,'Scratch Data'!$G$5:$G$13,1))+($A70-INDEX('Scratch Data'!$G$5:$G$13,MATCH($A70,'Scratch Data'!$G$5:$G$13,1)))*(INDEX('Scratch Data'!$H$5:$H$13,MIN(MATCH($A70,'Scratch Data'!$G$5:$G$13,1)+1,ROWS('Scratch Data'!$G$5:$G$13)))-INDEX('Scratch Data'!$H$5:$H$13,MATCH($A70,'Scratch Data'!$G$5:$G$13,1)))/MAX(INDEX('Scratch Data'!$G$5:$G$13,MIN(MATCH($A70,'Scratch Data'!$G$5:$G$13,1)+1,ROWS('Scratch Data'!$G$5:$G$13)))-INDEX('Scratch Data'!$G$5:$G$13,MATCH($A70,'Scratch Data'!$G$5:$G$13,1)),0.0001))*Inputs!$B$12)*((INDEX('Scratch Data'!$J$5:$J$13,MATCH($A70,'Scratch Data'!$G$5:$G$13,1))+($A70-INDEX('Scratch Data'!$G$5:$G$13,MATCH($A70,'Scratch Data'!$G$5:$G$13,1)))*(INDEX('Scratch Data'!$J$5:$J$13,MIN(MATCH($A70,'Scratch Data'!$G$5:$G$13,1)+1,ROWS('Scratch Data'!$G$5:$G$13)))-INDEX('Scratch Data'!$J$5:$J$13,MATCH($A70,'Scratch Data'!$G$5:$G$13,1)))/MAX(INDEX('Scratch Data'!$G$5:$G$13,MIN(MATCH($A70,'Scratch Data'!$G$5:$G$13,1)+1,ROWS('Scratch Data'!$G$5:$G$13)))-INDEX('Scratch Data'!$G$5:$G$13,MATCH($A70,'Scratch Data'!$G$5:$G$13,1)),0.0001))+Inputs!$B$14)),(1+Inputs!$B$19*INDEX(Baseline!$B$3:$B$122,MATCH(MIN(MAX(ROUND((MAX($A70-Inputs!$B$21,30))/5,0)*5,5),600),Baseline!$A$3:$A$122,0))+(1-Inputs!$B$19)*INDEX(Baseline!$C$3:$C$122,MATCH(MIN(MAX(ROUND((MAX($A70-Inputs!$B$21,30))/5,0)*5,5),600),Baseline!$A$3:$A$122,0))+Inputs!$B$14)),(1+Inputs!$B$19*INDEX(Baseline!$B$3:$B$122,MATCH(MIN(MAX(ROUND((MAX($A70-Inputs!$B$21,30))/5,0)*5,5),600),Baseline!$A$3:$A$122,0))+(1-Inputs!$B$19)*INDEX(Baseline!$C$3:$C$122,MATCH(MIN(MAX(ROUND((MAX($A70-Inputs!$B$21,30))/5,0)*5,5),600),Baseline!$A$3:$A$122,0))+Inputs!$B$14)))</f>
        <v>4.3819754</v>
      </c>
      <c r="D70" s="10" t="n">
        <f aca="false">IF($A70&lt;=50,(INDEX('Scratch Data'!$P$5:$P$11,MATCH($A70,'Scratch Data'!$O$5:$O$11,1))+($A70-INDEX('Scratch Data'!$O$5:$O$11,MATCH($A70,'Scratch Data'!$O$5:$O$11,1)))*(INDEX('Scratch Data'!$P$5:$P$11,MIN(MATCH($A70,'Scratch Data'!$O$5:$O$11,1)+1,ROWS('Scratch Data'!$O$5:$O$11)))-INDEX('Scratch Data'!$P$5:$P$11,MATCH($A70,'Scratch Data'!$O$5:$O$11,1)))/MAX(INDEX('Scratch Data'!$O$5:$O$11,MIN(MATCH($A70,'Scratch Data'!$O$5:$O$11,1)+1,ROWS('Scratch Data'!$O$5:$O$11)))-INDEX('Scratch Data'!$O$5:$O$11,MATCH($A70,'Scratch Data'!$O$5:$O$11,1)),0.0001)),IF($A70&lt;=250,MIN((1+(INDEX('Scratch Data'!$H$5:$H$13,MATCH($A70,'Scratch Data'!$G$5:$G$13,1))+($A70-INDEX('Scratch Data'!$G$5:$G$13,MATCH($A70,'Scratch Data'!$G$5:$G$13,1)))*(INDEX('Scratch Data'!$H$5:$H$13,MIN(MATCH($A70,'Scratch Data'!$G$5:$G$13,1)+1,ROWS('Scratch Data'!$G$5:$G$13)))-INDEX('Scratch Data'!$H$5:$H$13,MATCH($A70,'Scratch Data'!$G$5:$G$13,1)))/MAX(INDEX('Scratch Data'!$G$5:$G$13,MIN(MATCH($A70,'Scratch Data'!$G$5:$G$13,1)+1,ROWS('Scratch Data'!$G$5:$G$13)))-INDEX('Scratch Data'!$G$5:$G$13,MATCH($A70,'Scratch Data'!$G$5:$G$13,1)),0.0001))*Inputs!$B$15*INDEX(Baseline!$I$3:$I$102,MIN(MAX(ROUND(Inputs!$B$11*(INDEX('Scratch Data'!$I$5:$I$13,MATCH($A70,'Scratch Data'!$G$5:$G$13,1))+($A70-INDEX('Scratch Data'!$G$5:$G$13,MATCH($A70,'Scratch Data'!$G$5:$G$13,1)))*(INDEX('Scratch Data'!$I$5:$I$13,MIN(MATCH($A70,'Scratch Data'!$G$5:$G$13,1)+1,ROWS('Scratch Data'!$G$5:$G$13)))-INDEX('Scratch Data'!$I$5:$I$13,MATCH($A70,'Scratch Data'!$G$5:$G$13,1)))/MAX(INDEX('Scratch Data'!$G$5:$G$13,MIN(MATCH($A70,'Scratch Data'!$G$5:$G$13,1)+1,ROWS('Scratch Data'!$G$5:$G$13)))-INDEX('Scratch Data'!$G$5:$G$13,MATCH($A70,'Scratch Data'!$G$5:$G$13,1)),0.0001))*Inputs!$B$16,0),1),100))+(1-(INDEX('Scratch Data'!$H$5:$H$13,MATCH($A70,'Scratch Data'!$G$5:$G$13,1))+($A70-INDEX('Scratch Data'!$G$5:$G$13,MATCH($A70,'Scratch Data'!$G$5:$G$13,1)))*(INDEX('Scratch Data'!$H$5:$H$13,MIN(MATCH($A70,'Scratch Data'!$G$5:$G$13,1)+1,ROWS('Scratch Data'!$G$5:$G$13)))-INDEX('Scratch Data'!$H$5:$H$13,MATCH($A70,'Scratch Data'!$G$5:$G$13,1)))/MAX(INDEX('Scratch Data'!$G$5:$G$13,MIN(MATCH($A70,'Scratch Data'!$G$5:$G$13,1)+1,ROWS('Scratch Data'!$G$5:$G$13)))-INDEX('Scratch Data'!$G$5:$G$13,MATCH($A70,'Scratch Data'!$G$5:$G$13,1)),0.0001))*Inputs!$B$15)*((INDEX('Scratch Data'!$J$5:$J$13,MATCH($A70,'Scratch Data'!$G$5:$G$13,1))+($A70-INDEX('Scratch Data'!$G$5:$G$13,MATCH($A70,'Scratch Data'!$G$5:$G$13,1)))*(INDEX('Scratch Data'!$J$5:$J$13,MIN(MATCH($A70,'Scratch Data'!$G$5:$G$13,1)+1,ROWS('Scratch Data'!$G$5:$G$13)))-INDEX('Scratch Data'!$J$5:$J$13,MATCH($A70,'Scratch Data'!$G$5:$G$13,1)))/MAX(INDEX('Scratch Data'!$G$5:$G$13,MIN(MATCH($A70,'Scratch Data'!$G$5:$G$13,1)+1,ROWS('Scratch Data'!$G$5:$G$13)))-INDEX('Scratch Data'!$G$5:$G$13,MATCH($A70,'Scratch Data'!$G$5:$G$13,1)),0.0001))+Inputs!$B$17)),(1+Inputs!$B$19*INDEX(Baseline!$B$3:$B$122,MATCH(MIN(MAX(ROUND((MAX($A70-Inputs!$B$22,30))/5,0)*5,5),600),Baseline!$A$3:$A$122,0))+(1-Inputs!$B$19)*INDEX(Baseline!$C$3:$C$122,MATCH(MIN(MAX(ROUND((MAX($A70-Inputs!$B$22,30))/5,0)*5,5),600),Baseline!$A$3:$A$122,0))+Inputs!$B$17)),(1+Inputs!$B$19*INDEX(Baseline!$B$3:$B$122,MATCH(MIN(MAX(ROUND((MAX($A70-Inputs!$B$22,30))/5,0)*5,5),600),Baseline!$A$3:$A$122,0))+(1-Inputs!$B$19)*INDEX(Baseline!$C$3:$C$122,MATCH(MIN(MAX(ROUND((MAX($A70-Inputs!$B$22,30))/5,0)*5,5),600),Baseline!$A$3:$A$122,0))+Inputs!$B$17)))</f>
        <v>4.56735808</v>
      </c>
      <c r="E70" s="10" t="n">
        <f aca="false">1+Inputs!$B$24+0.6*INDEX(Baseline!$B$3:$B$122,MATCH(MIN(MAX(ROUND((MAX($A70-Inputs!$B$23,15))/5,0)*5,5),600),Baseline!$A$3:$A$122,0))+0.4*INDEX(Baseline!$C$3:$C$122,MATCH(MIN(MAX(ROUND((MAX($A70-Inputs!$B$23,15))/5,0)*5,5),600),Baseline!$A$3:$A$122,0))</f>
        <v>4.80840704</v>
      </c>
      <c r="H70" s="7" t="n">
        <v>68</v>
      </c>
      <c r="I70" s="10" t="n">
        <f aca="false">(INDEX('Scratch Data'!$E$5:$E$22,MATCH($H70,'Scratch Data'!$A$5:$A$22,1))+($H70-INDEX('Scratch Data'!$A$5:$A$22,MATCH($H70,'Scratch Data'!$A$5:$A$22,1)))*(INDEX('Scratch Data'!$E$5:$E$22,MIN(MATCH($H70,'Scratch Data'!$A$5:$A$22,1)+1,ROWS('Scratch Data'!$A$5:$A$22)))-INDEX('Scratch Data'!$E$5:$E$22,MATCH($H70,'Scratch Data'!$A$5:$A$22,1)))/MAX(INDEX('Scratch Data'!$A$5:$A$22,MIN(MATCH($H70,'Scratch Data'!$A$5:$A$22,1)+1,ROWS('Scratch Data'!$A$5:$A$22)))-INDEX('Scratch Data'!$A$5:$A$22,MATCH($H70,'Scratch Data'!$A$5:$A$22,1)),0.0001))</f>
        <v>2.3882</v>
      </c>
    </row>
    <row r="71" customFormat="false" ht="15" hidden="false" customHeight="false" outlineLevel="0" collapsed="false">
      <c r="A71" s="7" t="n">
        <v>345</v>
      </c>
      <c r="B71" s="10" t="n">
        <f aca="false">IF($A71&lt;=50,(INDEX('Scratch Data'!$M$5:$M$12,MATCH($A71,'Scratch Data'!$L$5:$L$12,1))+($A71-INDEX('Scratch Data'!$L$5:$L$12,MATCH($A71,'Scratch Data'!$L$5:$L$12,1)))*(INDEX('Scratch Data'!$M$5:$M$12,MIN(MATCH($A71,'Scratch Data'!$L$5:$L$12,1)+1,ROWS('Scratch Data'!$L$5:$L$12)))-INDEX('Scratch Data'!$M$5:$M$12,MATCH($A71,'Scratch Data'!$L$5:$L$12,1)))/MAX(INDEX('Scratch Data'!$L$5:$L$12,MIN(MATCH($A71,'Scratch Data'!$L$5:$L$12,1)+1,ROWS('Scratch Data'!$L$5:$L$12)))-INDEX('Scratch Data'!$L$5:$L$12,MATCH($A71,'Scratch Data'!$L$5:$L$12,1)),0.0001)),IF($A71&lt;=250,MIN((1+(INDEX('Scratch Data'!$H$5:$H$13,MATCH($A71,'Scratch Data'!$G$5:$G$13,1))+($A71-INDEX('Scratch Data'!$G$5:$G$13,MATCH($A71,'Scratch Data'!$G$5:$G$13,1)))*(INDEX('Scratch Data'!$H$5:$H$13,MIN(MATCH($A71,'Scratch Data'!$G$5:$G$13,1)+1,ROWS('Scratch Data'!$G$5:$G$13)))-INDEX('Scratch Data'!$H$5:$H$13,MATCH($A71,'Scratch Data'!$G$5:$G$13,1)))/MAX(INDEX('Scratch Data'!$G$5:$G$13,MIN(MATCH($A71,'Scratch Data'!$G$5:$G$13,1)+1,ROWS('Scratch Data'!$G$5:$G$13)))-INDEX('Scratch Data'!$G$5:$G$13,MATCH($A71,'Scratch Data'!$G$5:$G$13,1)),0.0001))*INDEX(Baseline!$I$3:$I$102,MIN(MAX(ROUND(Inputs!$B$11*(INDEX('Scratch Data'!$I$5:$I$13,MATCH($A71,'Scratch Data'!$G$5:$G$13,1))+($A71-INDEX('Scratch Data'!$G$5:$G$13,MATCH($A71,'Scratch Data'!$G$5:$G$13,1)))*(INDEX('Scratch Data'!$I$5:$I$13,MIN(MATCH($A71,'Scratch Data'!$G$5:$G$13,1)+1,ROWS('Scratch Data'!$G$5:$G$13)))-INDEX('Scratch Data'!$I$5:$I$13,MATCH($A71,'Scratch Data'!$G$5:$G$13,1)))/MAX(INDEX('Scratch Data'!$G$5:$G$13,MIN(MATCH($A71,'Scratch Data'!$G$5:$G$13,1)+1,ROWS('Scratch Data'!$G$5:$G$13)))-INDEX('Scratch Data'!$G$5:$G$13,MATCH($A71,'Scratch Data'!$G$5:$G$13,1)),0.0001)),0),1),100))+(1-(INDEX('Scratch Data'!$H$5:$H$13,MATCH($A71,'Scratch Data'!$G$5:$G$13,1))+($A71-INDEX('Scratch Data'!$G$5:$G$13,MATCH($A71,'Scratch Data'!$G$5:$G$13,1)))*(INDEX('Scratch Data'!$H$5:$H$13,MIN(MATCH($A71,'Scratch Data'!$G$5:$G$13,1)+1,ROWS('Scratch Data'!$G$5:$G$13)))-INDEX('Scratch Data'!$H$5:$H$13,MATCH($A71,'Scratch Data'!$G$5:$G$13,1)))/MAX(INDEX('Scratch Data'!$G$5:$G$13,MIN(MATCH($A71,'Scratch Data'!$G$5:$G$13,1)+1,ROWS('Scratch Data'!$G$5:$G$13)))-INDEX('Scratch Data'!$G$5:$G$13,MATCH($A71,'Scratch Data'!$G$5:$G$13,1)),0.0001)))*(INDEX('Scratch Data'!$J$5:$J$13,MATCH($A71,'Scratch Data'!$G$5:$G$13,1))+($A71-INDEX('Scratch Data'!$G$5:$G$13,MATCH($A71,'Scratch Data'!$G$5:$G$13,1)))*(INDEX('Scratch Data'!$J$5:$J$13,MIN(MATCH($A71,'Scratch Data'!$G$5:$G$13,1)+1,ROWS('Scratch Data'!$G$5:$G$13)))-INDEX('Scratch Data'!$J$5:$J$13,MATCH($A71,'Scratch Data'!$G$5:$G$13,1)))/MAX(INDEX('Scratch Data'!$G$5:$G$13,MIN(MATCH($A71,'Scratch Data'!$G$5:$G$13,1)+1,ROWS('Scratch Data'!$G$5:$G$13)))-INDEX('Scratch Data'!$G$5:$G$13,MATCH($A71,'Scratch Data'!$G$5:$G$13,1)),0.0001))),(1+Inputs!$B$19*INDEX(Baseline!$B$3:$B$122,MATCH(MIN(MAX(ROUND((MAX($A71-Inputs!$B$20,30))/5,0)*5,5),600),Baseline!$A$3:$A$122,0))+(1-Inputs!$B$19)*INDEX(Baseline!$C$3:$C$122,MATCH(MIN(MAX(ROUND((MAX($A71-Inputs!$B$20,30))/5,0)*5,5),600),Baseline!$A$3:$A$122,0)))),(1+Inputs!$B$19*INDEX(Baseline!$B$3:$B$122,MATCH(MIN(MAX(ROUND((MAX($A71-Inputs!$B$20,30))/5,0)*5,5),600),Baseline!$A$3:$A$122,0))+(1-Inputs!$B$19)*INDEX(Baseline!$C$3:$C$122,MATCH(MIN(MAX(ROUND((MAX($A71-Inputs!$B$20,30))/5,0)*5,5),600),Baseline!$A$3:$A$122,0)))))</f>
        <v>4.18204432</v>
      </c>
      <c r="C71" s="10" t="n">
        <f aca="false">IF($A71&lt;=50,$B71+Inputs!$B$18,IF($A71&lt;=250,MIN((1+(INDEX('Scratch Data'!$H$5:$H$13,MATCH($A71,'Scratch Data'!$G$5:$G$13,1))+($A71-INDEX('Scratch Data'!$G$5:$G$13,MATCH($A71,'Scratch Data'!$G$5:$G$13,1)))*(INDEX('Scratch Data'!$H$5:$H$13,MIN(MATCH($A71,'Scratch Data'!$G$5:$G$13,1)+1,ROWS('Scratch Data'!$G$5:$G$13)))-INDEX('Scratch Data'!$H$5:$H$13,MATCH($A71,'Scratch Data'!$G$5:$G$13,1)))/MAX(INDEX('Scratch Data'!$G$5:$G$13,MIN(MATCH($A71,'Scratch Data'!$G$5:$G$13,1)+1,ROWS('Scratch Data'!$G$5:$G$13)))-INDEX('Scratch Data'!$G$5:$G$13,MATCH($A71,'Scratch Data'!$G$5:$G$13,1)),0.0001))*Inputs!$B$12*INDEX(Baseline!$I$3:$I$102,MIN(MAX(ROUND(Inputs!$B$11*(INDEX('Scratch Data'!$I$5:$I$13,MATCH($A71,'Scratch Data'!$G$5:$G$13,1))+($A71-INDEX('Scratch Data'!$G$5:$G$13,MATCH($A71,'Scratch Data'!$G$5:$G$13,1)))*(INDEX('Scratch Data'!$I$5:$I$13,MIN(MATCH($A71,'Scratch Data'!$G$5:$G$13,1)+1,ROWS('Scratch Data'!$G$5:$G$13)))-INDEX('Scratch Data'!$I$5:$I$13,MATCH($A71,'Scratch Data'!$G$5:$G$13,1)))/MAX(INDEX('Scratch Data'!$G$5:$G$13,MIN(MATCH($A71,'Scratch Data'!$G$5:$G$13,1)+1,ROWS('Scratch Data'!$G$5:$G$13)))-INDEX('Scratch Data'!$G$5:$G$13,MATCH($A71,'Scratch Data'!$G$5:$G$13,1)),0.0001))*Inputs!$B$13,0),1),100))+(1-(INDEX('Scratch Data'!$H$5:$H$13,MATCH($A71,'Scratch Data'!$G$5:$G$13,1))+($A71-INDEX('Scratch Data'!$G$5:$G$13,MATCH($A71,'Scratch Data'!$G$5:$G$13,1)))*(INDEX('Scratch Data'!$H$5:$H$13,MIN(MATCH($A71,'Scratch Data'!$G$5:$G$13,1)+1,ROWS('Scratch Data'!$G$5:$G$13)))-INDEX('Scratch Data'!$H$5:$H$13,MATCH($A71,'Scratch Data'!$G$5:$G$13,1)))/MAX(INDEX('Scratch Data'!$G$5:$G$13,MIN(MATCH($A71,'Scratch Data'!$G$5:$G$13,1)+1,ROWS('Scratch Data'!$G$5:$G$13)))-INDEX('Scratch Data'!$G$5:$G$13,MATCH($A71,'Scratch Data'!$G$5:$G$13,1)),0.0001))*Inputs!$B$12)*((INDEX('Scratch Data'!$J$5:$J$13,MATCH($A71,'Scratch Data'!$G$5:$G$13,1))+($A71-INDEX('Scratch Data'!$G$5:$G$13,MATCH($A71,'Scratch Data'!$G$5:$G$13,1)))*(INDEX('Scratch Data'!$J$5:$J$13,MIN(MATCH($A71,'Scratch Data'!$G$5:$G$13,1)+1,ROWS('Scratch Data'!$G$5:$G$13)))-INDEX('Scratch Data'!$J$5:$J$13,MATCH($A71,'Scratch Data'!$G$5:$G$13,1)))/MAX(INDEX('Scratch Data'!$G$5:$G$13,MIN(MATCH($A71,'Scratch Data'!$G$5:$G$13,1)+1,ROWS('Scratch Data'!$G$5:$G$13)))-INDEX('Scratch Data'!$G$5:$G$13,MATCH($A71,'Scratch Data'!$G$5:$G$13,1)),0.0001))+Inputs!$B$14)),(1+Inputs!$B$19*INDEX(Baseline!$B$3:$B$122,MATCH(MIN(MAX(ROUND((MAX($A71-Inputs!$B$21,30))/5,0)*5,5),600),Baseline!$A$3:$A$122,0))+(1-Inputs!$B$19)*INDEX(Baseline!$C$3:$C$122,MATCH(MIN(MAX(ROUND((MAX($A71-Inputs!$B$21,30))/5,0)*5,5),600),Baseline!$A$3:$A$122,0))+Inputs!$B$14)),(1+Inputs!$B$19*INDEX(Baseline!$B$3:$B$122,MATCH(MIN(MAX(ROUND((MAX($A71-Inputs!$B$21,30))/5,0)*5,5),600),Baseline!$A$3:$A$122,0))+(1-Inputs!$B$19)*INDEX(Baseline!$C$3:$C$122,MATCH(MIN(MAX(ROUND((MAX($A71-Inputs!$B$21,30))/5,0)*5,5),600),Baseline!$A$3:$A$122,0))+Inputs!$B$14)))</f>
        <v>4.404955584</v>
      </c>
      <c r="D71" s="10" t="n">
        <f aca="false">IF($A71&lt;=50,(INDEX('Scratch Data'!$P$5:$P$11,MATCH($A71,'Scratch Data'!$O$5:$O$11,1))+($A71-INDEX('Scratch Data'!$O$5:$O$11,MATCH($A71,'Scratch Data'!$O$5:$O$11,1)))*(INDEX('Scratch Data'!$P$5:$P$11,MIN(MATCH($A71,'Scratch Data'!$O$5:$O$11,1)+1,ROWS('Scratch Data'!$O$5:$O$11)))-INDEX('Scratch Data'!$P$5:$P$11,MATCH($A71,'Scratch Data'!$O$5:$O$11,1)))/MAX(INDEX('Scratch Data'!$O$5:$O$11,MIN(MATCH($A71,'Scratch Data'!$O$5:$O$11,1)+1,ROWS('Scratch Data'!$O$5:$O$11)))-INDEX('Scratch Data'!$O$5:$O$11,MATCH($A71,'Scratch Data'!$O$5:$O$11,1)),0.0001)),IF($A71&lt;=250,MIN((1+(INDEX('Scratch Data'!$H$5:$H$13,MATCH($A71,'Scratch Data'!$G$5:$G$13,1))+($A71-INDEX('Scratch Data'!$G$5:$G$13,MATCH($A71,'Scratch Data'!$G$5:$G$13,1)))*(INDEX('Scratch Data'!$H$5:$H$13,MIN(MATCH($A71,'Scratch Data'!$G$5:$G$13,1)+1,ROWS('Scratch Data'!$G$5:$G$13)))-INDEX('Scratch Data'!$H$5:$H$13,MATCH($A71,'Scratch Data'!$G$5:$G$13,1)))/MAX(INDEX('Scratch Data'!$G$5:$G$13,MIN(MATCH($A71,'Scratch Data'!$G$5:$G$13,1)+1,ROWS('Scratch Data'!$G$5:$G$13)))-INDEX('Scratch Data'!$G$5:$G$13,MATCH($A71,'Scratch Data'!$G$5:$G$13,1)),0.0001))*Inputs!$B$15*INDEX(Baseline!$I$3:$I$102,MIN(MAX(ROUND(Inputs!$B$11*(INDEX('Scratch Data'!$I$5:$I$13,MATCH($A71,'Scratch Data'!$G$5:$G$13,1))+($A71-INDEX('Scratch Data'!$G$5:$G$13,MATCH($A71,'Scratch Data'!$G$5:$G$13,1)))*(INDEX('Scratch Data'!$I$5:$I$13,MIN(MATCH($A71,'Scratch Data'!$G$5:$G$13,1)+1,ROWS('Scratch Data'!$G$5:$G$13)))-INDEX('Scratch Data'!$I$5:$I$13,MATCH($A71,'Scratch Data'!$G$5:$G$13,1)))/MAX(INDEX('Scratch Data'!$G$5:$G$13,MIN(MATCH($A71,'Scratch Data'!$G$5:$G$13,1)+1,ROWS('Scratch Data'!$G$5:$G$13)))-INDEX('Scratch Data'!$G$5:$G$13,MATCH($A71,'Scratch Data'!$G$5:$G$13,1)),0.0001))*Inputs!$B$16,0),1),100))+(1-(INDEX('Scratch Data'!$H$5:$H$13,MATCH($A71,'Scratch Data'!$G$5:$G$13,1))+($A71-INDEX('Scratch Data'!$G$5:$G$13,MATCH($A71,'Scratch Data'!$G$5:$G$13,1)))*(INDEX('Scratch Data'!$H$5:$H$13,MIN(MATCH($A71,'Scratch Data'!$G$5:$G$13,1)+1,ROWS('Scratch Data'!$G$5:$G$13)))-INDEX('Scratch Data'!$H$5:$H$13,MATCH($A71,'Scratch Data'!$G$5:$G$13,1)))/MAX(INDEX('Scratch Data'!$G$5:$G$13,MIN(MATCH($A71,'Scratch Data'!$G$5:$G$13,1)+1,ROWS('Scratch Data'!$G$5:$G$13)))-INDEX('Scratch Data'!$G$5:$G$13,MATCH($A71,'Scratch Data'!$G$5:$G$13,1)),0.0001))*Inputs!$B$15)*((INDEX('Scratch Data'!$J$5:$J$13,MATCH($A71,'Scratch Data'!$G$5:$G$13,1))+($A71-INDEX('Scratch Data'!$G$5:$G$13,MATCH($A71,'Scratch Data'!$G$5:$G$13,1)))*(INDEX('Scratch Data'!$J$5:$J$13,MIN(MATCH($A71,'Scratch Data'!$G$5:$G$13,1)+1,ROWS('Scratch Data'!$G$5:$G$13)))-INDEX('Scratch Data'!$J$5:$J$13,MATCH($A71,'Scratch Data'!$G$5:$G$13,1)))/MAX(INDEX('Scratch Data'!$G$5:$G$13,MIN(MATCH($A71,'Scratch Data'!$G$5:$G$13,1)+1,ROWS('Scratch Data'!$G$5:$G$13)))-INDEX('Scratch Data'!$G$5:$G$13,MATCH($A71,'Scratch Data'!$G$5:$G$13,1)),0.0001))+Inputs!$B$17)),(1+Inputs!$B$19*INDEX(Baseline!$B$3:$B$122,MATCH(MIN(MAX(ROUND((MAX($A71-Inputs!$B$22,30))/5,0)*5,5),600),Baseline!$A$3:$A$122,0))+(1-Inputs!$B$19)*INDEX(Baseline!$C$3:$C$122,MATCH(MIN(MAX(ROUND((MAX($A71-Inputs!$B$22,30))/5,0)*5,5),600),Baseline!$A$3:$A$122,0))+Inputs!$B$17)),(1+Inputs!$B$19*INDEX(Baseline!$B$3:$B$122,MATCH(MIN(MAX(ROUND((MAX($A71-Inputs!$B$22,30))/5,0)*5,5),600),Baseline!$A$3:$A$122,0))+(1-Inputs!$B$19)*INDEX(Baseline!$C$3:$C$122,MATCH(MIN(MAX(ROUND((MAX($A71-Inputs!$B$22,30))/5,0)*5,5),600),Baseline!$A$3:$A$122,0))+Inputs!$B$17)))</f>
        <v>4.59053452</v>
      </c>
      <c r="E71" s="10" t="n">
        <f aca="false">1+Inputs!$B$24+0.6*INDEX(Baseline!$B$3:$B$122,MATCH(MIN(MAX(ROUND((MAX($A71-Inputs!$B$23,15))/5,0)*5,5),600),Baseline!$A$3:$A$122,0))+0.4*INDEX(Baseline!$C$3:$C$122,MATCH(MIN(MAX(ROUND((MAX($A71-Inputs!$B$23,15))/5,0)*5,5),600),Baseline!$A$3:$A$122,0))</f>
        <v>4.81932224</v>
      </c>
      <c r="H71" s="7" t="n">
        <v>69</v>
      </c>
      <c r="I71" s="10" t="n">
        <f aca="false">(INDEX('Scratch Data'!$E$5:$E$22,MATCH($H71,'Scratch Data'!$A$5:$A$22,1))+($H71-INDEX('Scratch Data'!$A$5:$A$22,MATCH($H71,'Scratch Data'!$A$5:$A$22,1)))*(INDEX('Scratch Data'!$E$5:$E$22,MIN(MATCH($H71,'Scratch Data'!$A$5:$A$22,1)+1,ROWS('Scratch Data'!$A$5:$A$22)))-INDEX('Scratch Data'!$E$5:$E$22,MATCH($H71,'Scratch Data'!$A$5:$A$22,1)))/MAX(INDEX('Scratch Data'!$A$5:$A$22,MIN(MATCH($H71,'Scratch Data'!$A$5:$A$22,1)+1,ROWS('Scratch Data'!$A$5:$A$22)))-INDEX('Scratch Data'!$A$5:$A$22,MATCH($H71,'Scratch Data'!$A$5:$A$22,1)),0.0001))</f>
        <v>2.3946</v>
      </c>
    </row>
    <row r="72" customFormat="false" ht="15" hidden="false" customHeight="false" outlineLevel="0" collapsed="false">
      <c r="A72" s="7" t="n">
        <v>350</v>
      </c>
      <c r="B72" s="10" t="n">
        <f aca="false">IF($A72&lt;=50,(INDEX('Scratch Data'!$M$5:$M$12,MATCH($A72,'Scratch Data'!$L$5:$L$12,1))+($A72-INDEX('Scratch Data'!$L$5:$L$12,MATCH($A72,'Scratch Data'!$L$5:$L$12,1)))*(INDEX('Scratch Data'!$M$5:$M$12,MIN(MATCH($A72,'Scratch Data'!$L$5:$L$12,1)+1,ROWS('Scratch Data'!$L$5:$L$12)))-INDEX('Scratch Data'!$M$5:$M$12,MATCH($A72,'Scratch Data'!$L$5:$L$12,1)))/MAX(INDEX('Scratch Data'!$L$5:$L$12,MIN(MATCH($A72,'Scratch Data'!$L$5:$L$12,1)+1,ROWS('Scratch Data'!$L$5:$L$12)))-INDEX('Scratch Data'!$L$5:$L$12,MATCH($A72,'Scratch Data'!$L$5:$L$12,1)),0.0001)),IF($A72&lt;=250,MIN((1+(INDEX('Scratch Data'!$H$5:$H$13,MATCH($A72,'Scratch Data'!$G$5:$G$13,1))+($A72-INDEX('Scratch Data'!$G$5:$G$13,MATCH($A72,'Scratch Data'!$G$5:$G$13,1)))*(INDEX('Scratch Data'!$H$5:$H$13,MIN(MATCH($A72,'Scratch Data'!$G$5:$G$13,1)+1,ROWS('Scratch Data'!$G$5:$G$13)))-INDEX('Scratch Data'!$H$5:$H$13,MATCH($A72,'Scratch Data'!$G$5:$G$13,1)))/MAX(INDEX('Scratch Data'!$G$5:$G$13,MIN(MATCH($A72,'Scratch Data'!$G$5:$G$13,1)+1,ROWS('Scratch Data'!$G$5:$G$13)))-INDEX('Scratch Data'!$G$5:$G$13,MATCH($A72,'Scratch Data'!$G$5:$G$13,1)),0.0001))*INDEX(Baseline!$I$3:$I$102,MIN(MAX(ROUND(Inputs!$B$11*(INDEX('Scratch Data'!$I$5:$I$13,MATCH($A72,'Scratch Data'!$G$5:$G$13,1))+($A72-INDEX('Scratch Data'!$G$5:$G$13,MATCH($A72,'Scratch Data'!$G$5:$G$13,1)))*(INDEX('Scratch Data'!$I$5:$I$13,MIN(MATCH($A72,'Scratch Data'!$G$5:$G$13,1)+1,ROWS('Scratch Data'!$G$5:$G$13)))-INDEX('Scratch Data'!$I$5:$I$13,MATCH($A72,'Scratch Data'!$G$5:$G$13,1)))/MAX(INDEX('Scratch Data'!$G$5:$G$13,MIN(MATCH($A72,'Scratch Data'!$G$5:$G$13,1)+1,ROWS('Scratch Data'!$G$5:$G$13)))-INDEX('Scratch Data'!$G$5:$G$13,MATCH($A72,'Scratch Data'!$G$5:$G$13,1)),0.0001)),0),1),100))+(1-(INDEX('Scratch Data'!$H$5:$H$13,MATCH($A72,'Scratch Data'!$G$5:$G$13,1))+($A72-INDEX('Scratch Data'!$G$5:$G$13,MATCH($A72,'Scratch Data'!$G$5:$G$13,1)))*(INDEX('Scratch Data'!$H$5:$H$13,MIN(MATCH($A72,'Scratch Data'!$G$5:$G$13,1)+1,ROWS('Scratch Data'!$G$5:$G$13)))-INDEX('Scratch Data'!$H$5:$H$13,MATCH($A72,'Scratch Data'!$G$5:$G$13,1)))/MAX(INDEX('Scratch Data'!$G$5:$G$13,MIN(MATCH($A72,'Scratch Data'!$G$5:$G$13,1)+1,ROWS('Scratch Data'!$G$5:$G$13)))-INDEX('Scratch Data'!$G$5:$G$13,MATCH($A72,'Scratch Data'!$G$5:$G$13,1)),0.0001)))*(INDEX('Scratch Data'!$J$5:$J$13,MATCH($A72,'Scratch Data'!$G$5:$G$13,1))+($A72-INDEX('Scratch Data'!$G$5:$G$13,MATCH($A72,'Scratch Data'!$G$5:$G$13,1)))*(INDEX('Scratch Data'!$J$5:$J$13,MIN(MATCH($A72,'Scratch Data'!$G$5:$G$13,1)+1,ROWS('Scratch Data'!$G$5:$G$13)))-INDEX('Scratch Data'!$J$5:$J$13,MATCH($A72,'Scratch Data'!$G$5:$G$13,1)))/MAX(INDEX('Scratch Data'!$G$5:$G$13,MIN(MATCH($A72,'Scratch Data'!$G$5:$G$13,1)+1,ROWS('Scratch Data'!$G$5:$G$13)))-INDEX('Scratch Data'!$G$5:$G$13,MATCH($A72,'Scratch Data'!$G$5:$G$13,1)),0.0001))),(1+Inputs!$B$19*INDEX(Baseline!$B$3:$B$122,MATCH(MIN(MAX(ROUND((MAX($A72-Inputs!$B$20,30))/5,0)*5,5),600),Baseline!$A$3:$A$122,0))+(1-Inputs!$B$19)*INDEX(Baseline!$C$3:$C$122,MATCH(MIN(MAX(ROUND((MAX($A72-Inputs!$B$20,30))/5,0)*5,5),600),Baseline!$A$3:$A$122,0)))),(1+Inputs!$B$19*INDEX(Baseline!$B$3:$B$122,MATCH(MIN(MAX(ROUND((MAX($A72-Inputs!$B$20,30))/5,0)*5,5),600),Baseline!$A$3:$A$122,0))+(1-Inputs!$B$19)*INDEX(Baseline!$C$3:$C$122,MATCH(MIN(MAX(ROUND((MAX($A72-Inputs!$B$20,30))/5,0)*5,5),600),Baseline!$A$3:$A$122,0)))))</f>
        <v>4.197690144</v>
      </c>
      <c r="C72" s="10" t="n">
        <f aca="false">IF($A72&lt;=50,$B72+Inputs!$B$18,IF($A72&lt;=250,MIN((1+(INDEX('Scratch Data'!$H$5:$H$13,MATCH($A72,'Scratch Data'!$G$5:$G$13,1))+($A72-INDEX('Scratch Data'!$G$5:$G$13,MATCH($A72,'Scratch Data'!$G$5:$G$13,1)))*(INDEX('Scratch Data'!$H$5:$H$13,MIN(MATCH($A72,'Scratch Data'!$G$5:$G$13,1)+1,ROWS('Scratch Data'!$G$5:$G$13)))-INDEX('Scratch Data'!$H$5:$H$13,MATCH($A72,'Scratch Data'!$G$5:$G$13,1)))/MAX(INDEX('Scratch Data'!$G$5:$G$13,MIN(MATCH($A72,'Scratch Data'!$G$5:$G$13,1)+1,ROWS('Scratch Data'!$G$5:$G$13)))-INDEX('Scratch Data'!$G$5:$G$13,MATCH($A72,'Scratch Data'!$G$5:$G$13,1)),0.0001))*Inputs!$B$12*INDEX(Baseline!$I$3:$I$102,MIN(MAX(ROUND(Inputs!$B$11*(INDEX('Scratch Data'!$I$5:$I$13,MATCH($A72,'Scratch Data'!$G$5:$G$13,1))+($A72-INDEX('Scratch Data'!$G$5:$G$13,MATCH($A72,'Scratch Data'!$G$5:$G$13,1)))*(INDEX('Scratch Data'!$I$5:$I$13,MIN(MATCH($A72,'Scratch Data'!$G$5:$G$13,1)+1,ROWS('Scratch Data'!$G$5:$G$13)))-INDEX('Scratch Data'!$I$5:$I$13,MATCH($A72,'Scratch Data'!$G$5:$G$13,1)))/MAX(INDEX('Scratch Data'!$G$5:$G$13,MIN(MATCH($A72,'Scratch Data'!$G$5:$G$13,1)+1,ROWS('Scratch Data'!$G$5:$G$13)))-INDEX('Scratch Data'!$G$5:$G$13,MATCH($A72,'Scratch Data'!$G$5:$G$13,1)),0.0001))*Inputs!$B$13,0),1),100))+(1-(INDEX('Scratch Data'!$H$5:$H$13,MATCH($A72,'Scratch Data'!$G$5:$G$13,1))+($A72-INDEX('Scratch Data'!$G$5:$G$13,MATCH($A72,'Scratch Data'!$G$5:$G$13,1)))*(INDEX('Scratch Data'!$H$5:$H$13,MIN(MATCH($A72,'Scratch Data'!$G$5:$G$13,1)+1,ROWS('Scratch Data'!$G$5:$G$13)))-INDEX('Scratch Data'!$H$5:$H$13,MATCH($A72,'Scratch Data'!$G$5:$G$13,1)))/MAX(INDEX('Scratch Data'!$G$5:$G$13,MIN(MATCH($A72,'Scratch Data'!$G$5:$G$13,1)+1,ROWS('Scratch Data'!$G$5:$G$13)))-INDEX('Scratch Data'!$G$5:$G$13,MATCH($A72,'Scratch Data'!$G$5:$G$13,1)),0.0001))*Inputs!$B$12)*((INDEX('Scratch Data'!$J$5:$J$13,MATCH($A72,'Scratch Data'!$G$5:$G$13,1))+($A72-INDEX('Scratch Data'!$G$5:$G$13,MATCH($A72,'Scratch Data'!$G$5:$G$13,1)))*(INDEX('Scratch Data'!$J$5:$J$13,MIN(MATCH($A72,'Scratch Data'!$G$5:$G$13,1)+1,ROWS('Scratch Data'!$G$5:$G$13)))-INDEX('Scratch Data'!$J$5:$J$13,MATCH($A72,'Scratch Data'!$G$5:$G$13,1)))/MAX(INDEX('Scratch Data'!$G$5:$G$13,MIN(MATCH($A72,'Scratch Data'!$G$5:$G$13,1)+1,ROWS('Scratch Data'!$G$5:$G$13)))-INDEX('Scratch Data'!$G$5:$G$13,MATCH($A72,'Scratch Data'!$G$5:$G$13,1)),0.0001))+Inputs!$B$14)),(1+Inputs!$B$19*INDEX(Baseline!$B$3:$B$122,MATCH(MIN(MAX(ROUND((MAX($A72-Inputs!$B$21,30))/5,0)*5,5),600),Baseline!$A$3:$A$122,0))+(1-Inputs!$B$19)*INDEX(Baseline!$C$3:$C$122,MATCH(MIN(MAX(ROUND((MAX($A72-Inputs!$B$21,30))/5,0)*5,5),600),Baseline!$A$3:$A$122,0))+Inputs!$B$14)),(1+Inputs!$B$19*INDEX(Baseline!$B$3:$B$122,MATCH(MIN(MAX(ROUND((MAX($A72-Inputs!$B$21,30))/5,0)*5,5),600),Baseline!$A$3:$A$122,0))+(1-Inputs!$B$19)*INDEX(Baseline!$C$3:$C$122,MATCH(MIN(MAX(ROUND((MAX($A72-Inputs!$B$21,30))/5,0)*5,5),600),Baseline!$A$3:$A$122,0))+Inputs!$B$14)))</f>
        <v>4.427764632</v>
      </c>
      <c r="D72" s="10" t="n">
        <f aca="false">IF($A72&lt;=50,(INDEX('Scratch Data'!$P$5:$P$11,MATCH($A72,'Scratch Data'!$O$5:$O$11,1))+($A72-INDEX('Scratch Data'!$O$5:$O$11,MATCH($A72,'Scratch Data'!$O$5:$O$11,1)))*(INDEX('Scratch Data'!$P$5:$P$11,MIN(MATCH($A72,'Scratch Data'!$O$5:$O$11,1)+1,ROWS('Scratch Data'!$O$5:$O$11)))-INDEX('Scratch Data'!$P$5:$P$11,MATCH($A72,'Scratch Data'!$O$5:$O$11,1)))/MAX(INDEX('Scratch Data'!$O$5:$O$11,MIN(MATCH($A72,'Scratch Data'!$O$5:$O$11,1)+1,ROWS('Scratch Data'!$O$5:$O$11)))-INDEX('Scratch Data'!$O$5:$O$11,MATCH($A72,'Scratch Data'!$O$5:$O$11,1)),0.0001)),IF($A72&lt;=250,MIN((1+(INDEX('Scratch Data'!$H$5:$H$13,MATCH($A72,'Scratch Data'!$G$5:$G$13,1))+($A72-INDEX('Scratch Data'!$G$5:$G$13,MATCH($A72,'Scratch Data'!$G$5:$G$13,1)))*(INDEX('Scratch Data'!$H$5:$H$13,MIN(MATCH($A72,'Scratch Data'!$G$5:$G$13,1)+1,ROWS('Scratch Data'!$G$5:$G$13)))-INDEX('Scratch Data'!$H$5:$H$13,MATCH($A72,'Scratch Data'!$G$5:$G$13,1)))/MAX(INDEX('Scratch Data'!$G$5:$G$13,MIN(MATCH($A72,'Scratch Data'!$G$5:$G$13,1)+1,ROWS('Scratch Data'!$G$5:$G$13)))-INDEX('Scratch Data'!$G$5:$G$13,MATCH($A72,'Scratch Data'!$G$5:$G$13,1)),0.0001))*Inputs!$B$15*INDEX(Baseline!$I$3:$I$102,MIN(MAX(ROUND(Inputs!$B$11*(INDEX('Scratch Data'!$I$5:$I$13,MATCH($A72,'Scratch Data'!$G$5:$G$13,1))+($A72-INDEX('Scratch Data'!$G$5:$G$13,MATCH($A72,'Scratch Data'!$G$5:$G$13,1)))*(INDEX('Scratch Data'!$I$5:$I$13,MIN(MATCH($A72,'Scratch Data'!$G$5:$G$13,1)+1,ROWS('Scratch Data'!$G$5:$G$13)))-INDEX('Scratch Data'!$I$5:$I$13,MATCH($A72,'Scratch Data'!$G$5:$G$13,1)))/MAX(INDEX('Scratch Data'!$G$5:$G$13,MIN(MATCH($A72,'Scratch Data'!$G$5:$G$13,1)+1,ROWS('Scratch Data'!$G$5:$G$13)))-INDEX('Scratch Data'!$G$5:$G$13,MATCH($A72,'Scratch Data'!$G$5:$G$13,1)),0.0001))*Inputs!$B$16,0),1),100))+(1-(INDEX('Scratch Data'!$H$5:$H$13,MATCH($A72,'Scratch Data'!$G$5:$G$13,1))+($A72-INDEX('Scratch Data'!$G$5:$G$13,MATCH($A72,'Scratch Data'!$G$5:$G$13,1)))*(INDEX('Scratch Data'!$H$5:$H$13,MIN(MATCH($A72,'Scratch Data'!$G$5:$G$13,1)+1,ROWS('Scratch Data'!$G$5:$G$13)))-INDEX('Scratch Data'!$H$5:$H$13,MATCH($A72,'Scratch Data'!$G$5:$G$13,1)))/MAX(INDEX('Scratch Data'!$G$5:$G$13,MIN(MATCH($A72,'Scratch Data'!$G$5:$G$13,1)+1,ROWS('Scratch Data'!$G$5:$G$13)))-INDEX('Scratch Data'!$G$5:$G$13,MATCH($A72,'Scratch Data'!$G$5:$G$13,1)),0.0001))*Inputs!$B$15)*((INDEX('Scratch Data'!$J$5:$J$13,MATCH($A72,'Scratch Data'!$G$5:$G$13,1))+($A72-INDEX('Scratch Data'!$G$5:$G$13,MATCH($A72,'Scratch Data'!$G$5:$G$13,1)))*(INDEX('Scratch Data'!$J$5:$J$13,MIN(MATCH($A72,'Scratch Data'!$G$5:$G$13,1)+1,ROWS('Scratch Data'!$G$5:$G$13)))-INDEX('Scratch Data'!$J$5:$J$13,MATCH($A72,'Scratch Data'!$G$5:$G$13,1)))/MAX(INDEX('Scratch Data'!$G$5:$G$13,MIN(MATCH($A72,'Scratch Data'!$G$5:$G$13,1)+1,ROWS('Scratch Data'!$G$5:$G$13)))-INDEX('Scratch Data'!$G$5:$G$13,MATCH($A72,'Scratch Data'!$G$5:$G$13,1)),0.0001))+Inputs!$B$17)),(1+Inputs!$B$19*INDEX(Baseline!$B$3:$B$122,MATCH(MIN(MAX(ROUND((MAX($A72-Inputs!$B$22,30))/5,0)*5,5),600),Baseline!$A$3:$A$122,0))+(1-Inputs!$B$19)*INDEX(Baseline!$C$3:$C$122,MATCH(MIN(MAX(ROUND((MAX($A72-Inputs!$B$22,30))/5,0)*5,5),600),Baseline!$A$3:$A$122,0))+Inputs!$B$17)),(1+Inputs!$B$19*INDEX(Baseline!$B$3:$B$122,MATCH(MIN(MAX(ROUND((MAX($A72-Inputs!$B$22,30))/5,0)*5,5),600),Baseline!$A$3:$A$122,0))+(1-Inputs!$B$19)*INDEX(Baseline!$C$3:$C$122,MATCH(MIN(MAX(ROUND((MAX($A72-Inputs!$B$22,30))/5,0)*5,5),600),Baseline!$A$3:$A$122,0))+Inputs!$B$17)))</f>
        <v>4.615271488</v>
      </c>
      <c r="E72" s="10" t="n">
        <f aca="false">1+Inputs!$B$24+0.6*INDEX(Baseline!$B$3:$B$122,MATCH(MIN(MAX(ROUND((MAX($A72-Inputs!$B$23,15))/5,0)*5,5),600),Baseline!$A$3:$A$122,0))+0.4*INDEX(Baseline!$C$3:$C$122,MATCH(MIN(MAX(ROUND((MAX($A72-Inputs!$B$23,15))/5,0)*5,5),600),Baseline!$A$3:$A$122,0))</f>
        <v>4.8303552</v>
      </c>
      <c r="H72" s="7" t="n">
        <v>70</v>
      </c>
      <c r="I72" s="10" t="n">
        <f aca="false">(INDEX('Scratch Data'!$E$5:$E$22,MATCH($H72,'Scratch Data'!$A$5:$A$22,1))+($H72-INDEX('Scratch Data'!$A$5:$A$22,MATCH($H72,'Scratch Data'!$A$5:$A$22,1)))*(INDEX('Scratch Data'!$E$5:$E$22,MIN(MATCH($H72,'Scratch Data'!$A$5:$A$22,1)+1,ROWS('Scratch Data'!$A$5:$A$22)))-INDEX('Scratch Data'!$E$5:$E$22,MATCH($H72,'Scratch Data'!$A$5:$A$22,1)))/MAX(INDEX('Scratch Data'!$A$5:$A$22,MIN(MATCH($H72,'Scratch Data'!$A$5:$A$22,1)+1,ROWS('Scratch Data'!$A$5:$A$22)))-INDEX('Scratch Data'!$A$5:$A$22,MATCH($H72,'Scratch Data'!$A$5:$A$22,1)),0.0001))</f>
        <v>2.401</v>
      </c>
    </row>
    <row r="73" customFormat="false" ht="15" hidden="false" customHeight="false" outlineLevel="0" collapsed="false">
      <c r="A73" s="7" t="n">
        <v>355</v>
      </c>
      <c r="B73" s="10" t="n">
        <f aca="false">IF($A73&lt;=50,(INDEX('Scratch Data'!$M$5:$M$12,MATCH($A73,'Scratch Data'!$L$5:$L$12,1))+($A73-INDEX('Scratch Data'!$L$5:$L$12,MATCH($A73,'Scratch Data'!$L$5:$L$12,1)))*(INDEX('Scratch Data'!$M$5:$M$12,MIN(MATCH($A73,'Scratch Data'!$L$5:$L$12,1)+1,ROWS('Scratch Data'!$L$5:$L$12)))-INDEX('Scratch Data'!$M$5:$M$12,MATCH($A73,'Scratch Data'!$L$5:$L$12,1)))/MAX(INDEX('Scratch Data'!$L$5:$L$12,MIN(MATCH($A73,'Scratch Data'!$L$5:$L$12,1)+1,ROWS('Scratch Data'!$L$5:$L$12)))-INDEX('Scratch Data'!$L$5:$L$12,MATCH($A73,'Scratch Data'!$L$5:$L$12,1)),0.0001)),IF($A73&lt;=250,MIN((1+(INDEX('Scratch Data'!$H$5:$H$13,MATCH($A73,'Scratch Data'!$G$5:$G$13,1))+($A73-INDEX('Scratch Data'!$G$5:$G$13,MATCH($A73,'Scratch Data'!$G$5:$G$13,1)))*(INDEX('Scratch Data'!$H$5:$H$13,MIN(MATCH($A73,'Scratch Data'!$G$5:$G$13,1)+1,ROWS('Scratch Data'!$G$5:$G$13)))-INDEX('Scratch Data'!$H$5:$H$13,MATCH($A73,'Scratch Data'!$G$5:$G$13,1)))/MAX(INDEX('Scratch Data'!$G$5:$G$13,MIN(MATCH($A73,'Scratch Data'!$G$5:$G$13,1)+1,ROWS('Scratch Data'!$G$5:$G$13)))-INDEX('Scratch Data'!$G$5:$G$13,MATCH($A73,'Scratch Data'!$G$5:$G$13,1)),0.0001))*INDEX(Baseline!$I$3:$I$102,MIN(MAX(ROUND(Inputs!$B$11*(INDEX('Scratch Data'!$I$5:$I$13,MATCH($A73,'Scratch Data'!$G$5:$G$13,1))+($A73-INDEX('Scratch Data'!$G$5:$G$13,MATCH($A73,'Scratch Data'!$G$5:$G$13,1)))*(INDEX('Scratch Data'!$I$5:$I$13,MIN(MATCH($A73,'Scratch Data'!$G$5:$G$13,1)+1,ROWS('Scratch Data'!$G$5:$G$13)))-INDEX('Scratch Data'!$I$5:$I$13,MATCH($A73,'Scratch Data'!$G$5:$G$13,1)))/MAX(INDEX('Scratch Data'!$G$5:$G$13,MIN(MATCH($A73,'Scratch Data'!$G$5:$G$13,1)+1,ROWS('Scratch Data'!$G$5:$G$13)))-INDEX('Scratch Data'!$G$5:$G$13,MATCH($A73,'Scratch Data'!$G$5:$G$13,1)),0.0001)),0),1),100))+(1-(INDEX('Scratch Data'!$H$5:$H$13,MATCH($A73,'Scratch Data'!$G$5:$G$13,1))+($A73-INDEX('Scratch Data'!$G$5:$G$13,MATCH($A73,'Scratch Data'!$G$5:$G$13,1)))*(INDEX('Scratch Data'!$H$5:$H$13,MIN(MATCH($A73,'Scratch Data'!$G$5:$G$13,1)+1,ROWS('Scratch Data'!$G$5:$G$13)))-INDEX('Scratch Data'!$H$5:$H$13,MATCH($A73,'Scratch Data'!$G$5:$G$13,1)))/MAX(INDEX('Scratch Data'!$G$5:$G$13,MIN(MATCH($A73,'Scratch Data'!$G$5:$G$13,1)+1,ROWS('Scratch Data'!$G$5:$G$13)))-INDEX('Scratch Data'!$G$5:$G$13,MATCH($A73,'Scratch Data'!$G$5:$G$13,1)),0.0001)))*(INDEX('Scratch Data'!$J$5:$J$13,MATCH($A73,'Scratch Data'!$G$5:$G$13,1))+($A73-INDEX('Scratch Data'!$G$5:$G$13,MATCH($A73,'Scratch Data'!$G$5:$G$13,1)))*(INDEX('Scratch Data'!$J$5:$J$13,MIN(MATCH($A73,'Scratch Data'!$G$5:$G$13,1)+1,ROWS('Scratch Data'!$G$5:$G$13)))-INDEX('Scratch Data'!$J$5:$J$13,MATCH($A73,'Scratch Data'!$G$5:$G$13,1)))/MAX(INDEX('Scratch Data'!$G$5:$G$13,MIN(MATCH($A73,'Scratch Data'!$G$5:$G$13,1)+1,ROWS('Scratch Data'!$G$5:$G$13)))-INDEX('Scratch Data'!$G$5:$G$13,MATCH($A73,'Scratch Data'!$G$5:$G$13,1)),0.0001))),(1+Inputs!$B$19*INDEX(Baseline!$B$3:$B$122,MATCH(MIN(MAX(ROUND((MAX($A73-Inputs!$B$20,30))/5,0)*5,5),600),Baseline!$A$3:$A$122,0))+(1-Inputs!$B$19)*INDEX(Baseline!$C$3:$C$122,MATCH(MIN(MAX(ROUND((MAX($A73-Inputs!$B$20,30))/5,0)*5,5),600),Baseline!$A$3:$A$122,0)))),(1+Inputs!$B$19*INDEX(Baseline!$B$3:$B$122,MATCH(MIN(MAX(ROUND((MAX($A73-Inputs!$B$20,30))/5,0)*5,5),600),Baseline!$A$3:$A$122,0))+(1-Inputs!$B$19)*INDEX(Baseline!$C$3:$C$122,MATCH(MIN(MAX(ROUND((MAX($A73-Inputs!$B$20,30))/5,0)*5,5),600),Baseline!$A$3:$A$122,0)))))</f>
        <v>4.222275584</v>
      </c>
      <c r="C73" s="10" t="n">
        <f aca="false">IF($A73&lt;=50,$B73+Inputs!$B$18,IF($A73&lt;=250,MIN((1+(INDEX('Scratch Data'!$H$5:$H$13,MATCH($A73,'Scratch Data'!$G$5:$G$13,1))+($A73-INDEX('Scratch Data'!$G$5:$G$13,MATCH($A73,'Scratch Data'!$G$5:$G$13,1)))*(INDEX('Scratch Data'!$H$5:$H$13,MIN(MATCH($A73,'Scratch Data'!$G$5:$G$13,1)+1,ROWS('Scratch Data'!$G$5:$G$13)))-INDEX('Scratch Data'!$H$5:$H$13,MATCH($A73,'Scratch Data'!$G$5:$G$13,1)))/MAX(INDEX('Scratch Data'!$G$5:$G$13,MIN(MATCH($A73,'Scratch Data'!$G$5:$G$13,1)+1,ROWS('Scratch Data'!$G$5:$G$13)))-INDEX('Scratch Data'!$G$5:$G$13,MATCH($A73,'Scratch Data'!$G$5:$G$13,1)),0.0001))*Inputs!$B$12*INDEX(Baseline!$I$3:$I$102,MIN(MAX(ROUND(Inputs!$B$11*(INDEX('Scratch Data'!$I$5:$I$13,MATCH($A73,'Scratch Data'!$G$5:$G$13,1))+($A73-INDEX('Scratch Data'!$G$5:$G$13,MATCH($A73,'Scratch Data'!$G$5:$G$13,1)))*(INDEX('Scratch Data'!$I$5:$I$13,MIN(MATCH($A73,'Scratch Data'!$G$5:$G$13,1)+1,ROWS('Scratch Data'!$G$5:$G$13)))-INDEX('Scratch Data'!$I$5:$I$13,MATCH($A73,'Scratch Data'!$G$5:$G$13,1)))/MAX(INDEX('Scratch Data'!$G$5:$G$13,MIN(MATCH($A73,'Scratch Data'!$G$5:$G$13,1)+1,ROWS('Scratch Data'!$G$5:$G$13)))-INDEX('Scratch Data'!$G$5:$G$13,MATCH($A73,'Scratch Data'!$G$5:$G$13,1)),0.0001))*Inputs!$B$13,0),1),100))+(1-(INDEX('Scratch Data'!$H$5:$H$13,MATCH($A73,'Scratch Data'!$G$5:$G$13,1))+($A73-INDEX('Scratch Data'!$G$5:$G$13,MATCH($A73,'Scratch Data'!$G$5:$G$13,1)))*(INDEX('Scratch Data'!$H$5:$H$13,MIN(MATCH($A73,'Scratch Data'!$G$5:$G$13,1)+1,ROWS('Scratch Data'!$G$5:$G$13)))-INDEX('Scratch Data'!$H$5:$H$13,MATCH($A73,'Scratch Data'!$G$5:$G$13,1)))/MAX(INDEX('Scratch Data'!$G$5:$G$13,MIN(MATCH($A73,'Scratch Data'!$G$5:$G$13,1)+1,ROWS('Scratch Data'!$G$5:$G$13)))-INDEX('Scratch Data'!$G$5:$G$13,MATCH($A73,'Scratch Data'!$G$5:$G$13,1)),0.0001))*Inputs!$B$12)*((INDEX('Scratch Data'!$J$5:$J$13,MATCH($A73,'Scratch Data'!$G$5:$G$13,1))+($A73-INDEX('Scratch Data'!$G$5:$G$13,MATCH($A73,'Scratch Data'!$G$5:$G$13,1)))*(INDEX('Scratch Data'!$J$5:$J$13,MIN(MATCH($A73,'Scratch Data'!$G$5:$G$13,1)+1,ROWS('Scratch Data'!$G$5:$G$13)))-INDEX('Scratch Data'!$J$5:$J$13,MATCH($A73,'Scratch Data'!$G$5:$G$13,1)))/MAX(INDEX('Scratch Data'!$G$5:$G$13,MIN(MATCH($A73,'Scratch Data'!$G$5:$G$13,1)+1,ROWS('Scratch Data'!$G$5:$G$13)))-INDEX('Scratch Data'!$G$5:$G$13,MATCH($A73,'Scratch Data'!$G$5:$G$13,1)),0.0001))+Inputs!$B$14)),(1+Inputs!$B$19*INDEX(Baseline!$B$3:$B$122,MATCH(MIN(MAX(ROUND((MAX($A73-Inputs!$B$21,30))/5,0)*5,5),600),Baseline!$A$3:$A$122,0))+(1-Inputs!$B$19)*INDEX(Baseline!$C$3:$C$122,MATCH(MIN(MAX(ROUND((MAX($A73-Inputs!$B$21,30))/5,0)*5,5),600),Baseline!$A$3:$A$122,0))+Inputs!$B$14)),(1+Inputs!$B$19*INDEX(Baseline!$B$3:$B$122,MATCH(MIN(MAX(ROUND((MAX($A73-Inputs!$B$21,30))/5,0)*5,5),600),Baseline!$A$3:$A$122,0))+(1-Inputs!$B$19)*INDEX(Baseline!$C$3:$C$122,MATCH(MIN(MAX(ROUND((MAX($A73-Inputs!$B$21,30))/5,0)*5,5),600),Baseline!$A$3:$A$122,0))+Inputs!$B$14)))</f>
        <v>4.450402544</v>
      </c>
      <c r="D73" s="10" t="n">
        <f aca="false">IF($A73&lt;=50,(INDEX('Scratch Data'!$P$5:$P$11,MATCH($A73,'Scratch Data'!$O$5:$O$11,1))+($A73-INDEX('Scratch Data'!$O$5:$O$11,MATCH($A73,'Scratch Data'!$O$5:$O$11,1)))*(INDEX('Scratch Data'!$P$5:$P$11,MIN(MATCH($A73,'Scratch Data'!$O$5:$O$11,1)+1,ROWS('Scratch Data'!$O$5:$O$11)))-INDEX('Scratch Data'!$P$5:$P$11,MATCH($A73,'Scratch Data'!$O$5:$O$11,1)))/MAX(INDEX('Scratch Data'!$O$5:$O$11,MIN(MATCH($A73,'Scratch Data'!$O$5:$O$11,1)+1,ROWS('Scratch Data'!$O$5:$O$11)))-INDEX('Scratch Data'!$O$5:$O$11,MATCH($A73,'Scratch Data'!$O$5:$O$11,1)),0.0001)),IF($A73&lt;=250,MIN((1+(INDEX('Scratch Data'!$H$5:$H$13,MATCH($A73,'Scratch Data'!$G$5:$G$13,1))+($A73-INDEX('Scratch Data'!$G$5:$G$13,MATCH($A73,'Scratch Data'!$G$5:$G$13,1)))*(INDEX('Scratch Data'!$H$5:$H$13,MIN(MATCH($A73,'Scratch Data'!$G$5:$G$13,1)+1,ROWS('Scratch Data'!$G$5:$G$13)))-INDEX('Scratch Data'!$H$5:$H$13,MATCH($A73,'Scratch Data'!$G$5:$G$13,1)))/MAX(INDEX('Scratch Data'!$G$5:$G$13,MIN(MATCH($A73,'Scratch Data'!$G$5:$G$13,1)+1,ROWS('Scratch Data'!$G$5:$G$13)))-INDEX('Scratch Data'!$G$5:$G$13,MATCH($A73,'Scratch Data'!$G$5:$G$13,1)),0.0001))*Inputs!$B$15*INDEX(Baseline!$I$3:$I$102,MIN(MAX(ROUND(Inputs!$B$11*(INDEX('Scratch Data'!$I$5:$I$13,MATCH($A73,'Scratch Data'!$G$5:$G$13,1))+($A73-INDEX('Scratch Data'!$G$5:$G$13,MATCH($A73,'Scratch Data'!$G$5:$G$13,1)))*(INDEX('Scratch Data'!$I$5:$I$13,MIN(MATCH($A73,'Scratch Data'!$G$5:$G$13,1)+1,ROWS('Scratch Data'!$G$5:$G$13)))-INDEX('Scratch Data'!$I$5:$I$13,MATCH($A73,'Scratch Data'!$G$5:$G$13,1)))/MAX(INDEX('Scratch Data'!$G$5:$G$13,MIN(MATCH($A73,'Scratch Data'!$G$5:$G$13,1)+1,ROWS('Scratch Data'!$G$5:$G$13)))-INDEX('Scratch Data'!$G$5:$G$13,MATCH($A73,'Scratch Data'!$G$5:$G$13,1)),0.0001))*Inputs!$B$16,0),1),100))+(1-(INDEX('Scratch Data'!$H$5:$H$13,MATCH($A73,'Scratch Data'!$G$5:$G$13,1))+($A73-INDEX('Scratch Data'!$G$5:$G$13,MATCH($A73,'Scratch Data'!$G$5:$G$13,1)))*(INDEX('Scratch Data'!$H$5:$H$13,MIN(MATCH($A73,'Scratch Data'!$G$5:$G$13,1)+1,ROWS('Scratch Data'!$G$5:$G$13)))-INDEX('Scratch Data'!$H$5:$H$13,MATCH($A73,'Scratch Data'!$G$5:$G$13,1)))/MAX(INDEX('Scratch Data'!$G$5:$G$13,MIN(MATCH($A73,'Scratch Data'!$G$5:$G$13,1)+1,ROWS('Scratch Data'!$G$5:$G$13)))-INDEX('Scratch Data'!$G$5:$G$13,MATCH($A73,'Scratch Data'!$G$5:$G$13,1)),0.0001))*Inputs!$B$15)*((INDEX('Scratch Data'!$J$5:$J$13,MATCH($A73,'Scratch Data'!$G$5:$G$13,1))+($A73-INDEX('Scratch Data'!$G$5:$G$13,MATCH($A73,'Scratch Data'!$G$5:$G$13,1)))*(INDEX('Scratch Data'!$J$5:$J$13,MIN(MATCH($A73,'Scratch Data'!$G$5:$G$13,1)+1,ROWS('Scratch Data'!$G$5:$G$13)))-INDEX('Scratch Data'!$J$5:$J$13,MATCH($A73,'Scratch Data'!$G$5:$G$13,1)))/MAX(INDEX('Scratch Data'!$G$5:$G$13,MIN(MATCH($A73,'Scratch Data'!$G$5:$G$13,1)+1,ROWS('Scratch Data'!$G$5:$G$13)))-INDEX('Scratch Data'!$G$5:$G$13,MATCH($A73,'Scratch Data'!$G$5:$G$13,1)),0.0001))+Inputs!$B$17)),(1+Inputs!$B$19*INDEX(Baseline!$B$3:$B$122,MATCH(MIN(MAX(ROUND((MAX($A73-Inputs!$B$22,30))/5,0)*5,5),600),Baseline!$A$3:$A$122,0))+(1-Inputs!$B$19)*INDEX(Baseline!$C$3:$C$122,MATCH(MIN(MAX(ROUND((MAX($A73-Inputs!$B$22,30))/5,0)*5,5),600),Baseline!$A$3:$A$122,0))+Inputs!$B$17)),(1+Inputs!$B$19*INDEX(Baseline!$B$3:$B$122,MATCH(MIN(MAX(ROUND((MAX($A73-Inputs!$B$22,30))/5,0)*5,5),600),Baseline!$A$3:$A$122,0))+(1-Inputs!$B$19)*INDEX(Baseline!$C$3:$C$122,MATCH(MIN(MAX(ROUND((MAX($A73-Inputs!$B$22,30))/5,0)*5,5),600),Baseline!$A$3:$A$122,0))+Inputs!$B$17)))</f>
        <v>4.640036248</v>
      </c>
      <c r="E73" s="10" t="n">
        <f aca="false">1+Inputs!$B$24+0.6*INDEX(Baseline!$B$3:$B$122,MATCH(MIN(MAX(ROUND((MAX($A73-Inputs!$B$23,15))/5,0)*5,5),600),Baseline!$A$3:$A$122,0))+0.4*INDEX(Baseline!$C$3:$C$122,MATCH(MIN(MAX(ROUND((MAX($A73-Inputs!$B$23,15))/5,0)*5,5),600),Baseline!$A$3:$A$122,0))</f>
        <v>4.92767624</v>
      </c>
      <c r="H73" s="7" t="n">
        <v>71</v>
      </c>
      <c r="I73" s="10" t="n">
        <f aca="false">(INDEX('Scratch Data'!$E$5:$E$22,MATCH($H73,'Scratch Data'!$A$5:$A$22,1))+($H73-INDEX('Scratch Data'!$A$5:$A$22,MATCH($H73,'Scratch Data'!$A$5:$A$22,1)))*(INDEX('Scratch Data'!$E$5:$E$22,MIN(MATCH($H73,'Scratch Data'!$A$5:$A$22,1)+1,ROWS('Scratch Data'!$A$5:$A$22)))-INDEX('Scratch Data'!$E$5:$E$22,MATCH($H73,'Scratch Data'!$A$5:$A$22,1)))/MAX(INDEX('Scratch Data'!$A$5:$A$22,MIN(MATCH($H73,'Scratch Data'!$A$5:$A$22,1)+1,ROWS('Scratch Data'!$A$5:$A$22)))-INDEX('Scratch Data'!$A$5:$A$22,MATCH($H73,'Scratch Data'!$A$5:$A$22,1)),0.0001))</f>
        <v>2.4074</v>
      </c>
    </row>
    <row r="74" customFormat="false" ht="15" hidden="false" customHeight="false" outlineLevel="0" collapsed="false">
      <c r="A74" s="7" t="n">
        <v>360</v>
      </c>
      <c r="B74" s="10" t="n">
        <f aca="false">IF($A74&lt;=50,(INDEX('Scratch Data'!$M$5:$M$12,MATCH($A74,'Scratch Data'!$L$5:$L$12,1))+($A74-INDEX('Scratch Data'!$L$5:$L$12,MATCH($A74,'Scratch Data'!$L$5:$L$12,1)))*(INDEX('Scratch Data'!$M$5:$M$12,MIN(MATCH($A74,'Scratch Data'!$L$5:$L$12,1)+1,ROWS('Scratch Data'!$L$5:$L$12)))-INDEX('Scratch Data'!$M$5:$M$12,MATCH($A74,'Scratch Data'!$L$5:$L$12,1)))/MAX(INDEX('Scratch Data'!$L$5:$L$12,MIN(MATCH($A74,'Scratch Data'!$L$5:$L$12,1)+1,ROWS('Scratch Data'!$L$5:$L$12)))-INDEX('Scratch Data'!$L$5:$L$12,MATCH($A74,'Scratch Data'!$L$5:$L$12,1)),0.0001)),IF($A74&lt;=250,MIN((1+(INDEX('Scratch Data'!$H$5:$H$13,MATCH($A74,'Scratch Data'!$G$5:$G$13,1))+($A74-INDEX('Scratch Data'!$G$5:$G$13,MATCH($A74,'Scratch Data'!$G$5:$G$13,1)))*(INDEX('Scratch Data'!$H$5:$H$13,MIN(MATCH($A74,'Scratch Data'!$G$5:$G$13,1)+1,ROWS('Scratch Data'!$G$5:$G$13)))-INDEX('Scratch Data'!$H$5:$H$13,MATCH($A74,'Scratch Data'!$G$5:$G$13,1)))/MAX(INDEX('Scratch Data'!$G$5:$G$13,MIN(MATCH($A74,'Scratch Data'!$G$5:$G$13,1)+1,ROWS('Scratch Data'!$G$5:$G$13)))-INDEX('Scratch Data'!$G$5:$G$13,MATCH($A74,'Scratch Data'!$G$5:$G$13,1)),0.0001))*INDEX(Baseline!$I$3:$I$102,MIN(MAX(ROUND(Inputs!$B$11*(INDEX('Scratch Data'!$I$5:$I$13,MATCH($A74,'Scratch Data'!$G$5:$G$13,1))+($A74-INDEX('Scratch Data'!$G$5:$G$13,MATCH($A74,'Scratch Data'!$G$5:$G$13,1)))*(INDEX('Scratch Data'!$I$5:$I$13,MIN(MATCH($A74,'Scratch Data'!$G$5:$G$13,1)+1,ROWS('Scratch Data'!$G$5:$G$13)))-INDEX('Scratch Data'!$I$5:$I$13,MATCH($A74,'Scratch Data'!$G$5:$G$13,1)))/MAX(INDEX('Scratch Data'!$G$5:$G$13,MIN(MATCH($A74,'Scratch Data'!$G$5:$G$13,1)+1,ROWS('Scratch Data'!$G$5:$G$13)))-INDEX('Scratch Data'!$G$5:$G$13,MATCH($A74,'Scratch Data'!$G$5:$G$13,1)),0.0001)),0),1),100))+(1-(INDEX('Scratch Data'!$H$5:$H$13,MATCH($A74,'Scratch Data'!$G$5:$G$13,1))+($A74-INDEX('Scratch Data'!$G$5:$G$13,MATCH($A74,'Scratch Data'!$G$5:$G$13,1)))*(INDEX('Scratch Data'!$H$5:$H$13,MIN(MATCH($A74,'Scratch Data'!$G$5:$G$13,1)+1,ROWS('Scratch Data'!$G$5:$G$13)))-INDEX('Scratch Data'!$H$5:$H$13,MATCH($A74,'Scratch Data'!$G$5:$G$13,1)))/MAX(INDEX('Scratch Data'!$G$5:$G$13,MIN(MATCH($A74,'Scratch Data'!$G$5:$G$13,1)+1,ROWS('Scratch Data'!$G$5:$G$13)))-INDEX('Scratch Data'!$G$5:$G$13,MATCH($A74,'Scratch Data'!$G$5:$G$13,1)),0.0001)))*(INDEX('Scratch Data'!$J$5:$J$13,MATCH($A74,'Scratch Data'!$G$5:$G$13,1))+($A74-INDEX('Scratch Data'!$G$5:$G$13,MATCH($A74,'Scratch Data'!$G$5:$G$13,1)))*(INDEX('Scratch Data'!$J$5:$J$13,MIN(MATCH($A74,'Scratch Data'!$G$5:$G$13,1)+1,ROWS('Scratch Data'!$G$5:$G$13)))-INDEX('Scratch Data'!$J$5:$J$13,MATCH($A74,'Scratch Data'!$G$5:$G$13,1)))/MAX(INDEX('Scratch Data'!$G$5:$G$13,MIN(MATCH($A74,'Scratch Data'!$G$5:$G$13,1)+1,ROWS('Scratch Data'!$G$5:$G$13)))-INDEX('Scratch Data'!$G$5:$G$13,MATCH($A74,'Scratch Data'!$G$5:$G$13,1)),0.0001))),(1+Inputs!$B$19*INDEX(Baseline!$B$3:$B$122,MATCH(MIN(MAX(ROUND((MAX($A74-Inputs!$B$20,30))/5,0)*5,5),600),Baseline!$A$3:$A$122,0))+(1-Inputs!$B$19)*INDEX(Baseline!$C$3:$C$122,MATCH(MIN(MAX(ROUND((MAX($A74-Inputs!$B$20,30))/5,0)*5,5),600),Baseline!$A$3:$A$122,0)))),(1+Inputs!$B$19*INDEX(Baseline!$B$3:$B$122,MATCH(MIN(MAX(ROUND((MAX($A74-Inputs!$B$20,30))/5,0)*5,5),600),Baseline!$A$3:$A$122,0))+(1-Inputs!$B$19)*INDEX(Baseline!$C$3:$C$122,MATCH(MIN(MAX(ROUND((MAX($A74-Inputs!$B$20,30))/5,0)*5,5),600),Baseline!$A$3:$A$122,0)))))</f>
        <v>4.244352576</v>
      </c>
      <c r="C74" s="10" t="n">
        <f aca="false">IF($A74&lt;=50,$B74+Inputs!$B$18,IF($A74&lt;=250,MIN((1+(INDEX('Scratch Data'!$H$5:$H$13,MATCH($A74,'Scratch Data'!$G$5:$G$13,1))+($A74-INDEX('Scratch Data'!$G$5:$G$13,MATCH($A74,'Scratch Data'!$G$5:$G$13,1)))*(INDEX('Scratch Data'!$H$5:$H$13,MIN(MATCH($A74,'Scratch Data'!$G$5:$G$13,1)+1,ROWS('Scratch Data'!$G$5:$G$13)))-INDEX('Scratch Data'!$H$5:$H$13,MATCH($A74,'Scratch Data'!$G$5:$G$13,1)))/MAX(INDEX('Scratch Data'!$G$5:$G$13,MIN(MATCH($A74,'Scratch Data'!$G$5:$G$13,1)+1,ROWS('Scratch Data'!$G$5:$G$13)))-INDEX('Scratch Data'!$G$5:$G$13,MATCH($A74,'Scratch Data'!$G$5:$G$13,1)),0.0001))*Inputs!$B$12*INDEX(Baseline!$I$3:$I$102,MIN(MAX(ROUND(Inputs!$B$11*(INDEX('Scratch Data'!$I$5:$I$13,MATCH($A74,'Scratch Data'!$G$5:$G$13,1))+($A74-INDEX('Scratch Data'!$G$5:$G$13,MATCH($A74,'Scratch Data'!$G$5:$G$13,1)))*(INDEX('Scratch Data'!$I$5:$I$13,MIN(MATCH($A74,'Scratch Data'!$G$5:$G$13,1)+1,ROWS('Scratch Data'!$G$5:$G$13)))-INDEX('Scratch Data'!$I$5:$I$13,MATCH($A74,'Scratch Data'!$G$5:$G$13,1)))/MAX(INDEX('Scratch Data'!$G$5:$G$13,MIN(MATCH($A74,'Scratch Data'!$G$5:$G$13,1)+1,ROWS('Scratch Data'!$G$5:$G$13)))-INDEX('Scratch Data'!$G$5:$G$13,MATCH($A74,'Scratch Data'!$G$5:$G$13,1)),0.0001))*Inputs!$B$13,0),1),100))+(1-(INDEX('Scratch Data'!$H$5:$H$13,MATCH($A74,'Scratch Data'!$G$5:$G$13,1))+($A74-INDEX('Scratch Data'!$G$5:$G$13,MATCH($A74,'Scratch Data'!$G$5:$G$13,1)))*(INDEX('Scratch Data'!$H$5:$H$13,MIN(MATCH($A74,'Scratch Data'!$G$5:$G$13,1)+1,ROWS('Scratch Data'!$G$5:$G$13)))-INDEX('Scratch Data'!$H$5:$H$13,MATCH($A74,'Scratch Data'!$G$5:$G$13,1)))/MAX(INDEX('Scratch Data'!$G$5:$G$13,MIN(MATCH($A74,'Scratch Data'!$G$5:$G$13,1)+1,ROWS('Scratch Data'!$G$5:$G$13)))-INDEX('Scratch Data'!$G$5:$G$13,MATCH($A74,'Scratch Data'!$G$5:$G$13,1)),0.0001))*Inputs!$B$12)*((INDEX('Scratch Data'!$J$5:$J$13,MATCH($A74,'Scratch Data'!$G$5:$G$13,1))+($A74-INDEX('Scratch Data'!$G$5:$G$13,MATCH($A74,'Scratch Data'!$G$5:$G$13,1)))*(INDEX('Scratch Data'!$J$5:$J$13,MIN(MATCH($A74,'Scratch Data'!$G$5:$G$13,1)+1,ROWS('Scratch Data'!$G$5:$G$13)))-INDEX('Scratch Data'!$J$5:$J$13,MATCH($A74,'Scratch Data'!$G$5:$G$13,1)))/MAX(INDEX('Scratch Data'!$G$5:$G$13,MIN(MATCH($A74,'Scratch Data'!$G$5:$G$13,1)+1,ROWS('Scratch Data'!$G$5:$G$13)))-INDEX('Scratch Data'!$G$5:$G$13,MATCH($A74,'Scratch Data'!$G$5:$G$13,1)),0.0001))+Inputs!$B$14)),(1+Inputs!$B$19*INDEX(Baseline!$B$3:$B$122,MATCH(MIN(MAX(ROUND((MAX($A74-Inputs!$B$21,30))/5,0)*5,5),600),Baseline!$A$3:$A$122,0))+(1-Inputs!$B$19)*INDEX(Baseline!$C$3:$C$122,MATCH(MIN(MAX(ROUND((MAX($A74-Inputs!$B$21,30))/5,0)*5,5),600),Baseline!$A$3:$A$122,0))+Inputs!$B$14)),(1+Inputs!$B$19*INDEX(Baseline!$B$3:$B$122,MATCH(MIN(MAX(ROUND((MAX($A74-Inputs!$B$21,30))/5,0)*5,5),600),Baseline!$A$3:$A$122,0))+(1-Inputs!$B$19)*INDEX(Baseline!$C$3:$C$122,MATCH(MIN(MAX(ROUND((MAX($A74-Inputs!$B$21,30))/5,0)*5,5),600),Baseline!$A$3:$A$122,0))+Inputs!$B$14)))</f>
        <v>4.46735808</v>
      </c>
      <c r="D74" s="10" t="n">
        <f aca="false">IF($A74&lt;=50,(INDEX('Scratch Data'!$P$5:$P$11,MATCH($A74,'Scratch Data'!$O$5:$O$11,1))+($A74-INDEX('Scratch Data'!$O$5:$O$11,MATCH($A74,'Scratch Data'!$O$5:$O$11,1)))*(INDEX('Scratch Data'!$P$5:$P$11,MIN(MATCH($A74,'Scratch Data'!$O$5:$O$11,1)+1,ROWS('Scratch Data'!$O$5:$O$11)))-INDEX('Scratch Data'!$P$5:$P$11,MATCH($A74,'Scratch Data'!$O$5:$O$11,1)))/MAX(INDEX('Scratch Data'!$O$5:$O$11,MIN(MATCH($A74,'Scratch Data'!$O$5:$O$11,1)+1,ROWS('Scratch Data'!$O$5:$O$11)))-INDEX('Scratch Data'!$O$5:$O$11,MATCH($A74,'Scratch Data'!$O$5:$O$11,1)),0.0001)),IF($A74&lt;=250,MIN((1+(INDEX('Scratch Data'!$H$5:$H$13,MATCH($A74,'Scratch Data'!$G$5:$G$13,1))+($A74-INDEX('Scratch Data'!$G$5:$G$13,MATCH($A74,'Scratch Data'!$G$5:$G$13,1)))*(INDEX('Scratch Data'!$H$5:$H$13,MIN(MATCH($A74,'Scratch Data'!$G$5:$G$13,1)+1,ROWS('Scratch Data'!$G$5:$G$13)))-INDEX('Scratch Data'!$H$5:$H$13,MATCH($A74,'Scratch Data'!$G$5:$G$13,1)))/MAX(INDEX('Scratch Data'!$G$5:$G$13,MIN(MATCH($A74,'Scratch Data'!$G$5:$G$13,1)+1,ROWS('Scratch Data'!$G$5:$G$13)))-INDEX('Scratch Data'!$G$5:$G$13,MATCH($A74,'Scratch Data'!$G$5:$G$13,1)),0.0001))*Inputs!$B$15*INDEX(Baseline!$I$3:$I$102,MIN(MAX(ROUND(Inputs!$B$11*(INDEX('Scratch Data'!$I$5:$I$13,MATCH($A74,'Scratch Data'!$G$5:$G$13,1))+($A74-INDEX('Scratch Data'!$G$5:$G$13,MATCH($A74,'Scratch Data'!$G$5:$G$13,1)))*(INDEX('Scratch Data'!$I$5:$I$13,MIN(MATCH($A74,'Scratch Data'!$G$5:$G$13,1)+1,ROWS('Scratch Data'!$G$5:$G$13)))-INDEX('Scratch Data'!$I$5:$I$13,MATCH($A74,'Scratch Data'!$G$5:$G$13,1)))/MAX(INDEX('Scratch Data'!$G$5:$G$13,MIN(MATCH($A74,'Scratch Data'!$G$5:$G$13,1)+1,ROWS('Scratch Data'!$G$5:$G$13)))-INDEX('Scratch Data'!$G$5:$G$13,MATCH($A74,'Scratch Data'!$G$5:$G$13,1)),0.0001))*Inputs!$B$16,0),1),100))+(1-(INDEX('Scratch Data'!$H$5:$H$13,MATCH($A74,'Scratch Data'!$G$5:$G$13,1))+($A74-INDEX('Scratch Data'!$G$5:$G$13,MATCH($A74,'Scratch Data'!$G$5:$G$13,1)))*(INDEX('Scratch Data'!$H$5:$H$13,MIN(MATCH($A74,'Scratch Data'!$G$5:$G$13,1)+1,ROWS('Scratch Data'!$G$5:$G$13)))-INDEX('Scratch Data'!$H$5:$H$13,MATCH($A74,'Scratch Data'!$G$5:$G$13,1)))/MAX(INDEX('Scratch Data'!$G$5:$G$13,MIN(MATCH($A74,'Scratch Data'!$G$5:$G$13,1)+1,ROWS('Scratch Data'!$G$5:$G$13)))-INDEX('Scratch Data'!$G$5:$G$13,MATCH($A74,'Scratch Data'!$G$5:$G$13,1)),0.0001))*Inputs!$B$15)*((INDEX('Scratch Data'!$J$5:$J$13,MATCH($A74,'Scratch Data'!$G$5:$G$13,1))+($A74-INDEX('Scratch Data'!$G$5:$G$13,MATCH($A74,'Scratch Data'!$G$5:$G$13,1)))*(INDEX('Scratch Data'!$J$5:$J$13,MIN(MATCH($A74,'Scratch Data'!$G$5:$G$13,1)+1,ROWS('Scratch Data'!$G$5:$G$13)))-INDEX('Scratch Data'!$J$5:$J$13,MATCH($A74,'Scratch Data'!$G$5:$G$13,1)))/MAX(INDEX('Scratch Data'!$G$5:$G$13,MIN(MATCH($A74,'Scratch Data'!$G$5:$G$13,1)+1,ROWS('Scratch Data'!$G$5:$G$13)))-INDEX('Scratch Data'!$G$5:$G$13,MATCH($A74,'Scratch Data'!$G$5:$G$13,1)),0.0001))+Inputs!$B$17)),(1+Inputs!$B$19*INDEX(Baseline!$B$3:$B$122,MATCH(MIN(MAX(ROUND((MAX($A74-Inputs!$B$22,30))/5,0)*5,5),600),Baseline!$A$3:$A$122,0))+(1-Inputs!$B$19)*INDEX(Baseline!$C$3:$C$122,MATCH(MIN(MAX(ROUND((MAX($A74-Inputs!$B$22,30))/5,0)*5,5),600),Baseline!$A$3:$A$122,0))+Inputs!$B$17)),(1+Inputs!$B$19*INDEX(Baseline!$B$3:$B$122,MATCH(MIN(MAX(ROUND((MAX($A74-Inputs!$B$22,30))/5,0)*5,5),600),Baseline!$A$3:$A$122,0))+(1-Inputs!$B$19)*INDEX(Baseline!$C$3:$C$122,MATCH(MIN(MAX(ROUND((MAX($A74-Inputs!$B$22,30))/5,0)*5,5),600),Baseline!$A$3:$A$122,0))+Inputs!$B$17)))</f>
        <v>4.6648288</v>
      </c>
      <c r="E74" s="10" t="n">
        <f aca="false">1+Inputs!$B$24+0.6*INDEX(Baseline!$B$3:$B$122,MATCH(MIN(MAX(ROUND((MAX($A74-Inputs!$B$23,15))/5,0)*5,5),600),Baseline!$A$3:$A$122,0))+0.4*INDEX(Baseline!$C$3:$C$122,MATCH(MIN(MAX(ROUND((MAX($A74-Inputs!$B$23,15))/5,0)*5,5),600),Baseline!$A$3:$A$122,0))</f>
        <v>4.96129056</v>
      </c>
      <c r="H74" s="7" t="n">
        <v>72</v>
      </c>
      <c r="I74" s="10" t="n">
        <f aca="false">(INDEX('Scratch Data'!$E$5:$E$22,MATCH($H74,'Scratch Data'!$A$5:$A$22,1))+($H74-INDEX('Scratch Data'!$A$5:$A$22,MATCH($H74,'Scratch Data'!$A$5:$A$22,1)))*(INDEX('Scratch Data'!$E$5:$E$22,MIN(MATCH($H74,'Scratch Data'!$A$5:$A$22,1)+1,ROWS('Scratch Data'!$A$5:$A$22)))-INDEX('Scratch Data'!$E$5:$E$22,MATCH($H74,'Scratch Data'!$A$5:$A$22,1)))/MAX(INDEX('Scratch Data'!$A$5:$A$22,MIN(MATCH($H74,'Scratch Data'!$A$5:$A$22,1)+1,ROWS('Scratch Data'!$A$5:$A$22)))-INDEX('Scratch Data'!$A$5:$A$22,MATCH($H74,'Scratch Data'!$A$5:$A$22,1)),0.0001))</f>
        <v>2.4138</v>
      </c>
    </row>
    <row r="75" customFormat="false" ht="15" hidden="false" customHeight="false" outlineLevel="0" collapsed="false">
      <c r="A75" s="7" t="n">
        <v>365</v>
      </c>
      <c r="B75" s="10" t="n">
        <f aca="false">IF($A75&lt;=50,(INDEX('Scratch Data'!$M$5:$M$12,MATCH($A75,'Scratch Data'!$L$5:$L$12,1))+($A75-INDEX('Scratch Data'!$L$5:$L$12,MATCH($A75,'Scratch Data'!$L$5:$L$12,1)))*(INDEX('Scratch Data'!$M$5:$M$12,MIN(MATCH($A75,'Scratch Data'!$L$5:$L$12,1)+1,ROWS('Scratch Data'!$L$5:$L$12)))-INDEX('Scratch Data'!$M$5:$M$12,MATCH($A75,'Scratch Data'!$L$5:$L$12,1)))/MAX(INDEX('Scratch Data'!$L$5:$L$12,MIN(MATCH($A75,'Scratch Data'!$L$5:$L$12,1)+1,ROWS('Scratch Data'!$L$5:$L$12)))-INDEX('Scratch Data'!$L$5:$L$12,MATCH($A75,'Scratch Data'!$L$5:$L$12,1)),0.0001)),IF($A75&lt;=250,MIN((1+(INDEX('Scratch Data'!$H$5:$H$13,MATCH($A75,'Scratch Data'!$G$5:$G$13,1))+($A75-INDEX('Scratch Data'!$G$5:$G$13,MATCH($A75,'Scratch Data'!$G$5:$G$13,1)))*(INDEX('Scratch Data'!$H$5:$H$13,MIN(MATCH($A75,'Scratch Data'!$G$5:$G$13,1)+1,ROWS('Scratch Data'!$G$5:$G$13)))-INDEX('Scratch Data'!$H$5:$H$13,MATCH($A75,'Scratch Data'!$G$5:$G$13,1)))/MAX(INDEX('Scratch Data'!$G$5:$G$13,MIN(MATCH($A75,'Scratch Data'!$G$5:$G$13,1)+1,ROWS('Scratch Data'!$G$5:$G$13)))-INDEX('Scratch Data'!$G$5:$G$13,MATCH($A75,'Scratch Data'!$G$5:$G$13,1)),0.0001))*INDEX(Baseline!$I$3:$I$102,MIN(MAX(ROUND(Inputs!$B$11*(INDEX('Scratch Data'!$I$5:$I$13,MATCH($A75,'Scratch Data'!$G$5:$G$13,1))+($A75-INDEX('Scratch Data'!$G$5:$G$13,MATCH($A75,'Scratch Data'!$G$5:$G$13,1)))*(INDEX('Scratch Data'!$I$5:$I$13,MIN(MATCH($A75,'Scratch Data'!$G$5:$G$13,1)+1,ROWS('Scratch Data'!$G$5:$G$13)))-INDEX('Scratch Data'!$I$5:$I$13,MATCH($A75,'Scratch Data'!$G$5:$G$13,1)))/MAX(INDEX('Scratch Data'!$G$5:$G$13,MIN(MATCH($A75,'Scratch Data'!$G$5:$G$13,1)+1,ROWS('Scratch Data'!$G$5:$G$13)))-INDEX('Scratch Data'!$G$5:$G$13,MATCH($A75,'Scratch Data'!$G$5:$G$13,1)),0.0001)),0),1),100))+(1-(INDEX('Scratch Data'!$H$5:$H$13,MATCH($A75,'Scratch Data'!$G$5:$G$13,1))+($A75-INDEX('Scratch Data'!$G$5:$G$13,MATCH($A75,'Scratch Data'!$G$5:$G$13,1)))*(INDEX('Scratch Data'!$H$5:$H$13,MIN(MATCH($A75,'Scratch Data'!$G$5:$G$13,1)+1,ROWS('Scratch Data'!$G$5:$G$13)))-INDEX('Scratch Data'!$H$5:$H$13,MATCH($A75,'Scratch Data'!$G$5:$G$13,1)))/MAX(INDEX('Scratch Data'!$G$5:$G$13,MIN(MATCH($A75,'Scratch Data'!$G$5:$G$13,1)+1,ROWS('Scratch Data'!$G$5:$G$13)))-INDEX('Scratch Data'!$G$5:$G$13,MATCH($A75,'Scratch Data'!$G$5:$G$13,1)),0.0001)))*(INDEX('Scratch Data'!$J$5:$J$13,MATCH($A75,'Scratch Data'!$G$5:$G$13,1))+($A75-INDEX('Scratch Data'!$G$5:$G$13,MATCH($A75,'Scratch Data'!$G$5:$G$13,1)))*(INDEX('Scratch Data'!$J$5:$J$13,MIN(MATCH($A75,'Scratch Data'!$G$5:$G$13,1)+1,ROWS('Scratch Data'!$G$5:$G$13)))-INDEX('Scratch Data'!$J$5:$J$13,MATCH($A75,'Scratch Data'!$G$5:$G$13,1)))/MAX(INDEX('Scratch Data'!$G$5:$G$13,MIN(MATCH($A75,'Scratch Data'!$G$5:$G$13,1)+1,ROWS('Scratch Data'!$G$5:$G$13)))-INDEX('Scratch Data'!$G$5:$G$13,MATCH($A75,'Scratch Data'!$G$5:$G$13,1)),0.0001))),(1+Inputs!$B$19*INDEX(Baseline!$B$3:$B$122,MATCH(MIN(MAX(ROUND((MAX($A75-Inputs!$B$20,30))/5,0)*5,5),600),Baseline!$A$3:$A$122,0))+(1-Inputs!$B$19)*INDEX(Baseline!$C$3:$C$122,MATCH(MIN(MAX(ROUND((MAX($A75-Inputs!$B$20,30))/5,0)*5,5),600),Baseline!$A$3:$A$122,0)))),(1+Inputs!$B$19*INDEX(Baseline!$B$3:$B$122,MATCH(MIN(MAX(ROUND((MAX($A75-Inputs!$B$20,30))/5,0)*5,5),600),Baseline!$A$3:$A$122,0))+(1-Inputs!$B$19)*INDEX(Baseline!$C$3:$C$122,MATCH(MIN(MAX(ROUND((MAX($A75-Inputs!$B$20,30))/5,0)*5,5),600),Baseline!$A$3:$A$122,0)))))</f>
        <v>4.26010032</v>
      </c>
      <c r="C75" s="10" t="n">
        <f aca="false">IF($A75&lt;=50,$B75+Inputs!$B$18,IF($A75&lt;=250,MIN((1+(INDEX('Scratch Data'!$H$5:$H$13,MATCH($A75,'Scratch Data'!$G$5:$G$13,1))+($A75-INDEX('Scratch Data'!$G$5:$G$13,MATCH($A75,'Scratch Data'!$G$5:$G$13,1)))*(INDEX('Scratch Data'!$H$5:$H$13,MIN(MATCH($A75,'Scratch Data'!$G$5:$G$13,1)+1,ROWS('Scratch Data'!$G$5:$G$13)))-INDEX('Scratch Data'!$H$5:$H$13,MATCH($A75,'Scratch Data'!$G$5:$G$13,1)))/MAX(INDEX('Scratch Data'!$G$5:$G$13,MIN(MATCH($A75,'Scratch Data'!$G$5:$G$13,1)+1,ROWS('Scratch Data'!$G$5:$G$13)))-INDEX('Scratch Data'!$G$5:$G$13,MATCH($A75,'Scratch Data'!$G$5:$G$13,1)),0.0001))*Inputs!$B$12*INDEX(Baseline!$I$3:$I$102,MIN(MAX(ROUND(Inputs!$B$11*(INDEX('Scratch Data'!$I$5:$I$13,MATCH($A75,'Scratch Data'!$G$5:$G$13,1))+($A75-INDEX('Scratch Data'!$G$5:$G$13,MATCH($A75,'Scratch Data'!$G$5:$G$13,1)))*(INDEX('Scratch Data'!$I$5:$I$13,MIN(MATCH($A75,'Scratch Data'!$G$5:$G$13,1)+1,ROWS('Scratch Data'!$G$5:$G$13)))-INDEX('Scratch Data'!$I$5:$I$13,MATCH($A75,'Scratch Data'!$G$5:$G$13,1)))/MAX(INDEX('Scratch Data'!$G$5:$G$13,MIN(MATCH($A75,'Scratch Data'!$G$5:$G$13,1)+1,ROWS('Scratch Data'!$G$5:$G$13)))-INDEX('Scratch Data'!$G$5:$G$13,MATCH($A75,'Scratch Data'!$G$5:$G$13,1)),0.0001))*Inputs!$B$13,0),1),100))+(1-(INDEX('Scratch Data'!$H$5:$H$13,MATCH($A75,'Scratch Data'!$G$5:$G$13,1))+($A75-INDEX('Scratch Data'!$G$5:$G$13,MATCH($A75,'Scratch Data'!$G$5:$G$13,1)))*(INDEX('Scratch Data'!$H$5:$H$13,MIN(MATCH($A75,'Scratch Data'!$G$5:$G$13,1)+1,ROWS('Scratch Data'!$G$5:$G$13)))-INDEX('Scratch Data'!$H$5:$H$13,MATCH($A75,'Scratch Data'!$G$5:$G$13,1)))/MAX(INDEX('Scratch Data'!$G$5:$G$13,MIN(MATCH($A75,'Scratch Data'!$G$5:$G$13,1)+1,ROWS('Scratch Data'!$G$5:$G$13)))-INDEX('Scratch Data'!$G$5:$G$13,MATCH($A75,'Scratch Data'!$G$5:$G$13,1)),0.0001))*Inputs!$B$12)*((INDEX('Scratch Data'!$J$5:$J$13,MATCH($A75,'Scratch Data'!$G$5:$G$13,1))+($A75-INDEX('Scratch Data'!$G$5:$G$13,MATCH($A75,'Scratch Data'!$G$5:$G$13,1)))*(INDEX('Scratch Data'!$J$5:$J$13,MIN(MATCH($A75,'Scratch Data'!$G$5:$G$13,1)+1,ROWS('Scratch Data'!$G$5:$G$13)))-INDEX('Scratch Data'!$J$5:$J$13,MATCH($A75,'Scratch Data'!$G$5:$G$13,1)))/MAX(INDEX('Scratch Data'!$G$5:$G$13,MIN(MATCH($A75,'Scratch Data'!$G$5:$G$13,1)+1,ROWS('Scratch Data'!$G$5:$G$13)))-INDEX('Scratch Data'!$G$5:$G$13,MATCH($A75,'Scratch Data'!$G$5:$G$13,1)),0.0001))+Inputs!$B$14)),(1+Inputs!$B$19*INDEX(Baseline!$B$3:$B$122,MATCH(MIN(MAX(ROUND((MAX($A75-Inputs!$B$21,30))/5,0)*5,5),600),Baseline!$A$3:$A$122,0))+(1-Inputs!$B$19)*INDEX(Baseline!$C$3:$C$122,MATCH(MIN(MAX(ROUND((MAX($A75-Inputs!$B$21,30))/5,0)*5,5),600),Baseline!$A$3:$A$122,0))+Inputs!$B$14)),(1+Inputs!$B$19*INDEX(Baseline!$B$3:$B$122,MATCH(MIN(MAX(ROUND((MAX($A75-Inputs!$B$21,30))/5,0)*5,5),600),Baseline!$A$3:$A$122,0))+(1-Inputs!$B$19)*INDEX(Baseline!$C$3:$C$122,MATCH(MIN(MAX(ROUND((MAX($A75-Inputs!$B$21,30))/5,0)*5,5),600),Baseline!$A$3:$A$122,0))+Inputs!$B$14)))</f>
        <v>4.49053452</v>
      </c>
      <c r="D75" s="10" t="n">
        <f aca="false">IF($A75&lt;=50,(INDEX('Scratch Data'!$P$5:$P$11,MATCH($A75,'Scratch Data'!$O$5:$O$11,1))+($A75-INDEX('Scratch Data'!$O$5:$O$11,MATCH($A75,'Scratch Data'!$O$5:$O$11,1)))*(INDEX('Scratch Data'!$P$5:$P$11,MIN(MATCH($A75,'Scratch Data'!$O$5:$O$11,1)+1,ROWS('Scratch Data'!$O$5:$O$11)))-INDEX('Scratch Data'!$P$5:$P$11,MATCH($A75,'Scratch Data'!$O$5:$O$11,1)))/MAX(INDEX('Scratch Data'!$O$5:$O$11,MIN(MATCH($A75,'Scratch Data'!$O$5:$O$11,1)+1,ROWS('Scratch Data'!$O$5:$O$11)))-INDEX('Scratch Data'!$O$5:$O$11,MATCH($A75,'Scratch Data'!$O$5:$O$11,1)),0.0001)),IF($A75&lt;=250,MIN((1+(INDEX('Scratch Data'!$H$5:$H$13,MATCH($A75,'Scratch Data'!$G$5:$G$13,1))+($A75-INDEX('Scratch Data'!$G$5:$G$13,MATCH($A75,'Scratch Data'!$G$5:$G$13,1)))*(INDEX('Scratch Data'!$H$5:$H$13,MIN(MATCH($A75,'Scratch Data'!$G$5:$G$13,1)+1,ROWS('Scratch Data'!$G$5:$G$13)))-INDEX('Scratch Data'!$H$5:$H$13,MATCH($A75,'Scratch Data'!$G$5:$G$13,1)))/MAX(INDEX('Scratch Data'!$G$5:$G$13,MIN(MATCH($A75,'Scratch Data'!$G$5:$G$13,1)+1,ROWS('Scratch Data'!$G$5:$G$13)))-INDEX('Scratch Data'!$G$5:$G$13,MATCH($A75,'Scratch Data'!$G$5:$G$13,1)),0.0001))*Inputs!$B$15*INDEX(Baseline!$I$3:$I$102,MIN(MAX(ROUND(Inputs!$B$11*(INDEX('Scratch Data'!$I$5:$I$13,MATCH($A75,'Scratch Data'!$G$5:$G$13,1))+($A75-INDEX('Scratch Data'!$G$5:$G$13,MATCH($A75,'Scratch Data'!$G$5:$G$13,1)))*(INDEX('Scratch Data'!$I$5:$I$13,MIN(MATCH($A75,'Scratch Data'!$G$5:$G$13,1)+1,ROWS('Scratch Data'!$G$5:$G$13)))-INDEX('Scratch Data'!$I$5:$I$13,MATCH($A75,'Scratch Data'!$G$5:$G$13,1)))/MAX(INDEX('Scratch Data'!$G$5:$G$13,MIN(MATCH($A75,'Scratch Data'!$G$5:$G$13,1)+1,ROWS('Scratch Data'!$G$5:$G$13)))-INDEX('Scratch Data'!$G$5:$G$13,MATCH($A75,'Scratch Data'!$G$5:$G$13,1)),0.0001))*Inputs!$B$16,0),1),100))+(1-(INDEX('Scratch Data'!$H$5:$H$13,MATCH($A75,'Scratch Data'!$G$5:$G$13,1))+($A75-INDEX('Scratch Data'!$G$5:$G$13,MATCH($A75,'Scratch Data'!$G$5:$G$13,1)))*(INDEX('Scratch Data'!$H$5:$H$13,MIN(MATCH($A75,'Scratch Data'!$G$5:$G$13,1)+1,ROWS('Scratch Data'!$G$5:$G$13)))-INDEX('Scratch Data'!$H$5:$H$13,MATCH($A75,'Scratch Data'!$G$5:$G$13,1)))/MAX(INDEX('Scratch Data'!$G$5:$G$13,MIN(MATCH($A75,'Scratch Data'!$G$5:$G$13,1)+1,ROWS('Scratch Data'!$G$5:$G$13)))-INDEX('Scratch Data'!$G$5:$G$13,MATCH($A75,'Scratch Data'!$G$5:$G$13,1)),0.0001))*Inputs!$B$15)*((INDEX('Scratch Data'!$J$5:$J$13,MATCH($A75,'Scratch Data'!$G$5:$G$13,1))+($A75-INDEX('Scratch Data'!$G$5:$G$13,MATCH($A75,'Scratch Data'!$G$5:$G$13,1)))*(INDEX('Scratch Data'!$J$5:$J$13,MIN(MATCH($A75,'Scratch Data'!$G$5:$G$13,1)+1,ROWS('Scratch Data'!$G$5:$G$13)))-INDEX('Scratch Data'!$J$5:$J$13,MATCH($A75,'Scratch Data'!$G$5:$G$13,1)))/MAX(INDEX('Scratch Data'!$G$5:$G$13,MIN(MATCH($A75,'Scratch Data'!$G$5:$G$13,1)+1,ROWS('Scratch Data'!$G$5:$G$13)))-INDEX('Scratch Data'!$G$5:$G$13,MATCH($A75,'Scratch Data'!$G$5:$G$13,1)),0.0001))+Inputs!$B$17)),(1+Inputs!$B$19*INDEX(Baseline!$B$3:$B$122,MATCH(MIN(MAX(ROUND((MAX($A75-Inputs!$B$22,30))/5,0)*5,5),600),Baseline!$A$3:$A$122,0))+(1-Inputs!$B$19)*INDEX(Baseline!$C$3:$C$122,MATCH(MIN(MAX(ROUND((MAX($A75-Inputs!$B$22,30))/5,0)*5,5),600),Baseline!$A$3:$A$122,0))+Inputs!$B$17)),(1+Inputs!$B$19*INDEX(Baseline!$B$3:$B$122,MATCH(MIN(MAX(ROUND((MAX($A75-Inputs!$B$22,30))/5,0)*5,5),600),Baseline!$A$3:$A$122,0))+(1-Inputs!$B$19)*INDEX(Baseline!$C$3:$C$122,MATCH(MIN(MAX(ROUND((MAX($A75-Inputs!$B$22,30))/5,0)*5,5),600),Baseline!$A$3:$A$122,0))+Inputs!$B$17)))</f>
        <v>4.689649144</v>
      </c>
      <c r="E75" s="10" t="n">
        <f aca="false">1+Inputs!$B$24+0.6*INDEX(Baseline!$B$3:$B$122,MATCH(MIN(MAX(ROUND((MAX($A75-Inputs!$B$23,15))/5,0)*5,5),600),Baseline!$A$3:$A$122,0))+0.4*INDEX(Baseline!$C$3:$C$122,MATCH(MIN(MAX(ROUND((MAX($A75-Inputs!$B$23,15))/5,0)*5,5),600),Baseline!$A$3:$A$122,0))</f>
        <v>5.01106</v>
      </c>
      <c r="H75" s="7" t="n">
        <v>73</v>
      </c>
      <c r="I75" s="10" t="n">
        <f aca="false">(INDEX('Scratch Data'!$E$5:$E$22,MATCH($H75,'Scratch Data'!$A$5:$A$22,1))+($H75-INDEX('Scratch Data'!$A$5:$A$22,MATCH($H75,'Scratch Data'!$A$5:$A$22,1)))*(INDEX('Scratch Data'!$E$5:$E$22,MIN(MATCH($H75,'Scratch Data'!$A$5:$A$22,1)+1,ROWS('Scratch Data'!$A$5:$A$22)))-INDEX('Scratch Data'!$E$5:$E$22,MATCH($H75,'Scratch Data'!$A$5:$A$22,1)))/MAX(INDEX('Scratch Data'!$A$5:$A$22,MIN(MATCH($H75,'Scratch Data'!$A$5:$A$22,1)+1,ROWS('Scratch Data'!$A$5:$A$22)))-INDEX('Scratch Data'!$A$5:$A$22,MATCH($H75,'Scratch Data'!$A$5:$A$22,1)),0.0001))</f>
        <v>2.4202</v>
      </c>
    </row>
    <row r="76" customFormat="false" ht="15" hidden="false" customHeight="false" outlineLevel="0" collapsed="false">
      <c r="A76" s="7" t="n">
        <v>370</v>
      </c>
      <c r="B76" s="10" t="n">
        <f aca="false">IF($A76&lt;=50,(INDEX('Scratch Data'!$M$5:$M$12,MATCH($A76,'Scratch Data'!$L$5:$L$12,1))+($A76-INDEX('Scratch Data'!$L$5:$L$12,MATCH($A76,'Scratch Data'!$L$5:$L$12,1)))*(INDEX('Scratch Data'!$M$5:$M$12,MIN(MATCH($A76,'Scratch Data'!$L$5:$L$12,1)+1,ROWS('Scratch Data'!$L$5:$L$12)))-INDEX('Scratch Data'!$M$5:$M$12,MATCH($A76,'Scratch Data'!$L$5:$L$12,1)))/MAX(INDEX('Scratch Data'!$L$5:$L$12,MIN(MATCH($A76,'Scratch Data'!$L$5:$L$12,1)+1,ROWS('Scratch Data'!$L$5:$L$12)))-INDEX('Scratch Data'!$L$5:$L$12,MATCH($A76,'Scratch Data'!$L$5:$L$12,1)),0.0001)),IF($A76&lt;=250,MIN((1+(INDEX('Scratch Data'!$H$5:$H$13,MATCH($A76,'Scratch Data'!$G$5:$G$13,1))+($A76-INDEX('Scratch Data'!$G$5:$G$13,MATCH($A76,'Scratch Data'!$G$5:$G$13,1)))*(INDEX('Scratch Data'!$H$5:$H$13,MIN(MATCH($A76,'Scratch Data'!$G$5:$G$13,1)+1,ROWS('Scratch Data'!$G$5:$G$13)))-INDEX('Scratch Data'!$H$5:$H$13,MATCH($A76,'Scratch Data'!$G$5:$G$13,1)))/MAX(INDEX('Scratch Data'!$G$5:$G$13,MIN(MATCH($A76,'Scratch Data'!$G$5:$G$13,1)+1,ROWS('Scratch Data'!$G$5:$G$13)))-INDEX('Scratch Data'!$G$5:$G$13,MATCH($A76,'Scratch Data'!$G$5:$G$13,1)),0.0001))*INDEX(Baseline!$I$3:$I$102,MIN(MAX(ROUND(Inputs!$B$11*(INDEX('Scratch Data'!$I$5:$I$13,MATCH($A76,'Scratch Data'!$G$5:$G$13,1))+($A76-INDEX('Scratch Data'!$G$5:$G$13,MATCH($A76,'Scratch Data'!$G$5:$G$13,1)))*(INDEX('Scratch Data'!$I$5:$I$13,MIN(MATCH($A76,'Scratch Data'!$G$5:$G$13,1)+1,ROWS('Scratch Data'!$G$5:$G$13)))-INDEX('Scratch Data'!$I$5:$I$13,MATCH($A76,'Scratch Data'!$G$5:$G$13,1)))/MAX(INDEX('Scratch Data'!$G$5:$G$13,MIN(MATCH($A76,'Scratch Data'!$G$5:$G$13,1)+1,ROWS('Scratch Data'!$G$5:$G$13)))-INDEX('Scratch Data'!$G$5:$G$13,MATCH($A76,'Scratch Data'!$G$5:$G$13,1)),0.0001)),0),1),100))+(1-(INDEX('Scratch Data'!$H$5:$H$13,MATCH($A76,'Scratch Data'!$G$5:$G$13,1))+($A76-INDEX('Scratch Data'!$G$5:$G$13,MATCH($A76,'Scratch Data'!$G$5:$G$13,1)))*(INDEX('Scratch Data'!$H$5:$H$13,MIN(MATCH($A76,'Scratch Data'!$G$5:$G$13,1)+1,ROWS('Scratch Data'!$G$5:$G$13)))-INDEX('Scratch Data'!$H$5:$H$13,MATCH($A76,'Scratch Data'!$G$5:$G$13,1)))/MAX(INDEX('Scratch Data'!$G$5:$G$13,MIN(MATCH($A76,'Scratch Data'!$G$5:$G$13,1)+1,ROWS('Scratch Data'!$G$5:$G$13)))-INDEX('Scratch Data'!$G$5:$G$13,MATCH($A76,'Scratch Data'!$G$5:$G$13,1)),0.0001)))*(INDEX('Scratch Data'!$J$5:$J$13,MATCH($A76,'Scratch Data'!$G$5:$G$13,1))+($A76-INDEX('Scratch Data'!$G$5:$G$13,MATCH($A76,'Scratch Data'!$G$5:$G$13,1)))*(INDEX('Scratch Data'!$J$5:$J$13,MIN(MATCH($A76,'Scratch Data'!$G$5:$G$13,1)+1,ROWS('Scratch Data'!$G$5:$G$13)))-INDEX('Scratch Data'!$J$5:$J$13,MATCH($A76,'Scratch Data'!$G$5:$G$13,1)))/MAX(INDEX('Scratch Data'!$G$5:$G$13,MIN(MATCH($A76,'Scratch Data'!$G$5:$G$13,1)+1,ROWS('Scratch Data'!$G$5:$G$13)))-INDEX('Scratch Data'!$G$5:$G$13,MATCH($A76,'Scratch Data'!$G$5:$G$13,1)),0.0001))),(1+Inputs!$B$19*INDEX(Baseline!$B$3:$B$122,MATCH(MIN(MAX(ROUND((MAX($A76-Inputs!$B$20,30))/5,0)*5,5),600),Baseline!$A$3:$A$122,0))+(1-Inputs!$B$19)*INDEX(Baseline!$C$3:$C$122,MATCH(MIN(MAX(ROUND((MAX($A76-Inputs!$B$20,30))/5,0)*5,5),600),Baseline!$A$3:$A$122,0)))),(1+Inputs!$B$19*INDEX(Baseline!$B$3:$B$122,MATCH(MIN(MAX(ROUND((MAX($A76-Inputs!$B$20,30))/5,0)*5,5),600),Baseline!$A$3:$A$122,0))+(1-Inputs!$B$19)*INDEX(Baseline!$C$3:$C$122,MATCH(MIN(MAX(ROUND((MAX($A76-Inputs!$B$20,30))/5,0)*5,5),600),Baseline!$A$3:$A$122,0)))))</f>
        <v>4.2819754</v>
      </c>
      <c r="C76" s="10" t="n">
        <f aca="false">IF($A76&lt;=50,$B76+Inputs!$B$18,IF($A76&lt;=250,MIN((1+(INDEX('Scratch Data'!$H$5:$H$13,MATCH($A76,'Scratch Data'!$G$5:$G$13,1))+($A76-INDEX('Scratch Data'!$G$5:$G$13,MATCH($A76,'Scratch Data'!$G$5:$G$13,1)))*(INDEX('Scratch Data'!$H$5:$H$13,MIN(MATCH($A76,'Scratch Data'!$G$5:$G$13,1)+1,ROWS('Scratch Data'!$G$5:$G$13)))-INDEX('Scratch Data'!$H$5:$H$13,MATCH($A76,'Scratch Data'!$G$5:$G$13,1)))/MAX(INDEX('Scratch Data'!$G$5:$G$13,MIN(MATCH($A76,'Scratch Data'!$G$5:$G$13,1)+1,ROWS('Scratch Data'!$G$5:$G$13)))-INDEX('Scratch Data'!$G$5:$G$13,MATCH($A76,'Scratch Data'!$G$5:$G$13,1)),0.0001))*Inputs!$B$12*INDEX(Baseline!$I$3:$I$102,MIN(MAX(ROUND(Inputs!$B$11*(INDEX('Scratch Data'!$I$5:$I$13,MATCH($A76,'Scratch Data'!$G$5:$G$13,1))+($A76-INDEX('Scratch Data'!$G$5:$G$13,MATCH($A76,'Scratch Data'!$G$5:$G$13,1)))*(INDEX('Scratch Data'!$I$5:$I$13,MIN(MATCH($A76,'Scratch Data'!$G$5:$G$13,1)+1,ROWS('Scratch Data'!$G$5:$G$13)))-INDEX('Scratch Data'!$I$5:$I$13,MATCH($A76,'Scratch Data'!$G$5:$G$13,1)))/MAX(INDEX('Scratch Data'!$G$5:$G$13,MIN(MATCH($A76,'Scratch Data'!$G$5:$G$13,1)+1,ROWS('Scratch Data'!$G$5:$G$13)))-INDEX('Scratch Data'!$G$5:$G$13,MATCH($A76,'Scratch Data'!$G$5:$G$13,1)),0.0001))*Inputs!$B$13,0),1),100))+(1-(INDEX('Scratch Data'!$H$5:$H$13,MATCH($A76,'Scratch Data'!$G$5:$G$13,1))+($A76-INDEX('Scratch Data'!$G$5:$G$13,MATCH($A76,'Scratch Data'!$G$5:$G$13,1)))*(INDEX('Scratch Data'!$H$5:$H$13,MIN(MATCH($A76,'Scratch Data'!$G$5:$G$13,1)+1,ROWS('Scratch Data'!$G$5:$G$13)))-INDEX('Scratch Data'!$H$5:$H$13,MATCH($A76,'Scratch Data'!$G$5:$G$13,1)))/MAX(INDEX('Scratch Data'!$G$5:$G$13,MIN(MATCH($A76,'Scratch Data'!$G$5:$G$13,1)+1,ROWS('Scratch Data'!$G$5:$G$13)))-INDEX('Scratch Data'!$G$5:$G$13,MATCH($A76,'Scratch Data'!$G$5:$G$13,1)),0.0001))*Inputs!$B$12)*((INDEX('Scratch Data'!$J$5:$J$13,MATCH($A76,'Scratch Data'!$G$5:$G$13,1))+($A76-INDEX('Scratch Data'!$G$5:$G$13,MATCH($A76,'Scratch Data'!$G$5:$G$13,1)))*(INDEX('Scratch Data'!$J$5:$J$13,MIN(MATCH($A76,'Scratch Data'!$G$5:$G$13,1)+1,ROWS('Scratch Data'!$G$5:$G$13)))-INDEX('Scratch Data'!$J$5:$J$13,MATCH($A76,'Scratch Data'!$G$5:$G$13,1)))/MAX(INDEX('Scratch Data'!$G$5:$G$13,MIN(MATCH($A76,'Scratch Data'!$G$5:$G$13,1)+1,ROWS('Scratch Data'!$G$5:$G$13)))-INDEX('Scratch Data'!$G$5:$G$13,MATCH($A76,'Scratch Data'!$G$5:$G$13,1)),0.0001))+Inputs!$B$14)),(1+Inputs!$B$19*INDEX(Baseline!$B$3:$B$122,MATCH(MIN(MAX(ROUND((MAX($A76-Inputs!$B$21,30))/5,0)*5,5),600),Baseline!$A$3:$A$122,0))+(1-Inputs!$B$19)*INDEX(Baseline!$C$3:$C$122,MATCH(MIN(MAX(ROUND((MAX($A76-Inputs!$B$21,30))/5,0)*5,5),600),Baseline!$A$3:$A$122,0))+Inputs!$B$14)),(1+Inputs!$B$19*INDEX(Baseline!$B$3:$B$122,MATCH(MIN(MAX(ROUND((MAX($A76-Inputs!$B$21,30))/5,0)*5,5),600),Baseline!$A$3:$A$122,0))+(1-Inputs!$B$19)*INDEX(Baseline!$C$3:$C$122,MATCH(MIN(MAX(ROUND((MAX($A76-Inputs!$B$21,30))/5,0)*5,5),600),Baseline!$A$3:$A$122,0))+Inputs!$B$14)))</f>
        <v>4.515271488</v>
      </c>
      <c r="D76" s="10" t="n">
        <f aca="false">IF($A76&lt;=50,(INDEX('Scratch Data'!$P$5:$P$11,MATCH($A76,'Scratch Data'!$O$5:$O$11,1))+($A76-INDEX('Scratch Data'!$O$5:$O$11,MATCH($A76,'Scratch Data'!$O$5:$O$11,1)))*(INDEX('Scratch Data'!$P$5:$P$11,MIN(MATCH($A76,'Scratch Data'!$O$5:$O$11,1)+1,ROWS('Scratch Data'!$O$5:$O$11)))-INDEX('Scratch Data'!$P$5:$P$11,MATCH($A76,'Scratch Data'!$O$5:$O$11,1)))/MAX(INDEX('Scratch Data'!$O$5:$O$11,MIN(MATCH($A76,'Scratch Data'!$O$5:$O$11,1)+1,ROWS('Scratch Data'!$O$5:$O$11)))-INDEX('Scratch Data'!$O$5:$O$11,MATCH($A76,'Scratch Data'!$O$5:$O$11,1)),0.0001)),IF($A76&lt;=250,MIN((1+(INDEX('Scratch Data'!$H$5:$H$13,MATCH($A76,'Scratch Data'!$G$5:$G$13,1))+($A76-INDEX('Scratch Data'!$G$5:$G$13,MATCH($A76,'Scratch Data'!$G$5:$G$13,1)))*(INDEX('Scratch Data'!$H$5:$H$13,MIN(MATCH($A76,'Scratch Data'!$G$5:$G$13,1)+1,ROWS('Scratch Data'!$G$5:$G$13)))-INDEX('Scratch Data'!$H$5:$H$13,MATCH($A76,'Scratch Data'!$G$5:$G$13,1)))/MAX(INDEX('Scratch Data'!$G$5:$G$13,MIN(MATCH($A76,'Scratch Data'!$G$5:$G$13,1)+1,ROWS('Scratch Data'!$G$5:$G$13)))-INDEX('Scratch Data'!$G$5:$G$13,MATCH($A76,'Scratch Data'!$G$5:$G$13,1)),0.0001))*Inputs!$B$15*INDEX(Baseline!$I$3:$I$102,MIN(MAX(ROUND(Inputs!$B$11*(INDEX('Scratch Data'!$I$5:$I$13,MATCH($A76,'Scratch Data'!$G$5:$G$13,1))+($A76-INDEX('Scratch Data'!$G$5:$G$13,MATCH($A76,'Scratch Data'!$G$5:$G$13,1)))*(INDEX('Scratch Data'!$I$5:$I$13,MIN(MATCH($A76,'Scratch Data'!$G$5:$G$13,1)+1,ROWS('Scratch Data'!$G$5:$G$13)))-INDEX('Scratch Data'!$I$5:$I$13,MATCH($A76,'Scratch Data'!$G$5:$G$13,1)))/MAX(INDEX('Scratch Data'!$G$5:$G$13,MIN(MATCH($A76,'Scratch Data'!$G$5:$G$13,1)+1,ROWS('Scratch Data'!$G$5:$G$13)))-INDEX('Scratch Data'!$G$5:$G$13,MATCH($A76,'Scratch Data'!$G$5:$G$13,1)),0.0001))*Inputs!$B$16,0),1),100))+(1-(INDEX('Scratch Data'!$H$5:$H$13,MATCH($A76,'Scratch Data'!$G$5:$G$13,1))+($A76-INDEX('Scratch Data'!$G$5:$G$13,MATCH($A76,'Scratch Data'!$G$5:$G$13,1)))*(INDEX('Scratch Data'!$H$5:$H$13,MIN(MATCH($A76,'Scratch Data'!$G$5:$G$13,1)+1,ROWS('Scratch Data'!$G$5:$G$13)))-INDEX('Scratch Data'!$H$5:$H$13,MATCH($A76,'Scratch Data'!$G$5:$G$13,1)))/MAX(INDEX('Scratch Data'!$G$5:$G$13,MIN(MATCH($A76,'Scratch Data'!$G$5:$G$13,1)+1,ROWS('Scratch Data'!$G$5:$G$13)))-INDEX('Scratch Data'!$G$5:$G$13,MATCH($A76,'Scratch Data'!$G$5:$G$13,1)),0.0001))*Inputs!$B$15)*((INDEX('Scratch Data'!$J$5:$J$13,MATCH($A76,'Scratch Data'!$G$5:$G$13,1))+($A76-INDEX('Scratch Data'!$G$5:$G$13,MATCH($A76,'Scratch Data'!$G$5:$G$13,1)))*(INDEX('Scratch Data'!$J$5:$J$13,MIN(MATCH($A76,'Scratch Data'!$G$5:$G$13,1)+1,ROWS('Scratch Data'!$G$5:$G$13)))-INDEX('Scratch Data'!$J$5:$J$13,MATCH($A76,'Scratch Data'!$G$5:$G$13,1)))/MAX(INDEX('Scratch Data'!$G$5:$G$13,MIN(MATCH($A76,'Scratch Data'!$G$5:$G$13,1)+1,ROWS('Scratch Data'!$G$5:$G$13)))-INDEX('Scratch Data'!$G$5:$G$13,MATCH($A76,'Scratch Data'!$G$5:$G$13,1)),0.0001))+Inputs!$B$17)),(1+Inputs!$B$19*INDEX(Baseline!$B$3:$B$122,MATCH(MIN(MAX(ROUND((MAX($A76-Inputs!$B$22,30))/5,0)*5,5),600),Baseline!$A$3:$A$122,0))+(1-Inputs!$B$19)*INDEX(Baseline!$C$3:$C$122,MATCH(MIN(MAX(ROUND((MAX($A76-Inputs!$B$22,30))/5,0)*5,5),600),Baseline!$A$3:$A$122,0))+Inputs!$B$17)),(1+Inputs!$B$19*INDEX(Baseline!$B$3:$B$122,MATCH(MIN(MAX(ROUND((MAX($A76-Inputs!$B$22,30))/5,0)*5,5),600),Baseline!$A$3:$A$122,0))+(1-Inputs!$B$19)*INDEX(Baseline!$C$3:$C$122,MATCH(MIN(MAX(ROUND((MAX($A76-Inputs!$B$22,30))/5,0)*5,5),600),Baseline!$A$3:$A$122,0))+Inputs!$B$17)))</f>
        <v>4.71072008</v>
      </c>
      <c r="E76" s="10" t="n">
        <f aca="false">1+Inputs!$B$24+0.6*INDEX(Baseline!$B$3:$B$122,MATCH(MIN(MAX(ROUND((MAX($A76-Inputs!$B$23,15))/5,0)*5,5),600),Baseline!$A$3:$A$122,0))+0.4*INDEX(Baseline!$C$3:$C$122,MATCH(MIN(MAX(ROUND((MAX($A76-Inputs!$B$23,15))/5,0)*5,5),600),Baseline!$A$3:$A$122,0))</f>
        <v>5.0530258432</v>
      </c>
      <c r="H76" s="7" t="n">
        <v>74</v>
      </c>
      <c r="I76" s="10" t="n">
        <f aca="false">(INDEX('Scratch Data'!$E$5:$E$22,MATCH($H76,'Scratch Data'!$A$5:$A$22,1))+($H76-INDEX('Scratch Data'!$A$5:$A$22,MATCH($H76,'Scratch Data'!$A$5:$A$22,1)))*(INDEX('Scratch Data'!$E$5:$E$22,MIN(MATCH($H76,'Scratch Data'!$A$5:$A$22,1)+1,ROWS('Scratch Data'!$A$5:$A$22)))-INDEX('Scratch Data'!$E$5:$E$22,MATCH($H76,'Scratch Data'!$A$5:$A$22,1)))/MAX(INDEX('Scratch Data'!$A$5:$A$22,MIN(MATCH($H76,'Scratch Data'!$A$5:$A$22,1)+1,ROWS('Scratch Data'!$A$5:$A$22)))-INDEX('Scratch Data'!$A$5:$A$22,MATCH($H76,'Scratch Data'!$A$5:$A$22,1)),0.0001))</f>
        <v>2.4266</v>
      </c>
    </row>
    <row r="77" customFormat="false" ht="15" hidden="false" customHeight="false" outlineLevel="0" collapsed="false">
      <c r="A77" s="7" t="n">
        <v>375</v>
      </c>
      <c r="B77" s="10" t="n">
        <f aca="false">IF($A77&lt;=50,(INDEX('Scratch Data'!$M$5:$M$12,MATCH($A77,'Scratch Data'!$L$5:$L$12,1))+($A77-INDEX('Scratch Data'!$L$5:$L$12,MATCH($A77,'Scratch Data'!$L$5:$L$12,1)))*(INDEX('Scratch Data'!$M$5:$M$12,MIN(MATCH($A77,'Scratch Data'!$L$5:$L$12,1)+1,ROWS('Scratch Data'!$L$5:$L$12)))-INDEX('Scratch Data'!$M$5:$M$12,MATCH($A77,'Scratch Data'!$L$5:$L$12,1)))/MAX(INDEX('Scratch Data'!$L$5:$L$12,MIN(MATCH($A77,'Scratch Data'!$L$5:$L$12,1)+1,ROWS('Scratch Data'!$L$5:$L$12)))-INDEX('Scratch Data'!$L$5:$L$12,MATCH($A77,'Scratch Data'!$L$5:$L$12,1)),0.0001)),IF($A77&lt;=250,MIN((1+(INDEX('Scratch Data'!$H$5:$H$13,MATCH($A77,'Scratch Data'!$G$5:$G$13,1))+($A77-INDEX('Scratch Data'!$G$5:$G$13,MATCH($A77,'Scratch Data'!$G$5:$G$13,1)))*(INDEX('Scratch Data'!$H$5:$H$13,MIN(MATCH($A77,'Scratch Data'!$G$5:$G$13,1)+1,ROWS('Scratch Data'!$G$5:$G$13)))-INDEX('Scratch Data'!$H$5:$H$13,MATCH($A77,'Scratch Data'!$G$5:$G$13,1)))/MAX(INDEX('Scratch Data'!$G$5:$G$13,MIN(MATCH($A77,'Scratch Data'!$G$5:$G$13,1)+1,ROWS('Scratch Data'!$G$5:$G$13)))-INDEX('Scratch Data'!$G$5:$G$13,MATCH($A77,'Scratch Data'!$G$5:$G$13,1)),0.0001))*INDEX(Baseline!$I$3:$I$102,MIN(MAX(ROUND(Inputs!$B$11*(INDEX('Scratch Data'!$I$5:$I$13,MATCH($A77,'Scratch Data'!$G$5:$G$13,1))+($A77-INDEX('Scratch Data'!$G$5:$G$13,MATCH($A77,'Scratch Data'!$G$5:$G$13,1)))*(INDEX('Scratch Data'!$I$5:$I$13,MIN(MATCH($A77,'Scratch Data'!$G$5:$G$13,1)+1,ROWS('Scratch Data'!$G$5:$G$13)))-INDEX('Scratch Data'!$I$5:$I$13,MATCH($A77,'Scratch Data'!$G$5:$G$13,1)))/MAX(INDEX('Scratch Data'!$G$5:$G$13,MIN(MATCH($A77,'Scratch Data'!$G$5:$G$13,1)+1,ROWS('Scratch Data'!$G$5:$G$13)))-INDEX('Scratch Data'!$G$5:$G$13,MATCH($A77,'Scratch Data'!$G$5:$G$13,1)),0.0001)),0),1),100))+(1-(INDEX('Scratch Data'!$H$5:$H$13,MATCH($A77,'Scratch Data'!$G$5:$G$13,1))+($A77-INDEX('Scratch Data'!$G$5:$G$13,MATCH($A77,'Scratch Data'!$G$5:$G$13,1)))*(INDEX('Scratch Data'!$H$5:$H$13,MIN(MATCH($A77,'Scratch Data'!$G$5:$G$13,1)+1,ROWS('Scratch Data'!$G$5:$G$13)))-INDEX('Scratch Data'!$H$5:$H$13,MATCH($A77,'Scratch Data'!$G$5:$G$13,1)))/MAX(INDEX('Scratch Data'!$G$5:$G$13,MIN(MATCH($A77,'Scratch Data'!$G$5:$G$13,1)+1,ROWS('Scratch Data'!$G$5:$G$13)))-INDEX('Scratch Data'!$G$5:$G$13,MATCH($A77,'Scratch Data'!$G$5:$G$13,1)),0.0001)))*(INDEX('Scratch Data'!$J$5:$J$13,MATCH($A77,'Scratch Data'!$G$5:$G$13,1))+($A77-INDEX('Scratch Data'!$G$5:$G$13,MATCH($A77,'Scratch Data'!$G$5:$G$13,1)))*(INDEX('Scratch Data'!$J$5:$J$13,MIN(MATCH($A77,'Scratch Data'!$G$5:$G$13,1)+1,ROWS('Scratch Data'!$G$5:$G$13)))-INDEX('Scratch Data'!$J$5:$J$13,MATCH($A77,'Scratch Data'!$G$5:$G$13,1)))/MAX(INDEX('Scratch Data'!$G$5:$G$13,MIN(MATCH($A77,'Scratch Data'!$G$5:$G$13,1)+1,ROWS('Scratch Data'!$G$5:$G$13)))-INDEX('Scratch Data'!$G$5:$G$13,MATCH($A77,'Scratch Data'!$G$5:$G$13,1)),0.0001))),(1+Inputs!$B$19*INDEX(Baseline!$B$3:$B$122,MATCH(MIN(MAX(ROUND((MAX($A77-Inputs!$B$20,30))/5,0)*5,5),600),Baseline!$A$3:$A$122,0))+(1-Inputs!$B$19)*INDEX(Baseline!$C$3:$C$122,MATCH(MIN(MAX(ROUND((MAX($A77-Inputs!$B$20,30))/5,0)*5,5),600),Baseline!$A$3:$A$122,0)))),(1+Inputs!$B$19*INDEX(Baseline!$B$3:$B$122,MATCH(MIN(MAX(ROUND((MAX($A77-Inputs!$B$20,30))/5,0)*5,5),600),Baseline!$A$3:$A$122,0))+(1-Inputs!$B$19)*INDEX(Baseline!$C$3:$C$122,MATCH(MIN(MAX(ROUND((MAX($A77-Inputs!$B$20,30))/5,0)*5,5),600),Baseline!$A$3:$A$122,0)))))</f>
        <v>4.304955584</v>
      </c>
      <c r="C77" s="10" t="n">
        <f aca="false">IF($A77&lt;=50,$B77+Inputs!$B$18,IF($A77&lt;=250,MIN((1+(INDEX('Scratch Data'!$H$5:$H$13,MATCH($A77,'Scratch Data'!$G$5:$G$13,1))+($A77-INDEX('Scratch Data'!$G$5:$G$13,MATCH($A77,'Scratch Data'!$G$5:$G$13,1)))*(INDEX('Scratch Data'!$H$5:$H$13,MIN(MATCH($A77,'Scratch Data'!$G$5:$G$13,1)+1,ROWS('Scratch Data'!$G$5:$G$13)))-INDEX('Scratch Data'!$H$5:$H$13,MATCH($A77,'Scratch Data'!$G$5:$G$13,1)))/MAX(INDEX('Scratch Data'!$G$5:$G$13,MIN(MATCH($A77,'Scratch Data'!$G$5:$G$13,1)+1,ROWS('Scratch Data'!$G$5:$G$13)))-INDEX('Scratch Data'!$G$5:$G$13,MATCH($A77,'Scratch Data'!$G$5:$G$13,1)),0.0001))*Inputs!$B$12*INDEX(Baseline!$I$3:$I$102,MIN(MAX(ROUND(Inputs!$B$11*(INDEX('Scratch Data'!$I$5:$I$13,MATCH($A77,'Scratch Data'!$G$5:$G$13,1))+($A77-INDEX('Scratch Data'!$G$5:$G$13,MATCH($A77,'Scratch Data'!$G$5:$G$13,1)))*(INDEX('Scratch Data'!$I$5:$I$13,MIN(MATCH($A77,'Scratch Data'!$G$5:$G$13,1)+1,ROWS('Scratch Data'!$G$5:$G$13)))-INDEX('Scratch Data'!$I$5:$I$13,MATCH($A77,'Scratch Data'!$G$5:$G$13,1)))/MAX(INDEX('Scratch Data'!$G$5:$G$13,MIN(MATCH($A77,'Scratch Data'!$G$5:$G$13,1)+1,ROWS('Scratch Data'!$G$5:$G$13)))-INDEX('Scratch Data'!$G$5:$G$13,MATCH($A77,'Scratch Data'!$G$5:$G$13,1)),0.0001))*Inputs!$B$13,0),1),100))+(1-(INDEX('Scratch Data'!$H$5:$H$13,MATCH($A77,'Scratch Data'!$G$5:$G$13,1))+($A77-INDEX('Scratch Data'!$G$5:$G$13,MATCH($A77,'Scratch Data'!$G$5:$G$13,1)))*(INDEX('Scratch Data'!$H$5:$H$13,MIN(MATCH($A77,'Scratch Data'!$G$5:$G$13,1)+1,ROWS('Scratch Data'!$G$5:$G$13)))-INDEX('Scratch Data'!$H$5:$H$13,MATCH($A77,'Scratch Data'!$G$5:$G$13,1)))/MAX(INDEX('Scratch Data'!$G$5:$G$13,MIN(MATCH($A77,'Scratch Data'!$G$5:$G$13,1)+1,ROWS('Scratch Data'!$G$5:$G$13)))-INDEX('Scratch Data'!$G$5:$G$13,MATCH($A77,'Scratch Data'!$G$5:$G$13,1)),0.0001))*Inputs!$B$12)*((INDEX('Scratch Data'!$J$5:$J$13,MATCH($A77,'Scratch Data'!$G$5:$G$13,1))+($A77-INDEX('Scratch Data'!$G$5:$G$13,MATCH($A77,'Scratch Data'!$G$5:$G$13,1)))*(INDEX('Scratch Data'!$J$5:$J$13,MIN(MATCH($A77,'Scratch Data'!$G$5:$G$13,1)+1,ROWS('Scratch Data'!$G$5:$G$13)))-INDEX('Scratch Data'!$J$5:$J$13,MATCH($A77,'Scratch Data'!$G$5:$G$13,1)))/MAX(INDEX('Scratch Data'!$G$5:$G$13,MIN(MATCH($A77,'Scratch Data'!$G$5:$G$13,1)+1,ROWS('Scratch Data'!$G$5:$G$13)))-INDEX('Scratch Data'!$G$5:$G$13,MATCH($A77,'Scratch Data'!$G$5:$G$13,1)),0.0001))+Inputs!$B$14)),(1+Inputs!$B$19*INDEX(Baseline!$B$3:$B$122,MATCH(MIN(MAX(ROUND((MAX($A77-Inputs!$B$21,30))/5,0)*5,5),600),Baseline!$A$3:$A$122,0))+(1-Inputs!$B$19)*INDEX(Baseline!$C$3:$C$122,MATCH(MIN(MAX(ROUND((MAX($A77-Inputs!$B$21,30))/5,0)*5,5),600),Baseline!$A$3:$A$122,0))+Inputs!$B$14)),(1+Inputs!$B$19*INDEX(Baseline!$B$3:$B$122,MATCH(MIN(MAX(ROUND((MAX($A77-Inputs!$B$21,30))/5,0)*5,5),600),Baseline!$A$3:$A$122,0))+(1-Inputs!$B$19)*INDEX(Baseline!$C$3:$C$122,MATCH(MIN(MAX(ROUND((MAX($A77-Inputs!$B$21,30))/5,0)*5,5),600),Baseline!$A$3:$A$122,0))+Inputs!$B$14)))</f>
        <v>4.540036248</v>
      </c>
      <c r="D77" s="10" t="n">
        <f aca="false">IF($A77&lt;=50,(INDEX('Scratch Data'!$P$5:$P$11,MATCH($A77,'Scratch Data'!$O$5:$O$11,1))+($A77-INDEX('Scratch Data'!$O$5:$O$11,MATCH($A77,'Scratch Data'!$O$5:$O$11,1)))*(INDEX('Scratch Data'!$P$5:$P$11,MIN(MATCH($A77,'Scratch Data'!$O$5:$O$11,1)+1,ROWS('Scratch Data'!$O$5:$O$11)))-INDEX('Scratch Data'!$P$5:$P$11,MATCH($A77,'Scratch Data'!$O$5:$O$11,1)))/MAX(INDEX('Scratch Data'!$O$5:$O$11,MIN(MATCH($A77,'Scratch Data'!$O$5:$O$11,1)+1,ROWS('Scratch Data'!$O$5:$O$11)))-INDEX('Scratch Data'!$O$5:$O$11,MATCH($A77,'Scratch Data'!$O$5:$O$11,1)),0.0001)),IF($A77&lt;=250,MIN((1+(INDEX('Scratch Data'!$H$5:$H$13,MATCH($A77,'Scratch Data'!$G$5:$G$13,1))+($A77-INDEX('Scratch Data'!$G$5:$G$13,MATCH($A77,'Scratch Data'!$G$5:$G$13,1)))*(INDEX('Scratch Data'!$H$5:$H$13,MIN(MATCH($A77,'Scratch Data'!$G$5:$G$13,1)+1,ROWS('Scratch Data'!$G$5:$G$13)))-INDEX('Scratch Data'!$H$5:$H$13,MATCH($A77,'Scratch Data'!$G$5:$G$13,1)))/MAX(INDEX('Scratch Data'!$G$5:$G$13,MIN(MATCH($A77,'Scratch Data'!$G$5:$G$13,1)+1,ROWS('Scratch Data'!$G$5:$G$13)))-INDEX('Scratch Data'!$G$5:$G$13,MATCH($A77,'Scratch Data'!$G$5:$G$13,1)),0.0001))*Inputs!$B$15*INDEX(Baseline!$I$3:$I$102,MIN(MAX(ROUND(Inputs!$B$11*(INDEX('Scratch Data'!$I$5:$I$13,MATCH($A77,'Scratch Data'!$G$5:$G$13,1))+($A77-INDEX('Scratch Data'!$G$5:$G$13,MATCH($A77,'Scratch Data'!$G$5:$G$13,1)))*(INDEX('Scratch Data'!$I$5:$I$13,MIN(MATCH($A77,'Scratch Data'!$G$5:$G$13,1)+1,ROWS('Scratch Data'!$G$5:$G$13)))-INDEX('Scratch Data'!$I$5:$I$13,MATCH($A77,'Scratch Data'!$G$5:$G$13,1)))/MAX(INDEX('Scratch Data'!$G$5:$G$13,MIN(MATCH($A77,'Scratch Data'!$G$5:$G$13,1)+1,ROWS('Scratch Data'!$G$5:$G$13)))-INDEX('Scratch Data'!$G$5:$G$13,MATCH($A77,'Scratch Data'!$G$5:$G$13,1)),0.0001))*Inputs!$B$16,0),1),100))+(1-(INDEX('Scratch Data'!$H$5:$H$13,MATCH($A77,'Scratch Data'!$G$5:$G$13,1))+($A77-INDEX('Scratch Data'!$G$5:$G$13,MATCH($A77,'Scratch Data'!$G$5:$G$13,1)))*(INDEX('Scratch Data'!$H$5:$H$13,MIN(MATCH($A77,'Scratch Data'!$G$5:$G$13,1)+1,ROWS('Scratch Data'!$G$5:$G$13)))-INDEX('Scratch Data'!$H$5:$H$13,MATCH($A77,'Scratch Data'!$G$5:$G$13,1)))/MAX(INDEX('Scratch Data'!$G$5:$G$13,MIN(MATCH($A77,'Scratch Data'!$G$5:$G$13,1)+1,ROWS('Scratch Data'!$G$5:$G$13)))-INDEX('Scratch Data'!$G$5:$G$13,MATCH($A77,'Scratch Data'!$G$5:$G$13,1)),0.0001))*Inputs!$B$15)*((INDEX('Scratch Data'!$J$5:$J$13,MATCH($A77,'Scratch Data'!$G$5:$G$13,1))+($A77-INDEX('Scratch Data'!$G$5:$G$13,MATCH($A77,'Scratch Data'!$G$5:$G$13,1)))*(INDEX('Scratch Data'!$J$5:$J$13,MIN(MATCH($A77,'Scratch Data'!$G$5:$G$13,1)+1,ROWS('Scratch Data'!$G$5:$G$13)))-INDEX('Scratch Data'!$J$5:$J$13,MATCH($A77,'Scratch Data'!$G$5:$G$13,1)))/MAX(INDEX('Scratch Data'!$G$5:$G$13,MIN(MATCH($A77,'Scratch Data'!$G$5:$G$13,1)+1,ROWS('Scratch Data'!$G$5:$G$13)))-INDEX('Scratch Data'!$G$5:$G$13,MATCH($A77,'Scratch Data'!$G$5:$G$13,1)),0.0001))+Inputs!$B$17)),(1+Inputs!$B$19*INDEX(Baseline!$B$3:$B$122,MATCH(MIN(MAX(ROUND((MAX($A77-Inputs!$B$22,30))/5,0)*5,5),600),Baseline!$A$3:$A$122,0))+(1-Inputs!$B$19)*INDEX(Baseline!$C$3:$C$122,MATCH(MIN(MAX(ROUND((MAX($A77-Inputs!$B$22,30))/5,0)*5,5),600),Baseline!$A$3:$A$122,0))+Inputs!$B$17)),(1+Inputs!$B$19*INDEX(Baseline!$B$3:$B$122,MATCH(MIN(MAX(ROUND((MAX($A77-Inputs!$B$22,30))/5,0)*5,5),600),Baseline!$A$3:$A$122,0))+(1-Inputs!$B$19)*INDEX(Baseline!$C$3:$C$122,MATCH(MIN(MAX(ROUND((MAX($A77-Inputs!$B$22,30))/5,0)*5,5),600),Baseline!$A$3:$A$122,0))+Inputs!$B$17)))</f>
        <v>4.735829696</v>
      </c>
      <c r="E77" s="10" t="n">
        <f aca="false">1+Inputs!$B$24+0.6*INDEX(Baseline!$B$3:$B$122,MATCH(MIN(MAX(ROUND((MAX($A77-Inputs!$B$23,15))/5,0)*5,5),600),Baseline!$A$3:$A$122,0))+0.4*INDEX(Baseline!$C$3:$C$122,MATCH(MIN(MAX(ROUND((MAX($A77-Inputs!$B$23,15))/5,0)*5,5),600),Baseline!$A$3:$A$122,0))</f>
        <v>5.08079897173333</v>
      </c>
      <c r="H77" s="7" t="n">
        <v>75</v>
      </c>
      <c r="I77" s="10" t="n">
        <f aca="false">(INDEX('Scratch Data'!$E$5:$E$22,MATCH($H77,'Scratch Data'!$A$5:$A$22,1))+($H77-INDEX('Scratch Data'!$A$5:$A$22,MATCH($H77,'Scratch Data'!$A$5:$A$22,1)))*(INDEX('Scratch Data'!$E$5:$E$22,MIN(MATCH($H77,'Scratch Data'!$A$5:$A$22,1)+1,ROWS('Scratch Data'!$A$5:$A$22)))-INDEX('Scratch Data'!$E$5:$E$22,MATCH($H77,'Scratch Data'!$A$5:$A$22,1)))/MAX(INDEX('Scratch Data'!$A$5:$A$22,MIN(MATCH($H77,'Scratch Data'!$A$5:$A$22,1)+1,ROWS('Scratch Data'!$A$5:$A$22)))-INDEX('Scratch Data'!$A$5:$A$22,MATCH($H77,'Scratch Data'!$A$5:$A$22,1)),0.0001))</f>
        <v>2.433</v>
      </c>
    </row>
    <row r="78" customFormat="false" ht="15" hidden="false" customHeight="false" outlineLevel="0" collapsed="false">
      <c r="A78" s="7" t="n">
        <v>380</v>
      </c>
      <c r="B78" s="10" t="n">
        <f aca="false">IF($A78&lt;=50,(INDEX('Scratch Data'!$M$5:$M$12,MATCH($A78,'Scratch Data'!$L$5:$L$12,1))+($A78-INDEX('Scratch Data'!$L$5:$L$12,MATCH($A78,'Scratch Data'!$L$5:$L$12,1)))*(INDEX('Scratch Data'!$M$5:$M$12,MIN(MATCH($A78,'Scratch Data'!$L$5:$L$12,1)+1,ROWS('Scratch Data'!$L$5:$L$12)))-INDEX('Scratch Data'!$M$5:$M$12,MATCH($A78,'Scratch Data'!$L$5:$L$12,1)))/MAX(INDEX('Scratch Data'!$L$5:$L$12,MIN(MATCH($A78,'Scratch Data'!$L$5:$L$12,1)+1,ROWS('Scratch Data'!$L$5:$L$12)))-INDEX('Scratch Data'!$L$5:$L$12,MATCH($A78,'Scratch Data'!$L$5:$L$12,1)),0.0001)),IF($A78&lt;=250,MIN((1+(INDEX('Scratch Data'!$H$5:$H$13,MATCH($A78,'Scratch Data'!$G$5:$G$13,1))+($A78-INDEX('Scratch Data'!$G$5:$G$13,MATCH($A78,'Scratch Data'!$G$5:$G$13,1)))*(INDEX('Scratch Data'!$H$5:$H$13,MIN(MATCH($A78,'Scratch Data'!$G$5:$G$13,1)+1,ROWS('Scratch Data'!$G$5:$G$13)))-INDEX('Scratch Data'!$H$5:$H$13,MATCH($A78,'Scratch Data'!$G$5:$G$13,1)))/MAX(INDEX('Scratch Data'!$G$5:$G$13,MIN(MATCH($A78,'Scratch Data'!$G$5:$G$13,1)+1,ROWS('Scratch Data'!$G$5:$G$13)))-INDEX('Scratch Data'!$G$5:$G$13,MATCH($A78,'Scratch Data'!$G$5:$G$13,1)),0.0001))*INDEX(Baseline!$I$3:$I$102,MIN(MAX(ROUND(Inputs!$B$11*(INDEX('Scratch Data'!$I$5:$I$13,MATCH($A78,'Scratch Data'!$G$5:$G$13,1))+($A78-INDEX('Scratch Data'!$G$5:$G$13,MATCH($A78,'Scratch Data'!$G$5:$G$13,1)))*(INDEX('Scratch Data'!$I$5:$I$13,MIN(MATCH($A78,'Scratch Data'!$G$5:$G$13,1)+1,ROWS('Scratch Data'!$G$5:$G$13)))-INDEX('Scratch Data'!$I$5:$I$13,MATCH($A78,'Scratch Data'!$G$5:$G$13,1)))/MAX(INDEX('Scratch Data'!$G$5:$G$13,MIN(MATCH($A78,'Scratch Data'!$G$5:$G$13,1)+1,ROWS('Scratch Data'!$G$5:$G$13)))-INDEX('Scratch Data'!$G$5:$G$13,MATCH($A78,'Scratch Data'!$G$5:$G$13,1)),0.0001)),0),1),100))+(1-(INDEX('Scratch Data'!$H$5:$H$13,MATCH($A78,'Scratch Data'!$G$5:$G$13,1))+($A78-INDEX('Scratch Data'!$G$5:$G$13,MATCH($A78,'Scratch Data'!$G$5:$G$13,1)))*(INDEX('Scratch Data'!$H$5:$H$13,MIN(MATCH($A78,'Scratch Data'!$G$5:$G$13,1)+1,ROWS('Scratch Data'!$G$5:$G$13)))-INDEX('Scratch Data'!$H$5:$H$13,MATCH($A78,'Scratch Data'!$G$5:$G$13,1)))/MAX(INDEX('Scratch Data'!$G$5:$G$13,MIN(MATCH($A78,'Scratch Data'!$G$5:$G$13,1)+1,ROWS('Scratch Data'!$G$5:$G$13)))-INDEX('Scratch Data'!$G$5:$G$13,MATCH($A78,'Scratch Data'!$G$5:$G$13,1)),0.0001)))*(INDEX('Scratch Data'!$J$5:$J$13,MATCH($A78,'Scratch Data'!$G$5:$G$13,1))+($A78-INDEX('Scratch Data'!$G$5:$G$13,MATCH($A78,'Scratch Data'!$G$5:$G$13,1)))*(INDEX('Scratch Data'!$J$5:$J$13,MIN(MATCH($A78,'Scratch Data'!$G$5:$G$13,1)+1,ROWS('Scratch Data'!$G$5:$G$13)))-INDEX('Scratch Data'!$J$5:$J$13,MATCH($A78,'Scratch Data'!$G$5:$G$13,1)))/MAX(INDEX('Scratch Data'!$G$5:$G$13,MIN(MATCH($A78,'Scratch Data'!$G$5:$G$13,1)+1,ROWS('Scratch Data'!$G$5:$G$13)))-INDEX('Scratch Data'!$G$5:$G$13,MATCH($A78,'Scratch Data'!$G$5:$G$13,1)),0.0001))),(1+Inputs!$B$19*INDEX(Baseline!$B$3:$B$122,MATCH(MIN(MAX(ROUND((MAX($A78-Inputs!$B$20,30))/5,0)*5,5),600),Baseline!$A$3:$A$122,0))+(1-Inputs!$B$19)*INDEX(Baseline!$C$3:$C$122,MATCH(MIN(MAX(ROUND((MAX($A78-Inputs!$B$20,30))/5,0)*5,5),600),Baseline!$A$3:$A$122,0)))),(1+Inputs!$B$19*INDEX(Baseline!$B$3:$B$122,MATCH(MIN(MAX(ROUND((MAX($A78-Inputs!$B$20,30))/5,0)*5,5),600),Baseline!$A$3:$A$122,0))+(1-Inputs!$B$19)*INDEX(Baseline!$C$3:$C$122,MATCH(MIN(MAX(ROUND((MAX($A78-Inputs!$B$20,30))/5,0)*5,5),600),Baseline!$A$3:$A$122,0)))))</f>
        <v>4.327764632</v>
      </c>
      <c r="C78" s="10" t="n">
        <f aca="false">IF($A78&lt;=50,$B78+Inputs!$B$18,IF($A78&lt;=250,MIN((1+(INDEX('Scratch Data'!$H$5:$H$13,MATCH($A78,'Scratch Data'!$G$5:$G$13,1))+($A78-INDEX('Scratch Data'!$G$5:$G$13,MATCH($A78,'Scratch Data'!$G$5:$G$13,1)))*(INDEX('Scratch Data'!$H$5:$H$13,MIN(MATCH($A78,'Scratch Data'!$G$5:$G$13,1)+1,ROWS('Scratch Data'!$G$5:$G$13)))-INDEX('Scratch Data'!$H$5:$H$13,MATCH($A78,'Scratch Data'!$G$5:$G$13,1)))/MAX(INDEX('Scratch Data'!$G$5:$G$13,MIN(MATCH($A78,'Scratch Data'!$G$5:$G$13,1)+1,ROWS('Scratch Data'!$G$5:$G$13)))-INDEX('Scratch Data'!$G$5:$G$13,MATCH($A78,'Scratch Data'!$G$5:$G$13,1)),0.0001))*Inputs!$B$12*INDEX(Baseline!$I$3:$I$102,MIN(MAX(ROUND(Inputs!$B$11*(INDEX('Scratch Data'!$I$5:$I$13,MATCH($A78,'Scratch Data'!$G$5:$G$13,1))+($A78-INDEX('Scratch Data'!$G$5:$G$13,MATCH($A78,'Scratch Data'!$G$5:$G$13,1)))*(INDEX('Scratch Data'!$I$5:$I$13,MIN(MATCH($A78,'Scratch Data'!$G$5:$G$13,1)+1,ROWS('Scratch Data'!$G$5:$G$13)))-INDEX('Scratch Data'!$I$5:$I$13,MATCH($A78,'Scratch Data'!$G$5:$G$13,1)))/MAX(INDEX('Scratch Data'!$G$5:$G$13,MIN(MATCH($A78,'Scratch Data'!$G$5:$G$13,1)+1,ROWS('Scratch Data'!$G$5:$G$13)))-INDEX('Scratch Data'!$G$5:$G$13,MATCH($A78,'Scratch Data'!$G$5:$G$13,1)),0.0001))*Inputs!$B$13,0),1),100))+(1-(INDEX('Scratch Data'!$H$5:$H$13,MATCH($A78,'Scratch Data'!$G$5:$G$13,1))+($A78-INDEX('Scratch Data'!$G$5:$G$13,MATCH($A78,'Scratch Data'!$G$5:$G$13,1)))*(INDEX('Scratch Data'!$H$5:$H$13,MIN(MATCH($A78,'Scratch Data'!$G$5:$G$13,1)+1,ROWS('Scratch Data'!$G$5:$G$13)))-INDEX('Scratch Data'!$H$5:$H$13,MATCH($A78,'Scratch Data'!$G$5:$G$13,1)))/MAX(INDEX('Scratch Data'!$G$5:$G$13,MIN(MATCH($A78,'Scratch Data'!$G$5:$G$13,1)+1,ROWS('Scratch Data'!$G$5:$G$13)))-INDEX('Scratch Data'!$G$5:$G$13,MATCH($A78,'Scratch Data'!$G$5:$G$13,1)),0.0001))*Inputs!$B$12)*((INDEX('Scratch Data'!$J$5:$J$13,MATCH($A78,'Scratch Data'!$G$5:$G$13,1))+($A78-INDEX('Scratch Data'!$G$5:$G$13,MATCH($A78,'Scratch Data'!$G$5:$G$13,1)))*(INDEX('Scratch Data'!$J$5:$J$13,MIN(MATCH($A78,'Scratch Data'!$G$5:$G$13,1)+1,ROWS('Scratch Data'!$G$5:$G$13)))-INDEX('Scratch Data'!$J$5:$J$13,MATCH($A78,'Scratch Data'!$G$5:$G$13,1)))/MAX(INDEX('Scratch Data'!$G$5:$G$13,MIN(MATCH($A78,'Scratch Data'!$G$5:$G$13,1)+1,ROWS('Scratch Data'!$G$5:$G$13)))-INDEX('Scratch Data'!$G$5:$G$13,MATCH($A78,'Scratch Data'!$G$5:$G$13,1)),0.0001))+Inputs!$B$14)),(1+Inputs!$B$19*INDEX(Baseline!$B$3:$B$122,MATCH(MIN(MAX(ROUND((MAX($A78-Inputs!$B$21,30))/5,0)*5,5),600),Baseline!$A$3:$A$122,0))+(1-Inputs!$B$19)*INDEX(Baseline!$C$3:$C$122,MATCH(MIN(MAX(ROUND((MAX($A78-Inputs!$B$21,30))/5,0)*5,5),600),Baseline!$A$3:$A$122,0))+Inputs!$B$14)),(1+Inputs!$B$19*INDEX(Baseline!$B$3:$B$122,MATCH(MIN(MAX(ROUND((MAX($A78-Inputs!$B$21,30))/5,0)*5,5),600),Baseline!$A$3:$A$122,0))+(1-Inputs!$B$19)*INDEX(Baseline!$C$3:$C$122,MATCH(MIN(MAX(ROUND((MAX($A78-Inputs!$B$21,30))/5,0)*5,5),600),Baseline!$A$3:$A$122,0))+Inputs!$B$14)))</f>
        <v>4.5648288</v>
      </c>
      <c r="D78" s="10" t="n">
        <f aca="false">IF($A78&lt;=50,(INDEX('Scratch Data'!$P$5:$P$11,MATCH($A78,'Scratch Data'!$O$5:$O$11,1))+($A78-INDEX('Scratch Data'!$O$5:$O$11,MATCH($A78,'Scratch Data'!$O$5:$O$11,1)))*(INDEX('Scratch Data'!$P$5:$P$11,MIN(MATCH($A78,'Scratch Data'!$O$5:$O$11,1)+1,ROWS('Scratch Data'!$O$5:$O$11)))-INDEX('Scratch Data'!$P$5:$P$11,MATCH($A78,'Scratch Data'!$O$5:$O$11,1)))/MAX(INDEX('Scratch Data'!$O$5:$O$11,MIN(MATCH($A78,'Scratch Data'!$O$5:$O$11,1)+1,ROWS('Scratch Data'!$O$5:$O$11)))-INDEX('Scratch Data'!$O$5:$O$11,MATCH($A78,'Scratch Data'!$O$5:$O$11,1)),0.0001)),IF($A78&lt;=250,MIN((1+(INDEX('Scratch Data'!$H$5:$H$13,MATCH($A78,'Scratch Data'!$G$5:$G$13,1))+($A78-INDEX('Scratch Data'!$G$5:$G$13,MATCH($A78,'Scratch Data'!$G$5:$G$13,1)))*(INDEX('Scratch Data'!$H$5:$H$13,MIN(MATCH($A78,'Scratch Data'!$G$5:$G$13,1)+1,ROWS('Scratch Data'!$G$5:$G$13)))-INDEX('Scratch Data'!$H$5:$H$13,MATCH($A78,'Scratch Data'!$G$5:$G$13,1)))/MAX(INDEX('Scratch Data'!$G$5:$G$13,MIN(MATCH($A78,'Scratch Data'!$G$5:$G$13,1)+1,ROWS('Scratch Data'!$G$5:$G$13)))-INDEX('Scratch Data'!$G$5:$G$13,MATCH($A78,'Scratch Data'!$G$5:$G$13,1)),0.0001))*Inputs!$B$15*INDEX(Baseline!$I$3:$I$102,MIN(MAX(ROUND(Inputs!$B$11*(INDEX('Scratch Data'!$I$5:$I$13,MATCH($A78,'Scratch Data'!$G$5:$G$13,1))+($A78-INDEX('Scratch Data'!$G$5:$G$13,MATCH($A78,'Scratch Data'!$G$5:$G$13,1)))*(INDEX('Scratch Data'!$I$5:$I$13,MIN(MATCH($A78,'Scratch Data'!$G$5:$G$13,1)+1,ROWS('Scratch Data'!$G$5:$G$13)))-INDEX('Scratch Data'!$I$5:$I$13,MATCH($A78,'Scratch Data'!$G$5:$G$13,1)))/MAX(INDEX('Scratch Data'!$G$5:$G$13,MIN(MATCH($A78,'Scratch Data'!$G$5:$G$13,1)+1,ROWS('Scratch Data'!$G$5:$G$13)))-INDEX('Scratch Data'!$G$5:$G$13,MATCH($A78,'Scratch Data'!$G$5:$G$13,1)),0.0001))*Inputs!$B$16,0),1),100))+(1-(INDEX('Scratch Data'!$H$5:$H$13,MATCH($A78,'Scratch Data'!$G$5:$G$13,1))+($A78-INDEX('Scratch Data'!$G$5:$G$13,MATCH($A78,'Scratch Data'!$G$5:$G$13,1)))*(INDEX('Scratch Data'!$H$5:$H$13,MIN(MATCH($A78,'Scratch Data'!$G$5:$G$13,1)+1,ROWS('Scratch Data'!$G$5:$G$13)))-INDEX('Scratch Data'!$H$5:$H$13,MATCH($A78,'Scratch Data'!$G$5:$G$13,1)))/MAX(INDEX('Scratch Data'!$G$5:$G$13,MIN(MATCH($A78,'Scratch Data'!$G$5:$G$13,1)+1,ROWS('Scratch Data'!$G$5:$G$13)))-INDEX('Scratch Data'!$G$5:$G$13,MATCH($A78,'Scratch Data'!$G$5:$G$13,1)),0.0001))*Inputs!$B$15)*((INDEX('Scratch Data'!$J$5:$J$13,MATCH($A78,'Scratch Data'!$G$5:$G$13,1))+($A78-INDEX('Scratch Data'!$G$5:$G$13,MATCH($A78,'Scratch Data'!$G$5:$G$13,1)))*(INDEX('Scratch Data'!$J$5:$J$13,MIN(MATCH($A78,'Scratch Data'!$G$5:$G$13,1)+1,ROWS('Scratch Data'!$G$5:$G$13)))-INDEX('Scratch Data'!$J$5:$J$13,MATCH($A78,'Scratch Data'!$G$5:$G$13,1)))/MAX(INDEX('Scratch Data'!$G$5:$G$13,MIN(MATCH($A78,'Scratch Data'!$G$5:$G$13,1)+1,ROWS('Scratch Data'!$G$5:$G$13)))-INDEX('Scratch Data'!$G$5:$G$13,MATCH($A78,'Scratch Data'!$G$5:$G$13,1)),0.0001))+Inputs!$B$17)),(1+Inputs!$B$19*INDEX(Baseline!$B$3:$B$122,MATCH(MIN(MAX(ROUND((MAX($A78-Inputs!$B$22,30))/5,0)*5,5),600),Baseline!$A$3:$A$122,0))+(1-Inputs!$B$19)*INDEX(Baseline!$C$3:$C$122,MATCH(MIN(MAX(ROUND((MAX($A78-Inputs!$B$22,30))/5,0)*5,5),600),Baseline!$A$3:$A$122,0))+Inputs!$B$17)),(1+Inputs!$B$19*INDEX(Baseline!$B$3:$B$122,MATCH(MIN(MAX(ROUND((MAX($A78-Inputs!$B$22,30))/5,0)*5,5),600),Baseline!$A$3:$A$122,0))+(1-Inputs!$B$19)*INDEX(Baseline!$C$3:$C$122,MATCH(MIN(MAX(ROUND((MAX($A78-Inputs!$B$22,30))/5,0)*5,5),600),Baseline!$A$3:$A$122,0))+Inputs!$B$17)))</f>
        <v>4.760049776</v>
      </c>
      <c r="E78" s="10" t="n">
        <f aca="false">1+Inputs!$B$24+0.6*INDEX(Baseline!$B$3:$B$122,MATCH(MIN(MAX(ROUND((MAX($A78-Inputs!$B$23,15))/5,0)*5,5),600),Baseline!$A$3:$A$122,0))+0.4*INDEX(Baseline!$C$3:$C$122,MATCH(MIN(MAX(ROUND((MAX($A78-Inputs!$B$23,15))/5,0)*5,5),600),Baseline!$A$3:$A$122,0))</f>
        <v>5.1102101472</v>
      </c>
      <c r="H78" s="7" t="n">
        <v>76</v>
      </c>
      <c r="I78" s="10" t="n">
        <f aca="false">(INDEX('Scratch Data'!$E$5:$E$22,MATCH($H78,'Scratch Data'!$A$5:$A$22,1))+($H78-INDEX('Scratch Data'!$A$5:$A$22,MATCH($H78,'Scratch Data'!$A$5:$A$22,1)))*(INDEX('Scratch Data'!$E$5:$E$22,MIN(MATCH($H78,'Scratch Data'!$A$5:$A$22,1)+1,ROWS('Scratch Data'!$A$5:$A$22)))-INDEX('Scratch Data'!$E$5:$E$22,MATCH($H78,'Scratch Data'!$A$5:$A$22,1)))/MAX(INDEX('Scratch Data'!$A$5:$A$22,MIN(MATCH($H78,'Scratch Data'!$A$5:$A$22,1)+1,ROWS('Scratch Data'!$A$5:$A$22)))-INDEX('Scratch Data'!$A$5:$A$22,MATCH($H78,'Scratch Data'!$A$5:$A$22,1)),0.0001))</f>
        <v>2.4394</v>
      </c>
    </row>
    <row r="79" customFormat="false" ht="15" hidden="false" customHeight="false" outlineLevel="0" collapsed="false">
      <c r="A79" s="7" t="n">
        <v>385</v>
      </c>
      <c r="B79" s="10" t="n">
        <f aca="false">IF($A79&lt;=50,(INDEX('Scratch Data'!$M$5:$M$12,MATCH($A79,'Scratch Data'!$L$5:$L$12,1))+($A79-INDEX('Scratch Data'!$L$5:$L$12,MATCH($A79,'Scratch Data'!$L$5:$L$12,1)))*(INDEX('Scratch Data'!$M$5:$M$12,MIN(MATCH($A79,'Scratch Data'!$L$5:$L$12,1)+1,ROWS('Scratch Data'!$L$5:$L$12)))-INDEX('Scratch Data'!$M$5:$M$12,MATCH($A79,'Scratch Data'!$L$5:$L$12,1)))/MAX(INDEX('Scratch Data'!$L$5:$L$12,MIN(MATCH($A79,'Scratch Data'!$L$5:$L$12,1)+1,ROWS('Scratch Data'!$L$5:$L$12)))-INDEX('Scratch Data'!$L$5:$L$12,MATCH($A79,'Scratch Data'!$L$5:$L$12,1)),0.0001)),IF($A79&lt;=250,MIN((1+(INDEX('Scratch Data'!$H$5:$H$13,MATCH($A79,'Scratch Data'!$G$5:$G$13,1))+($A79-INDEX('Scratch Data'!$G$5:$G$13,MATCH($A79,'Scratch Data'!$G$5:$G$13,1)))*(INDEX('Scratch Data'!$H$5:$H$13,MIN(MATCH($A79,'Scratch Data'!$G$5:$G$13,1)+1,ROWS('Scratch Data'!$G$5:$G$13)))-INDEX('Scratch Data'!$H$5:$H$13,MATCH($A79,'Scratch Data'!$G$5:$G$13,1)))/MAX(INDEX('Scratch Data'!$G$5:$G$13,MIN(MATCH($A79,'Scratch Data'!$G$5:$G$13,1)+1,ROWS('Scratch Data'!$G$5:$G$13)))-INDEX('Scratch Data'!$G$5:$G$13,MATCH($A79,'Scratch Data'!$G$5:$G$13,1)),0.0001))*INDEX(Baseline!$I$3:$I$102,MIN(MAX(ROUND(Inputs!$B$11*(INDEX('Scratch Data'!$I$5:$I$13,MATCH($A79,'Scratch Data'!$G$5:$G$13,1))+($A79-INDEX('Scratch Data'!$G$5:$G$13,MATCH($A79,'Scratch Data'!$G$5:$G$13,1)))*(INDEX('Scratch Data'!$I$5:$I$13,MIN(MATCH($A79,'Scratch Data'!$G$5:$G$13,1)+1,ROWS('Scratch Data'!$G$5:$G$13)))-INDEX('Scratch Data'!$I$5:$I$13,MATCH($A79,'Scratch Data'!$G$5:$G$13,1)))/MAX(INDEX('Scratch Data'!$G$5:$G$13,MIN(MATCH($A79,'Scratch Data'!$G$5:$G$13,1)+1,ROWS('Scratch Data'!$G$5:$G$13)))-INDEX('Scratch Data'!$G$5:$G$13,MATCH($A79,'Scratch Data'!$G$5:$G$13,1)),0.0001)),0),1),100))+(1-(INDEX('Scratch Data'!$H$5:$H$13,MATCH($A79,'Scratch Data'!$G$5:$G$13,1))+($A79-INDEX('Scratch Data'!$G$5:$G$13,MATCH($A79,'Scratch Data'!$G$5:$G$13,1)))*(INDEX('Scratch Data'!$H$5:$H$13,MIN(MATCH($A79,'Scratch Data'!$G$5:$G$13,1)+1,ROWS('Scratch Data'!$G$5:$G$13)))-INDEX('Scratch Data'!$H$5:$H$13,MATCH($A79,'Scratch Data'!$G$5:$G$13,1)))/MAX(INDEX('Scratch Data'!$G$5:$G$13,MIN(MATCH($A79,'Scratch Data'!$G$5:$G$13,1)+1,ROWS('Scratch Data'!$G$5:$G$13)))-INDEX('Scratch Data'!$G$5:$G$13,MATCH($A79,'Scratch Data'!$G$5:$G$13,1)),0.0001)))*(INDEX('Scratch Data'!$J$5:$J$13,MATCH($A79,'Scratch Data'!$G$5:$G$13,1))+($A79-INDEX('Scratch Data'!$G$5:$G$13,MATCH($A79,'Scratch Data'!$G$5:$G$13,1)))*(INDEX('Scratch Data'!$J$5:$J$13,MIN(MATCH($A79,'Scratch Data'!$G$5:$G$13,1)+1,ROWS('Scratch Data'!$G$5:$G$13)))-INDEX('Scratch Data'!$J$5:$J$13,MATCH($A79,'Scratch Data'!$G$5:$G$13,1)))/MAX(INDEX('Scratch Data'!$G$5:$G$13,MIN(MATCH($A79,'Scratch Data'!$G$5:$G$13,1)+1,ROWS('Scratch Data'!$G$5:$G$13)))-INDEX('Scratch Data'!$G$5:$G$13,MATCH($A79,'Scratch Data'!$G$5:$G$13,1)),0.0001))),(1+Inputs!$B$19*INDEX(Baseline!$B$3:$B$122,MATCH(MIN(MAX(ROUND((MAX($A79-Inputs!$B$20,30))/5,0)*5,5),600),Baseline!$A$3:$A$122,0))+(1-Inputs!$B$19)*INDEX(Baseline!$C$3:$C$122,MATCH(MIN(MAX(ROUND((MAX($A79-Inputs!$B$20,30))/5,0)*5,5),600),Baseline!$A$3:$A$122,0)))),(1+Inputs!$B$19*INDEX(Baseline!$B$3:$B$122,MATCH(MIN(MAX(ROUND((MAX($A79-Inputs!$B$20,30))/5,0)*5,5),600),Baseline!$A$3:$A$122,0))+(1-Inputs!$B$19)*INDEX(Baseline!$C$3:$C$122,MATCH(MIN(MAX(ROUND((MAX($A79-Inputs!$B$20,30))/5,0)*5,5),600),Baseline!$A$3:$A$122,0)))))</f>
        <v>4.350402544</v>
      </c>
      <c r="C79" s="10" t="n">
        <f aca="false">IF($A79&lt;=50,$B79+Inputs!$B$18,IF($A79&lt;=250,MIN((1+(INDEX('Scratch Data'!$H$5:$H$13,MATCH($A79,'Scratch Data'!$G$5:$G$13,1))+($A79-INDEX('Scratch Data'!$G$5:$G$13,MATCH($A79,'Scratch Data'!$G$5:$G$13,1)))*(INDEX('Scratch Data'!$H$5:$H$13,MIN(MATCH($A79,'Scratch Data'!$G$5:$G$13,1)+1,ROWS('Scratch Data'!$G$5:$G$13)))-INDEX('Scratch Data'!$H$5:$H$13,MATCH($A79,'Scratch Data'!$G$5:$G$13,1)))/MAX(INDEX('Scratch Data'!$G$5:$G$13,MIN(MATCH($A79,'Scratch Data'!$G$5:$G$13,1)+1,ROWS('Scratch Data'!$G$5:$G$13)))-INDEX('Scratch Data'!$G$5:$G$13,MATCH($A79,'Scratch Data'!$G$5:$G$13,1)),0.0001))*Inputs!$B$12*INDEX(Baseline!$I$3:$I$102,MIN(MAX(ROUND(Inputs!$B$11*(INDEX('Scratch Data'!$I$5:$I$13,MATCH($A79,'Scratch Data'!$G$5:$G$13,1))+($A79-INDEX('Scratch Data'!$G$5:$G$13,MATCH($A79,'Scratch Data'!$G$5:$G$13,1)))*(INDEX('Scratch Data'!$I$5:$I$13,MIN(MATCH($A79,'Scratch Data'!$G$5:$G$13,1)+1,ROWS('Scratch Data'!$G$5:$G$13)))-INDEX('Scratch Data'!$I$5:$I$13,MATCH($A79,'Scratch Data'!$G$5:$G$13,1)))/MAX(INDEX('Scratch Data'!$G$5:$G$13,MIN(MATCH($A79,'Scratch Data'!$G$5:$G$13,1)+1,ROWS('Scratch Data'!$G$5:$G$13)))-INDEX('Scratch Data'!$G$5:$G$13,MATCH($A79,'Scratch Data'!$G$5:$G$13,1)),0.0001))*Inputs!$B$13,0),1),100))+(1-(INDEX('Scratch Data'!$H$5:$H$13,MATCH($A79,'Scratch Data'!$G$5:$G$13,1))+($A79-INDEX('Scratch Data'!$G$5:$G$13,MATCH($A79,'Scratch Data'!$G$5:$G$13,1)))*(INDEX('Scratch Data'!$H$5:$H$13,MIN(MATCH($A79,'Scratch Data'!$G$5:$G$13,1)+1,ROWS('Scratch Data'!$G$5:$G$13)))-INDEX('Scratch Data'!$H$5:$H$13,MATCH($A79,'Scratch Data'!$G$5:$G$13,1)))/MAX(INDEX('Scratch Data'!$G$5:$G$13,MIN(MATCH($A79,'Scratch Data'!$G$5:$G$13,1)+1,ROWS('Scratch Data'!$G$5:$G$13)))-INDEX('Scratch Data'!$G$5:$G$13,MATCH($A79,'Scratch Data'!$G$5:$G$13,1)),0.0001))*Inputs!$B$12)*((INDEX('Scratch Data'!$J$5:$J$13,MATCH($A79,'Scratch Data'!$G$5:$G$13,1))+($A79-INDEX('Scratch Data'!$G$5:$G$13,MATCH($A79,'Scratch Data'!$G$5:$G$13,1)))*(INDEX('Scratch Data'!$J$5:$J$13,MIN(MATCH($A79,'Scratch Data'!$G$5:$G$13,1)+1,ROWS('Scratch Data'!$G$5:$G$13)))-INDEX('Scratch Data'!$J$5:$J$13,MATCH($A79,'Scratch Data'!$G$5:$G$13,1)))/MAX(INDEX('Scratch Data'!$G$5:$G$13,MIN(MATCH($A79,'Scratch Data'!$G$5:$G$13,1)+1,ROWS('Scratch Data'!$G$5:$G$13)))-INDEX('Scratch Data'!$G$5:$G$13,MATCH($A79,'Scratch Data'!$G$5:$G$13,1)),0.0001))+Inputs!$B$14)),(1+Inputs!$B$19*INDEX(Baseline!$B$3:$B$122,MATCH(MIN(MAX(ROUND((MAX($A79-Inputs!$B$21,30))/5,0)*5,5),600),Baseline!$A$3:$A$122,0))+(1-Inputs!$B$19)*INDEX(Baseline!$C$3:$C$122,MATCH(MIN(MAX(ROUND((MAX($A79-Inputs!$B$21,30))/5,0)*5,5),600),Baseline!$A$3:$A$122,0))+Inputs!$B$14)),(1+Inputs!$B$19*INDEX(Baseline!$B$3:$B$122,MATCH(MIN(MAX(ROUND((MAX($A79-Inputs!$B$21,30))/5,0)*5,5),600),Baseline!$A$3:$A$122,0))+(1-Inputs!$B$19)*INDEX(Baseline!$C$3:$C$122,MATCH(MIN(MAX(ROUND((MAX($A79-Inputs!$B$21,30))/5,0)*5,5),600),Baseline!$A$3:$A$122,0))+Inputs!$B$14)))</f>
        <v>4.589649144</v>
      </c>
      <c r="D79" s="10" t="n">
        <f aca="false">IF($A79&lt;=50,(INDEX('Scratch Data'!$P$5:$P$11,MATCH($A79,'Scratch Data'!$O$5:$O$11,1))+($A79-INDEX('Scratch Data'!$O$5:$O$11,MATCH($A79,'Scratch Data'!$O$5:$O$11,1)))*(INDEX('Scratch Data'!$P$5:$P$11,MIN(MATCH($A79,'Scratch Data'!$O$5:$O$11,1)+1,ROWS('Scratch Data'!$O$5:$O$11)))-INDEX('Scratch Data'!$P$5:$P$11,MATCH($A79,'Scratch Data'!$O$5:$O$11,1)))/MAX(INDEX('Scratch Data'!$O$5:$O$11,MIN(MATCH($A79,'Scratch Data'!$O$5:$O$11,1)+1,ROWS('Scratch Data'!$O$5:$O$11)))-INDEX('Scratch Data'!$O$5:$O$11,MATCH($A79,'Scratch Data'!$O$5:$O$11,1)),0.0001)),IF($A79&lt;=250,MIN((1+(INDEX('Scratch Data'!$H$5:$H$13,MATCH($A79,'Scratch Data'!$G$5:$G$13,1))+($A79-INDEX('Scratch Data'!$G$5:$G$13,MATCH($A79,'Scratch Data'!$G$5:$G$13,1)))*(INDEX('Scratch Data'!$H$5:$H$13,MIN(MATCH($A79,'Scratch Data'!$G$5:$G$13,1)+1,ROWS('Scratch Data'!$G$5:$G$13)))-INDEX('Scratch Data'!$H$5:$H$13,MATCH($A79,'Scratch Data'!$G$5:$G$13,1)))/MAX(INDEX('Scratch Data'!$G$5:$G$13,MIN(MATCH($A79,'Scratch Data'!$G$5:$G$13,1)+1,ROWS('Scratch Data'!$G$5:$G$13)))-INDEX('Scratch Data'!$G$5:$G$13,MATCH($A79,'Scratch Data'!$G$5:$G$13,1)),0.0001))*Inputs!$B$15*INDEX(Baseline!$I$3:$I$102,MIN(MAX(ROUND(Inputs!$B$11*(INDEX('Scratch Data'!$I$5:$I$13,MATCH($A79,'Scratch Data'!$G$5:$G$13,1))+($A79-INDEX('Scratch Data'!$G$5:$G$13,MATCH($A79,'Scratch Data'!$G$5:$G$13,1)))*(INDEX('Scratch Data'!$I$5:$I$13,MIN(MATCH($A79,'Scratch Data'!$G$5:$G$13,1)+1,ROWS('Scratch Data'!$G$5:$G$13)))-INDEX('Scratch Data'!$I$5:$I$13,MATCH($A79,'Scratch Data'!$G$5:$G$13,1)))/MAX(INDEX('Scratch Data'!$G$5:$G$13,MIN(MATCH($A79,'Scratch Data'!$G$5:$G$13,1)+1,ROWS('Scratch Data'!$G$5:$G$13)))-INDEX('Scratch Data'!$G$5:$G$13,MATCH($A79,'Scratch Data'!$G$5:$G$13,1)),0.0001))*Inputs!$B$16,0),1),100))+(1-(INDEX('Scratch Data'!$H$5:$H$13,MATCH($A79,'Scratch Data'!$G$5:$G$13,1))+($A79-INDEX('Scratch Data'!$G$5:$G$13,MATCH($A79,'Scratch Data'!$G$5:$G$13,1)))*(INDEX('Scratch Data'!$H$5:$H$13,MIN(MATCH($A79,'Scratch Data'!$G$5:$G$13,1)+1,ROWS('Scratch Data'!$G$5:$G$13)))-INDEX('Scratch Data'!$H$5:$H$13,MATCH($A79,'Scratch Data'!$G$5:$G$13,1)))/MAX(INDEX('Scratch Data'!$G$5:$G$13,MIN(MATCH($A79,'Scratch Data'!$G$5:$G$13,1)+1,ROWS('Scratch Data'!$G$5:$G$13)))-INDEX('Scratch Data'!$G$5:$G$13,MATCH($A79,'Scratch Data'!$G$5:$G$13,1)),0.0001))*Inputs!$B$15)*((INDEX('Scratch Data'!$J$5:$J$13,MATCH($A79,'Scratch Data'!$G$5:$G$13,1))+($A79-INDEX('Scratch Data'!$G$5:$G$13,MATCH($A79,'Scratch Data'!$G$5:$G$13,1)))*(INDEX('Scratch Data'!$J$5:$J$13,MIN(MATCH($A79,'Scratch Data'!$G$5:$G$13,1)+1,ROWS('Scratch Data'!$G$5:$G$13)))-INDEX('Scratch Data'!$J$5:$J$13,MATCH($A79,'Scratch Data'!$G$5:$G$13,1)))/MAX(INDEX('Scratch Data'!$G$5:$G$13,MIN(MATCH($A79,'Scratch Data'!$G$5:$G$13,1)+1,ROWS('Scratch Data'!$G$5:$G$13)))-INDEX('Scratch Data'!$G$5:$G$13,MATCH($A79,'Scratch Data'!$G$5:$G$13,1)),0.0001))+Inputs!$B$17)),(1+Inputs!$B$19*INDEX(Baseline!$B$3:$B$122,MATCH(MIN(MAX(ROUND((MAX($A79-Inputs!$B$22,30))/5,0)*5,5),600),Baseline!$A$3:$A$122,0))+(1-Inputs!$B$19)*INDEX(Baseline!$C$3:$C$122,MATCH(MIN(MAX(ROUND((MAX($A79-Inputs!$B$22,30))/5,0)*5,5),600),Baseline!$A$3:$A$122,0))+Inputs!$B$17)),(1+Inputs!$B$19*INDEX(Baseline!$B$3:$B$122,MATCH(MIN(MAX(ROUND((MAX($A79-Inputs!$B$22,30))/5,0)*5,5),600),Baseline!$A$3:$A$122,0))+(1-Inputs!$B$19)*INDEX(Baseline!$C$3:$C$122,MATCH(MIN(MAX(ROUND((MAX($A79-Inputs!$B$22,30))/5,0)*5,5),600),Baseline!$A$3:$A$122,0))+Inputs!$B$17)))</f>
        <v>4.78444432</v>
      </c>
      <c r="E79" s="10" t="n">
        <f aca="false">1+Inputs!$B$24+0.6*INDEX(Baseline!$B$3:$B$122,MATCH(MIN(MAX(ROUND((MAX($A79-Inputs!$B$23,15))/5,0)*5,5),600),Baseline!$A$3:$A$122,0))+0.4*INDEX(Baseline!$C$3:$C$122,MATCH(MIN(MAX(ROUND((MAX($A79-Inputs!$B$23,15))/5,0)*5,5),600),Baseline!$A$3:$A$122,0))</f>
        <v>5.12429979573333</v>
      </c>
      <c r="H79" s="7" t="n">
        <v>77</v>
      </c>
      <c r="I79" s="10" t="n">
        <f aca="false">(INDEX('Scratch Data'!$E$5:$E$22,MATCH($H79,'Scratch Data'!$A$5:$A$22,1))+($H79-INDEX('Scratch Data'!$A$5:$A$22,MATCH($H79,'Scratch Data'!$A$5:$A$22,1)))*(INDEX('Scratch Data'!$E$5:$E$22,MIN(MATCH($H79,'Scratch Data'!$A$5:$A$22,1)+1,ROWS('Scratch Data'!$A$5:$A$22)))-INDEX('Scratch Data'!$E$5:$E$22,MATCH($H79,'Scratch Data'!$A$5:$A$22,1)))/MAX(INDEX('Scratch Data'!$A$5:$A$22,MIN(MATCH($H79,'Scratch Data'!$A$5:$A$22,1)+1,ROWS('Scratch Data'!$A$5:$A$22)))-INDEX('Scratch Data'!$A$5:$A$22,MATCH($H79,'Scratch Data'!$A$5:$A$22,1)),0.0001))</f>
        <v>2.4458</v>
      </c>
    </row>
    <row r="80" customFormat="false" ht="15" hidden="false" customHeight="false" outlineLevel="0" collapsed="false">
      <c r="A80" s="7" t="n">
        <v>390</v>
      </c>
      <c r="B80" s="10" t="n">
        <f aca="false">IF($A80&lt;=50,(INDEX('Scratch Data'!$M$5:$M$12,MATCH($A80,'Scratch Data'!$L$5:$L$12,1))+($A80-INDEX('Scratch Data'!$L$5:$L$12,MATCH($A80,'Scratch Data'!$L$5:$L$12,1)))*(INDEX('Scratch Data'!$M$5:$M$12,MIN(MATCH($A80,'Scratch Data'!$L$5:$L$12,1)+1,ROWS('Scratch Data'!$L$5:$L$12)))-INDEX('Scratch Data'!$M$5:$M$12,MATCH($A80,'Scratch Data'!$L$5:$L$12,1)))/MAX(INDEX('Scratch Data'!$L$5:$L$12,MIN(MATCH($A80,'Scratch Data'!$L$5:$L$12,1)+1,ROWS('Scratch Data'!$L$5:$L$12)))-INDEX('Scratch Data'!$L$5:$L$12,MATCH($A80,'Scratch Data'!$L$5:$L$12,1)),0.0001)),IF($A80&lt;=250,MIN((1+(INDEX('Scratch Data'!$H$5:$H$13,MATCH($A80,'Scratch Data'!$G$5:$G$13,1))+($A80-INDEX('Scratch Data'!$G$5:$G$13,MATCH($A80,'Scratch Data'!$G$5:$G$13,1)))*(INDEX('Scratch Data'!$H$5:$H$13,MIN(MATCH($A80,'Scratch Data'!$G$5:$G$13,1)+1,ROWS('Scratch Data'!$G$5:$G$13)))-INDEX('Scratch Data'!$H$5:$H$13,MATCH($A80,'Scratch Data'!$G$5:$G$13,1)))/MAX(INDEX('Scratch Data'!$G$5:$G$13,MIN(MATCH($A80,'Scratch Data'!$G$5:$G$13,1)+1,ROWS('Scratch Data'!$G$5:$G$13)))-INDEX('Scratch Data'!$G$5:$G$13,MATCH($A80,'Scratch Data'!$G$5:$G$13,1)),0.0001))*INDEX(Baseline!$I$3:$I$102,MIN(MAX(ROUND(Inputs!$B$11*(INDEX('Scratch Data'!$I$5:$I$13,MATCH($A80,'Scratch Data'!$G$5:$G$13,1))+($A80-INDEX('Scratch Data'!$G$5:$G$13,MATCH($A80,'Scratch Data'!$G$5:$G$13,1)))*(INDEX('Scratch Data'!$I$5:$I$13,MIN(MATCH($A80,'Scratch Data'!$G$5:$G$13,1)+1,ROWS('Scratch Data'!$G$5:$G$13)))-INDEX('Scratch Data'!$I$5:$I$13,MATCH($A80,'Scratch Data'!$G$5:$G$13,1)))/MAX(INDEX('Scratch Data'!$G$5:$G$13,MIN(MATCH($A80,'Scratch Data'!$G$5:$G$13,1)+1,ROWS('Scratch Data'!$G$5:$G$13)))-INDEX('Scratch Data'!$G$5:$G$13,MATCH($A80,'Scratch Data'!$G$5:$G$13,1)),0.0001)),0),1),100))+(1-(INDEX('Scratch Data'!$H$5:$H$13,MATCH($A80,'Scratch Data'!$G$5:$G$13,1))+($A80-INDEX('Scratch Data'!$G$5:$G$13,MATCH($A80,'Scratch Data'!$G$5:$G$13,1)))*(INDEX('Scratch Data'!$H$5:$H$13,MIN(MATCH($A80,'Scratch Data'!$G$5:$G$13,1)+1,ROWS('Scratch Data'!$G$5:$G$13)))-INDEX('Scratch Data'!$H$5:$H$13,MATCH($A80,'Scratch Data'!$G$5:$G$13,1)))/MAX(INDEX('Scratch Data'!$G$5:$G$13,MIN(MATCH($A80,'Scratch Data'!$G$5:$G$13,1)+1,ROWS('Scratch Data'!$G$5:$G$13)))-INDEX('Scratch Data'!$G$5:$G$13,MATCH($A80,'Scratch Data'!$G$5:$G$13,1)),0.0001)))*(INDEX('Scratch Data'!$J$5:$J$13,MATCH($A80,'Scratch Data'!$G$5:$G$13,1))+($A80-INDEX('Scratch Data'!$G$5:$G$13,MATCH($A80,'Scratch Data'!$G$5:$G$13,1)))*(INDEX('Scratch Data'!$J$5:$J$13,MIN(MATCH($A80,'Scratch Data'!$G$5:$G$13,1)+1,ROWS('Scratch Data'!$G$5:$G$13)))-INDEX('Scratch Data'!$J$5:$J$13,MATCH($A80,'Scratch Data'!$G$5:$G$13,1)))/MAX(INDEX('Scratch Data'!$G$5:$G$13,MIN(MATCH($A80,'Scratch Data'!$G$5:$G$13,1)+1,ROWS('Scratch Data'!$G$5:$G$13)))-INDEX('Scratch Data'!$G$5:$G$13,MATCH($A80,'Scratch Data'!$G$5:$G$13,1)),0.0001))),(1+Inputs!$B$19*INDEX(Baseline!$B$3:$B$122,MATCH(MIN(MAX(ROUND((MAX($A80-Inputs!$B$20,30))/5,0)*5,5),600),Baseline!$A$3:$A$122,0))+(1-Inputs!$B$19)*INDEX(Baseline!$C$3:$C$122,MATCH(MIN(MAX(ROUND((MAX($A80-Inputs!$B$20,30))/5,0)*5,5),600),Baseline!$A$3:$A$122,0)))),(1+Inputs!$B$19*INDEX(Baseline!$B$3:$B$122,MATCH(MIN(MAX(ROUND((MAX($A80-Inputs!$B$20,30))/5,0)*5,5),600),Baseline!$A$3:$A$122,0))+(1-Inputs!$B$19)*INDEX(Baseline!$C$3:$C$122,MATCH(MIN(MAX(ROUND((MAX($A80-Inputs!$B$20,30))/5,0)*5,5),600),Baseline!$A$3:$A$122,0)))))</f>
        <v>4.36735808</v>
      </c>
      <c r="C80" s="10" t="n">
        <f aca="false">IF($A80&lt;=50,$B80+Inputs!$B$18,IF($A80&lt;=250,MIN((1+(INDEX('Scratch Data'!$H$5:$H$13,MATCH($A80,'Scratch Data'!$G$5:$G$13,1))+($A80-INDEX('Scratch Data'!$G$5:$G$13,MATCH($A80,'Scratch Data'!$G$5:$G$13,1)))*(INDEX('Scratch Data'!$H$5:$H$13,MIN(MATCH($A80,'Scratch Data'!$G$5:$G$13,1)+1,ROWS('Scratch Data'!$G$5:$G$13)))-INDEX('Scratch Data'!$H$5:$H$13,MATCH($A80,'Scratch Data'!$G$5:$G$13,1)))/MAX(INDEX('Scratch Data'!$G$5:$G$13,MIN(MATCH($A80,'Scratch Data'!$G$5:$G$13,1)+1,ROWS('Scratch Data'!$G$5:$G$13)))-INDEX('Scratch Data'!$G$5:$G$13,MATCH($A80,'Scratch Data'!$G$5:$G$13,1)),0.0001))*Inputs!$B$12*INDEX(Baseline!$I$3:$I$102,MIN(MAX(ROUND(Inputs!$B$11*(INDEX('Scratch Data'!$I$5:$I$13,MATCH($A80,'Scratch Data'!$G$5:$G$13,1))+($A80-INDEX('Scratch Data'!$G$5:$G$13,MATCH($A80,'Scratch Data'!$G$5:$G$13,1)))*(INDEX('Scratch Data'!$I$5:$I$13,MIN(MATCH($A80,'Scratch Data'!$G$5:$G$13,1)+1,ROWS('Scratch Data'!$G$5:$G$13)))-INDEX('Scratch Data'!$I$5:$I$13,MATCH($A80,'Scratch Data'!$G$5:$G$13,1)))/MAX(INDEX('Scratch Data'!$G$5:$G$13,MIN(MATCH($A80,'Scratch Data'!$G$5:$G$13,1)+1,ROWS('Scratch Data'!$G$5:$G$13)))-INDEX('Scratch Data'!$G$5:$G$13,MATCH($A80,'Scratch Data'!$G$5:$G$13,1)),0.0001))*Inputs!$B$13,0),1),100))+(1-(INDEX('Scratch Data'!$H$5:$H$13,MATCH($A80,'Scratch Data'!$G$5:$G$13,1))+($A80-INDEX('Scratch Data'!$G$5:$G$13,MATCH($A80,'Scratch Data'!$G$5:$G$13,1)))*(INDEX('Scratch Data'!$H$5:$H$13,MIN(MATCH($A80,'Scratch Data'!$G$5:$G$13,1)+1,ROWS('Scratch Data'!$G$5:$G$13)))-INDEX('Scratch Data'!$H$5:$H$13,MATCH($A80,'Scratch Data'!$G$5:$G$13,1)))/MAX(INDEX('Scratch Data'!$G$5:$G$13,MIN(MATCH($A80,'Scratch Data'!$G$5:$G$13,1)+1,ROWS('Scratch Data'!$G$5:$G$13)))-INDEX('Scratch Data'!$G$5:$G$13,MATCH($A80,'Scratch Data'!$G$5:$G$13,1)),0.0001))*Inputs!$B$12)*((INDEX('Scratch Data'!$J$5:$J$13,MATCH($A80,'Scratch Data'!$G$5:$G$13,1))+($A80-INDEX('Scratch Data'!$G$5:$G$13,MATCH($A80,'Scratch Data'!$G$5:$G$13,1)))*(INDEX('Scratch Data'!$J$5:$J$13,MIN(MATCH($A80,'Scratch Data'!$G$5:$G$13,1)+1,ROWS('Scratch Data'!$G$5:$G$13)))-INDEX('Scratch Data'!$J$5:$J$13,MATCH($A80,'Scratch Data'!$G$5:$G$13,1)))/MAX(INDEX('Scratch Data'!$G$5:$G$13,MIN(MATCH($A80,'Scratch Data'!$G$5:$G$13,1)+1,ROWS('Scratch Data'!$G$5:$G$13)))-INDEX('Scratch Data'!$G$5:$G$13,MATCH($A80,'Scratch Data'!$G$5:$G$13,1)),0.0001))+Inputs!$B$14)),(1+Inputs!$B$19*INDEX(Baseline!$B$3:$B$122,MATCH(MIN(MAX(ROUND((MAX($A80-Inputs!$B$21,30))/5,0)*5,5),600),Baseline!$A$3:$A$122,0))+(1-Inputs!$B$19)*INDEX(Baseline!$C$3:$C$122,MATCH(MIN(MAX(ROUND((MAX($A80-Inputs!$B$21,30))/5,0)*5,5),600),Baseline!$A$3:$A$122,0))+Inputs!$B$14)),(1+Inputs!$B$19*INDEX(Baseline!$B$3:$B$122,MATCH(MIN(MAX(ROUND((MAX($A80-Inputs!$B$21,30))/5,0)*5,5),600),Baseline!$A$3:$A$122,0))+(1-Inputs!$B$19)*INDEX(Baseline!$C$3:$C$122,MATCH(MIN(MAX(ROUND((MAX($A80-Inputs!$B$21,30))/5,0)*5,5),600),Baseline!$A$3:$A$122,0))+Inputs!$B$14)))</f>
        <v>4.61072008</v>
      </c>
      <c r="D80" s="10" t="n">
        <f aca="false">IF($A80&lt;=50,(INDEX('Scratch Data'!$P$5:$P$11,MATCH($A80,'Scratch Data'!$O$5:$O$11,1))+($A80-INDEX('Scratch Data'!$O$5:$O$11,MATCH($A80,'Scratch Data'!$O$5:$O$11,1)))*(INDEX('Scratch Data'!$P$5:$P$11,MIN(MATCH($A80,'Scratch Data'!$O$5:$O$11,1)+1,ROWS('Scratch Data'!$O$5:$O$11)))-INDEX('Scratch Data'!$P$5:$P$11,MATCH($A80,'Scratch Data'!$O$5:$O$11,1)))/MAX(INDEX('Scratch Data'!$O$5:$O$11,MIN(MATCH($A80,'Scratch Data'!$O$5:$O$11,1)+1,ROWS('Scratch Data'!$O$5:$O$11)))-INDEX('Scratch Data'!$O$5:$O$11,MATCH($A80,'Scratch Data'!$O$5:$O$11,1)),0.0001)),IF($A80&lt;=250,MIN((1+(INDEX('Scratch Data'!$H$5:$H$13,MATCH($A80,'Scratch Data'!$G$5:$G$13,1))+($A80-INDEX('Scratch Data'!$G$5:$G$13,MATCH($A80,'Scratch Data'!$G$5:$G$13,1)))*(INDEX('Scratch Data'!$H$5:$H$13,MIN(MATCH($A80,'Scratch Data'!$G$5:$G$13,1)+1,ROWS('Scratch Data'!$G$5:$G$13)))-INDEX('Scratch Data'!$H$5:$H$13,MATCH($A80,'Scratch Data'!$G$5:$G$13,1)))/MAX(INDEX('Scratch Data'!$G$5:$G$13,MIN(MATCH($A80,'Scratch Data'!$G$5:$G$13,1)+1,ROWS('Scratch Data'!$G$5:$G$13)))-INDEX('Scratch Data'!$G$5:$G$13,MATCH($A80,'Scratch Data'!$G$5:$G$13,1)),0.0001))*Inputs!$B$15*INDEX(Baseline!$I$3:$I$102,MIN(MAX(ROUND(Inputs!$B$11*(INDEX('Scratch Data'!$I$5:$I$13,MATCH($A80,'Scratch Data'!$G$5:$G$13,1))+($A80-INDEX('Scratch Data'!$G$5:$G$13,MATCH($A80,'Scratch Data'!$G$5:$G$13,1)))*(INDEX('Scratch Data'!$I$5:$I$13,MIN(MATCH($A80,'Scratch Data'!$G$5:$G$13,1)+1,ROWS('Scratch Data'!$G$5:$G$13)))-INDEX('Scratch Data'!$I$5:$I$13,MATCH($A80,'Scratch Data'!$G$5:$G$13,1)))/MAX(INDEX('Scratch Data'!$G$5:$G$13,MIN(MATCH($A80,'Scratch Data'!$G$5:$G$13,1)+1,ROWS('Scratch Data'!$G$5:$G$13)))-INDEX('Scratch Data'!$G$5:$G$13,MATCH($A80,'Scratch Data'!$G$5:$G$13,1)),0.0001))*Inputs!$B$16,0),1),100))+(1-(INDEX('Scratch Data'!$H$5:$H$13,MATCH($A80,'Scratch Data'!$G$5:$G$13,1))+($A80-INDEX('Scratch Data'!$G$5:$G$13,MATCH($A80,'Scratch Data'!$G$5:$G$13,1)))*(INDEX('Scratch Data'!$H$5:$H$13,MIN(MATCH($A80,'Scratch Data'!$G$5:$G$13,1)+1,ROWS('Scratch Data'!$G$5:$G$13)))-INDEX('Scratch Data'!$H$5:$H$13,MATCH($A80,'Scratch Data'!$G$5:$G$13,1)))/MAX(INDEX('Scratch Data'!$G$5:$G$13,MIN(MATCH($A80,'Scratch Data'!$G$5:$G$13,1)+1,ROWS('Scratch Data'!$G$5:$G$13)))-INDEX('Scratch Data'!$G$5:$G$13,MATCH($A80,'Scratch Data'!$G$5:$G$13,1)),0.0001))*Inputs!$B$15)*((INDEX('Scratch Data'!$J$5:$J$13,MATCH($A80,'Scratch Data'!$G$5:$G$13,1))+($A80-INDEX('Scratch Data'!$G$5:$G$13,MATCH($A80,'Scratch Data'!$G$5:$G$13,1)))*(INDEX('Scratch Data'!$J$5:$J$13,MIN(MATCH($A80,'Scratch Data'!$G$5:$G$13,1)+1,ROWS('Scratch Data'!$G$5:$G$13)))-INDEX('Scratch Data'!$J$5:$J$13,MATCH($A80,'Scratch Data'!$G$5:$G$13,1)))/MAX(INDEX('Scratch Data'!$G$5:$G$13,MIN(MATCH($A80,'Scratch Data'!$G$5:$G$13,1)+1,ROWS('Scratch Data'!$G$5:$G$13)))-INDEX('Scratch Data'!$G$5:$G$13,MATCH($A80,'Scratch Data'!$G$5:$G$13,1)),0.0001))+Inputs!$B$17)),(1+Inputs!$B$19*INDEX(Baseline!$B$3:$B$122,MATCH(MIN(MAX(ROUND((MAX($A80-Inputs!$B$22,30))/5,0)*5,5),600),Baseline!$A$3:$A$122,0))+(1-Inputs!$B$19)*INDEX(Baseline!$C$3:$C$122,MATCH(MIN(MAX(ROUND((MAX($A80-Inputs!$B$22,30))/5,0)*5,5),600),Baseline!$A$3:$A$122,0))+Inputs!$B$17)),(1+Inputs!$B$19*INDEX(Baseline!$B$3:$B$122,MATCH(MIN(MAX(ROUND((MAX($A80-Inputs!$B$22,30))/5,0)*5,5),600),Baseline!$A$3:$A$122,0))+(1-Inputs!$B$19)*INDEX(Baseline!$C$3:$C$122,MATCH(MIN(MAX(ROUND((MAX($A80-Inputs!$B$22,30))/5,0)*5,5),600),Baseline!$A$3:$A$122,0))+Inputs!$B$17)))</f>
        <v>4.8088844</v>
      </c>
      <c r="E80" s="10" t="n">
        <f aca="false">1+Inputs!$B$24+0.6*INDEX(Baseline!$B$3:$B$122,MATCH(MIN(MAX(ROUND((MAX($A80-Inputs!$B$23,15))/5,0)*5,5),600),Baseline!$A$3:$A$122,0))+0.4*INDEX(Baseline!$C$3:$C$122,MATCH(MIN(MAX(ROUND((MAX($A80-Inputs!$B$23,15))/5,0)*5,5),600),Baseline!$A$3:$A$122,0))</f>
        <v>5.139140448</v>
      </c>
      <c r="H80" s="7" t="n">
        <v>78</v>
      </c>
      <c r="I80" s="10" t="n">
        <f aca="false">(INDEX('Scratch Data'!$E$5:$E$22,MATCH($H80,'Scratch Data'!$A$5:$A$22,1))+($H80-INDEX('Scratch Data'!$A$5:$A$22,MATCH($H80,'Scratch Data'!$A$5:$A$22,1)))*(INDEX('Scratch Data'!$E$5:$E$22,MIN(MATCH($H80,'Scratch Data'!$A$5:$A$22,1)+1,ROWS('Scratch Data'!$A$5:$A$22)))-INDEX('Scratch Data'!$E$5:$E$22,MATCH($H80,'Scratch Data'!$A$5:$A$22,1)))/MAX(INDEX('Scratch Data'!$A$5:$A$22,MIN(MATCH($H80,'Scratch Data'!$A$5:$A$22,1)+1,ROWS('Scratch Data'!$A$5:$A$22)))-INDEX('Scratch Data'!$A$5:$A$22,MATCH($H80,'Scratch Data'!$A$5:$A$22,1)),0.0001))</f>
        <v>2.4522</v>
      </c>
    </row>
    <row r="81" customFormat="false" ht="15" hidden="false" customHeight="false" outlineLevel="0" collapsed="false">
      <c r="A81" s="7" t="n">
        <v>395</v>
      </c>
      <c r="B81" s="10" t="n">
        <f aca="false">IF($A81&lt;=50,(INDEX('Scratch Data'!$M$5:$M$12,MATCH($A81,'Scratch Data'!$L$5:$L$12,1))+($A81-INDEX('Scratch Data'!$L$5:$L$12,MATCH($A81,'Scratch Data'!$L$5:$L$12,1)))*(INDEX('Scratch Data'!$M$5:$M$12,MIN(MATCH($A81,'Scratch Data'!$L$5:$L$12,1)+1,ROWS('Scratch Data'!$L$5:$L$12)))-INDEX('Scratch Data'!$M$5:$M$12,MATCH($A81,'Scratch Data'!$L$5:$L$12,1)))/MAX(INDEX('Scratch Data'!$L$5:$L$12,MIN(MATCH($A81,'Scratch Data'!$L$5:$L$12,1)+1,ROWS('Scratch Data'!$L$5:$L$12)))-INDEX('Scratch Data'!$L$5:$L$12,MATCH($A81,'Scratch Data'!$L$5:$L$12,1)),0.0001)),IF($A81&lt;=250,MIN((1+(INDEX('Scratch Data'!$H$5:$H$13,MATCH($A81,'Scratch Data'!$G$5:$G$13,1))+($A81-INDEX('Scratch Data'!$G$5:$G$13,MATCH($A81,'Scratch Data'!$G$5:$G$13,1)))*(INDEX('Scratch Data'!$H$5:$H$13,MIN(MATCH($A81,'Scratch Data'!$G$5:$G$13,1)+1,ROWS('Scratch Data'!$G$5:$G$13)))-INDEX('Scratch Data'!$H$5:$H$13,MATCH($A81,'Scratch Data'!$G$5:$G$13,1)))/MAX(INDEX('Scratch Data'!$G$5:$G$13,MIN(MATCH($A81,'Scratch Data'!$G$5:$G$13,1)+1,ROWS('Scratch Data'!$G$5:$G$13)))-INDEX('Scratch Data'!$G$5:$G$13,MATCH($A81,'Scratch Data'!$G$5:$G$13,1)),0.0001))*INDEX(Baseline!$I$3:$I$102,MIN(MAX(ROUND(Inputs!$B$11*(INDEX('Scratch Data'!$I$5:$I$13,MATCH($A81,'Scratch Data'!$G$5:$G$13,1))+($A81-INDEX('Scratch Data'!$G$5:$G$13,MATCH($A81,'Scratch Data'!$G$5:$G$13,1)))*(INDEX('Scratch Data'!$I$5:$I$13,MIN(MATCH($A81,'Scratch Data'!$G$5:$G$13,1)+1,ROWS('Scratch Data'!$G$5:$G$13)))-INDEX('Scratch Data'!$I$5:$I$13,MATCH($A81,'Scratch Data'!$G$5:$G$13,1)))/MAX(INDEX('Scratch Data'!$G$5:$G$13,MIN(MATCH($A81,'Scratch Data'!$G$5:$G$13,1)+1,ROWS('Scratch Data'!$G$5:$G$13)))-INDEX('Scratch Data'!$G$5:$G$13,MATCH($A81,'Scratch Data'!$G$5:$G$13,1)),0.0001)),0),1),100))+(1-(INDEX('Scratch Data'!$H$5:$H$13,MATCH($A81,'Scratch Data'!$G$5:$G$13,1))+($A81-INDEX('Scratch Data'!$G$5:$G$13,MATCH($A81,'Scratch Data'!$G$5:$G$13,1)))*(INDEX('Scratch Data'!$H$5:$H$13,MIN(MATCH($A81,'Scratch Data'!$G$5:$G$13,1)+1,ROWS('Scratch Data'!$G$5:$G$13)))-INDEX('Scratch Data'!$H$5:$H$13,MATCH($A81,'Scratch Data'!$G$5:$G$13,1)))/MAX(INDEX('Scratch Data'!$G$5:$G$13,MIN(MATCH($A81,'Scratch Data'!$G$5:$G$13,1)+1,ROWS('Scratch Data'!$G$5:$G$13)))-INDEX('Scratch Data'!$G$5:$G$13,MATCH($A81,'Scratch Data'!$G$5:$G$13,1)),0.0001)))*(INDEX('Scratch Data'!$J$5:$J$13,MATCH($A81,'Scratch Data'!$G$5:$G$13,1))+($A81-INDEX('Scratch Data'!$G$5:$G$13,MATCH($A81,'Scratch Data'!$G$5:$G$13,1)))*(INDEX('Scratch Data'!$J$5:$J$13,MIN(MATCH($A81,'Scratch Data'!$G$5:$G$13,1)+1,ROWS('Scratch Data'!$G$5:$G$13)))-INDEX('Scratch Data'!$J$5:$J$13,MATCH($A81,'Scratch Data'!$G$5:$G$13,1)))/MAX(INDEX('Scratch Data'!$G$5:$G$13,MIN(MATCH($A81,'Scratch Data'!$G$5:$G$13,1)+1,ROWS('Scratch Data'!$G$5:$G$13)))-INDEX('Scratch Data'!$G$5:$G$13,MATCH($A81,'Scratch Data'!$G$5:$G$13,1)),0.0001))),(1+Inputs!$B$19*INDEX(Baseline!$B$3:$B$122,MATCH(MIN(MAX(ROUND((MAX($A81-Inputs!$B$20,30))/5,0)*5,5),600),Baseline!$A$3:$A$122,0))+(1-Inputs!$B$19)*INDEX(Baseline!$C$3:$C$122,MATCH(MIN(MAX(ROUND((MAX($A81-Inputs!$B$20,30))/5,0)*5,5),600),Baseline!$A$3:$A$122,0)))),(1+Inputs!$B$19*INDEX(Baseline!$B$3:$B$122,MATCH(MIN(MAX(ROUND((MAX($A81-Inputs!$B$20,30))/5,0)*5,5),600),Baseline!$A$3:$A$122,0))+(1-Inputs!$B$19)*INDEX(Baseline!$C$3:$C$122,MATCH(MIN(MAX(ROUND((MAX($A81-Inputs!$B$20,30))/5,0)*5,5),600),Baseline!$A$3:$A$122,0)))))</f>
        <v>4.39053452</v>
      </c>
      <c r="C81" s="10" t="n">
        <f aca="false">IF($A81&lt;=50,$B81+Inputs!$B$18,IF($A81&lt;=250,MIN((1+(INDEX('Scratch Data'!$H$5:$H$13,MATCH($A81,'Scratch Data'!$G$5:$G$13,1))+($A81-INDEX('Scratch Data'!$G$5:$G$13,MATCH($A81,'Scratch Data'!$G$5:$G$13,1)))*(INDEX('Scratch Data'!$H$5:$H$13,MIN(MATCH($A81,'Scratch Data'!$G$5:$G$13,1)+1,ROWS('Scratch Data'!$G$5:$G$13)))-INDEX('Scratch Data'!$H$5:$H$13,MATCH($A81,'Scratch Data'!$G$5:$G$13,1)))/MAX(INDEX('Scratch Data'!$G$5:$G$13,MIN(MATCH($A81,'Scratch Data'!$G$5:$G$13,1)+1,ROWS('Scratch Data'!$G$5:$G$13)))-INDEX('Scratch Data'!$G$5:$G$13,MATCH($A81,'Scratch Data'!$G$5:$G$13,1)),0.0001))*Inputs!$B$12*INDEX(Baseline!$I$3:$I$102,MIN(MAX(ROUND(Inputs!$B$11*(INDEX('Scratch Data'!$I$5:$I$13,MATCH($A81,'Scratch Data'!$G$5:$G$13,1))+($A81-INDEX('Scratch Data'!$G$5:$G$13,MATCH($A81,'Scratch Data'!$G$5:$G$13,1)))*(INDEX('Scratch Data'!$I$5:$I$13,MIN(MATCH($A81,'Scratch Data'!$G$5:$G$13,1)+1,ROWS('Scratch Data'!$G$5:$G$13)))-INDEX('Scratch Data'!$I$5:$I$13,MATCH($A81,'Scratch Data'!$G$5:$G$13,1)))/MAX(INDEX('Scratch Data'!$G$5:$G$13,MIN(MATCH($A81,'Scratch Data'!$G$5:$G$13,1)+1,ROWS('Scratch Data'!$G$5:$G$13)))-INDEX('Scratch Data'!$G$5:$G$13,MATCH($A81,'Scratch Data'!$G$5:$G$13,1)),0.0001))*Inputs!$B$13,0),1),100))+(1-(INDEX('Scratch Data'!$H$5:$H$13,MATCH($A81,'Scratch Data'!$G$5:$G$13,1))+($A81-INDEX('Scratch Data'!$G$5:$G$13,MATCH($A81,'Scratch Data'!$G$5:$G$13,1)))*(INDEX('Scratch Data'!$H$5:$H$13,MIN(MATCH($A81,'Scratch Data'!$G$5:$G$13,1)+1,ROWS('Scratch Data'!$G$5:$G$13)))-INDEX('Scratch Data'!$H$5:$H$13,MATCH($A81,'Scratch Data'!$G$5:$G$13,1)))/MAX(INDEX('Scratch Data'!$G$5:$G$13,MIN(MATCH($A81,'Scratch Data'!$G$5:$G$13,1)+1,ROWS('Scratch Data'!$G$5:$G$13)))-INDEX('Scratch Data'!$G$5:$G$13,MATCH($A81,'Scratch Data'!$G$5:$G$13,1)),0.0001))*Inputs!$B$12)*((INDEX('Scratch Data'!$J$5:$J$13,MATCH($A81,'Scratch Data'!$G$5:$G$13,1))+($A81-INDEX('Scratch Data'!$G$5:$G$13,MATCH($A81,'Scratch Data'!$G$5:$G$13,1)))*(INDEX('Scratch Data'!$J$5:$J$13,MIN(MATCH($A81,'Scratch Data'!$G$5:$G$13,1)+1,ROWS('Scratch Data'!$G$5:$G$13)))-INDEX('Scratch Data'!$J$5:$J$13,MATCH($A81,'Scratch Data'!$G$5:$G$13,1)))/MAX(INDEX('Scratch Data'!$G$5:$G$13,MIN(MATCH($A81,'Scratch Data'!$G$5:$G$13,1)+1,ROWS('Scratch Data'!$G$5:$G$13)))-INDEX('Scratch Data'!$G$5:$G$13,MATCH($A81,'Scratch Data'!$G$5:$G$13,1)),0.0001))+Inputs!$B$14)),(1+Inputs!$B$19*INDEX(Baseline!$B$3:$B$122,MATCH(MIN(MAX(ROUND((MAX($A81-Inputs!$B$21,30))/5,0)*5,5),600),Baseline!$A$3:$A$122,0))+(1-Inputs!$B$19)*INDEX(Baseline!$C$3:$C$122,MATCH(MIN(MAX(ROUND((MAX($A81-Inputs!$B$21,30))/5,0)*5,5),600),Baseline!$A$3:$A$122,0))+Inputs!$B$14)),(1+Inputs!$B$19*INDEX(Baseline!$B$3:$B$122,MATCH(MIN(MAX(ROUND((MAX($A81-Inputs!$B$21,30))/5,0)*5,5),600),Baseline!$A$3:$A$122,0))+(1-Inputs!$B$19)*INDEX(Baseline!$C$3:$C$122,MATCH(MIN(MAX(ROUND((MAX($A81-Inputs!$B$21,30))/5,0)*5,5),600),Baseline!$A$3:$A$122,0))+Inputs!$B$14)))</f>
        <v>4.635829696</v>
      </c>
      <c r="D81" s="10" t="n">
        <f aca="false">IF($A81&lt;=50,(INDEX('Scratch Data'!$P$5:$P$11,MATCH($A81,'Scratch Data'!$O$5:$O$11,1))+($A81-INDEX('Scratch Data'!$O$5:$O$11,MATCH($A81,'Scratch Data'!$O$5:$O$11,1)))*(INDEX('Scratch Data'!$P$5:$P$11,MIN(MATCH($A81,'Scratch Data'!$O$5:$O$11,1)+1,ROWS('Scratch Data'!$O$5:$O$11)))-INDEX('Scratch Data'!$P$5:$P$11,MATCH($A81,'Scratch Data'!$O$5:$O$11,1)))/MAX(INDEX('Scratch Data'!$O$5:$O$11,MIN(MATCH($A81,'Scratch Data'!$O$5:$O$11,1)+1,ROWS('Scratch Data'!$O$5:$O$11)))-INDEX('Scratch Data'!$O$5:$O$11,MATCH($A81,'Scratch Data'!$O$5:$O$11,1)),0.0001)),IF($A81&lt;=250,MIN((1+(INDEX('Scratch Data'!$H$5:$H$13,MATCH($A81,'Scratch Data'!$G$5:$G$13,1))+($A81-INDEX('Scratch Data'!$G$5:$G$13,MATCH($A81,'Scratch Data'!$G$5:$G$13,1)))*(INDEX('Scratch Data'!$H$5:$H$13,MIN(MATCH($A81,'Scratch Data'!$G$5:$G$13,1)+1,ROWS('Scratch Data'!$G$5:$G$13)))-INDEX('Scratch Data'!$H$5:$H$13,MATCH($A81,'Scratch Data'!$G$5:$G$13,1)))/MAX(INDEX('Scratch Data'!$G$5:$G$13,MIN(MATCH($A81,'Scratch Data'!$G$5:$G$13,1)+1,ROWS('Scratch Data'!$G$5:$G$13)))-INDEX('Scratch Data'!$G$5:$G$13,MATCH($A81,'Scratch Data'!$G$5:$G$13,1)),0.0001))*Inputs!$B$15*INDEX(Baseline!$I$3:$I$102,MIN(MAX(ROUND(Inputs!$B$11*(INDEX('Scratch Data'!$I$5:$I$13,MATCH($A81,'Scratch Data'!$G$5:$G$13,1))+($A81-INDEX('Scratch Data'!$G$5:$G$13,MATCH($A81,'Scratch Data'!$G$5:$G$13,1)))*(INDEX('Scratch Data'!$I$5:$I$13,MIN(MATCH($A81,'Scratch Data'!$G$5:$G$13,1)+1,ROWS('Scratch Data'!$G$5:$G$13)))-INDEX('Scratch Data'!$I$5:$I$13,MATCH($A81,'Scratch Data'!$G$5:$G$13,1)))/MAX(INDEX('Scratch Data'!$G$5:$G$13,MIN(MATCH($A81,'Scratch Data'!$G$5:$G$13,1)+1,ROWS('Scratch Data'!$G$5:$G$13)))-INDEX('Scratch Data'!$G$5:$G$13,MATCH($A81,'Scratch Data'!$G$5:$G$13,1)),0.0001))*Inputs!$B$16,0),1),100))+(1-(INDEX('Scratch Data'!$H$5:$H$13,MATCH($A81,'Scratch Data'!$G$5:$G$13,1))+($A81-INDEX('Scratch Data'!$G$5:$G$13,MATCH($A81,'Scratch Data'!$G$5:$G$13,1)))*(INDEX('Scratch Data'!$H$5:$H$13,MIN(MATCH($A81,'Scratch Data'!$G$5:$G$13,1)+1,ROWS('Scratch Data'!$G$5:$G$13)))-INDEX('Scratch Data'!$H$5:$H$13,MATCH($A81,'Scratch Data'!$G$5:$G$13,1)))/MAX(INDEX('Scratch Data'!$G$5:$G$13,MIN(MATCH($A81,'Scratch Data'!$G$5:$G$13,1)+1,ROWS('Scratch Data'!$G$5:$G$13)))-INDEX('Scratch Data'!$G$5:$G$13,MATCH($A81,'Scratch Data'!$G$5:$G$13,1)),0.0001))*Inputs!$B$15)*((INDEX('Scratch Data'!$J$5:$J$13,MATCH($A81,'Scratch Data'!$G$5:$G$13,1))+($A81-INDEX('Scratch Data'!$G$5:$G$13,MATCH($A81,'Scratch Data'!$G$5:$G$13,1)))*(INDEX('Scratch Data'!$J$5:$J$13,MIN(MATCH($A81,'Scratch Data'!$G$5:$G$13,1)+1,ROWS('Scratch Data'!$G$5:$G$13)))-INDEX('Scratch Data'!$J$5:$J$13,MATCH($A81,'Scratch Data'!$G$5:$G$13,1)))/MAX(INDEX('Scratch Data'!$G$5:$G$13,MIN(MATCH($A81,'Scratch Data'!$G$5:$G$13,1)+1,ROWS('Scratch Data'!$G$5:$G$13)))-INDEX('Scratch Data'!$G$5:$G$13,MATCH($A81,'Scratch Data'!$G$5:$G$13,1)),0.0001))+Inputs!$B$17)),(1+Inputs!$B$19*INDEX(Baseline!$B$3:$B$122,MATCH(MIN(MAX(ROUND((MAX($A81-Inputs!$B$22,30))/5,0)*5,5),600),Baseline!$A$3:$A$122,0))+(1-Inputs!$B$19)*INDEX(Baseline!$C$3:$C$122,MATCH(MIN(MAX(ROUND((MAX($A81-Inputs!$B$22,30))/5,0)*5,5),600),Baseline!$A$3:$A$122,0))+Inputs!$B$17)),(1+Inputs!$B$19*INDEX(Baseline!$B$3:$B$122,MATCH(MIN(MAX(ROUND((MAX($A81-Inputs!$B$22,30))/5,0)*5,5),600),Baseline!$A$3:$A$122,0))+(1-Inputs!$B$19)*INDEX(Baseline!$C$3:$C$122,MATCH(MIN(MAX(ROUND((MAX($A81-Inputs!$B$22,30))/5,0)*5,5),600),Baseline!$A$3:$A$122,0))+Inputs!$B$17)))</f>
        <v>4.833512</v>
      </c>
      <c r="E81" s="10" t="n">
        <f aca="false">1+Inputs!$B$24+0.6*INDEX(Baseline!$B$3:$B$122,MATCH(MIN(MAX(ROUND((MAX($A81-Inputs!$B$23,15))/5,0)*5,5),600),Baseline!$A$3:$A$122,0))+0.4*INDEX(Baseline!$C$3:$C$122,MATCH(MIN(MAX(ROUND((MAX($A81-Inputs!$B$23,15))/5,0)*5,5),600),Baseline!$A$3:$A$122,0))</f>
        <v>5.1657976544</v>
      </c>
      <c r="H81" s="7" t="n">
        <v>79</v>
      </c>
      <c r="I81" s="10" t="n">
        <f aca="false">(INDEX('Scratch Data'!$E$5:$E$22,MATCH($H81,'Scratch Data'!$A$5:$A$22,1))+($H81-INDEX('Scratch Data'!$A$5:$A$22,MATCH($H81,'Scratch Data'!$A$5:$A$22,1)))*(INDEX('Scratch Data'!$E$5:$E$22,MIN(MATCH($H81,'Scratch Data'!$A$5:$A$22,1)+1,ROWS('Scratch Data'!$A$5:$A$22)))-INDEX('Scratch Data'!$E$5:$E$22,MATCH($H81,'Scratch Data'!$A$5:$A$22,1)))/MAX(INDEX('Scratch Data'!$A$5:$A$22,MIN(MATCH($H81,'Scratch Data'!$A$5:$A$22,1)+1,ROWS('Scratch Data'!$A$5:$A$22)))-INDEX('Scratch Data'!$A$5:$A$22,MATCH($H81,'Scratch Data'!$A$5:$A$22,1)),0.0001))</f>
        <v>2.4586</v>
      </c>
    </row>
    <row r="82" customFormat="false" ht="15" hidden="false" customHeight="false" outlineLevel="0" collapsed="false">
      <c r="A82" s="7" t="n">
        <v>400</v>
      </c>
      <c r="B82" s="10" t="n">
        <f aca="false">IF($A82&lt;=50,(INDEX('Scratch Data'!$M$5:$M$12,MATCH($A82,'Scratch Data'!$L$5:$L$12,1))+($A82-INDEX('Scratch Data'!$L$5:$L$12,MATCH($A82,'Scratch Data'!$L$5:$L$12,1)))*(INDEX('Scratch Data'!$M$5:$M$12,MIN(MATCH($A82,'Scratch Data'!$L$5:$L$12,1)+1,ROWS('Scratch Data'!$L$5:$L$12)))-INDEX('Scratch Data'!$M$5:$M$12,MATCH($A82,'Scratch Data'!$L$5:$L$12,1)))/MAX(INDEX('Scratch Data'!$L$5:$L$12,MIN(MATCH($A82,'Scratch Data'!$L$5:$L$12,1)+1,ROWS('Scratch Data'!$L$5:$L$12)))-INDEX('Scratch Data'!$L$5:$L$12,MATCH($A82,'Scratch Data'!$L$5:$L$12,1)),0.0001)),IF($A82&lt;=250,MIN((1+(INDEX('Scratch Data'!$H$5:$H$13,MATCH($A82,'Scratch Data'!$G$5:$G$13,1))+($A82-INDEX('Scratch Data'!$G$5:$G$13,MATCH($A82,'Scratch Data'!$G$5:$G$13,1)))*(INDEX('Scratch Data'!$H$5:$H$13,MIN(MATCH($A82,'Scratch Data'!$G$5:$G$13,1)+1,ROWS('Scratch Data'!$G$5:$G$13)))-INDEX('Scratch Data'!$H$5:$H$13,MATCH($A82,'Scratch Data'!$G$5:$G$13,1)))/MAX(INDEX('Scratch Data'!$G$5:$G$13,MIN(MATCH($A82,'Scratch Data'!$G$5:$G$13,1)+1,ROWS('Scratch Data'!$G$5:$G$13)))-INDEX('Scratch Data'!$G$5:$G$13,MATCH($A82,'Scratch Data'!$G$5:$G$13,1)),0.0001))*INDEX(Baseline!$I$3:$I$102,MIN(MAX(ROUND(Inputs!$B$11*(INDEX('Scratch Data'!$I$5:$I$13,MATCH($A82,'Scratch Data'!$G$5:$G$13,1))+($A82-INDEX('Scratch Data'!$G$5:$G$13,MATCH($A82,'Scratch Data'!$G$5:$G$13,1)))*(INDEX('Scratch Data'!$I$5:$I$13,MIN(MATCH($A82,'Scratch Data'!$G$5:$G$13,1)+1,ROWS('Scratch Data'!$G$5:$G$13)))-INDEX('Scratch Data'!$I$5:$I$13,MATCH($A82,'Scratch Data'!$G$5:$G$13,1)))/MAX(INDEX('Scratch Data'!$G$5:$G$13,MIN(MATCH($A82,'Scratch Data'!$G$5:$G$13,1)+1,ROWS('Scratch Data'!$G$5:$G$13)))-INDEX('Scratch Data'!$G$5:$G$13,MATCH($A82,'Scratch Data'!$G$5:$G$13,1)),0.0001)),0),1),100))+(1-(INDEX('Scratch Data'!$H$5:$H$13,MATCH($A82,'Scratch Data'!$G$5:$G$13,1))+($A82-INDEX('Scratch Data'!$G$5:$G$13,MATCH($A82,'Scratch Data'!$G$5:$G$13,1)))*(INDEX('Scratch Data'!$H$5:$H$13,MIN(MATCH($A82,'Scratch Data'!$G$5:$G$13,1)+1,ROWS('Scratch Data'!$G$5:$G$13)))-INDEX('Scratch Data'!$H$5:$H$13,MATCH($A82,'Scratch Data'!$G$5:$G$13,1)))/MAX(INDEX('Scratch Data'!$G$5:$G$13,MIN(MATCH($A82,'Scratch Data'!$G$5:$G$13,1)+1,ROWS('Scratch Data'!$G$5:$G$13)))-INDEX('Scratch Data'!$G$5:$G$13,MATCH($A82,'Scratch Data'!$G$5:$G$13,1)),0.0001)))*(INDEX('Scratch Data'!$J$5:$J$13,MATCH($A82,'Scratch Data'!$G$5:$G$13,1))+($A82-INDEX('Scratch Data'!$G$5:$G$13,MATCH($A82,'Scratch Data'!$G$5:$G$13,1)))*(INDEX('Scratch Data'!$J$5:$J$13,MIN(MATCH($A82,'Scratch Data'!$G$5:$G$13,1)+1,ROWS('Scratch Data'!$G$5:$G$13)))-INDEX('Scratch Data'!$J$5:$J$13,MATCH($A82,'Scratch Data'!$G$5:$G$13,1)))/MAX(INDEX('Scratch Data'!$G$5:$G$13,MIN(MATCH($A82,'Scratch Data'!$G$5:$G$13,1)+1,ROWS('Scratch Data'!$G$5:$G$13)))-INDEX('Scratch Data'!$G$5:$G$13,MATCH($A82,'Scratch Data'!$G$5:$G$13,1)),0.0001))),(1+Inputs!$B$19*INDEX(Baseline!$B$3:$B$122,MATCH(MIN(MAX(ROUND((MAX($A82-Inputs!$B$20,30))/5,0)*5,5),600),Baseline!$A$3:$A$122,0))+(1-Inputs!$B$19)*INDEX(Baseline!$C$3:$C$122,MATCH(MIN(MAX(ROUND((MAX($A82-Inputs!$B$20,30))/5,0)*5,5),600),Baseline!$A$3:$A$122,0)))),(1+Inputs!$B$19*INDEX(Baseline!$B$3:$B$122,MATCH(MIN(MAX(ROUND((MAX($A82-Inputs!$B$20,30))/5,0)*5,5),600),Baseline!$A$3:$A$122,0))+(1-Inputs!$B$19)*INDEX(Baseline!$C$3:$C$122,MATCH(MIN(MAX(ROUND((MAX($A82-Inputs!$B$20,30))/5,0)*5,5),600),Baseline!$A$3:$A$122,0)))))</f>
        <v>4.415271488</v>
      </c>
      <c r="C82" s="10" t="n">
        <f aca="false">IF($A82&lt;=50,$B82+Inputs!$B$18,IF($A82&lt;=250,MIN((1+(INDEX('Scratch Data'!$H$5:$H$13,MATCH($A82,'Scratch Data'!$G$5:$G$13,1))+($A82-INDEX('Scratch Data'!$G$5:$G$13,MATCH($A82,'Scratch Data'!$G$5:$G$13,1)))*(INDEX('Scratch Data'!$H$5:$H$13,MIN(MATCH($A82,'Scratch Data'!$G$5:$G$13,1)+1,ROWS('Scratch Data'!$G$5:$G$13)))-INDEX('Scratch Data'!$H$5:$H$13,MATCH($A82,'Scratch Data'!$G$5:$G$13,1)))/MAX(INDEX('Scratch Data'!$G$5:$G$13,MIN(MATCH($A82,'Scratch Data'!$G$5:$G$13,1)+1,ROWS('Scratch Data'!$G$5:$G$13)))-INDEX('Scratch Data'!$G$5:$G$13,MATCH($A82,'Scratch Data'!$G$5:$G$13,1)),0.0001))*Inputs!$B$12*INDEX(Baseline!$I$3:$I$102,MIN(MAX(ROUND(Inputs!$B$11*(INDEX('Scratch Data'!$I$5:$I$13,MATCH($A82,'Scratch Data'!$G$5:$G$13,1))+($A82-INDEX('Scratch Data'!$G$5:$G$13,MATCH($A82,'Scratch Data'!$G$5:$G$13,1)))*(INDEX('Scratch Data'!$I$5:$I$13,MIN(MATCH($A82,'Scratch Data'!$G$5:$G$13,1)+1,ROWS('Scratch Data'!$G$5:$G$13)))-INDEX('Scratch Data'!$I$5:$I$13,MATCH($A82,'Scratch Data'!$G$5:$G$13,1)))/MAX(INDEX('Scratch Data'!$G$5:$G$13,MIN(MATCH($A82,'Scratch Data'!$G$5:$G$13,1)+1,ROWS('Scratch Data'!$G$5:$G$13)))-INDEX('Scratch Data'!$G$5:$G$13,MATCH($A82,'Scratch Data'!$G$5:$G$13,1)),0.0001))*Inputs!$B$13,0),1),100))+(1-(INDEX('Scratch Data'!$H$5:$H$13,MATCH($A82,'Scratch Data'!$G$5:$G$13,1))+($A82-INDEX('Scratch Data'!$G$5:$G$13,MATCH($A82,'Scratch Data'!$G$5:$G$13,1)))*(INDEX('Scratch Data'!$H$5:$H$13,MIN(MATCH($A82,'Scratch Data'!$G$5:$G$13,1)+1,ROWS('Scratch Data'!$G$5:$G$13)))-INDEX('Scratch Data'!$H$5:$H$13,MATCH($A82,'Scratch Data'!$G$5:$G$13,1)))/MAX(INDEX('Scratch Data'!$G$5:$G$13,MIN(MATCH($A82,'Scratch Data'!$G$5:$G$13,1)+1,ROWS('Scratch Data'!$G$5:$G$13)))-INDEX('Scratch Data'!$G$5:$G$13,MATCH($A82,'Scratch Data'!$G$5:$G$13,1)),0.0001))*Inputs!$B$12)*((INDEX('Scratch Data'!$J$5:$J$13,MATCH($A82,'Scratch Data'!$G$5:$G$13,1))+($A82-INDEX('Scratch Data'!$G$5:$G$13,MATCH($A82,'Scratch Data'!$G$5:$G$13,1)))*(INDEX('Scratch Data'!$J$5:$J$13,MIN(MATCH($A82,'Scratch Data'!$G$5:$G$13,1)+1,ROWS('Scratch Data'!$G$5:$G$13)))-INDEX('Scratch Data'!$J$5:$J$13,MATCH($A82,'Scratch Data'!$G$5:$G$13,1)))/MAX(INDEX('Scratch Data'!$G$5:$G$13,MIN(MATCH($A82,'Scratch Data'!$G$5:$G$13,1)+1,ROWS('Scratch Data'!$G$5:$G$13)))-INDEX('Scratch Data'!$G$5:$G$13,MATCH($A82,'Scratch Data'!$G$5:$G$13,1)),0.0001))+Inputs!$B$14)),(1+Inputs!$B$19*INDEX(Baseline!$B$3:$B$122,MATCH(MIN(MAX(ROUND((MAX($A82-Inputs!$B$21,30))/5,0)*5,5),600),Baseline!$A$3:$A$122,0))+(1-Inputs!$B$19)*INDEX(Baseline!$C$3:$C$122,MATCH(MIN(MAX(ROUND((MAX($A82-Inputs!$B$21,30))/5,0)*5,5),600),Baseline!$A$3:$A$122,0))+Inputs!$B$14)),(1+Inputs!$B$19*INDEX(Baseline!$B$3:$B$122,MATCH(MIN(MAX(ROUND((MAX($A82-Inputs!$B$21,30))/5,0)*5,5),600),Baseline!$A$3:$A$122,0))+(1-Inputs!$B$19)*INDEX(Baseline!$C$3:$C$122,MATCH(MIN(MAX(ROUND((MAX($A82-Inputs!$B$21,30))/5,0)*5,5),600),Baseline!$A$3:$A$122,0))+Inputs!$B$14)))</f>
        <v>4.660049776</v>
      </c>
      <c r="D82" s="10" t="n">
        <f aca="false">IF($A82&lt;=50,(INDEX('Scratch Data'!$P$5:$P$11,MATCH($A82,'Scratch Data'!$O$5:$O$11,1))+($A82-INDEX('Scratch Data'!$O$5:$O$11,MATCH($A82,'Scratch Data'!$O$5:$O$11,1)))*(INDEX('Scratch Data'!$P$5:$P$11,MIN(MATCH($A82,'Scratch Data'!$O$5:$O$11,1)+1,ROWS('Scratch Data'!$O$5:$O$11)))-INDEX('Scratch Data'!$P$5:$P$11,MATCH($A82,'Scratch Data'!$O$5:$O$11,1)))/MAX(INDEX('Scratch Data'!$O$5:$O$11,MIN(MATCH($A82,'Scratch Data'!$O$5:$O$11,1)+1,ROWS('Scratch Data'!$O$5:$O$11)))-INDEX('Scratch Data'!$O$5:$O$11,MATCH($A82,'Scratch Data'!$O$5:$O$11,1)),0.0001)),IF($A82&lt;=250,MIN((1+(INDEX('Scratch Data'!$H$5:$H$13,MATCH($A82,'Scratch Data'!$G$5:$G$13,1))+($A82-INDEX('Scratch Data'!$G$5:$G$13,MATCH($A82,'Scratch Data'!$G$5:$G$13,1)))*(INDEX('Scratch Data'!$H$5:$H$13,MIN(MATCH($A82,'Scratch Data'!$G$5:$G$13,1)+1,ROWS('Scratch Data'!$G$5:$G$13)))-INDEX('Scratch Data'!$H$5:$H$13,MATCH($A82,'Scratch Data'!$G$5:$G$13,1)))/MAX(INDEX('Scratch Data'!$G$5:$G$13,MIN(MATCH($A82,'Scratch Data'!$G$5:$G$13,1)+1,ROWS('Scratch Data'!$G$5:$G$13)))-INDEX('Scratch Data'!$G$5:$G$13,MATCH($A82,'Scratch Data'!$G$5:$G$13,1)),0.0001))*Inputs!$B$15*INDEX(Baseline!$I$3:$I$102,MIN(MAX(ROUND(Inputs!$B$11*(INDEX('Scratch Data'!$I$5:$I$13,MATCH($A82,'Scratch Data'!$G$5:$G$13,1))+($A82-INDEX('Scratch Data'!$G$5:$G$13,MATCH($A82,'Scratch Data'!$G$5:$G$13,1)))*(INDEX('Scratch Data'!$I$5:$I$13,MIN(MATCH($A82,'Scratch Data'!$G$5:$G$13,1)+1,ROWS('Scratch Data'!$G$5:$G$13)))-INDEX('Scratch Data'!$I$5:$I$13,MATCH($A82,'Scratch Data'!$G$5:$G$13,1)))/MAX(INDEX('Scratch Data'!$G$5:$G$13,MIN(MATCH($A82,'Scratch Data'!$G$5:$G$13,1)+1,ROWS('Scratch Data'!$G$5:$G$13)))-INDEX('Scratch Data'!$G$5:$G$13,MATCH($A82,'Scratch Data'!$G$5:$G$13,1)),0.0001))*Inputs!$B$16,0),1),100))+(1-(INDEX('Scratch Data'!$H$5:$H$13,MATCH($A82,'Scratch Data'!$G$5:$G$13,1))+($A82-INDEX('Scratch Data'!$G$5:$G$13,MATCH($A82,'Scratch Data'!$G$5:$G$13,1)))*(INDEX('Scratch Data'!$H$5:$H$13,MIN(MATCH($A82,'Scratch Data'!$G$5:$G$13,1)+1,ROWS('Scratch Data'!$G$5:$G$13)))-INDEX('Scratch Data'!$H$5:$H$13,MATCH($A82,'Scratch Data'!$G$5:$G$13,1)))/MAX(INDEX('Scratch Data'!$G$5:$G$13,MIN(MATCH($A82,'Scratch Data'!$G$5:$G$13,1)+1,ROWS('Scratch Data'!$G$5:$G$13)))-INDEX('Scratch Data'!$G$5:$G$13,MATCH($A82,'Scratch Data'!$G$5:$G$13,1)),0.0001))*Inputs!$B$15)*((INDEX('Scratch Data'!$J$5:$J$13,MATCH($A82,'Scratch Data'!$G$5:$G$13,1))+($A82-INDEX('Scratch Data'!$G$5:$G$13,MATCH($A82,'Scratch Data'!$G$5:$G$13,1)))*(INDEX('Scratch Data'!$J$5:$J$13,MIN(MATCH($A82,'Scratch Data'!$G$5:$G$13,1)+1,ROWS('Scratch Data'!$G$5:$G$13)))-INDEX('Scratch Data'!$J$5:$J$13,MATCH($A82,'Scratch Data'!$G$5:$G$13,1)))/MAX(INDEX('Scratch Data'!$G$5:$G$13,MIN(MATCH($A82,'Scratch Data'!$G$5:$G$13,1)+1,ROWS('Scratch Data'!$G$5:$G$13)))-INDEX('Scratch Data'!$G$5:$G$13,MATCH($A82,'Scratch Data'!$G$5:$G$13,1)),0.0001))+Inputs!$B$17)),(1+Inputs!$B$19*INDEX(Baseline!$B$3:$B$122,MATCH(MIN(MAX(ROUND((MAX($A82-Inputs!$B$22,30))/5,0)*5,5),600),Baseline!$A$3:$A$122,0))+(1-Inputs!$B$19)*INDEX(Baseline!$C$3:$C$122,MATCH(MIN(MAX(ROUND((MAX($A82-Inputs!$B$22,30))/5,0)*5,5),600),Baseline!$A$3:$A$122,0))+Inputs!$B$17)),(1+Inputs!$B$19*INDEX(Baseline!$B$3:$B$122,MATCH(MIN(MAX(ROUND((MAX($A82-Inputs!$B$22,30))/5,0)*5,5),600),Baseline!$A$3:$A$122,0))+(1-Inputs!$B$19)*INDEX(Baseline!$C$3:$C$122,MATCH(MIN(MAX(ROUND((MAX($A82-Inputs!$B$22,30))/5,0)*5,5),600),Baseline!$A$3:$A$122,0))+Inputs!$B$17)))</f>
        <v>4.86125928</v>
      </c>
      <c r="E82" s="10" t="n">
        <f aca="false">1+Inputs!$B$24+0.6*INDEX(Baseline!$B$3:$B$122,MATCH(MIN(MAX(ROUND((MAX($A82-Inputs!$B$23,15))/5,0)*5,5),600),Baseline!$A$3:$A$122,0))+0.4*INDEX(Baseline!$C$3:$C$122,MATCH(MIN(MAX(ROUND((MAX($A82-Inputs!$B$23,15))/5,0)*5,5),600),Baseline!$A$3:$A$122,0))</f>
        <v>5.1846848768</v>
      </c>
      <c r="H82" s="7" t="n">
        <v>80</v>
      </c>
      <c r="I82" s="10" t="n">
        <f aca="false">(INDEX('Scratch Data'!$E$5:$E$22,MATCH($H82,'Scratch Data'!$A$5:$A$22,1))+($H82-INDEX('Scratch Data'!$A$5:$A$22,MATCH($H82,'Scratch Data'!$A$5:$A$22,1)))*(INDEX('Scratch Data'!$E$5:$E$22,MIN(MATCH($H82,'Scratch Data'!$A$5:$A$22,1)+1,ROWS('Scratch Data'!$A$5:$A$22)))-INDEX('Scratch Data'!$E$5:$E$22,MATCH($H82,'Scratch Data'!$A$5:$A$22,1)))/MAX(INDEX('Scratch Data'!$A$5:$A$22,MIN(MATCH($H82,'Scratch Data'!$A$5:$A$22,1)+1,ROWS('Scratch Data'!$A$5:$A$22)))-INDEX('Scratch Data'!$A$5:$A$22,MATCH($H82,'Scratch Data'!$A$5:$A$22,1)),0.0001))</f>
        <v>2.465</v>
      </c>
    </row>
    <row r="83" customFormat="false" ht="15" hidden="false" customHeight="false" outlineLevel="0" collapsed="false">
      <c r="A83" s="7" t="n">
        <v>405</v>
      </c>
      <c r="B83" s="10" t="n">
        <f aca="false">IF($A83&lt;=50,(INDEX('Scratch Data'!$M$5:$M$12,MATCH($A83,'Scratch Data'!$L$5:$L$12,1))+($A83-INDEX('Scratch Data'!$L$5:$L$12,MATCH($A83,'Scratch Data'!$L$5:$L$12,1)))*(INDEX('Scratch Data'!$M$5:$M$12,MIN(MATCH($A83,'Scratch Data'!$L$5:$L$12,1)+1,ROWS('Scratch Data'!$L$5:$L$12)))-INDEX('Scratch Data'!$M$5:$M$12,MATCH($A83,'Scratch Data'!$L$5:$L$12,1)))/MAX(INDEX('Scratch Data'!$L$5:$L$12,MIN(MATCH($A83,'Scratch Data'!$L$5:$L$12,1)+1,ROWS('Scratch Data'!$L$5:$L$12)))-INDEX('Scratch Data'!$L$5:$L$12,MATCH($A83,'Scratch Data'!$L$5:$L$12,1)),0.0001)),IF($A83&lt;=250,MIN((1+(INDEX('Scratch Data'!$H$5:$H$13,MATCH($A83,'Scratch Data'!$G$5:$G$13,1))+($A83-INDEX('Scratch Data'!$G$5:$G$13,MATCH($A83,'Scratch Data'!$G$5:$G$13,1)))*(INDEX('Scratch Data'!$H$5:$H$13,MIN(MATCH($A83,'Scratch Data'!$G$5:$G$13,1)+1,ROWS('Scratch Data'!$G$5:$G$13)))-INDEX('Scratch Data'!$H$5:$H$13,MATCH($A83,'Scratch Data'!$G$5:$G$13,1)))/MAX(INDEX('Scratch Data'!$G$5:$G$13,MIN(MATCH($A83,'Scratch Data'!$G$5:$G$13,1)+1,ROWS('Scratch Data'!$G$5:$G$13)))-INDEX('Scratch Data'!$G$5:$G$13,MATCH($A83,'Scratch Data'!$G$5:$G$13,1)),0.0001))*INDEX(Baseline!$I$3:$I$102,MIN(MAX(ROUND(Inputs!$B$11*(INDEX('Scratch Data'!$I$5:$I$13,MATCH($A83,'Scratch Data'!$G$5:$G$13,1))+($A83-INDEX('Scratch Data'!$G$5:$G$13,MATCH($A83,'Scratch Data'!$G$5:$G$13,1)))*(INDEX('Scratch Data'!$I$5:$I$13,MIN(MATCH($A83,'Scratch Data'!$G$5:$G$13,1)+1,ROWS('Scratch Data'!$G$5:$G$13)))-INDEX('Scratch Data'!$I$5:$I$13,MATCH($A83,'Scratch Data'!$G$5:$G$13,1)))/MAX(INDEX('Scratch Data'!$G$5:$G$13,MIN(MATCH($A83,'Scratch Data'!$G$5:$G$13,1)+1,ROWS('Scratch Data'!$G$5:$G$13)))-INDEX('Scratch Data'!$G$5:$G$13,MATCH($A83,'Scratch Data'!$G$5:$G$13,1)),0.0001)),0),1),100))+(1-(INDEX('Scratch Data'!$H$5:$H$13,MATCH($A83,'Scratch Data'!$G$5:$G$13,1))+($A83-INDEX('Scratch Data'!$G$5:$G$13,MATCH($A83,'Scratch Data'!$G$5:$G$13,1)))*(INDEX('Scratch Data'!$H$5:$H$13,MIN(MATCH($A83,'Scratch Data'!$G$5:$G$13,1)+1,ROWS('Scratch Data'!$G$5:$G$13)))-INDEX('Scratch Data'!$H$5:$H$13,MATCH($A83,'Scratch Data'!$G$5:$G$13,1)))/MAX(INDEX('Scratch Data'!$G$5:$G$13,MIN(MATCH($A83,'Scratch Data'!$G$5:$G$13,1)+1,ROWS('Scratch Data'!$G$5:$G$13)))-INDEX('Scratch Data'!$G$5:$G$13,MATCH($A83,'Scratch Data'!$G$5:$G$13,1)),0.0001)))*(INDEX('Scratch Data'!$J$5:$J$13,MATCH($A83,'Scratch Data'!$G$5:$G$13,1))+($A83-INDEX('Scratch Data'!$G$5:$G$13,MATCH($A83,'Scratch Data'!$G$5:$G$13,1)))*(INDEX('Scratch Data'!$J$5:$J$13,MIN(MATCH($A83,'Scratch Data'!$G$5:$G$13,1)+1,ROWS('Scratch Data'!$G$5:$G$13)))-INDEX('Scratch Data'!$J$5:$J$13,MATCH($A83,'Scratch Data'!$G$5:$G$13,1)))/MAX(INDEX('Scratch Data'!$G$5:$G$13,MIN(MATCH($A83,'Scratch Data'!$G$5:$G$13,1)+1,ROWS('Scratch Data'!$G$5:$G$13)))-INDEX('Scratch Data'!$G$5:$G$13,MATCH($A83,'Scratch Data'!$G$5:$G$13,1)),0.0001))),(1+Inputs!$B$19*INDEX(Baseline!$B$3:$B$122,MATCH(MIN(MAX(ROUND((MAX($A83-Inputs!$B$20,30))/5,0)*5,5),600),Baseline!$A$3:$A$122,0))+(1-Inputs!$B$19)*INDEX(Baseline!$C$3:$C$122,MATCH(MIN(MAX(ROUND((MAX($A83-Inputs!$B$20,30))/5,0)*5,5),600),Baseline!$A$3:$A$122,0)))),(1+Inputs!$B$19*INDEX(Baseline!$B$3:$B$122,MATCH(MIN(MAX(ROUND((MAX($A83-Inputs!$B$20,30))/5,0)*5,5),600),Baseline!$A$3:$A$122,0))+(1-Inputs!$B$19)*INDEX(Baseline!$C$3:$C$122,MATCH(MIN(MAX(ROUND((MAX($A83-Inputs!$B$20,30))/5,0)*5,5),600),Baseline!$A$3:$A$122,0)))))</f>
        <v>4.440036248</v>
      </c>
      <c r="C83" s="10" t="n">
        <f aca="false">IF($A83&lt;=50,$B83+Inputs!$B$18,IF($A83&lt;=250,MIN((1+(INDEX('Scratch Data'!$H$5:$H$13,MATCH($A83,'Scratch Data'!$G$5:$G$13,1))+($A83-INDEX('Scratch Data'!$G$5:$G$13,MATCH($A83,'Scratch Data'!$G$5:$G$13,1)))*(INDEX('Scratch Data'!$H$5:$H$13,MIN(MATCH($A83,'Scratch Data'!$G$5:$G$13,1)+1,ROWS('Scratch Data'!$G$5:$G$13)))-INDEX('Scratch Data'!$H$5:$H$13,MATCH($A83,'Scratch Data'!$G$5:$G$13,1)))/MAX(INDEX('Scratch Data'!$G$5:$G$13,MIN(MATCH($A83,'Scratch Data'!$G$5:$G$13,1)+1,ROWS('Scratch Data'!$G$5:$G$13)))-INDEX('Scratch Data'!$G$5:$G$13,MATCH($A83,'Scratch Data'!$G$5:$G$13,1)),0.0001))*Inputs!$B$12*INDEX(Baseline!$I$3:$I$102,MIN(MAX(ROUND(Inputs!$B$11*(INDEX('Scratch Data'!$I$5:$I$13,MATCH($A83,'Scratch Data'!$G$5:$G$13,1))+($A83-INDEX('Scratch Data'!$G$5:$G$13,MATCH($A83,'Scratch Data'!$G$5:$G$13,1)))*(INDEX('Scratch Data'!$I$5:$I$13,MIN(MATCH($A83,'Scratch Data'!$G$5:$G$13,1)+1,ROWS('Scratch Data'!$G$5:$G$13)))-INDEX('Scratch Data'!$I$5:$I$13,MATCH($A83,'Scratch Data'!$G$5:$G$13,1)))/MAX(INDEX('Scratch Data'!$G$5:$G$13,MIN(MATCH($A83,'Scratch Data'!$G$5:$G$13,1)+1,ROWS('Scratch Data'!$G$5:$G$13)))-INDEX('Scratch Data'!$G$5:$G$13,MATCH($A83,'Scratch Data'!$G$5:$G$13,1)),0.0001))*Inputs!$B$13,0),1),100))+(1-(INDEX('Scratch Data'!$H$5:$H$13,MATCH($A83,'Scratch Data'!$G$5:$G$13,1))+($A83-INDEX('Scratch Data'!$G$5:$G$13,MATCH($A83,'Scratch Data'!$G$5:$G$13,1)))*(INDEX('Scratch Data'!$H$5:$H$13,MIN(MATCH($A83,'Scratch Data'!$G$5:$G$13,1)+1,ROWS('Scratch Data'!$G$5:$G$13)))-INDEX('Scratch Data'!$H$5:$H$13,MATCH($A83,'Scratch Data'!$G$5:$G$13,1)))/MAX(INDEX('Scratch Data'!$G$5:$G$13,MIN(MATCH($A83,'Scratch Data'!$G$5:$G$13,1)+1,ROWS('Scratch Data'!$G$5:$G$13)))-INDEX('Scratch Data'!$G$5:$G$13,MATCH($A83,'Scratch Data'!$G$5:$G$13,1)),0.0001))*Inputs!$B$12)*((INDEX('Scratch Data'!$J$5:$J$13,MATCH($A83,'Scratch Data'!$G$5:$G$13,1))+($A83-INDEX('Scratch Data'!$G$5:$G$13,MATCH($A83,'Scratch Data'!$G$5:$G$13,1)))*(INDEX('Scratch Data'!$J$5:$J$13,MIN(MATCH($A83,'Scratch Data'!$G$5:$G$13,1)+1,ROWS('Scratch Data'!$G$5:$G$13)))-INDEX('Scratch Data'!$J$5:$J$13,MATCH($A83,'Scratch Data'!$G$5:$G$13,1)))/MAX(INDEX('Scratch Data'!$G$5:$G$13,MIN(MATCH($A83,'Scratch Data'!$G$5:$G$13,1)+1,ROWS('Scratch Data'!$G$5:$G$13)))-INDEX('Scratch Data'!$G$5:$G$13,MATCH($A83,'Scratch Data'!$G$5:$G$13,1)),0.0001))+Inputs!$B$14)),(1+Inputs!$B$19*INDEX(Baseline!$B$3:$B$122,MATCH(MIN(MAX(ROUND((MAX($A83-Inputs!$B$21,30))/5,0)*5,5),600),Baseline!$A$3:$A$122,0))+(1-Inputs!$B$19)*INDEX(Baseline!$C$3:$C$122,MATCH(MIN(MAX(ROUND((MAX($A83-Inputs!$B$21,30))/5,0)*5,5),600),Baseline!$A$3:$A$122,0))+Inputs!$B$14)),(1+Inputs!$B$19*INDEX(Baseline!$B$3:$B$122,MATCH(MIN(MAX(ROUND((MAX($A83-Inputs!$B$21,30))/5,0)*5,5),600),Baseline!$A$3:$A$122,0))+(1-Inputs!$B$19)*INDEX(Baseline!$C$3:$C$122,MATCH(MIN(MAX(ROUND((MAX($A83-Inputs!$B$21,30))/5,0)*5,5),600),Baseline!$A$3:$A$122,0))+Inputs!$B$14)))</f>
        <v>4.68444432</v>
      </c>
      <c r="D83" s="10" t="n">
        <f aca="false">IF($A83&lt;=50,(INDEX('Scratch Data'!$P$5:$P$11,MATCH($A83,'Scratch Data'!$O$5:$O$11,1))+($A83-INDEX('Scratch Data'!$O$5:$O$11,MATCH($A83,'Scratch Data'!$O$5:$O$11,1)))*(INDEX('Scratch Data'!$P$5:$P$11,MIN(MATCH($A83,'Scratch Data'!$O$5:$O$11,1)+1,ROWS('Scratch Data'!$O$5:$O$11)))-INDEX('Scratch Data'!$P$5:$P$11,MATCH($A83,'Scratch Data'!$O$5:$O$11,1)))/MAX(INDEX('Scratch Data'!$O$5:$O$11,MIN(MATCH($A83,'Scratch Data'!$O$5:$O$11,1)+1,ROWS('Scratch Data'!$O$5:$O$11)))-INDEX('Scratch Data'!$O$5:$O$11,MATCH($A83,'Scratch Data'!$O$5:$O$11,1)),0.0001)),IF($A83&lt;=250,MIN((1+(INDEX('Scratch Data'!$H$5:$H$13,MATCH($A83,'Scratch Data'!$G$5:$G$13,1))+($A83-INDEX('Scratch Data'!$G$5:$G$13,MATCH($A83,'Scratch Data'!$G$5:$G$13,1)))*(INDEX('Scratch Data'!$H$5:$H$13,MIN(MATCH($A83,'Scratch Data'!$G$5:$G$13,1)+1,ROWS('Scratch Data'!$G$5:$G$13)))-INDEX('Scratch Data'!$H$5:$H$13,MATCH($A83,'Scratch Data'!$G$5:$G$13,1)))/MAX(INDEX('Scratch Data'!$G$5:$G$13,MIN(MATCH($A83,'Scratch Data'!$G$5:$G$13,1)+1,ROWS('Scratch Data'!$G$5:$G$13)))-INDEX('Scratch Data'!$G$5:$G$13,MATCH($A83,'Scratch Data'!$G$5:$G$13,1)),0.0001))*Inputs!$B$15*INDEX(Baseline!$I$3:$I$102,MIN(MAX(ROUND(Inputs!$B$11*(INDEX('Scratch Data'!$I$5:$I$13,MATCH($A83,'Scratch Data'!$G$5:$G$13,1))+($A83-INDEX('Scratch Data'!$G$5:$G$13,MATCH($A83,'Scratch Data'!$G$5:$G$13,1)))*(INDEX('Scratch Data'!$I$5:$I$13,MIN(MATCH($A83,'Scratch Data'!$G$5:$G$13,1)+1,ROWS('Scratch Data'!$G$5:$G$13)))-INDEX('Scratch Data'!$I$5:$I$13,MATCH($A83,'Scratch Data'!$G$5:$G$13,1)))/MAX(INDEX('Scratch Data'!$G$5:$G$13,MIN(MATCH($A83,'Scratch Data'!$G$5:$G$13,1)+1,ROWS('Scratch Data'!$G$5:$G$13)))-INDEX('Scratch Data'!$G$5:$G$13,MATCH($A83,'Scratch Data'!$G$5:$G$13,1)),0.0001))*Inputs!$B$16,0),1),100))+(1-(INDEX('Scratch Data'!$H$5:$H$13,MATCH($A83,'Scratch Data'!$G$5:$G$13,1))+($A83-INDEX('Scratch Data'!$G$5:$G$13,MATCH($A83,'Scratch Data'!$G$5:$G$13,1)))*(INDEX('Scratch Data'!$H$5:$H$13,MIN(MATCH($A83,'Scratch Data'!$G$5:$G$13,1)+1,ROWS('Scratch Data'!$G$5:$G$13)))-INDEX('Scratch Data'!$H$5:$H$13,MATCH($A83,'Scratch Data'!$G$5:$G$13,1)))/MAX(INDEX('Scratch Data'!$G$5:$G$13,MIN(MATCH($A83,'Scratch Data'!$G$5:$G$13,1)+1,ROWS('Scratch Data'!$G$5:$G$13)))-INDEX('Scratch Data'!$G$5:$G$13,MATCH($A83,'Scratch Data'!$G$5:$G$13,1)),0.0001))*Inputs!$B$15)*((INDEX('Scratch Data'!$J$5:$J$13,MATCH($A83,'Scratch Data'!$G$5:$G$13,1))+($A83-INDEX('Scratch Data'!$G$5:$G$13,MATCH($A83,'Scratch Data'!$G$5:$G$13,1)))*(INDEX('Scratch Data'!$J$5:$J$13,MIN(MATCH($A83,'Scratch Data'!$G$5:$G$13,1)+1,ROWS('Scratch Data'!$G$5:$G$13)))-INDEX('Scratch Data'!$J$5:$J$13,MATCH($A83,'Scratch Data'!$G$5:$G$13,1)))/MAX(INDEX('Scratch Data'!$G$5:$G$13,MIN(MATCH($A83,'Scratch Data'!$G$5:$G$13,1)+1,ROWS('Scratch Data'!$G$5:$G$13)))-INDEX('Scratch Data'!$G$5:$G$13,MATCH($A83,'Scratch Data'!$G$5:$G$13,1)),0.0001))+Inputs!$B$17)),(1+Inputs!$B$19*INDEX(Baseline!$B$3:$B$122,MATCH(MIN(MAX(ROUND((MAX($A83-Inputs!$B$22,30))/5,0)*5,5),600),Baseline!$A$3:$A$122,0))+(1-Inputs!$B$19)*INDEX(Baseline!$C$3:$C$122,MATCH(MIN(MAX(ROUND((MAX($A83-Inputs!$B$22,30))/5,0)*5,5),600),Baseline!$A$3:$A$122,0))+Inputs!$B$17)),(1+Inputs!$B$19*INDEX(Baseline!$B$3:$B$122,MATCH(MIN(MAX(ROUND((MAX($A83-Inputs!$B$22,30))/5,0)*5,5),600),Baseline!$A$3:$A$122,0))+(1-Inputs!$B$19)*INDEX(Baseline!$C$3:$C$122,MATCH(MIN(MAX(ROUND((MAX($A83-Inputs!$B$22,30))/5,0)*5,5),600),Baseline!$A$3:$A$122,0))+Inputs!$B$17)))</f>
        <v>4.88266048</v>
      </c>
      <c r="E83" s="10" t="n">
        <f aca="false">1+Inputs!$B$24+0.6*INDEX(Baseline!$B$3:$B$122,MATCH(MIN(MAX(ROUND((MAX($A83-Inputs!$B$23,15))/5,0)*5,5),600),Baseline!$A$3:$A$122,0))+0.4*INDEX(Baseline!$C$3:$C$122,MATCH(MIN(MAX(ROUND((MAX($A83-Inputs!$B$23,15))/5,0)*5,5),600),Baseline!$A$3:$A$122,0))</f>
        <v>5.2041975456</v>
      </c>
      <c r="H83" s="7" t="n">
        <v>81</v>
      </c>
      <c r="I83" s="10" t="n">
        <f aca="false">(INDEX('Scratch Data'!$E$5:$E$22,MATCH($H83,'Scratch Data'!$A$5:$A$22,1))+($H83-INDEX('Scratch Data'!$A$5:$A$22,MATCH($H83,'Scratch Data'!$A$5:$A$22,1)))*(INDEX('Scratch Data'!$E$5:$E$22,MIN(MATCH($H83,'Scratch Data'!$A$5:$A$22,1)+1,ROWS('Scratch Data'!$A$5:$A$22)))-INDEX('Scratch Data'!$E$5:$E$22,MATCH($H83,'Scratch Data'!$A$5:$A$22,1)))/MAX(INDEX('Scratch Data'!$A$5:$A$22,MIN(MATCH($H83,'Scratch Data'!$A$5:$A$22,1)+1,ROWS('Scratch Data'!$A$5:$A$22)))-INDEX('Scratch Data'!$A$5:$A$22,MATCH($H83,'Scratch Data'!$A$5:$A$22,1)),0.0001))</f>
        <v>2.46975</v>
      </c>
    </row>
    <row r="84" customFormat="false" ht="15" hidden="false" customHeight="false" outlineLevel="0" collapsed="false">
      <c r="A84" s="7" t="n">
        <v>410</v>
      </c>
      <c r="B84" s="10" t="n">
        <f aca="false">IF($A84&lt;=50,(INDEX('Scratch Data'!$M$5:$M$12,MATCH($A84,'Scratch Data'!$L$5:$L$12,1))+($A84-INDEX('Scratch Data'!$L$5:$L$12,MATCH($A84,'Scratch Data'!$L$5:$L$12,1)))*(INDEX('Scratch Data'!$M$5:$M$12,MIN(MATCH($A84,'Scratch Data'!$L$5:$L$12,1)+1,ROWS('Scratch Data'!$L$5:$L$12)))-INDEX('Scratch Data'!$M$5:$M$12,MATCH($A84,'Scratch Data'!$L$5:$L$12,1)))/MAX(INDEX('Scratch Data'!$L$5:$L$12,MIN(MATCH($A84,'Scratch Data'!$L$5:$L$12,1)+1,ROWS('Scratch Data'!$L$5:$L$12)))-INDEX('Scratch Data'!$L$5:$L$12,MATCH($A84,'Scratch Data'!$L$5:$L$12,1)),0.0001)),IF($A84&lt;=250,MIN((1+(INDEX('Scratch Data'!$H$5:$H$13,MATCH($A84,'Scratch Data'!$G$5:$G$13,1))+($A84-INDEX('Scratch Data'!$G$5:$G$13,MATCH($A84,'Scratch Data'!$G$5:$G$13,1)))*(INDEX('Scratch Data'!$H$5:$H$13,MIN(MATCH($A84,'Scratch Data'!$G$5:$G$13,1)+1,ROWS('Scratch Data'!$G$5:$G$13)))-INDEX('Scratch Data'!$H$5:$H$13,MATCH($A84,'Scratch Data'!$G$5:$G$13,1)))/MAX(INDEX('Scratch Data'!$G$5:$G$13,MIN(MATCH($A84,'Scratch Data'!$G$5:$G$13,1)+1,ROWS('Scratch Data'!$G$5:$G$13)))-INDEX('Scratch Data'!$G$5:$G$13,MATCH($A84,'Scratch Data'!$G$5:$G$13,1)),0.0001))*INDEX(Baseline!$I$3:$I$102,MIN(MAX(ROUND(Inputs!$B$11*(INDEX('Scratch Data'!$I$5:$I$13,MATCH($A84,'Scratch Data'!$G$5:$G$13,1))+($A84-INDEX('Scratch Data'!$G$5:$G$13,MATCH($A84,'Scratch Data'!$G$5:$G$13,1)))*(INDEX('Scratch Data'!$I$5:$I$13,MIN(MATCH($A84,'Scratch Data'!$G$5:$G$13,1)+1,ROWS('Scratch Data'!$G$5:$G$13)))-INDEX('Scratch Data'!$I$5:$I$13,MATCH($A84,'Scratch Data'!$G$5:$G$13,1)))/MAX(INDEX('Scratch Data'!$G$5:$G$13,MIN(MATCH($A84,'Scratch Data'!$G$5:$G$13,1)+1,ROWS('Scratch Data'!$G$5:$G$13)))-INDEX('Scratch Data'!$G$5:$G$13,MATCH($A84,'Scratch Data'!$G$5:$G$13,1)),0.0001)),0),1),100))+(1-(INDEX('Scratch Data'!$H$5:$H$13,MATCH($A84,'Scratch Data'!$G$5:$G$13,1))+($A84-INDEX('Scratch Data'!$G$5:$G$13,MATCH($A84,'Scratch Data'!$G$5:$G$13,1)))*(INDEX('Scratch Data'!$H$5:$H$13,MIN(MATCH($A84,'Scratch Data'!$G$5:$G$13,1)+1,ROWS('Scratch Data'!$G$5:$G$13)))-INDEX('Scratch Data'!$H$5:$H$13,MATCH($A84,'Scratch Data'!$G$5:$G$13,1)))/MAX(INDEX('Scratch Data'!$G$5:$G$13,MIN(MATCH($A84,'Scratch Data'!$G$5:$G$13,1)+1,ROWS('Scratch Data'!$G$5:$G$13)))-INDEX('Scratch Data'!$G$5:$G$13,MATCH($A84,'Scratch Data'!$G$5:$G$13,1)),0.0001)))*(INDEX('Scratch Data'!$J$5:$J$13,MATCH($A84,'Scratch Data'!$G$5:$G$13,1))+($A84-INDEX('Scratch Data'!$G$5:$G$13,MATCH($A84,'Scratch Data'!$G$5:$G$13,1)))*(INDEX('Scratch Data'!$J$5:$J$13,MIN(MATCH($A84,'Scratch Data'!$G$5:$G$13,1)+1,ROWS('Scratch Data'!$G$5:$G$13)))-INDEX('Scratch Data'!$J$5:$J$13,MATCH($A84,'Scratch Data'!$G$5:$G$13,1)))/MAX(INDEX('Scratch Data'!$G$5:$G$13,MIN(MATCH($A84,'Scratch Data'!$G$5:$G$13,1)+1,ROWS('Scratch Data'!$G$5:$G$13)))-INDEX('Scratch Data'!$G$5:$G$13,MATCH($A84,'Scratch Data'!$G$5:$G$13,1)),0.0001))),(1+Inputs!$B$19*INDEX(Baseline!$B$3:$B$122,MATCH(MIN(MAX(ROUND((MAX($A84-Inputs!$B$20,30))/5,0)*5,5),600),Baseline!$A$3:$A$122,0))+(1-Inputs!$B$19)*INDEX(Baseline!$C$3:$C$122,MATCH(MIN(MAX(ROUND((MAX($A84-Inputs!$B$20,30))/5,0)*5,5),600),Baseline!$A$3:$A$122,0)))),(1+Inputs!$B$19*INDEX(Baseline!$B$3:$B$122,MATCH(MIN(MAX(ROUND((MAX($A84-Inputs!$B$20,30))/5,0)*5,5),600),Baseline!$A$3:$A$122,0))+(1-Inputs!$B$19)*INDEX(Baseline!$C$3:$C$122,MATCH(MIN(MAX(ROUND((MAX($A84-Inputs!$B$20,30))/5,0)*5,5),600),Baseline!$A$3:$A$122,0)))))</f>
        <v>4.4648288</v>
      </c>
      <c r="C84" s="10" t="n">
        <f aca="false">IF($A84&lt;=50,$B84+Inputs!$B$18,IF($A84&lt;=250,MIN((1+(INDEX('Scratch Data'!$H$5:$H$13,MATCH($A84,'Scratch Data'!$G$5:$G$13,1))+($A84-INDEX('Scratch Data'!$G$5:$G$13,MATCH($A84,'Scratch Data'!$G$5:$G$13,1)))*(INDEX('Scratch Data'!$H$5:$H$13,MIN(MATCH($A84,'Scratch Data'!$G$5:$G$13,1)+1,ROWS('Scratch Data'!$G$5:$G$13)))-INDEX('Scratch Data'!$H$5:$H$13,MATCH($A84,'Scratch Data'!$G$5:$G$13,1)))/MAX(INDEX('Scratch Data'!$G$5:$G$13,MIN(MATCH($A84,'Scratch Data'!$G$5:$G$13,1)+1,ROWS('Scratch Data'!$G$5:$G$13)))-INDEX('Scratch Data'!$G$5:$G$13,MATCH($A84,'Scratch Data'!$G$5:$G$13,1)),0.0001))*Inputs!$B$12*INDEX(Baseline!$I$3:$I$102,MIN(MAX(ROUND(Inputs!$B$11*(INDEX('Scratch Data'!$I$5:$I$13,MATCH($A84,'Scratch Data'!$G$5:$G$13,1))+($A84-INDEX('Scratch Data'!$G$5:$G$13,MATCH($A84,'Scratch Data'!$G$5:$G$13,1)))*(INDEX('Scratch Data'!$I$5:$I$13,MIN(MATCH($A84,'Scratch Data'!$G$5:$G$13,1)+1,ROWS('Scratch Data'!$G$5:$G$13)))-INDEX('Scratch Data'!$I$5:$I$13,MATCH($A84,'Scratch Data'!$G$5:$G$13,1)))/MAX(INDEX('Scratch Data'!$G$5:$G$13,MIN(MATCH($A84,'Scratch Data'!$G$5:$G$13,1)+1,ROWS('Scratch Data'!$G$5:$G$13)))-INDEX('Scratch Data'!$G$5:$G$13,MATCH($A84,'Scratch Data'!$G$5:$G$13,1)),0.0001))*Inputs!$B$13,0),1),100))+(1-(INDEX('Scratch Data'!$H$5:$H$13,MATCH($A84,'Scratch Data'!$G$5:$G$13,1))+($A84-INDEX('Scratch Data'!$G$5:$G$13,MATCH($A84,'Scratch Data'!$G$5:$G$13,1)))*(INDEX('Scratch Data'!$H$5:$H$13,MIN(MATCH($A84,'Scratch Data'!$G$5:$G$13,1)+1,ROWS('Scratch Data'!$G$5:$G$13)))-INDEX('Scratch Data'!$H$5:$H$13,MATCH($A84,'Scratch Data'!$G$5:$G$13,1)))/MAX(INDEX('Scratch Data'!$G$5:$G$13,MIN(MATCH($A84,'Scratch Data'!$G$5:$G$13,1)+1,ROWS('Scratch Data'!$G$5:$G$13)))-INDEX('Scratch Data'!$G$5:$G$13,MATCH($A84,'Scratch Data'!$G$5:$G$13,1)),0.0001))*Inputs!$B$12)*((INDEX('Scratch Data'!$J$5:$J$13,MATCH($A84,'Scratch Data'!$G$5:$G$13,1))+($A84-INDEX('Scratch Data'!$G$5:$G$13,MATCH($A84,'Scratch Data'!$G$5:$G$13,1)))*(INDEX('Scratch Data'!$J$5:$J$13,MIN(MATCH($A84,'Scratch Data'!$G$5:$G$13,1)+1,ROWS('Scratch Data'!$G$5:$G$13)))-INDEX('Scratch Data'!$J$5:$J$13,MATCH($A84,'Scratch Data'!$G$5:$G$13,1)))/MAX(INDEX('Scratch Data'!$G$5:$G$13,MIN(MATCH($A84,'Scratch Data'!$G$5:$G$13,1)+1,ROWS('Scratch Data'!$G$5:$G$13)))-INDEX('Scratch Data'!$G$5:$G$13,MATCH($A84,'Scratch Data'!$G$5:$G$13,1)),0.0001))+Inputs!$B$14)),(1+Inputs!$B$19*INDEX(Baseline!$B$3:$B$122,MATCH(MIN(MAX(ROUND((MAX($A84-Inputs!$B$21,30))/5,0)*5,5),600),Baseline!$A$3:$A$122,0))+(1-Inputs!$B$19)*INDEX(Baseline!$C$3:$C$122,MATCH(MIN(MAX(ROUND((MAX($A84-Inputs!$B$21,30))/5,0)*5,5),600),Baseline!$A$3:$A$122,0))+Inputs!$B$14)),(1+Inputs!$B$19*INDEX(Baseline!$B$3:$B$122,MATCH(MIN(MAX(ROUND((MAX($A84-Inputs!$B$21,30))/5,0)*5,5),600),Baseline!$A$3:$A$122,0))+(1-Inputs!$B$19)*INDEX(Baseline!$C$3:$C$122,MATCH(MIN(MAX(ROUND((MAX($A84-Inputs!$B$21,30))/5,0)*5,5),600),Baseline!$A$3:$A$122,0))+Inputs!$B$14)))</f>
        <v>4.7088844</v>
      </c>
      <c r="D84" s="10" t="n">
        <f aca="false">IF($A84&lt;=50,(INDEX('Scratch Data'!$P$5:$P$11,MATCH($A84,'Scratch Data'!$O$5:$O$11,1))+($A84-INDEX('Scratch Data'!$O$5:$O$11,MATCH($A84,'Scratch Data'!$O$5:$O$11,1)))*(INDEX('Scratch Data'!$P$5:$P$11,MIN(MATCH($A84,'Scratch Data'!$O$5:$O$11,1)+1,ROWS('Scratch Data'!$O$5:$O$11)))-INDEX('Scratch Data'!$P$5:$P$11,MATCH($A84,'Scratch Data'!$O$5:$O$11,1)))/MAX(INDEX('Scratch Data'!$O$5:$O$11,MIN(MATCH($A84,'Scratch Data'!$O$5:$O$11,1)+1,ROWS('Scratch Data'!$O$5:$O$11)))-INDEX('Scratch Data'!$O$5:$O$11,MATCH($A84,'Scratch Data'!$O$5:$O$11,1)),0.0001)),IF($A84&lt;=250,MIN((1+(INDEX('Scratch Data'!$H$5:$H$13,MATCH($A84,'Scratch Data'!$G$5:$G$13,1))+($A84-INDEX('Scratch Data'!$G$5:$G$13,MATCH($A84,'Scratch Data'!$G$5:$G$13,1)))*(INDEX('Scratch Data'!$H$5:$H$13,MIN(MATCH($A84,'Scratch Data'!$G$5:$G$13,1)+1,ROWS('Scratch Data'!$G$5:$G$13)))-INDEX('Scratch Data'!$H$5:$H$13,MATCH($A84,'Scratch Data'!$G$5:$G$13,1)))/MAX(INDEX('Scratch Data'!$G$5:$G$13,MIN(MATCH($A84,'Scratch Data'!$G$5:$G$13,1)+1,ROWS('Scratch Data'!$G$5:$G$13)))-INDEX('Scratch Data'!$G$5:$G$13,MATCH($A84,'Scratch Data'!$G$5:$G$13,1)),0.0001))*Inputs!$B$15*INDEX(Baseline!$I$3:$I$102,MIN(MAX(ROUND(Inputs!$B$11*(INDEX('Scratch Data'!$I$5:$I$13,MATCH($A84,'Scratch Data'!$G$5:$G$13,1))+($A84-INDEX('Scratch Data'!$G$5:$G$13,MATCH($A84,'Scratch Data'!$G$5:$G$13,1)))*(INDEX('Scratch Data'!$I$5:$I$13,MIN(MATCH($A84,'Scratch Data'!$G$5:$G$13,1)+1,ROWS('Scratch Data'!$G$5:$G$13)))-INDEX('Scratch Data'!$I$5:$I$13,MATCH($A84,'Scratch Data'!$G$5:$G$13,1)))/MAX(INDEX('Scratch Data'!$G$5:$G$13,MIN(MATCH($A84,'Scratch Data'!$G$5:$G$13,1)+1,ROWS('Scratch Data'!$G$5:$G$13)))-INDEX('Scratch Data'!$G$5:$G$13,MATCH($A84,'Scratch Data'!$G$5:$G$13,1)),0.0001))*Inputs!$B$16,0),1),100))+(1-(INDEX('Scratch Data'!$H$5:$H$13,MATCH($A84,'Scratch Data'!$G$5:$G$13,1))+($A84-INDEX('Scratch Data'!$G$5:$G$13,MATCH($A84,'Scratch Data'!$G$5:$G$13,1)))*(INDEX('Scratch Data'!$H$5:$H$13,MIN(MATCH($A84,'Scratch Data'!$G$5:$G$13,1)+1,ROWS('Scratch Data'!$G$5:$G$13)))-INDEX('Scratch Data'!$H$5:$H$13,MATCH($A84,'Scratch Data'!$G$5:$G$13,1)))/MAX(INDEX('Scratch Data'!$G$5:$G$13,MIN(MATCH($A84,'Scratch Data'!$G$5:$G$13,1)+1,ROWS('Scratch Data'!$G$5:$G$13)))-INDEX('Scratch Data'!$G$5:$G$13,MATCH($A84,'Scratch Data'!$G$5:$G$13,1)),0.0001))*Inputs!$B$15)*((INDEX('Scratch Data'!$J$5:$J$13,MATCH($A84,'Scratch Data'!$G$5:$G$13,1))+($A84-INDEX('Scratch Data'!$G$5:$G$13,MATCH($A84,'Scratch Data'!$G$5:$G$13,1)))*(INDEX('Scratch Data'!$J$5:$J$13,MIN(MATCH($A84,'Scratch Data'!$G$5:$G$13,1)+1,ROWS('Scratch Data'!$G$5:$G$13)))-INDEX('Scratch Data'!$J$5:$J$13,MATCH($A84,'Scratch Data'!$G$5:$G$13,1)))/MAX(INDEX('Scratch Data'!$G$5:$G$13,MIN(MATCH($A84,'Scratch Data'!$G$5:$G$13,1)+1,ROWS('Scratch Data'!$G$5:$G$13)))-INDEX('Scratch Data'!$G$5:$G$13,MATCH($A84,'Scratch Data'!$G$5:$G$13,1)),0.0001))+Inputs!$B$17)),(1+Inputs!$B$19*INDEX(Baseline!$B$3:$B$122,MATCH(MIN(MAX(ROUND((MAX($A84-Inputs!$B$22,30))/5,0)*5,5),600),Baseline!$A$3:$A$122,0))+(1-Inputs!$B$19)*INDEX(Baseline!$C$3:$C$122,MATCH(MIN(MAX(ROUND((MAX($A84-Inputs!$B$22,30))/5,0)*5,5),600),Baseline!$A$3:$A$122,0))+Inputs!$B$17)),(1+Inputs!$B$19*INDEX(Baseline!$B$3:$B$122,MATCH(MIN(MAX(ROUND((MAX($A84-Inputs!$B$22,30))/5,0)*5,5),600),Baseline!$A$3:$A$122,0))+(1-Inputs!$B$19)*INDEX(Baseline!$C$3:$C$122,MATCH(MIN(MAX(ROUND((MAX($A84-Inputs!$B$22,30))/5,0)*5,5),600),Baseline!$A$3:$A$122,0))+Inputs!$B$17)))</f>
        <v>4.89130528</v>
      </c>
      <c r="E84" s="10" t="n">
        <f aca="false">1+Inputs!$B$24+0.6*INDEX(Baseline!$B$3:$B$122,MATCH(MIN(MAX(ROUND((MAX($A84-Inputs!$B$23,15))/5,0)*5,5),600),Baseline!$A$3:$A$122,0))+0.4*INDEX(Baseline!$C$3:$C$122,MATCH(MIN(MAX(ROUND((MAX($A84-Inputs!$B$23,15))/5,0)*5,5),600),Baseline!$A$3:$A$122,0))</f>
        <v>5.2304458432</v>
      </c>
      <c r="H84" s="7" t="n">
        <v>82</v>
      </c>
      <c r="I84" s="10" t="n">
        <f aca="false">(INDEX('Scratch Data'!$E$5:$E$22,MATCH($H84,'Scratch Data'!$A$5:$A$22,1))+($H84-INDEX('Scratch Data'!$A$5:$A$22,MATCH($H84,'Scratch Data'!$A$5:$A$22,1)))*(INDEX('Scratch Data'!$E$5:$E$22,MIN(MATCH($H84,'Scratch Data'!$A$5:$A$22,1)+1,ROWS('Scratch Data'!$A$5:$A$22)))-INDEX('Scratch Data'!$E$5:$E$22,MATCH($H84,'Scratch Data'!$A$5:$A$22,1)))/MAX(INDEX('Scratch Data'!$A$5:$A$22,MIN(MATCH($H84,'Scratch Data'!$A$5:$A$22,1)+1,ROWS('Scratch Data'!$A$5:$A$22)))-INDEX('Scratch Data'!$A$5:$A$22,MATCH($H84,'Scratch Data'!$A$5:$A$22,1)),0.0001))</f>
        <v>2.4745</v>
      </c>
    </row>
    <row r="85" customFormat="false" ht="15" hidden="false" customHeight="false" outlineLevel="0" collapsed="false">
      <c r="A85" s="7" t="n">
        <v>415</v>
      </c>
      <c r="B85" s="10" t="n">
        <f aca="false">IF($A85&lt;=50,(INDEX('Scratch Data'!$M$5:$M$12,MATCH($A85,'Scratch Data'!$L$5:$L$12,1))+($A85-INDEX('Scratch Data'!$L$5:$L$12,MATCH($A85,'Scratch Data'!$L$5:$L$12,1)))*(INDEX('Scratch Data'!$M$5:$M$12,MIN(MATCH($A85,'Scratch Data'!$L$5:$L$12,1)+1,ROWS('Scratch Data'!$L$5:$L$12)))-INDEX('Scratch Data'!$M$5:$M$12,MATCH($A85,'Scratch Data'!$L$5:$L$12,1)))/MAX(INDEX('Scratch Data'!$L$5:$L$12,MIN(MATCH($A85,'Scratch Data'!$L$5:$L$12,1)+1,ROWS('Scratch Data'!$L$5:$L$12)))-INDEX('Scratch Data'!$L$5:$L$12,MATCH($A85,'Scratch Data'!$L$5:$L$12,1)),0.0001)),IF($A85&lt;=250,MIN((1+(INDEX('Scratch Data'!$H$5:$H$13,MATCH($A85,'Scratch Data'!$G$5:$G$13,1))+($A85-INDEX('Scratch Data'!$G$5:$G$13,MATCH($A85,'Scratch Data'!$G$5:$G$13,1)))*(INDEX('Scratch Data'!$H$5:$H$13,MIN(MATCH($A85,'Scratch Data'!$G$5:$G$13,1)+1,ROWS('Scratch Data'!$G$5:$G$13)))-INDEX('Scratch Data'!$H$5:$H$13,MATCH($A85,'Scratch Data'!$G$5:$G$13,1)))/MAX(INDEX('Scratch Data'!$G$5:$G$13,MIN(MATCH($A85,'Scratch Data'!$G$5:$G$13,1)+1,ROWS('Scratch Data'!$G$5:$G$13)))-INDEX('Scratch Data'!$G$5:$G$13,MATCH($A85,'Scratch Data'!$G$5:$G$13,1)),0.0001))*INDEX(Baseline!$I$3:$I$102,MIN(MAX(ROUND(Inputs!$B$11*(INDEX('Scratch Data'!$I$5:$I$13,MATCH($A85,'Scratch Data'!$G$5:$G$13,1))+($A85-INDEX('Scratch Data'!$G$5:$G$13,MATCH($A85,'Scratch Data'!$G$5:$G$13,1)))*(INDEX('Scratch Data'!$I$5:$I$13,MIN(MATCH($A85,'Scratch Data'!$G$5:$G$13,1)+1,ROWS('Scratch Data'!$G$5:$G$13)))-INDEX('Scratch Data'!$I$5:$I$13,MATCH($A85,'Scratch Data'!$G$5:$G$13,1)))/MAX(INDEX('Scratch Data'!$G$5:$G$13,MIN(MATCH($A85,'Scratch Data'!$G$5:$G$13,1)+1,ROWS('Scratch Data'!$G$5:$G$13)))-INDEX('Scratch Data'!$G$5:$G$13,MATCH($A85,'Scratch Data'!$G$5:$G$13,1)),0.0001)),0),1),100))+(1-(INDEX('Scratch Data'!$H$5:$H$13,MATCH($A85,'Scratch Data'!$G$5:$G$13,1))+($A85-INDEX('Scratch Data'!$G$5:$G$13,MATCH($A85,'Scratch Data'!$G$5:$G$13,1)))*(INDEX('Scratch Data'!$H$5:$H$13,MIN(MATCH($A85,'Scratch Data'!$G$5:$G$13,1)+1,ROWS('Scratch Data'!$G$5:$G$13)))-INDEX('Scratch Data'!$H$5:$H$13,MATCH($A85,'Scratch Data'!$G$5:$G$13,1)))/MAX(INDEX('Scratch Data'!$G$5:$G$13,MIN(MATCH($A85,'Scratch Data'!$G$5:$G$13,1)+1,ROWS('Scratch Data'!$G$5:$G$13)))-INDEX('Scratch Data'!$G$5:$G$13,MATCH($A85,'Scratch Data'!$G$5:$G$13,1)),0.0001)))*(INDEX('Scratch Data'!$J$5:$J$13,MATCH($A85,'Scratch Data'!$G$5:$G$13,1))+($A85-INDEX('Scratch Data'!$G$5:$G$13,MATCH($A85,'Scratch Data'!$G$5:$G$13,1)))*(INDEX('Scratch Data'!$J$5:$J$13,MIN(MATCH($A85,'Scratch Data'!$G$5:$G$13,1)+1,ROWS('Scratch Data'!$G$5:$G$13)))-INDEX('Scratch Data'!$J$5:$J$13,MATCH($A85,'Scratch Data'!$G$5:$G$13,1)))/MAX(INDEX('Scratch Data'!$G$5:$G$13,MIN(MATCH($A85,'Scratch Data'!$G$5:$G$13,1)+1,ROWS('Scratch Data'!$G$5:$G$13)))-INDEX('Scratch Data'!$G$5:$G$13,MATCH($A85,'Scratch Data'!$G$5:$G$13,1)),0.0001))),(1+Inputs!$B$19*INDEX(Baseline!$B$3:$B$122,MATCH(MIN(MAX(ROUND((MAX($A85-Inputs!$B$20,30))/5,0)*5,5),600),Baseline!$A$3:$A$122,0))+(1-Inputs!$B$19)*INDEX(Baseline!$C$3:$C$122,MATCH(MIN(MAX(ROUND((MAX($A85-Inputs!$B$20,30))/5,0)*5,5),600),Baseline!$A$3:$A$122,0)))),(1+Inputs!$B$19*INDEX(Baseline!$B$3:$B$122,MATCH(MIN(MAX(ROUND((MAX($A85-Inputs!$B$20,30))/5,0)*5,5),600),Baseline!$A$3:$A$122,0))+(1-Inputs!$B$19)*INDEX(Baseline!$C$3:$C$122,MATCH(MIN(MAX(ROUND((MAX($A85-Inputs!$B$20,30))/5,0)*5,5),600),Baseline!$A$3:$A$122,0)))))</f>
        <v>4.489649144</v>
      </c>
      <c r="C85" s="10" t="n">
        <f aca="false">IF($A85&lt;=50,$B85+Inputs!$B$18,IF($A85&lt;=250,MIN((1+(INDEX('Scratch Data'!$H$5:$H$13,MATCH($A85,'Scratch Data'!$G$5:$G$13,1))+($A85-INDEX('Scratch Data'!$G$5:$G$13,MATCH($A85,'Scratch Data'!$G$5:$G$13,1)))*(INDEX('Scratch Data'!$H$5:$H$13,MIN(MATCH($A85,'Scratch Data'!$G$5:$G$13,1)+1,ROWS('Scratch Data'!$G$5:$G$13)))-INDEX('Scratch Data'!$H$5:$H$13,MATCH($A85,'Scratch Data'!$G$5:$G$13,1)))/MAX(INDEX('Scratch Data'!$G$5:$G$13,MIN(MATCH($A85,'Scratch Data'!$G$5:$G$13,1)+1,ROWS('Scratch Data'!$G$5:$G$13)))-INDEX('Scratch Data'!$G$5:$G$13,MATCH($A85,'Scratch Data'!$G$5:$G$13,1)),0.0001))*Inputs!$B$12*INDEX(Baseline!$I$3:$I$102,MIN(MAX(ROUND(Inputs!$B$11*(INDEX('Scratch Data'!$I$5:$I$13,MATCH($A85,'Scratch Data'!$G$5:$G$13,1))+($A85-INDEX('Scratch Data'!$G$5:$G$13,MATCH($A85,'Scratch Data'!$G$5:$G$13,1)))*(INDEX('Scratch Data'!$I$5:$I$13,MIN(MATCH($A85,'Scratch Data'!$G$5:$G$13,1)+1,ROWS('Scratch Data'!$G$5:$G$13)))-INDEX('Scratch Data'!$I$5:$I$13,MATCH($A85,'Scratch Data'!$G$5:$G$13,1)))/MAX(INDEX('Scratch Data'!$G$5:$G$13,MIN(MATCH($A85,'Scratch Data'!$G$5:$G$13,1)+1,ROWS('Scratch Data'!$G$5:$G$13)))-INDEX('Scratch Data'!$G$5:$G$13,MATCH($A85,'Scratch Data'!$G$5:$G$13,1)),0.0001))*Inputs!$B$13,0),1),100))+(1-(INDEX('Scratch Data'!$H$5:$H$13,MATCH($A85,'Scratch Data'!$G$5:$G$13,1))+($A85-INDEX('Scratch Data'!$G$5:$G$13,MATCH($A85,'Scratch Data'!$G$5:$G$13,1)))*(INDEX('Scratch Data'!$H$5:$H$13,MIN(MATCH($A85,'Scratch Data'!$G$5:$G$13,1)+1,ROWS('Scratch Data'!$G$5:$G$13)))-INDEX('Scratch Data'!$H$5:$H$13,MATCH($A85,'Scratch Data'!$G$5:$G$13,1)))/MAX(INDEX('Scratch Data'!$G$5:$G$13,MIN(MATCH($A85,'Scratch Data'!$G$5:$G$13,1)+1,ROWS('Scratch Data'!$G$5:$G$13)))-INDEX('Scratch Data'!$G$5:$G$13,MATCH($A85,'Scratch Data'!$G$5:$G$13,1)),0.0001))*Inputs!$B$12)*((INDEX('Scratch Data'!$J$5:$J$13,MATCH($A85,'Scratch Data'!$G$5:$G$13,1))+($A85-INDEX('Scratch Data'!$G$5:$G$13,MATCH($A85,'Scratch Data'!$G$5:$G$13,1)))*(INDEX('Scratch Data'!$J$5:$J$13,MIN(MATCH($A85,'Scratch Data'!$G$5:$G$13,1)+1,ROWS('Scratch Data'!$G$5:$G$13)))-INDEX('Scratch Data'!$J$5:$J$13,MATCH($A85,'Scratch Data'!$G$5:$G$13,1)))/MAX(INDEX('Scratch Data'!$G$5:$G$13,MIN(MATCH($A85,'Scratch Data'!$G$5:$G$13,1)+1,ROWS('Scratch Data'!$G$5:$G$13)))-INDEX('Scratch Data'!$G$5:$G$13,MATCH($A85,'Scratch Data'!$G$5:$G$13,1)),0.0001))+Inputs!$B$14)),(1+Inputs!$B$19*INDEX(Baseline!$B$3:$B$122,MATCH(MIN(MAX(ROUND((MAX($A85-Inputs!$B$21,30))/5,0)*5,5),600),Baseline!$A$3:$A$122,0))+(1-Inputs!$B$19)*INDEX(Baseline!$C$3:$C$122,MATCH(MIN(MAX(ROUND((MAX($A85-Inputs!$B$21,30))/5,0)*5,5),600),Baseline!$A$3:$A$122,0))+Inputs!$B$14)),(1+Inputs!$B$19*INDEX(Baseline!$B$3:$B$122,MATCH(MIN(MAX(ROUND((MAX($A85-Inputs!$B$21,30))/5,0)*5,5),600),Baseline!$A$3:$A$122,0))+(1-Inputs!$B$19)*INDEX(Baseline!$C$3:$C$122,MATCH(MIN(MAX(ROUND((MAX($A85-Inputs!$B$21,30))/5,0)*5,5),600),Baseline!$A$3:$A$122,0))+Inputs!$B$14)))</f>
        <v>4.733512</v>
      </c>
      <c r="D85" s="10" t="n">
        <f aca="false">IF($A85&lt;=50,(INDEX('Scratch Data'!$P$5:$P$11,MATCH($A85,'Scratch Data'!$O$5:$O$11,1))+($A85-INDEX('Scratch Data'!$O$5:$O$11,MATCH($A85,'Scratch Data'!$O$5:$O$11,1)))*(INDEX('Scratch Data'!$P$5:$P$11,MIN(MATCH($A85,'Scratch Data'!$O$5:$O$11,1)+1,ROWS('Scratch Data'!$O$5:$O$11)))-INDEX('Scratch Data'!$P$5:$P$11,MATCH($A85,'Scratch Data'!$O$5:$O$11,1)))/MAX(INDEX('Scratch Data'!$O$5:$O$11,MIN(MATCH($A85,'Scratch Data'!$O$5:$O$11,1)+1,ROWS('Scratch Data'!$O$5:$O$11)))-INDEX('Scratch Data'!$O$5:$O$11,MATCH($A85,'Scratch Data'!$O$5:$O$11,1)),0.0001)),IF($A85&lt;=250,MIN((1+(INDEX('Scratch Data'!$H$5:$H$13,MATCH($A85,'Scratch Data'!$G$5:$G$13,1))+($A85-INDEX('Scratch Data'!$G$5:$G$13,MATCH($A85,'Scratch Data'!$G$5:$G$13,1)))*(INDEX('Scratch Data'!$H$5:$H$13,MIN(MATCH($A85,'Scratch Data'!$G$5:$G$13,1)+1,ROWS('Scratch Data'!$G$5:$G$13)))-INDEX('Scratch Data'!$H$5:$H$13,MATCH($A85,'Scratch Data'!$G$5:$G$13,1)))/MAX(INDEX('Scratch Data'!$G$5:$G$13,MIN(MATCH($A85,'Scratch Data'!$G$5:$G$13,1)+1,ROWS('Scratch Data'!$G$5:$G$13)))-INDEX('Scratch Data'!$G$5:$G$13,MATCH($A85,'Scratch Data'!$G$5:$G$13,1)),0.0001))*Inputs!$B$15*INDEX(Baseline!$I$3:$I$102,MIN(MAX(ROUND(Inputs!$B$11*(INDEX('Scratch Data'!$I$5:$I$13,MATCH($A85,'Scratch Data'!$G$5:$G$13,1))+($A85-INDEX('Scratch Data'!$G$5:$G$13,MATCH($A85,'Scratch Data'!$G$5:$G$13,1)))*(INDEX('Scratch Data'!$I$5:$I$13,MIN(MATCH($A85,'Scratch Data'!$G$5:$G$13,1)+1,ROWS('Scratch Data'!$G$5:$G$13)))-INDEX('Scratch Data'!$I$5:$I$13,MATCH($A85,'Scratch Data'!$G$5:$G$13,1)))/MAX(INDEX('Scratch Data'!$G$5:$G$13,MIN(MATCH($A85,'Scratch Data'!$G$5:$G$13,1)+1,ROWS('Scratch Data'!$G$5:$G$13)))-INDEX('Scratch Data'!$G$5:$G$13,MATCH($A85,'Scratch Data'!$G$5:$G$13,1)),0.0001))*Inputs!$B$16,0),1),100))+(1-(INDEX('Scratch Data'!$H$5:$H$13,MATCH($A85,'Scratch Data'!$G$5:$G$13,1))+($A85-INDEX('Scratch Data'!$G$5:$G$13,MATCH($A85,'Scratch Data'!$G$5:$G$13,1)))*(INDEX('Scratch Data'!$H$5:$H$13,MIN(MATCH($A85,'Scratch Data'!$G$5:$G$13,1)+1,ROWS('Scratch Data'!$G$5:$G$13)))-INDEX('Scratch Data'!$H$5:$H$13,MATCH($A85,'Scratch Data'!$G$5:$G$13,1)))/MAX(INDEX('Scratch Data'!$G$5:$G$13,MIN(MATCH($A85,'Scratch Data'!$G$5:$G$13,1)+1,ROWS('Scratch Data'!$G$5:$G$13)))-INDEX('Scratch Data'!$G$5:$G$13,MATCH($A85,'Scratch Data'!$G$5:$G$13,1)),0.0001))*Inputs!$B$15)*((INDEX('Scratch Data'!$J$5:$J$13,MATCH($A85,'Scratch Data'!$G$5:$G$13,1))+($A85-INDEX('Scratch Data'!$G$5:$G$13,MATCH($A85,'Scratch Data'!$G$5:$G$13,1)))*(INDEX('Scratch Data'!$J$5:$J$13,MIN(MATCH($A85,'Scratch Data'!$G$5:$G$13,1)+1,ROWS('Scratch Data'!$G$5:$G$13)))-INDEX('Scratch Data'!$J$5:$J$13,MATCH($A85,'Scratch Data'!$G$5:$G$13,1)))/MAX(INDEX('Scratch Data'!$G$5:$G$13,MIN(MATCH($A85,'Scratch Data'!$G$5:$G$13,1)+1,ROWS('Scratch Data'!$G$5:$G$13)))-INDEX('Scratch Data'!$G$5:$G$13,MATCH($A85,'Scratch Data'!$G$5:$G$13,1)),0.0001))+Inputs!$B$17)),(1+Inputs!$B$19*INDEX(Baseline!$B$3:$B$122,MATCH(MIN(MAX(ROUND((MAX($A85-Inputs!$B$22,30))/5,0)*5,5),600),Baseline!$A$3:$A$122,0))+(1-Inputs!$B$19)*INDEX(Baseline!$C$3:$C$122,MATCH(MIN(MAX(ROUND((MAX($A85-Inputs!$B$22,30))/5,0)*5,5),600),Baseline!$A$3:$A$122,0))+Inputs!$B$17)),(1+Inputs!$B$19*INDEX(Baseline!$B$3:$B$122,MATCH(MIN(MAX(ROUND((MAX($A85-Inputs!$B$22,30))/5,0)*5,5),600),Baseline!$A$3:$A$122,0))+(1-Inputs!$B$19)*INDEX(Baseline!$C$3:$C$122,MATCH(MIN(MAX(ROUND((MAX($A85-Inputs!$B$22,30))/5,0)*5,5),600),Baseline!$A$3:$A$122,0))+Inputs!$B$17)))</f>
        <v>4.89949168</v>
      </c>
      <c r="E85" s="10" t="n">
        <f aca="false">1+Inputs!$B$24+0.6*INDEX(Baseline!$B$3:$B$122,MATCH(MIN(MAX(ROUND((MAX($A85-Inputs!$B$23,15))/5,0)*5,5),600),Baseline!$A$3:$A$122,0))+0.4*INDEX(Baseline!$C$3:$C$122,MATCH(MIN(MAX(ROUND((MAX($A85-Inputs!$B$23,15))/5,0)*5,5),600),Baseline!$A$3:$A$122,0))</f>
        <v>5.2484958816</v>
      </c>
      <c r="H85" s="7" t="n">
        <v>83</v>
      </c>
      <c r="I85" s="10" t="n">
        <f aca="false">(INDEX('Scratch Data'!$E$5:$E$22,MATCH($H85,'Scratch Data'!$A$5:$A$22,1))+($H85-INDEX('Scratch Data'!$A$5:$A$22,MATCH($H85,'Scratch Data'!$A$5:$A$22,1)))*(INDEX('Scratch Data'!$E$5:$E$22,MIN(MATCH($H85,'Scratch Data'!$A$5:$A$22,1)+1,ROWS('Scratch Data'!$A$5:$A$22)))-INDEX('Scratch Data'!$E$5:$E$22,MATCH($H85,'Scratch Data'!$A$5:$A$22,1)))/MAX(INDEX('Scratch Data'!$A$5:$A$22,MIN(MATCH($H85,'Scratch Data'!$A$5:$A$22,1)+1,ROWS('Scratch Data'!$A$5:$A$22)))-INDEX('Scratch Data'!$A$5:$A$22,MATCH($H85,'Scratch Data'!$A$5:$A$22,1)),0.0001))</f>
        <v>2.47925</v>
      </c>
    </row>
    <row r="86" customFormat="false" ht="15" hidden="false" customHeight="false" outlineLevel="0" collapsed="false">
      <c r="A86" s="7" t="n">
        <v>420</v>
      </c>
      <c r="B86" s="10" t="n">
        <f aca="false">IF($A86&lt;=50,(INDEX('Scratch Data'!$M$5:$M$12,MATCH($A86,'Scratch Data'!$L$5:$L$12,1))+($A86-INDEX('Scratch Data'!$L$5:$L$12,MATCH($A86,'Scratch Data'!$L$5:$L$12,1)))*(INDEX('Scratch Data'!$M$5:$M$12,MIN(MATCH($A86,'Scratch Data'!$L$5:$L$12,1)+1,ROWS('Scratch Data'!$L$5:$L$12)))-INDEX('Scratch Data'!$M$5:$M$12,MATCH($A86,'Scratch Data'!$L$5:$L$12,1)))/MAX(INDEX('Scratch Data'!$L$5:$L$12,MIN(MATCH($A86,'Scratch Data'!$L$5:$L$12,1)+1,ROWS('Scratch Data'!$L$5:$L$12)))-INDEX('Scratch Data'!$L$5:$L$12,MATCH($A86,'Scratch Data'!$L$5:$L$12,1)),0.0001)),IF($A86&lt;=250,MIN((1+(INDEX('Scratch Data'!$H$5:$H$13,MATCH($A86,'Scratch Data'!$G$5:$G$13,1))+($A86-INDEX('Scratch Data'!$G$5:$G$13,MATCH($A86,'Scratch Data'!$G$5:$G$13,1)))*(INDEX('Scratch Data'!$H$5:$H$13,MIN(MATCH($A86,'Scratch Data'!$G$5:$G$13,1)+1,ROWS('Scratch Data'!$G$5:$G$13)))-INDEX('Scratch Data'!$H$5:$H$13,MATCH($A86,'Scratch Data'!$G$5:$G$13,1)))/MAX(INDEX('Scratch Data'!$G$5:$G$13,MIN(MATCH($A86,'Scratch Data'!$G$5:$G$13,1)+1,ROWS('Scratch Data'!$G$5:$G$13)))-INDEX('Scratch Data'!$G$5:$G$13,MATCH($A86,'Scratch Data'!$G$5:$G$13,1)),0.0001))*INDEX(Baseline!$I$3:$I$102,MIN(MAX(ROUND(Inputs!$B$11*(INDEX('Scratch Data'!$I$5:$I$13,MATCH($A86,'Scratch Data'!$G$5:$G$13,1))+($A86-INDEX('Scratch Data'!$G$5:$G$13,MATCH($A86,'Scratch Data'!$G$5:$G$13,1)))*(INDEX('Scratch Data'!$I$5:$I$13,MIN(MATCH($A86,'Scratch Data'!$G$5:$G$13,1)+1,ROWS('Scratch Data'!$G$5:$G$13)))-INDEX('Scratch Data'!$I$5:$I$13,MATCH($A86,'Scratch Data'!$G$5:$G$13,1)))/MAX(INDEX('Scratch Data'!$G$5:$G$13,MIN(MATCH($A86,'Scratch Data'!$G$5:$G$13,1)+1,ROWS('Scratch Data'!$G$5:$G$13)))-INDEX('Scratch Data'!$G$5:$G$13,MATCH($A86,'Scratch Data'!$G$5:$G$13,1)),0.0001)),0),1),100))+(1-(INDEX('Scratch Data'!$H$5:$H$13,MATCH($A86,'Scratch Data'!$G$5:$G$13,1))+($A86-INDEX('Scratch Data'!$G$5:$G$13,MATCH($A86,'Scratch Data'!$G$5:$G$13,1)))*(INDEX('Scratch Data'!$H$5:$H$13,MIN(MATCH($A86,'Scratch Data'!$G$5:$G$13,1)+1,ROWS('Scratch Data'!$G$5:$G$13)))-INDEX('Scratch Data'!$H$5:$H$13,MATCH($A86,'Scratch Data'!$G$5:$G$13,1)))/MAX(INDEX('Scratch Data'!$G$5:$G$13,MIN(MATCH($A86,'Scratch Data'!$G$5:$G$13,1)+1,ROWS('Scratch Data'!$G$5:$G$13)))-INDEX('Scratch Data'!$G$5:$G$13,MATCH($A86,'Scratch Data'!$G$5:$G$13,1)),0.0001)))*(INDEX('Scratch Data'!$J$5:$J$13,MATCH($A86,'Scratch Data'!$G$5:$G$13,1))+($A86-INDEX('Scratch Data'!$G$5:$G$13,MATCH($A86,'Scratch Data'!$G$5:$G$13,1)))*(INDEX('Scratch Data'!$J$5:$J$13,MIN(MATCH($A86,'Scratch Data'!$G$5:$G$13,1)+1,ROWS('Scratch Data'!$G$5:$G$13)))-INDEX('Scratch Data'!$J$5:$J$13,MATCH($A86,'Scratch Data'!$G$5:$G$13,1)))/MAX(INDEX('Scratch Data'!$G$5:$G$13,MIN(MATCH($A86,'Scratch Data'!$G$5:$G$13,1)+1,ROWS('Scratch Data'!$G$5:$G$13)))-INDEX('Scratch Data'!$G$5:$G$13,MATCH($A86,'Scratch Data'!$G$5:$G$13,1)),0.0001))),(1+Inputs!$B$19*INDEX(Baseline!$B$3:$B$122,MATCH(MIN(MAX(ROUND((MAX($A86-Inputs!$B$20,30))/5,0)*5,5),600),Baseline!$A$3:$A$122,0))+(1-Inputs!$B$19)*INDEX(Baseline!$C$3:$C$122,MATCH(MIN(MAX(ROUND((MAX($A86-Inputs!$B$20,30))/5,0)*5,5),600),Baseline!$A$3:$A$122,0)))),(1+Inputs!$B$19*INDEX(Baseline!$B$3:$B$122,MATCH(MIN(MAX(ROUND((MAX($A86-Inputs!$B$20,30))/5,0)*5,5),600),Baseline!$A$3:$A$122,0))+(1-Inputs!$B$19)*INDEX(Baseline!$C$3:$C$122,MATCH(MIN(MAX(ROUND((MAX($A86-Inputs!$B$20,30))/5,0)*5,5),600),Baseline!$A$3:$A$122,0)))))</f>
        <v>4.51072008</v>
      </c>
      <c r="C86" s="10" t="n">
        <f aca="false">IF($A86&lt;=50,$B86+Inputs!$B$18,IF($A86&lt;=250,MIN((1+(INDEX('Scratch Data'!$H$5:$H$13,MATCH($A86,'Scratch Data'!$G$5:$G$13,1))+($A86-INDEX('Scratch Data'!$G$5:$G$13,MATCH($A86,'Scratch Data'!$G$5:$G$13,1)))*(INDEX('Scratch Data'!$H$5:$H$13,MIN(MATCH($A86,'Scratch Data'!$G$5:$G$13,1)+1,ROWS('Scratch Data'!$G$5:$G$13)))-INDEX('Scratch Data'!$H$5:$H$13,MATCH($A86,'Scratch Data'!$G$5:$G$13,1)))/MAX(INDEX('Scratch Data'!$G$5:$G$13,MIN(MATCH($A86,'Scratch Data'!$G$5:$G$13,1)+1,ROWS('Scratch Data'!$G$5:$G$13)))-INDEX('Scratch Data'!$G$5:$G$13,MATCH($A86,'Scratch Data'!$G$5:$G$13,1)),0.0001))*Inputs!$B$12*INDEX(Baseline!$I$3:$I$102,MIN(MAX(ROUND(Inputs!$B$11*(INDEX('Scratch Data'!$I$5:$I$13,MATCH($A86,'Scratch Data'!$G$5:$G$13,1))+($A86-INDEX('Scratch Data'!$G$5:$G$13,MATCH($A86,'Scratch Data'!$G$5:$G$13,1)))*(INDEX('Scratch Data'!$I$5:$I$13,MIN(MATCH($A86,'Scratch Data'!$G$5:$G$13,1)+1,ROWS('Scratch Data'!$G$5:$G$13)))-INDEX('Scratch Data'!$I$5:$I$13,MATCH($A86,'Scratch Data'!$G$5:$G$13,1)))/MAX(INDEX('Scratch Data'!$G$5:$G$13,MIN(MATCH($A86,'Scratch Data'!$G$5:$G$13,1)+1,ROWS('Scratch Data'!$G$5:$G$13)))-INDEX('Scratch Data'!$G$5:$G$13,MATCH($A86,'Scratch Data'!$G$5:$G$13,1)),0.0001))*Inputs!$B$13,0),1),100))+(1-(INDEX('Scratch Data'!$H$5:$H$13,MATCH($A86,'Scratch Data'!$G$5:$G$13,1))+($A86-INDEX('Scratch Data'!$G$5:$G$13,MATCH($A86,'Scratch Data'!$G$5:$G$13,1)))*(INDEX('Scratch Data'!$H$5:$H$13,MIN(MATCH($A86,'Scratch Data'!$G$5:$G$13,1)+1,ROWS('Scratch Data'!$G$5:$G$13)))-INDEX('Scratch Data'!$H$5:$H$13,MATCH($A86,'Scratch Data'!$G$5:$G$13,1)))/MAX(INDEX('Scratch Data'!$G$5:$G$13,MIN(MATCH($A86,'Scratch Data'!$G$5:$G$13,1)+1,ROWS('Scratch Data'!$G$5:$G$13)))-INDEX('Scratch Data'!$G$5:$G$13,MATCH($A86,'Scratch Data'!$G$5:$G$13,1)),0.0001))*Inputs!$B$12)*((INDEX('Scratch Data'!$J$5:$J$13,MATCH($A86,'Scratch Data'!$G$5:$G$13,1))+($A86-INDEX('Scratch Data'!$G$5:$G$13,MATCH($A86,'Scratch Data'!$G$5:$G$13,1)))*(INDEX('Scratch Data'!$J$5:$J$13,MIN(MATCH($A86,'Scratch Data'!$G$5:$G$13,1)+1,ROWS('Scratch Data'!$G$5:$G$13)))-INDEX('Scratch Data'!$J$5:$J$13,MATCH($A86,'Scratch Data'!$G$5:$G$13,1)))/MAX(INDEX('Scratch Data'!$G$5:$G$13,MIN(MATCH($A86,'Scratch Data'!$G$5:$G$13,1)+1,ROWS('Scratch Data'!$G$5:$G$13)))-INDEX('Scratch Data'!$G$5:$G$13,MATCH($A86,'Scratch Data'!$G$5:$G$13,1)),0.0001))+Inputs!$B$14)),(1+Inputs!$B$19*INDEX(Baseline!$B$3:$B$122,MATCH(MIN(MAX(ROUND((MAX($A86-Inputs!$B$21,30))/5,0)*5,5),600),Baseline!$A$3:$A$122,0))+(1-Inputs!$B$19)*INDEX(Baseline!$C$3:$C$122,MATCH(MIN(MAX(ROUND((MAX($A86-Inputs!$B$21,30))/5,0)*5,5),600),Baseline!$A$3:$A$122,0))+Inputs!$B$14)),(1+Inputs!$B$19*INDEX(Baseline!$B$3:$B$122,MATCH(MIN(MAX(ROUND((MAX($A86-Inputs!$B$21,30))/5,0)*5,5),600),Baseline!$A$3:$A$122,0))+(1-Inputs!$B$19)*INDEX(Baseline!$C$3:$C$122,MATCH(MIN(MAX(ROUND((MAX($A86-Inputs!$B$21,30))/5,0)*5,5),600),Baseline!$A$3:$A$122,0))+Inputs!$B$14)))</f>
        <v>4.76125928</v>
      </c>
      <c r="D86" s="10" t="n">
        <f aca="false">IF($A86&lt;=50,(INDEX('Scratch Data'!$P$5:$P$11,MATCH($A86,'Scratch Data'!$O$5:$O$11,1))+($A86-INDEX('Scratch Data'!$O$5:$O$11,MATCH($A86,'Scratch Data'!$O$5:$O$11,1)))*(INDEX('Scratch Data'!$P$5:$P$11,MIN(MATCH($A86,'Scratch Data'!$O$5:$O$11,1)+1,ROWS('Scratch Data'!$O$5:$O$11)))-INDEX('Scratch Data'!$P$5:$P$11,MATCH($A86,'Scratch Data'!$O$5:$O$11,1)))/MAX(INDEX('Scratch Data'!$O$5:$O$11,MIN(MATCH($A86,'Scratch Data'!$O$5:$O$11,1)+1,ROWS('Scratch Data'!$O$5:$O$11)))-INDEX('Scratch Data'!$O$5:$O$11,MATCH($A86,'Scratch Data'!$O$5:$O$11,1)),0.0001)),IF($A86&lt;=250,MIN((1+(INDEX('Scratch Data'!$H$5:$H$13,MATCH($A86,'Scratch Data'!$G$5:$G$13,1))+($A86-INDEX('Scratch Data'!$G$5:$G$13,MATCH($A86,'Scratch Data'!$G$5:$G$13,1)))*(INDEX('Scratch Data'!$H$5:$H$13,MIN(MATCH($A86,'Scratch Data'!$G$5:$G$13,1)+1,ROWS('Scratch Data'!$G$5:$G$13)))-INDEX('Scratch Data'!$H$5:$H$13,MATCH($A86,'Scratch Data'!$G$5:$G$13,1)))/MAX(INDEX('Scratch Data'!$G$5:$G$13,MIN(MATCH($A86,'Scratch Data'!$G$5:$G$13,1)+1,ROWS('Scratch Data'!$G$5:$G$13)))-INDEX('Scratch Data'!$G$5:$G$13,MATCH($A86,'Scratch Data'!$G$5:$G$13,1)),0.0001))*Inputs!$B$15*INDEX(Baseline!$I$3:$I$102,MIN(MAX(ROUND(Inputs!$B$11*(INDEX('Scratch Data'!$I$5:$I$13,MATCH($A86,'Scratch Data'!$G$5:$G$13,1))+($A86-INDEX('Scratch Data'!$G$5:$G$13,MATCH($A86,'Scratch Data'!$G$5:$G$13,1)))*(INDEX('Scratch Data'!$I$5:$I$13,MIN(MATCH($A86,'Scratch Data'!$G$5:$G$13,1)+1,ROWS('Scratch Data'!$G$5:$G$13)))-INDEX('Scratch Data'!$I$5:$I$13,MATCH($A86,'Scratch Data'!$G$5:$G$13,1)))/MAX(INDEX('Scratch Data'!$G$5:$G$13,MIN(MATCH($A86,'Scratch Data'!$G$5:$G$13,1)+1,ROWS('Scratch Data'!$G$5:$G$13)))-INDEX('Scratch Data'!$G$5:$G$13,MATCH($A86,'Scratch Data'!$G$5:$G$13,1)),0.0001))*Inputs!$B$16,0),1),100))+(1-(INDEX('Scratch Data'!$H$5:$H$13,MATCH($A86,'Scratch Data'!$G$5:$G$13,1))+($A86-INDEX('Scratch Data'!$G$5:$G$13,MATCH($A86,'Scratch Data'!$G$5:$G$13,1)))*(INDEX('Scratch Data'!$H$5:$H$13,MIN(MATCH($A86,'Scratch Data'!$G$5:$G$13,1)+1,ROWS('Scratch Data'!$G$5:$G$13)))-INDEX('Scratch Data'!$H$5:$H$13,MATCH($A86,'Scratch Data'!$G$5:$G$13,1)))/MAX(INDEX('Scratch Data'!$G$5:$G$13,MIN(MATCH($A86,'Scratch Data'!$G$5:$G$13,1)+1,ROWS('Scratch Data'!$G$5:$G$13)))-INDEX('Scratch Data'!$G$5:$G$13,MATCH($A86,'Scratch Data'!$G$5:$G$13,1)),0.0001))*Inputs!$B$15)*((INDEX('Scratch Data'!$J$5:$J$13,MATCH($A86,'Scratch Data'!$G$5:$G$13,1))+($A86-INDEX('Scratch Data'!$G$5:$G$13,MATCH($A86,'Scratch Data'!$G$5:$G$13,1)))*(INDEX('Scratch Data'!$J$5:$J$13,MIN(MATCH($A86,'Scratch Data'!$G$5:$G$13,1)+1,ROWS('Scratch Data'!$G$5:$G$13)))-INDEX('Scratch Data'!$J$5:$J$13,MATCH($A86,'Scratch Data'!$G$5:$G$13,1)))/MAX(INDEX('Scratch Data'!$G$5:$G$13,MIN(MATCH($A86,'Scratch Data'!$G$5:$G$13,1)+1,ROWS('Scratch Data'!$G$5:$G$13)))-INDEX('Scratch Data'!$G$5:$G$13,MATCH($A86,'Scratch Data'!$G$5:$G$13,1)),0.0001))+Inputs!$B$17)),(1+Inputs!$B$19*INDEX(Baseline!$B$3:$B$122,MATCH(MIN(MAX(ROUND((MAX($A86-Inputs!$B$22,30))/5,0)*5,5),600),Baseline!$A$3:$A$122,0))+(1-Inputs!$B$19)*INDEX(Baseline!$C$3:$C$122,MATCH(MIN(MAX(ROUND((MAX($A86-Inputs!$B$22,30))/5,0)*5,5),600),Baseline!$A$3:$A$122,0))+Inputs!$B$17)),(1+Inputs!$B$19*INDEX(Baseline!$B$3:$B$122,MATCH(MIN(MAX(ROUND((MAX($A86-Inputs!$B$22,30))/5,0)*5,5),600),Baseline!$A$3:$A$122,0))+(1-Inputs!$B$19)*INDEX(Baseline!$C$3:$C$122,MATCH(MIN(MAX(ROUND((MAX($A86-Inputs!$B$22,30))/5,0)*5,5),600),Baseline!$A$3:$A$122,0))+Inputs!$B$17)))</f>
        <v>4.9077664</v>
      </c>
      <c r="E86" s="10" t="n">
        <f aca="false">1+Inputs!$B$24+0.6*INDEX(Baseline!$B$3:$B$122,MATCH(MIN(MAX(ROUND((MAX($A86-Inputs!$B$23,15))/5,0)*5,5),600),Baseline!$A$3:$A$122,0))+0.4*INDEX(Baseline!$C$3:$C$122,MATCH(MIN(MAX(ROUND((MAX($A86-Inputs!$B$23,15))/5,0)*5,5),600),Baseline!$A$3:$A$122,0))</f>
        <v>5.2688829696</v>
      </c>
      <c r="H86" s="7" t="n">
        <v>84</v>
      </c>
      <c r="I86" s="10" t="n">
        <f aca="false">(INDEX('Scratch Data'!$E$5:$E$22,MATCH($H86,'Scratch Data'!$A$5:$A$22,1))+($H86-INDEX('Scratch Data'!$A$5:$A$22,MATCH($H86,'Scratch Data'!$A$5:$A$22,1)))*(INDEX('Scratch Data'!$E$5:$E$22,MIN(MATCH($H86,'Scratch Data'!$A$5:$A$22,1)+1,ROWS('Scratch Data'!$A$5:$A$22)))-INDEX('Scratch Data'!$E$5:$E$22,MATCH($H86,'Scratch Data'!$A$5:$A$22,1)))/MAX(INDEX('Scratch Data'!$A$5:$A$22,MIN(MATCH($H86,'Scratch Data'!$A$5:$A$22,1)+1,ROWS('Scratch Data'!$A$5:$A$22)))-INDEX('Scratch Data'!$A$5:$A$22,MATCH($H86,'Scratch Data'!$A$5:$A$22,1)),0.0001))</f>
        <v>2.484</v>
      </c>
    </row>
    <row r="87" customFormat="false" ht="15" hidden="false" customHeight="false" outlineLevel="0" collapsed="false">
      <c r="A87" s="7" t="n">
        <v>425</v>
      </c>
      <c r="B87" s="10" t="n">
        <f aca="false">IF($A87&lt;=50,(INDEX('Scratch Data'!$M$5:$M$12,MATCH($A87,'Scratch Data'!$L$5:$L$12,1))+($A87-INDEX('Scratch Data'!$L$5:$L$12,MATCH($A87,'Scratch Data'!$L$5:$L$12,1)))*(INDEX('Scratch Data'!$M$5:$M$12,MIN(MATCH($A87,'Scratch Data'!$L$5:$L$12,1)+1,ROWS('Scratch Data'!$L$5:$L$12)))-INDEX('Scratch Data'!$M$5:$M$12,MATCH($A87,'Scratch Data'!$L$5:$L$12,1)))/MAX(INDEX('Scratch Data'!$L$5:$L$12,MIN(MATCH($A87,'Scratch Data'!$L$5:$L$12,1)+1,ROWS('Scratch Data'!$L$5:$L$12)))-INDEX('Scratch Data'!$L$5:$L$12,MATCH($A87,'Scratch Data'!$L$5:$L$12,1)),0.0001)),IF($A87&lt;=250,MIN((1+(INDEX('Scratch Data'!$H$5:$H$13,MATCH($A87,'Scratch Data'!$G$5:$G$13,1))+($A87-INDEX('Scratch Data'!$G$5:$G$13,MATCH($A87,'Scratch Data'!$G$5:$G$13,1)))*(INDEX('Scratch Data'!$H$5:$H$13,MIN(MATCH($A87,'Scratch Data'!$G$5:$G$13,1)+1,ROWS('Scratch Data'!$G$5:$G$13)))-INDEX('Scratch Data'!$H$5:$H$13,MATCH($A87,'Scratch Data'!$G$5:$G$13,1)))/MAX(INDEX('Scratch Data'!$G$5:$G$13,MIN(MATCH($A87,'Scratch Data'!$G$5:$G$13,1)+1,ROWS('Scratch Data'!$G$5:$G$13)))-INDEX('Scratch Data'!$G$5:$G$13,MATCH($A87,'Scratch Data'!$G$5:$G$13,1)),0.0001))*INDEX(Baseline!$I$3:$I$102,MIN(MAX(ROUND(Inputs!$B$11*(INDEX('Scratch Data'!$I$5:$I$13,MATCH($A87,'Scratch Data'!$G$5:$G$13,1))+($A87-INDEX('Scratch Data'!$G$5:$G$13,MATCH($A87,'Scratch Data'!$G$5:$G$13,1)))*(INDEX('Scratch Data'!$I$5:$I$13,MIN(MATCH($A87,'Scratch Data'!$G$5:$G$13,1)+1,ROWS('Scratch Data'!$G$5:$G$13)))-INDEX('Scratch Data'!$I$5:$I$13,MATCH($A87,'Scratch Data'!$G$5:$G$13,1)))/MAX(INDEX('Scratch Data'!$G$5:$G$13,MIN(MATCH($A87,'Scratch Data'!$G$5:$G$13,1)+1,ROWS('Scratch Data'!$G$5:$G$13)))-INDEX('Scratch Data'!$G$5:$G$13,MATCH($A87,'Scratch Data'!$G$5:$G$13,1)),0.0001)),0),1),100))+(1-(INDEX('Scratch Data'!$H$5:$H$13,MATCH($A87,'Scratch Data'!$G$5:$G$13,1))+($A87-INDEX('Scratch Data'!$G$5:$G$13,MATCH($A87,'Scratch Data'!$G$5:$G$13,1)))*(INDEX('Scratch Data'!$H$5:$H$13,MIN(MATCH($A87,'Scratch Data'!$G$5:$G$13,1)+1,ROWS('Scratch Data'!$G$5:$G$13)))-INDEX('Scratch Data'!$H$5:$H$13,MATCH($A87,'Scratch Data'!$G$5:$G$13,1)))/MAX(INDEX('Scratch Data'!$G$5:$G$13,MIN(MATCH($A87,'Scratch Data'!$G$5:$G$13,1)+1,ROWS('Scratch Data'!$G$5:$G$13)))-INDEX('Scratch Data'!$G$5:$G$13,MATCH($A87,'Scratch Data'!$G$5:$G$13,1)),0.0001)))*(INDEX('Scratch Data'!$J$5:$J$13,MATCH($A87,'Scratch Data'!$G$5:$G$13,1))+($A87-INDEX('Scratch Data'!$G$5:$G$13,MATCH($A87,'Scratch Data'!$G$5:$G$13,1)))*(INDEX('Scratch Data'!$J$5:$J$13,MIN(MATCH($A87,'Scratch Data'!$G$5:$G$13,1)+1,ROWS('Scratch Data'!$G$5:$G$13)))-INDEX('Scratch Data'!$J$5:$J$13,MATCH($A87,'Scratch Data'!$G$5:$G$13,1)))/MAX(INDEX('Scratch Data'!$G$5:$G$13,MIN(MATCH($A87,'Scratch Data'!$G$5:$G$13,1)+1,ROWS('Scratch Data'!$G$5:$G$13)))-INDEX('Scratch Data'!$G$5:$G$13,MATCH($A87,'Scratch Data'!$G$5:$G$13,1)),0.0001))),(1+Inputs!$B$19*INDEX(Baseline!$B$3:$B$122,MATCH(MIN(MAX(ROUND((MAX($A87-Inputs!$B$20,30))/5,0)*5,5),600),Baseline!$A$3:$A$122,0))+(1-Inputs!$B$19)*INDEX(Baseline!$C$3:$C$122,MATCH(MIN(MAX(ROUND((MAX($A87-Inputs!$B$20,30))/5,0)*5,5),600),Baseline!$A$3:$A$122,0)))),(1+Inputs!$B$19*INDEX(Baseline!$B$3:$B$122,MATCH(MIN(MAX(ROUND((MAX($A87-Inputs!$B$20,30))/5,0)*5,5),600),Baseline!$A$3:$A$122,0))+(1-Inputs!$B$19)*INDEX(Baseline!$C$3:$C$122,MATCH(MIN(MAX(ROUND((MAX($A87-Inputs!$B$20,30))/5,0)*5,5),600),Baseline!$A$3:$A$122,0)))))</f>
        <v>4.535829696</v>
      </c>
      <c r="C87" s="10" t="n">
        <f aca="false">IF($A87&lt;=50,$B87+Inputs!$B$18,IF($A87&lt;=250,MIN((1+(INDEX('Scratch Data'!$H$5:$H$13,MATCH($A87,'Scratch Data'!$G$5:$G$13,1))+($A87-INDEX('Scratch Data'!$G$5:$G$13,MATCH($A87,'Scratch Data'!$G$5:$G$13,1)))*(INDEX('Scratch Data'!$H$5:$H$13,MIN(MATCH($A87,'Scratch Data'!$G$5:$G$13,1)+1,ROWS('Scratch Data'!$G$5:$G$13)))-INDEX('Scratch Data'!$H$5:$H$13,MATCH($A87,'Scratch Data'!$G$5:$G$13,1)))/MAX(INDEX('Scratch Data'!$G$5:$G$13,MIN(MATCH($A87,'Scratch Data'!$G$5:$G$13,1)+1,ROWS('Scratch Data'!$G$5:$G$13)))-INDEX('Scratch Data'!$G$5:$G$13,MATCH($A87,'Scratch Data'!$G$5:$G$13,1)),0.0001))*Inputs!$B$12*INDEX(Baseline!$I$3:$I$102,MIN(MAX(ROUND(Inputs!$B$11*(INDEX('Scratch Data'!$I$5:$I$13,MATCH($A87,'Scratch Data'!$G$5:$G$13,1))+($A87-INDEX('Scratch Data'!$G$5:$G$13,MATCH($A87,'Scratch Data'!$G$5:$G$13,1)))*(INDEX('Scratch Data'!$I$5:$I$13,MIN(MATCH($A87,'Scratch Data'!$G$5:$G$13,1)+1,ROWS('Scratch Data'!$G$5:$G$13)))-INDEX('Scratch Data'!$I$5:$I$13,MATCH($A87,'Scratch Data'!$G$5:$G$13,1)))/MAX(INDEX('Scratch Data'!$G$5:$G$13,MIN(MATCH($A87,'Scratch Data'!$G$5:$G$13,1)+1,ROWS('Scratch Data'!$G$5:$G$13)))-INDEX('Scratch Data'!$G$5:$G$13,MATCH($A87,'Scratch Data'!$G$5:$G$13,1)),0.0001))*Inputs!$B$13,0),1),100))+(1-(INDEX('Scratch Data'!$H$5:$H$13,MATCH($A87,'Scratch Data'!$G$5:$G$13,1))+($A87-INDEX('Scratch Data'!$G$5:$G$13,MATCH($A87,'Scratch Data'!$G$5:$G$13,1)))*(INDEX('Scratch Data'!$H$5:$H$13,MIN(MATCH($A87,'Scratch Data'!$G$5:$G$13,1)+1,ROWS('Scratch Data'!$G$5:$G$13)))-INDEX('Scratch Data'!$H$5:$H$13,MATCH($A87,'Scratch Data'!$G$5:$G$13,1)))/MAX(INDEX('Scratch Data'!$G$5:$G$13,MIN(MATCH($A87,'Scratch Data'!$G$5:$G$13,1)+1,ROWS('Scratch Data'!$G$5:$G$13)))-INDEX('Scratch Data'!$G$5:$G$13,MATCH($A87,'Scratch Data'!$G$5:$G$13,1)),0.0001))*Inputs!$B$12)*((INDEX('Scratch Data'!$J$5:$J$13,MATCH($A87,'Scratch Data'!$G$5:$G$13,1))+($A87-INDEX('Scratch Data'!$G$5:$G$13,MATCH($A87,'Scratch Data'!$G$5:$G$13,1)))*(INDEX('Scratch Data'!$J$5:$J$13,MIN(MATCH($A87,'Scratch Data'!$G$5:$G$13,1)+1,ROWS('Scratch Data'!$G$5:$G$13)))-INDEX('Scratch Data'!$J$5:$J$13,MATCH($A87,'Scratch Data'!$G$5:$G$13,1)))/MAX(INDEX('Scratch Data'!$G$5:$G$13,MIN(MATCH($A87,'Scratch Data'!$G$5:$G$13,1)+1,ROWS('Scratch Data'!$G$5:$G$13)))-INDEX('Scratch Data'!$G$5:$G$13,MATCH($A87,'Scratch Data'!$G$5:$G$13,1)),0.0001))+Inputs!$B$14)),(1+Inputs!$B$19*INDEX(Baseline!$B$3:$B$122,MATCH(MIN(MAX(ROUND((MAX($A87-Inputs!$B$21,30))/5,0)*5,5),600),Baseline!$A$3:$A$122,0))+(1-Inputs!$B$19)*INDEX(Baseline!$C$3:$C$122,MATCH(MIN(MAX(ROUND((MAX($A87-Inputs!$B$21,30))/5,0)*5,5),600),Baseline!$A$3:$A$122,0))+Inputs!$B$14)),(1+Inputs!$B$19*INDEX(Baseline!$B$3:$B$122,MATCH(MIN(MAX(ROUND((MAX($A87-Inputs!$B$21,30))/5,0)*5,5),600),Baseline!$A$3:$A$122,0))+(1-Inputs!$B$19)*INDEX(Baseline!$C$3:$C$122,MATCH(MIN(MAX(ROUND((MAX($A87-Inputs!$B$21,30))/5,0)*5,5),600),Baseline!$A$3:$A$122,0))+Inputs!$B$14)))</f>
        <v>4.78266048</v>
      </c>
      <c r="D87" s="10" t="n">
        <f aca="false">IF($A87&lt;=50,(INDEX('Scratch Data'!$P$5:$P$11,MATCH($A87,'Scratch Data'!$O$5:$O$11,1))+($A87-INDEX('Scratch Data'!$O$5:$O$11,MATCH($A87,'Scratch Data'!$O$5:$O$11,1)))*(INDEX('Scratch Data'!$P$5:$P$11,MIN(MATCH($A87,'Scratch Data'!$O$5:$O$11,1)+1,ROWS('Scratch Data'!$O$5:$O$11)))-INDEX('Scratch Data'!$P$5:$P$11,MATCH($A87,'Scratch Data'!$O$5:$O$11,1)))/MAX(INDEX('Scratch Data'!$O$5:$O$11,MIN(MATCH($A87,'Scratch Data'!$O$5:$O$11,1)+1,ROWS('Scratch Data'!$O$5:$O$11)))-INDEX('Scratch Data'!$O$5:$O$11,MATCH($A87,'Scratch Data'!$O$5:$O$11,1)),0.0001)),IF($A87&lt;=250,MIN((1+(INDEX('Scratch Data'!$H$5:$H$13,MATCH($A87,'Scratch Data'!$G$5:$G$13,1))+($A87-INDEX('Scratch Data'!$G$5:$G$13,MATCH($A87,'Scratch Data'!$G$5:$G$13,1)))*(INDEX('Scratch Data'!$H$5:$H$13,MIN(MATCH($A87,'Scratch Data'!$G$5:$G$13,1)+1,ROWS('Scratch Data'!$G$5:$G$13)))-INDEX('Scratch Data'!$H$5:$H$13,MATCH($A87,'Scratch Data'!$G$5:$G$13,1)))/MAX(INDEX('Scratch Data'!$G$5:$G$13,MIN(MATCH($A87,'Scratch Data'!$G$5:$G$13,1)+1,ROWS('Scratch Data'!$G$5:$G$13)))-INDEX('Scratch Data'!$G$5:$G$13,MATCH($A87,'Scratch Data'!$G$5:$G$13,1)),0.0001))*Inputs!$B$15*INDEX(Baseline!$I$3:$I$102,MIN(MAX(ROUND(Inputs!$B$11*(INDEX('Scratch Data'!$I$5:$I$13,MATCH($A87,'Scratch Data'!$G$5:$G$13,1))+($A87-INDEX('Scratch Data'!$G$5:$G$13,MATCH($A87,'Scratch Data'!$G$5:$G$13,1)))*(INDEX('Scratch Data'!$I$5:$I$13,MIN(MATCH($A87,'Scratch Data'!$G$5:$G$13,1)+1,ROWS('Scratch Data'!$G$5:$G$13)))-INDEX('Scratch Data'!$I$5:$I$13,MATCH($A87,'Scratch Data'!$G$5:$G$13,1)))/MAX(INDEX('Scratch Data'!$G$5:$G$13,MIN(MATCH($A87,'Scratch Data'!$G$5:$G$13,1)+1,ROWS('Scratch Data'!$G$5:$G$13)))-INDEX('Scratch Data'!$G$5:$G$13,MATCH($A87,'Scratch Data'!$G$5:$G$13,1)),0.0001))*Inputs!$B$16,0),1),100))+(1-(INDEX('Scratch Data'!$H$5:$H$13,MATCH($A87,'Scratch Data'!$G$5:$G$13,1))+($A87-INDEX('Scratch Data'!$G$5:$G$13,MATCH($A87,'Scratch Data'!$G$5:$G$13,1)))*(INDEX('Scratch Data'!$H$5:$H$13,MIN(MATCH($A87,'Scratch Data'!$G$5:$G$13,1)+1,ROWS('Scratch Data'!$G$5:$G$13)))-INDEX('Scratch Data'!$H$5:$H$13,MATCH($A87,'Scratch Data'!$G$5:$G$13,1)))/MAX(INDEX('Scratch Data'!$G$5:$G$13,MIN(MATCH($A87,'Scratch Data'!$G$5:$G$13,1)+1,ROWS('Scratch Data'!$G$5:$G$13)))-INDEX('Scratch Data'!$G$5:$G$13,MATCH($A87,'Scratch Data'!$G$5:$G$13,1)),0.0001))*Inputs!$B$15)*((INDEX('Scratch Data'!$J$5:$J$13,MATCH($A87,'Scratch Data'!$G$5:$G$13,1))+($A87-INDEX('Scratch Data'!$G$5:$G$13,MATCH($A87,'Scratch Data'!$G$5:$G$13,1)))*(INDEX('Scratch Data'!$J$5:$J$13,MIN(MATCH($A87,'Scratch Data'!$G$5:$G$13,1)+1,ROWS('Scratch Data'!$G$5:$G$13)))-INDEX('Scratch Data'!$J$5:$J$13,MATCH($A87,'Scratch Data'!$G$5:$G$13,1)))/MAX(INDEX('Scratch Data'!$G$5:$G$13,MIN(MATCH($A87,'Scratch Data'!$G$5:$G$13,1)+1,ROWS('Scratch Data'!$G$5:$G$13)))-INDEX('Scratch Data'!$G$5:$G$13,MATCH($A87,'Scratch Data'!$G$5:$G$13,1)),0.0001))+Inputs!$B$17)),(1+Inputs!$B$19*INDEX(Baseline!$B$3:$B$122,MATCH(MIN(MAX(ROUND((MAX($A87-Inputs!$B$22,30))/5,0)*5,5),600),Baseline!$A$3:$A$122,0))+(1-Inputs!$B$19)*INDEX(Baseline!$C$3:$C$122,MATCH(MIN(MAX(ROUND((MAX($A87-Inputs!$B$22,30))/5,0)*5,5),600),Baseline!$A$3:$A$122,0))+Inputs!$B$17)),(1+Inputs!$B$19*INDEX(Baseline!$B$3:$B$122,MATCH(MIN(MAX(ROUND((MAX($A87-Inputs!$B$22,30))/5,0)*5,5),600),Baseline!$A$3:$A$122,0))+(1-Inputs!$B$19)*INDEX(Baseline!$C$3:$C$122,MATCH(MIN(MAX(ROUND((MAX($A87-Inputs!$B$22,30))/5,0)*5,5),600),Baseline!$A$3:$A$122,0))+Inputs!$B$17)))</f>
        <v>4.99325718</v>
      </c>
      <c r="E87" s="10" t="n">
        <f aca="false">1+Inputs!$B$24+0.6*INDEX(Baseline!$B$3:$B$122,MATCH(MIN(MAX(ROUND((MAX($A87-Inputs!$B$23,15))/5,0)*5,5),600),Baseline!$A$3:$A$122,0))+0.4*INDEX(Baseline!$C$3:$C$122,MATCH(MIN(MAX(ROUND((MAX($A87-Inputs!$B$23,15))/5,0)*5,5),600),Baseline!$A$3:$A$122,0))</f>
        <v>5.2877217152</v>
      </c>
      <c r="H87" s="7" t="n">
        <v>85</v>
      </c>
      <c r="I87" s="10" t="n">
        <f aca="false">(INDEX('Scratch Data'!$E$5:$E$22,MATCH($H87,'Scratch Data'!$A$5:$A$22,1))+($H87-INDEX('Scratch Data'!$A$5:$A$22,MATCH($H87,'Scratch Data'!$A$5:$A$22,1)))*(INDEX('Scratch Data'!$E$5:$E$22,MIN(MATCH($H87,'Scratch Data'!$A$5:$A$22,1)+1,ROWS('Scratch Data'!$A$5:$A$22)))-INDEX('Scratch Data'!$E$5:$E$22,MATCH($H87,'Scratch Data'!$A$5:$A$22,1)))/MAX(INDEX('Scratch Data'!$A$5:$A$22,MIN(MATCH($H87,'Scratch Data'!$A$5:$A$22,1)+1,ROWS('Scratch Data'!$A$5:$A$22)))-INDEX('Scratch Data'!$A$5:$A$22,MATCH($H87,'Scratch Data'!$A$5:$A$22,1)),0.0001))</f>
        <v>2.48875</v>
      </c>
    </row>
    <row r="88" customFormat="false" ht="15" hidden="false" customHeight="false" outlineLevel="0" collapsed="false">
      <c r="A88" s="7" t="n">
        <v>430</v>
      </c>
      <c r="B88" s="10" t="n">
        <f aca="false">IF($A88&lt;=50,(INDEX('Scratch Data'!$M$5:$M$12,MATCH($A88,'Scratch Data'!$L$5:$L$12,1))+($A88-INDEX('Scratch Data'!$L$5:$L$12,MATCH($A88,'Scratch Data'!$L$5:$L$12,1)))*(INDEX('Scratch Data'!$M$5:$M$12,MIN(MATCH($A88,'Scratch Data'!$L$5:$L$12,1)+1,ROWS('Scratch Data'!$L$5:$L$12)))-INDEX('Scratch Data'!$M$5:$M$12,MATCH($A88,'Scratch Data'!$L$5:$L$12,1)))/MAX(INDEX('Scratch Data'!$L$5:$L$12,MIN(MATCH($A88,'Scratch Data'!$L$5:$L$12,1)+1,ROWS('Scratch Data'!$L$5:$L$12)))-INDEX('Scratch Data'!$L$5:$L$12,MATCH($A88,'Scratch Data'!$L$5:$L$12,1)),0.0001)),IF($A88&lt;=250,MIN((1+(INDEX('Scratch Data'!$H$5:$H$13,MATCH($A88,'Scratch Data'!$G$5:$G$13,1))+($A88-INDEX('Scratch Data'!$G$5:$G$13,MATCH($A88,'Scratch Data'!$G$5:$G$13,1)))*(INDEX('Scratch Data'!$H$5:$H$13,MIN(MATCH($A88,'Scratch Data'!$G$5:$G$13,1)+1,ROWS('Scratch Data'!$G$5:$G$13)))-INDEX('Scratch Data'!$H$5:$H$13,MATCH($A88,'Scratch Data'!$G$5:$G$13,1)))/MAX(INDEX('Scratch Data'!$G$5:$G$13,MIN(MATCH($A88,'Scratch Data'!$G$5:$G$13,1)+1,ROWS('Scratch Data'!$G$5:$G$13)))-INDEX('Scratch Data'!$G$5:$G$13,MATCH($A88,'Scratch Data'!$G$5:$G$13,1)),0.0001))*INDEX(Baseline!$I$3:$I$102,MIN(MAX(ROUND(Inputs!$B$11*(INDEX('Scratch Data'!$I$5:$I$13,MATCH($A88,'Scratch Data'!$G$5:$G$13,1))+($A88-INDEX('Scratch Data'!$G$5:$G$13,MATCH($A88,'Scratch Data'!$G$5:$G$13,1)))*(INDEX('Scratch Data'!$I$5:$I$13,MIN(MATCH($A88,'Scratch Data'!$G$5:$G$13,1)+1,ROWS('Scratch Data'!$G$5:$G$13)))-INDEX('Scratch Data'!$I$5:$I$13,MATCH($A88,'Scratch Data'!$G$5:$G$13,1)))/MAX(INDEX('Scratch Data'!$G$5:$G$13,MIN(MATCH($A88,'Scratch Data'!$G$5:$G$13,1)+1,ROWS('Scratch Data'!$G$5:$G$13)))-INDEX('Scratch Data'!$G$5:$G$13,MATCH($A88,'Scratch Data'!$G$5:$G$13,1)),0.0001)),0),1),100))+(1-(INDEX('Scratch Data'!$H$5:$H$13,MATCH($A88,'Scratch Data'!$G$5:$G$13,1))+($A88-INDEX('Scratch Data'!$G$5:$G$13,MATCH($A88,'Scratch Data'!$G$5:$G$13,1)))*(INDEX('Scratch Data'!$H$5:$H$13,MIN(MATCH($A88,'Scratch Data'!$G$5:$G$13,1)+1,ROWS('Scratch Data'!$G$5:$G$13)))-INDEX('Scratch Data'!$H$5:$H$13,MATCH($A88,'Scratch Data'!$G$5:$G$13,1)))/MAX(INDEX('Scratch Data'!$G$5:$G$13,MIN(MATCH($A88,'Scratch Data'!$G$5:$G$13,1)+1,ROWS('Scratch Data'!$G$5:$G$13)))-INDEX('Scratch Data'!$G$5:$G$13,MATCH($A88,'Scratch Data'!$G$5:$G$13,1)),0.0001)))*(INDEX('Scratch Data'!$J$5:$J$13,MATCH($A88,'Scratch Data'!$G$5:$G$13,1))+($A88-INDEX('Scratch Data'!$G$5:$G$13,MATCH($A88,'Scratch Data'!$G$5:$G$13,1)))*(INDEX('Scratch Data'!$J$5:$J$13,MIN(MATCH($A88,'Scratch Data'!$G$5:$G$13,1)+1,ROWS('Scratch Data'!$G$5:$G$13)))-INDEX('Scratch Data'!$J$5:$J$13,MATCH($A88,'Scratch Data'!$G$5:$G$13,1)))/MAX(INDEX('Scratch Data'!$G$5:$G$13,MIN(MATCH($A88,'Scratch Data'!$G$5:$G$13,1)+1,ROWS('Scratch Data'!$G$5:$G$13)))-INDEX('Scratch Data'!$G$5:$G$13,MATCH($A88,'Scratch Data'!$G$5:$G$13,1)),0.0001))),(1+Inputs!$B$19*INDEX(Baseline!$B$3:$B$122,MATCH(MIN(MAX(ROUND((MAX($A88-Inputs!$B$20,30))/5,0)*5,5),600),Baseline!$A$3:$A$122,0))+(1-Inputs!$B$19)*INDEX(Baseline!$C$3:$C$122,MATCH(MIN(MAX(ROUND((MAX($A88-Inputs!$B$20,30))/5,0)*5,5),600),Baseline!$A$3:$A$122,0)))),(1+Inputs!$B$19*INDEX(Baseline!$B$3:$B$122,MATCH(MIN(MAX(ROUND((MAX($A88-Inputs!$B$20,30))/5,0)*5,5),600),Baseline!$A$3:$A$122,0))+(1-Inputs!$B$19)*INDEX(Baseline!$C$3:$C$122,MATCH(MIN(MAX(ROUND((MAX($A88-Inputs!$B$20,30))/5,0)*5,5),600),Baseline!$A$3:$A$122,0)))))</f>
        <v>4.560049776</v>
      </c>
      <c r="C88" s="10" t="n">
        <f aca="false">IF($A88&lt;=50,$B88+Inputs!$B$18,IF($A88&lt;=250,MIN((1+(INDEX('Scratch Data'!$H$5:$H$13,MATCH($A88,'Scratch Data'!$G$5:$G$13,1))+($A88-INDEX('Scratch Data'!$G$5:$G$13,MATCH($A88,'Scratch Data'!$G$5:$G$13,1)))*(INDEX('Scratch Data'!$H$5:$H$13,MIN(MATCH($A88,'Scratch Data'!$G$5:$G$13,1)+1,ROWS('Scratch Data'!$G$5:$G$13)))-INDEX('Scratch Data'!$H$5:$H$13,MATCH($A88,'Scratch Data'!$G$5:$G$13,1)))/MAX(INDEX('Scratch Data'!$G$5:$G$13,MIN(MATCH($A88,'Scratch Data'!$G$5:$G$13,1)+1,ROWS('Scratch Data'!$G$5:$G$13)))-INDEX('Scratch Data'!$G$5:$G$13,MATCH($A88,'Scratch Data'!$G$5:$G$13,1)),0.0001))*Inputs!$B$12*INDEX(Baseline!$I$3:$I$102,MIN(MAX(ROUND(Inputs!$B$11*(INDEX('Scratch Data'!$I$5:$I$13,MATCH($A88,'Scratch Data'!$G$5:$G$13,1))+($A88-INDEX('Scratch Data'!$G$5:$G$13,MATCH($A88,'Scratch Data'!$G$5:$G$13,1)))*(INDEX('Scratch Data'!$I$5:$I$13,MIN(MATCH($A88,'Scratch Data'!$G$5:$G$13,1)+1,ROWS('Scratch Data'!$G$5:$G$13)))-INDEX('Scratch Data'!$I$5:$I$13,MATCH($A88,'Scratch Data'!$G$5:$G$13,1)))/MAX(INDEX('Scratch Data'!$G$5:$G$13,MIN(MATCH($A88,'Scratch Data'!$G$5:$G$13,1)+1,ROWS('Scratch Data'!$G$5:$G$13)))-INDEX('Scratch Data'!$G$5:$G$13,MATCH($A88,'Scratch Data'!$G$5:$G$13,1)),0.0001))*Inputs!$B$13,0),1),100))+(1-(INDEX('Scratch Data'!$H$5:$H$13,MATCH($A88,'Scratch Data'!$G$5:$G$13,1))+($A88-INDEX('Scratch Data'!$G$5:$G$13,MATCH($A88,'Scratch Data'!$G$5:$G$13,1)))*(INDEX('Scratch Data'!$H$5:$H$13,MIN(MATCH($A88,'Scratch Data'!$G$5:$G$13,1)+1,ROWS('Scratch Data'!$G$5:$G$13)))-INDEX('Scratch Data'!$H$5:$H$13,MATCH($A88,'Scratch Data'!$G$5:$G$13,1)))/MAX(INDEX('Scratch Data'!$G$5:$G$13,MIN(MATCH($A88,'Scratch Data'!$G$5:$G$13,1)+1,ROWS('Scratch Data'!$G$5:$G$13)))-INDEX('Scratch Data'!$G$5:$G$13,MATCH($A88,'Scratch Data'!$G$5:$G$13,1)),0.0001))*Inputs!$B$12)*((INDEX('Scratch Data'!$J$5:$J$13,MATCH($A88,'Scratch Data'!$G$5:$G$13,1))+($A88-INDEX('Scratch Data'!$G$5:$G$13,MATCH($A88,'Scratch Data'!$G$5:$G$13,1)))*(INDEX('Scratch Data'!$J$5:$J$13,MIN(MATCH($A88,'Scratch Data'!$G$5:$G$13,1)+1,ROWS('Scratch Data'!$G$5:$G$13)))-INDEX('Scratch Data'!$J$5:$J$13,MATCH($A88,'Scratch Data'!$G$5:$G$13,1)))/MAX(INDEX('Scratch Data'!$G$5:$G$13,MIN(MATCH($A88,'Scratch Data'!$G$5:$G$13,1)+1,ROWS('Scratch Data'!$G$5:$G$13)))-INDEX('Scratch Data'!$G$5:$G$13,MATCH($A88,'Scratch Data'!$G$5:$G$13,1)),0.0001))+Inputs!$B$14)),(1+Inputs!$B$19*INDEX(Baseline!$B$3:$B$122,MATCH(MIN(MAX(ROUND((MAX($A88-Inputs!$B$21,30))/5,0)*5,5),600),Baseline!$A$3:$A$122,0))+(1-Inputs!$B$19)*INDEX(Baseline!$C$3:$C$122,MATCH(MIN(MAX(ROUND((MAX($A88-Inputs!$B$21,30))/5,0)*5,5),600),Baseline!$A$3:$A$122,0))+Inputs!$B$14)),(1+Inputs!$B$19*INDEX(Baseline!$B$3:$B$122,MATCH(MIN(MAX(ROUND((MAX($A88-Inputs!$B$21,30))/5,0)*5,5),600),Baseline!$A$3:$A$122,0))+(1-Inputs!$B$19)*INDEX(Baseline!$C$3:$C$122,MATCH(MIN(MAX(ROUND((MAX($A88-Inputs!$B$21,30))/5,0)*5,5),600),Baseline!$A$3:$A$122,0))+Inputs!$B$14)))</f>
        <v>4.79130528</v>
      </c>
      <c r="D88" s="10" t="n">
        <f aca="false">IF($A88&lt;=50,(INDEX('Scratch Data'!$P$5:$P$11,MATCH($A88,'Scratch Data'!$O$5:$O$11,1))+($A88-INDEX('Scratch Data'!$O$5:$O$11,MATCH($A88,'Scratch Data'!$O$5:$O$11,1)))*(INDEX('Scratch Data'!$P$5:$P$11,MIN(MATCH($A88,'Scratch Data'!$O$5:$O$11,1)+1,ROWS('Scratch Data'!$O$5:$O$11)))-INDEX('Scratch Data'!$P$5:$P$11,MATCH($A88,'Scratch Data'!$O$5:$O$11,1)))/MAX(INDEX('Scratch Data'!$O$5:$O$11,MIN(MATCH($A88,'Scratch Data'!$O$5:$O$11,1)+1,ROWS('Scratch Data'!$O$5:$O$11)))-INDEX('Scratch Data'!$O$5:$O$11,MATCH($A88,'Scratch Data'!$O$5:$O$11,1)),0.0001)),IF($A88&lt;=250,MIN((1+(INDEX('Scratch Data'!$H$5:$H$13,MATCH($A88,'Scratch Data'!$G$5:$G$13,1))+($A88-INDEX('Scratch Data'!$G$5:$G$13,MATCH($A88,'Scratch Data'!$G$5:$G$13,1)))*(INDEX('Scratch Data'!$H$5:$H$13,MIN(MATCH($A88,'Scratch Data'!$G$5:$G$13,1)+1,ROWS('Scratch Data'!$G$5:$G$13)))-INDEX('Scratch Data'!$H$5:$H$13,MATCH($A88,'Scratch Data'!$G$5:$G$13,1)))/MAX(INDEX('Scratch Data'!$G$5:$G$13,MIN(MATCH($A88,'Scratch Data'!$G$5:$G$13,1)+1,ROWS('Scratch Data'!$G$5:$G$13)))-INDEX('Scratch Data'!$G$5:$G$13,MATCH($A88,'Scratch Data'!$G$5:$G$13,1)),0.0001))*Inputs!$B$15*INDEX(Baseline!$I$3:$I$102,MIN(MAX(ROUND(Inputs!$B$11*(INDEX('Scratch Data'!$I$5:$I$13,MATCH($A88,'Scratch Data'!$G$5:$G$13,1))+($A88-INDEX('Scratch Data'!$G$5:$G$13,MATCH($A88,'Scratch Data'!$G$5:$G$13,1)))*(INDEX('Scratch Data'!$I$5:$I$13,MIN(MATCH($A88,'Scratch Data'!$G$5:$G$13,1)+1,ROWS('Scratch Data'!$G$5:$G$13)))-INDEX('Scratch Data'!$I$5:$I$13,MATCH($A88,'Scratch Data'!$G$5:$G$13,1)))/MAX(INDEX('Scratch Data'!$G$5:$G$13,MIN(MATCH($A88,'Scratch Data'!$G$5:$G$13,1)+1,ROWS('Scratch Data'!$G$5:$G$13)))-INDEX('Scratch Data'!$G$5:$G$13,MATCH($A88,'Scratch Data'!$G$5:$G$13,1)),0.0001))*Inputs!$B$16,0),1),100))+(1-(INDEX('Scratch Data'!$H$5:$H$13,MATCH($A88,'Scratch Data'!$G$5:$G$13,1))+($A88-INDEX('Scratch Data'!$G$5:$G$13,MATCH($A88,'Scratch Data'!$G$5:$G$13,1)))*(INDEX('Scratch Data'!$H$5:$H$13,MIN(MATCH($A88,'Scratch Data'!$G$5:$G$13,1)+1,ROWS('Scratch Data'!$G$5:$G$13)))-INDEX('Scratch Data'!$H$5:$H$13,MATCH($A88,'Scratch Data'!$G$5:$G$13,1)))/MAX(INDEX('Scratch Data'!$G$5:$G$13,MIN(MATCH($A88,'Scratch Data'!$G$5:$G$13,1)+1,ROWS('Scratch Data'!$G$5:$G$13)))-INDEX('Scratch Data'!$G$5:$G$13,MATCH($A88,'Scratch Data'!$G$5:$G$13,1)),0.0001))*Inputs!$B$15)*((INDEX('Scratch Data'!$J$5:$J$13,MATCH($A88,'Scratch Data'!$G$5:$G$13,1))+($A88-INDEX('Scratch Data'!$G$5:$G$13,MATCH($A88,'Scratch Data'!$G$5:$G$13,1)))*(INDEX('Scratch Data'!$J$5:$J$13,MIN(MATCH($A88,'Scratch Data'!$G$5:$G$13,1)+1,ROWS('Scratch Data'!$G$5:$G$13)))-INDEX('Scratch Data'!$J$5:$J$13,MATCH($A88,'Scratch Data'!$G$5:$G$13,1)))/MAX(INDEX('Scratch Data'!$G$5:$G$13,MIN(MATCH($A88,'Scratch Data'!$G$5:$G$13,1)+1,ROWS('Scratch Data'!$G$5:$G$13)))-INDEX('Scratch Data'!$G$5:$G$13,MATCH($A88,'Scratch Data'!$G$5:$G$13,1)),0.0001))+Inputs!$B$17)),(1+Inputs!$B$19*INDEX(Baseline!$B$3:$B$122,MATCH(MIN(MAX(ROUND((MAX($A88-Inputs!$B$22,30))/5,0)*5,5),600),Baseline!$A$3:$A$122,0))+(1-Inputs!$B$19)*INDEX(Baseline!$C$3:$C$122,MATCH(MIN(MAX(ROUND((MAX($A88-Inputs!$B$22,30))/5,0)*5,5),600),Baseline!$A$3:$A$122,0))+Inputs!$B$17)),(1+Inputs!$B$19*INDEX(Baseline!$B$3:$B$122,MATCH(MIN(MAX(ROUND((MAX($A88-Inputs!$B$22,30))/5,0)*5,5),600),Baseline!$A$3:$A$122,0))+(1-Inputs!$B$19)*INDEX(Baseline!$C$3:$C$122,MATCH(MIN(MAX(ROUND((MAX($A88-Inputs!$B$22,30))/5,0)*5,5),600),Baseline!$A$3:$A$122,0))+Inputs!$B$17)))</f>
        <v>5.03096792</v>
      </c>
      <c r="E88" s="10" t="n">
        <f aca="false">1+Inputs!$B$24+0.6*INDEX(Baseline!$B$3:$B$122,MATCH(MIN(MAX(ROUND((MAX($A88-Inputs!$B$23,15))/5,0)*5,5),600),Baseline!$A$3:$A$122,0))+0.4*INDEX(Baseline!$C$3:$C$122,MATCH(MIN(MAX(ROUND((MAX($A88-Inputs!$B$23,15))/5,0)*5,5),600),Baseline!$A$3:$A$122,0))</f>
        <v>5.3114601984</v>
      </c>
      <c r="H88" s="7" t="n">
        <v>86</v>
      </c>
      <c r="I88" s="10" t="n">
        <f aca="false">(INDEX('Scratch Data'!$E$5:$E$22,MATCH($H88,'Scratch Data'!$A$5:$A$22,1))+($H88-INDEX('Scratch Data'!$A$5:$A$22,MATCH($H88,'Scratch Data'!$A$5:$A$22,1)))*(INDEX('Scratch Data'!$E$5:$E$22,MIN(MATCH($H88,'Scratch Data'!$A$5:$A$22,1)+1,ROWS('Scratch Data'!$A$5:$A$22)))-INDEX('Scratch Data'!$E$5:$E$22,MATCH($H88,'Scratch Data'!$A$5:$A$22,1)))/MAX(INDEX('Scratch Data'!$A$5:$A$22,MIN(MATCH($H88,'Scratch Data'!$A$5:$A$22,1)+1,ROWS('Scratch Data'!$A$5:$A$22)))-INDEX('Scratch Data'!$A$5:$A$22,MATCH($H88,'Scratch Data'!$A$5:$A$22,1)),0.0001))</f>
        <v>2.4935</v>
      </c>
    </row>
    <row r="89" customFormat="false" ht="15" hidden="false" customHeight="false" outlineLevel="0" collapsed="false">
      <c r="A89" s="7" t="n">
        <v>435</v>
      </c>
      <c r="B89" s="10" t="n">
        <f aca="false">IF($A89&lt;=50,(INDEX('Scratch Data'!$M$5:$M$12,MATCH($A89,'Scratch Data'!$L$5:$L$12,1))+($A89-INDEX('Scratch Data'!$L$5:$L$12,MATCH($A89,'Scratch Data'!$L$5:$L$12,1)))*(INDEX('Scratch Data'!$M$5:$M$12,MIN(MATCH($A89,'Scratch Data'!$L$5:$L$12,1)+1,ROWS('Scratch Data'!$L$5:$L$12)))-INDEX('Scratch Data'!$M$5:$M$12,MATCH($A89,'Scratch Data'!$L$5:$L$12,1)))/MAX(INDEX('Scratch Data'!$L$5:$L$12,MIN(MATCH($A89,'Scratch Data'!$L$5:$L$12,1)+1,ROWS('Scratch Data'!$L$5:$L$12)))-INDEX('Scratch Data'!$L$5:$L$12,MATCH($A89,'Scratch Data'!$L$5:$L$12,1)),0.0001)),IF($A89&lt;=250,MIN((1+(INDEX('Scratch Data'!$H$5:$H$13,MATCH($A89,'Scratch Data'!$G$5:$G$13,1))+($A89-INDEX('Scratch Data'!$G$5:$G$13,MATCH($A89,'Scratch Data'!$G$5:$G$13,1)))*(INDEX('Scratch Data'!$H$5:$H$13,MIN(MATCH($A89,'Scratch Data'!$G$5:$G$13,1)+1,ROWS('Scratch Data'!$G$5:$G$13)))-INDEX('Scratch Data'!$H$5:$H$13,MATCH($A89,'Scratch Data'!$G$5:$G$13,1)))/MAX(INDEX('Scratch Data'!$G$5:$G$13,MIN(MATCH($A89,'Scratch Data'!$G$5:$G$13,1)+1,ROWS('Scratch Data'!$G$5:$G$13)))-INDEX('Scratch Data'!$G$5:$G$13,MATCH($A89,'Scratch Data'!$G$5:$G$13,1)),0.0001))*INDEX(Baseline!$I$3:$I$102,MIN(MAX(ROUND(Inputs!$B$11*(INDEX('Scratch Data'!$I$5:$I$13,MATCH($A89,'Scratch Data'!$G$5:$G$13,1))+($A89-INDEX('Scratch Data'!$G$5:$G$13,MATCH($A89,'Scratch Data'!$G$5:$G$13,1)))*(INDEX('Scratch Data'!$I$5:$I$13,MIN(MATCH($A89,'Scratch Data'!$G$5:$G$13,1)+1,ROWS('Scratch Data'!$G$5:$G$13)))-INDEX('Scratch Data'!$I$5:$I$13,MATCH($A89,'Scratch Data'!$G$5:$G$13,1)))/MAX(INDEX('Scratch Data'!$G$5:$G$13,MIN(MATCH($A89,'Scratch Data'!$G$5:$G$13,1)+1,ROWS('Scratch Data'!$G$5:$G$13)))-INDEX('Scratch Data'!$G$5:$G$13,MATCH($A89,'Scratch Data'!$G$5:$G$13,1)),0.0001)),0),1),100))+(1-(INDEX('Scratch Data'!$H$5:$H$13,MATCH($A89,'Scratch Data'!$G$5:$G$13,1))+($A89-INDEX('Scratch Data'!$G$5:$G$13,MATCH($A89,'Scratch Data'!$G$5:$G$13,1)))*(INDEX('Scratch Data'!$H$5:$H$13,MIN(MATCH($A89,'Scratch Data'!$G$5:$G$13,1)+1,ROWS('Scratch Data'!$G$5:$G$13)))-INDEX('Scratch Data'!$H$5:$H$13,MATCH($A89,'Scratch Data'!$G$5:$G$13,1)))/MAX(INDEX('Scratch Data'!$G$5:$G$13,MIN(MATCH($A89,'Scratch Data'!$G$5:$G$13,1)+1,ROWS('Scratch Data'!$G$5:$G$13)))-INDEX('Scratch Data'!$G$5:$G$13,MATCH($A89,'Scratch Data'!$G$5:$G$13,1)),0.0001)))*(INDEX('Scratch Data'!$J$5:$J$13,MATCH($A89,'Scratch Data'!$G$5:$G$13,1))+($A89-INDEX('Scratch Data'!$G$5:$G$13,MATCH($A89,'Scratch Data'!$G$5:$G$13,1)))*(INDEX('Scratch Data'!$J$5:$J$13,MIN(MATCH($A89,'Scratch Data'!$G$5:$G$13,1)+1,ROWS('Scratch Data'!$G$5:$G$13)))-INDEX('Scratch Data'!$J$5:$J$13,MATCH($A89,'Scratch Data'!$G$5:$G$13,1)))/MAX(INDEX('Scratch Data'!$G$5:$G$13,MIN(MATCH($A89,'Scratch Data'!$G$5:$G$13,1)+1,ROWS('Scratch Data'!$G$5:$G$13)))-INDEX('Scratch Data'!$G$5:$G$13,MATCH($A89,'Scratch Data'!$G$5:$G$13,1)),0.0001))),(1+Inputs!$B$19*INDEX(Baseline!$B$3:$B$122,MATCH(MIN(MAX(ROUND((MAX($A89-Inputs!$B$20,30))/5,0)*5,5),600),Baseline!$A$3:$A$122,0))+(1-Inputs!$B$19)*INDEX(Baseline!$C$3:$C$122,MATCH(MIN(MAX(ROUND((MAX($A89-Inputs!$B$20,30))/5,0)*5,5),600),Baseline!$A$3:$A$122,0)))),(1+Inputs!$B$19*INDEX(Baseline!$B$3:$B$122,MATCH(MIN(MAX(ROUND((MAX($A89-Inputs!$B$20,30))/5,0)*5,5),600),Baseline!$A$3:$A$122,0))+(1-Inputs!$B$19)*INDEX(Baseline!$C$3:$C$122,MATCH(MIN(MAX(ROUND((MAX($A89-Inputs!$B$20,30))/5,0)*5,5),600),Baseline!$A$3:$A$122,0)))))</f>
        <v>4.58444432</v>
      </c>
      <c r="C89" s="10" t="n">
        <f aca="false">IF($A89&lt;=50,$B89+Inputs!$B$18,IF($A89&lt;=250,MIN((1+(INDEX('Scratch Data'!$H$5:$H$13,MATCH($A89,'Scratch Data'!$G$5:$G$13,1))+($A89-INDEX('Scratch Data'!$G$5:$G$13,MATCH($A89,'Scratch Data'!$G$5:$G$13,1)))*(INDEX('Scratch Data'!$H$5:$H$13,MIN(MATCH($A89,'Scratch Data'!$G$5:$G$13,1)+1,ROWS('Scratch Data'!$G$5:$G$13)))-INDEX('Scratch Data'!$H$5:$H$13,MATCH($A89,'Scratch Data'!$G$5:$G$13,1)))/MAX(INDEX('Scratch Data'!$G$5:$G$13,MIN(MATCH($A89,'Scratch Data'!$G$5:$G$13,1)+1,ROWS('Scratch Data'!$G$5:$G$13)))-INDEX('Scratch Data'!$G$5:$G$13,MATCH($A89,'Scratch Data'!$G$5:$G$13,1)),0.0001))*Inputs!$B$12*INDEX(Baseline!$I$3:$I$102,MIN(MAX(ROUND(Inputs!$B$11*(INDEX('Scratch Data'!$I$5:$I$13,MATCH($A89,'Scratch Data'!$G$5:$G$13,1))+($A89-INDEX('Scratch Data'!$G$5:$G$13,MATCH($A89,'Scratch Data'!$G$5:$G$13,1)))*(INDEX('Scratch Data'!$I$5:$I$13,MIN(MATCH($A89,'Scratch Data'!$G$5:$G$13,1)+1,ROWS('Scratch Data'!$G$5:$G$13)))-INDEX('Scratch Data'!$I$5:$I$13,MATCH($A89,'Scratch Data'!$G$5:$G$13,1)))/MAX(INDEX('Scratch Data'!$G$5:$G$13,MIN(MATCH($A89,'Scratch Data'!$G$5:$G$13,1)+1,ROWS('Scratch Data'!$G$5:$G$13)))-INDEX('Scratch Data'!$G$5:$G$13,MATCH($A89,'Scratch Data'!$G$5:$G$13,1)),0.0001))*Inputs!$B$13,0),1),100))+(1-(INDEX('Scratch Data'!$H$5:$H$13,MATCH($A89,'Scratch Data'!$G$5:$G$13,1))+($A89-INDEX('Scratch Data'!$G$5:$G$13,MATCH($A89,'Scratch Data'!$G$5:$G$13,1)))*(INDEX('Scratch Data'!$H$5:$H$13,MIN(MATCH($A89,'Scratch Data'!$G$5:$G$13,1)+1,ROWS('Scratch Data'!$G$5:$G$13)))-INDEX('Scratch Data'!$H$5:$H$13,MATCH($A89,'Scratch Data'!$G$5:$G$13,1)))/MAX(INDEX('Scratch Data'!$G$5:$G$13,MIN(MATCH($A89,'Scratch Data'!$G$5:$G$13,1)+1,ROWS('Scratch Data'!$G$5:$G$13)))-INDEX('Scratch Data'!$G$5:$G$13,MATCH($A89,'Scratch Data'!$G$5:$G$13,1)),0.0001))*Inputs!$B$12)*((INDEX('Scratch Data'!$J$5:$J$13,MATCH($A89,'Scratch Data'!$G$5:$G$13,1))+($A89-INDEX('Scratch Data'!$G$5:$G$13,MATCH($A89,'Scratch Data'!$G$5:$G$13,1)))*(INDEX('Scratch Data'!$J$5:$J$13,MIN(MATCH($A89,'Scratch Data'!$G$5:$G$13,1)+1,ROWS('Scratch Data'!$G$5:$G$13)))-INDEX('Scratch Data'!$J$5:$J$13,MATCH($A89,'Scratch Data'!$G$5:$G$13,1)))/MAX(INDEX('Scratch Data'!$G$5:$G$13,MIN(MATCH($A89,'Scratch Data'!$G$5:$G$13,1)+1,ROWS('Scratch Data'!$G$5:$G$13)))-INDEX('Scratch Data'!$G$5:$G$13,MATCH($A89,'Scratch Data'!$G$5:$G$13,1)),0.0001))+Inputs!$B$14)),(1+Inputs!$B$19*INDEX(Baseline!$B$3:$B$122,MATCH(MIN(MAX(ROUND((MAX($A89-Inputs!$B$21,30))/5,0)*5,5),600),Baseline!$A$3:$A$122,0))+(1-Inputs!$B$19)*INDEX(Baseline!$C$3:$C$122,MATCH(MIN(MAX(ROUND((MAX($A89-Inputs!$B$21,30))/5,0)*5,5),600),Baseline!$A$3:$A$122,0))+Inputs!$B$14)),(1+Inputs!$B$19*INDEX(Baseline!$B$3:$B$122,MATCH(MIN(MAX(ROUND((MAX($A89-Inputs!$B$21,30))/5,0)*5,5),600),Baseline!$A$3:$A$122,0))+(1-Inputs!$B$19)*INDEX(Baseline!$C$3:$C$122,MATCH(MIN(MAX(ROUND((MAX($A89-Inputs!$B$21,30))/5,0)*5,5),600),Baseline!$A$3:$A$122,0))+Inputs!$B$14)))</f>
        <v>4.79949168</v>
      </c>
      <c r="D89" s="10" t="n">
        <f aca="false">IF($A89&lt;=50,(INDEX('Scratch Data'!$P$5:$P$11,MATCH($A89,'Scratch Data'!$O$5:$O$11,1))+($A89-INDEX('Scratch Data'!$O$5:$O$11,MATCH($A89,'Scratch Data'!$O$5:$O$11,1)))*(INDEX('Scratch Data'!$P$5:$P$11,MIN(MATCH($A89,'Scratch Data'!$O$5:$O$11,1)+1,ROWS('Scratch Data'!$O$5:$O$11)))-INDEX('Scratch Data'!$P$5:$P$11,MATCH($A89,'Scratch Data'!$O$5:$O$11,1)))/MAX(INDEX('Scratch Data'!$O$5:$O$11,MIN(MATCH($A89,'Scratch Data'!$O$5:$O$11,1)+1,ROWS('Scratch Data'!$O$5:$O$11)))-INDEX('Scratch Data'!$O$5:$O$11,MATCH($A89,'Scratch Data'!$O$5:$O$11,1)),0.0001)),IF($A89&lt;=250,MIN((1+(INDEX('Scratch Data'!$H$5:$H$13,MATCH($A89,'Scratch Data'!$G$5:$G$13,1))+($A89-INDEX('Scratch Data'!$G$5:$G$13,MATCH($A89,'Scratch Data'!$G$5:$G$13,1)))*(INDEX('Scratch Data'!$H$5:$H$13,MIN(MATCH($A89,'Scratch Data'!$G$5:$G$13,1)+1,ROWS('Scratch Data'!$G$5:$G$13)))-INDEX('Scratch Data'!$H$5:$H$13,MATCH($A89,'Scratch Data'!$G$5:$G$13,1)))/MAX(INDEX('Scratch Data'!$G$5:$G$13,MIN(MATCH($A89,'Scratch Data'!$G$5:$G$13,1)+1,ROWS('Scratch Data'!$G$5:$G$13)))-INDEX('Scratch Data'!$G$5:$G$13,MATCH($A89,'Scratch Data'!$G$5:$G$13,1)),0.0001))*Inputs!$B$15*INDEX(Baseline!$I$3:$I$102,MIN(MAX(ROUND(Inputs!$B$11*(INDEX('Scratch Data'!$I$5:$I$13,MATCH($A89,'Scratch Data'!$G$5:$G$13,1))+($A89-INDEX('Scratch Data'!$G$5:$G$13,MATCH($A89,'Scratch Data'!$G$5:$G$13,1)))*(INDEX('Scratch Data'!$I$5:$I$13,MIN(MATCH($A89,'Scratch Data'!$G$5:$G$13,1)+1,ROWS('Scratch Data'!$G$5:$G$13)))-INDEX('Scratch Data'!$I$5:$I$13,MATCH($A89,'Scratch Data'!$G$5:$G$13,1)))/MAX(INDEX('Scratch Data'!$G$5:$G$13,MIN(MATCH($A89,'Scratch Data'!$G$5:$G$13,1)+1,ROWS('Scratch Data'!$G$5:$G$13)))-INDEX('Scratch Data'!$G$5:$G$13,MATCH($A89,'Scratch Data'!$G$5:$G$13,1)),0.0001))*Inputs!$B$16,0),1),100))+(1-(INDEX('Scratch Data'!$H$5:$H$13,MATCH($A89,'Scratch Data'!$G$5:$G$13,1))+($A89-INDEX('Scratch Data'!$G$5:$G$13,MATCH($A89,'Scratch Data'!$G$5:$G$13,1)))*(INDEX('Scratch Data'!$H$5:$H$13,MIN(MATCH($A89,'Scratch Data'!$G$5:$G$13,1)+1,ROWS('Scratch Data'!$G$5:$G$13)))-INDEX('Scratch Data'!$H$5:$H$13,MATCH($A89,'Scratch Data'!$G$5:$G$13,1)))/MAX(INDEX('Scratch Data'!$G$5:$G$13,MIN(MATCH($A89,'Scratch Data'!$G$5:$G$13,1)+1,ROWS('Scratch Data'!$G$5:$G$13)))-INDEX('Scratch Data'!$G$5:$G$13,MATCH($A89,'Scratch Data'!$G$5:$G$13,1)),0.0001))*Inputs!$B$15)*((INDEX('Scratch Data'!$J$5:$J$13,MATCH($A89,'Scratch Data'!$G$5:$G$13,1))+($A89-INDEX('Scratch Data'!$G$5:$G$13,MATCH($A89,'Scratch Data'!$G$5:$G$13,1)))*(INDEX('Scratch Data'!$J$5:$J$13,MIN(MATCH($A89,'Scratch Data'!$G$5:$G$13,1)+1,ROWS('Scratch Data'!$G$5:$G$13)))-INDEX('Scratch Data'!$J$5:$J$13,MATCH($A89,'Scratch Data'!$G$5:$G$13,1)))/MAX(INDEX('Scratch Data'!$G$5:$G$13,MIN(MATCH($A89,'Scratch Data'!$G$5:$G$13,1)+1,ROWS('Scratch Data'!$G$5:$G$13)))-INDEX('Scratch Data'!$G$5:$G$13,MATCH($A89,'Scratch Data'!$G$5:$G$13,1)),0.0001))+Inputs!$B$17)),(1+Inputs!$B$19*INDEX(Baseline!$B$3:$B$122,MATCH(MIN(MAX(ROUND((MAX($A89-Inputs!$B$22,30))/5,0)*5,5),600),Baseline!$A$3:$A$122,0))+(1-Inputs!$B$19)*INDEX(Baseline!$C$3:$C$122,MATCH(MIN(MAX(ROUND((MAX($A89-Inputs!$B$22,30))/5,0)*5,5),600),Baseline!$A$3:$A$122,0))+Inputs!$B$17)),(1+Inputs!$B$19*INDEX(Baseline!$B$3:$B$122,MATCH(MIN(MAX(ROUND((MAX($A89-Inputs!$B$22,30))/5,0)*5,5),600),Baseline!$A$3:$A$122,0))+(1-Inputs!$B$19)*INDEX(Baseline!$C$3:$C$122,MATCH(MIN(MAX(ROUND((MAX($A89-Inputs!$B$22,30))/5,0)*5,5),600),Baseline!$A$3:$A$122,0))+Inputs!$B$17)))</f>
        <v>5.083295</v>
      </c>
      <c r="E89" s="10" t="n">
        <f aca="false">1+Inputs!$B$24+0.6*INDEX(Baseline!$B$3:$B$122,MATCH(MIN(MAX(ROUND((MAX($A89-Inputs!$B$23,15))/5,0)*5,5),600),Baseline!$A$3:$A$122,0))+0.4*INDEX(Baseline!$C$3:$C$122,MATCH(MIN(MAX(ROUND((MAX($A89-Inputs!$B$23,15))/5,0)*5,5),600),Baseline!$A$3:$A$122,0))</f>
        <v>5.3248152</v>
      </c>
      <c r="H89" s="7" t="n">
        <v>87</v>
      </c>
      <c r="I89" s="10" t="n">
        <f aca="false">(INDEX('Scratch Data'!$E$5:$E$22,MATCH($H89,'Scratch Data'!$A$5:$A$22,1))+($H89-INDEX('Scratch Data'!$A$5:$A$22,MATCH($H89,'Scratch Data'!$A$5:$A$22,1)))*(INDEX('Scratch Data'!$E$5:$E$22,MIN(MATCH($H89,'Scratch Data'!$A$5:$A$22,1)+1,ROWS('Scratch Data'!$A$5:$A$22)))-INDEX('Scratch Data'!$E$5:$E$22,MATCH($H89,'Scratch Data'!$A$5:$A$22,1)))/MAX(INDEX('Scratch Data'!$A$5:$A$22,MIN(MATCH($H89,'Scratch Data'!$A$5:$A$22,1)+1,ROWS('Scratch Data'!$A$5:$A$22)))-INDEX('Scratch Data'!$A$5:$A$22,MATCH($H89,'Scratch Data'!$A$5:$A$22,1)),0.0001))</f>
        <v>2.49825</v>
      </c>
    </row>
    <row r="90" customFormat="false" ht="15" hidden="false" customHeight="false" outlineLevel="0" collapsed="false">
      <c r="A90" s="7" t="n">
        <v>440</v>
      </c>
      <c r="B90" s="10" t="n">
        <f aca="false">IF($A90&lt;=50,(INDEX('Scratch Data'!$M$5:$M$12,MATCH($A90,'Scratch Data'!$L$5:$L$12,1))+($A90-INDEX('Scratch Data'!$L$5:$L$12,MATCH($A90,'Scratch Data'!$L$5:$L$12,1)))*(INDEX('Scratch Data'!$M$5:$M$12,MIN(MATCH($A90,'Scratch Data'!$L$5:$L$12,1)+1,ROWS('Scratch Data'!$L$5:$L$12)))-INDEX('Scratch Data'!$M$5:$M$12,MATCH($A90,'Scratch Data'!$L$5:$L$12,1)))/MAX(INDEX('Scratch Data'!$L$5:$L$12,MIN(MATCH($A90,'Scratch Data'!$L$5:$L$12,1)+1,ROWS('Scratch Data'!$L$5:$L$12)))-INDEX('Scratch Data'!$L$5:$L$12,MATCH($A90,'Scratch Data'!$L$5:$L$12,1)),0.0001)),IF($A90&lt;=250,MIN((1+(INDEX('Scratch Data'!$H$5:$H$13,MATCH($A90,'Scratch Data'!$G$5:$G$13,1))+($A90-INDEX('Scratch Data'!$G$5:$G$13,MATCH($A90,'Scratch Data'!$G$5:$G$13,1)))*(INDEX('Scratch Data'!$H$5:$H$13,MIN(MATCH($A90,'Scratch Data'!$G$5:$G$13,1)+1,ROWS('Scratch Data'!$G$5:$G$13)))-INDEX('Scratch Data'!$H$5:$H$13,MATCH($A90,'Scratch Data'!$G$5:$G$13,1)))/MAX(INDEX('Scratch Data'!$G$5:$G$13,MIN(MATCH($A90,'Scratch Data'!$G$5:$G$13,1)+1,ROWS('Scratch Data'!$G$5:$G$13)))-INDEX('Scratch Data'!$G$5:$G$13,MATCH($A90,'Scratch Data'!$G$5:$G$13,1)),0.0001))*INDEX(Baseline!$I$3:$I$102,MIN(MAX(ROUND(Inputs!$B$11*(INDEX('Scratch Data'!$I$5:$I$13,MATCH($A90,'Scratch Data'!$G$5:$G$13,1))+($A90-INDEX('Scratch Data'!$G$5:$G$13,MATCH($A90,'Scratch Data'!$G$5:$G$13,1)))*(INDEX('Scratch Data'!$I$5:$I$13,MIN(MATCH($A90,'Scratch Data'!$G$5:$G$13,1)+1,ROWS('Scratch Data'!$G$5:$G$13)))-INDEX('Scratch Data'!$I$5:$I$13,MATCH($A90,'Scratch Data'!$G$5:$G$13,1)))/MAX(INDEX('Scratch Data'!$G$5:$G$13,MIN(MATCH($A90,'Scratch Data'!$G$5:$G$13,1)+1,ROWS('Scratch Data'!$G$5:$G$13)))-INDEX('Scratch Data'!$G$5:$G$13,MATCH($A90,'Scratch Data'!$G$5:$G$13,1)),0.0001)),0),1),100))+(1-(INDEX('Scratch Data'!$H$5:$H$13,MATCH($A90,'Scratch Data'!$G$5:$G$13,1))+($A90-INDEX('Scratch Data'!$G$5:$G$13,MATCH($A90,'Scratch Data'!$G$5:$G$13,1)))*(INDEX('Scratch Data'!$H$5:$H$13,MIN(MATCH($A90,'Scratch Data'!$G$5:$G$13,1)+1,ROWS('Scratch Data'!$G$5:$G$13)))-INDEX('Scratch Data'!$H$5:$H$13,MATCH($A90,'Scratch Data'!$G$5:$G$13,1)))/MAX(INDEX('Scratch Data'!$G$5:$G$13,MIN(MATCH($A90,'Scratch Data'!$G$5:$G$13,1)+1,ROWS('Scratch Data'!$G$5:$G$13)))-INDEX('Scratch Data'!$G$5:$G$13,MATCH($A90,'Scratch Data'!$G$5:$G$13,1)),0.0001)))*(INDEX('Scratch Data'!$J$5:$J$13,MATCH($A90,'Scratch Data'!$G$5:$G$13,1))+($A90-INDEX('Scratch Data'!$G$5:$G$13,MATCH($A90,'Scratch Data'!$G$5:$G$13,1)))*(INDEX('Scratch Data'!$J$5:$J$13,MIN(MATCH($A90,'Scratch Data'!$G$5:$G$13,1)+1,ROWS('Scratch Data'!$G$5:$G$13)))-INDEX('Scratch Data'!$J$5:$J$13,MATCH($A90,'Scratch Data'!$G$5:$G$13,1)))/MAX(INDEX('Scratch Data'!$G$5:$G$13,MIN(MATCH($A90,'Scratch Data'!$G$5:$G$13,1)+1,ROWS('Scratch Data'!$G$5:$G$13)))-INDEX('Scratch Data'!$G$5:$G$13,MATCH($A90,'Scratch Data'!$G$5:$G$13,1)),0.0001))),(1+Inputs!$B$19*INDEX(Baseline!$B$3:$B$122,MATCH(MIN(MAX(ROUND((MAX($A90-Inputs!$B$20,30))/5,0)*5,5),600),Baseline!$A$3:$A$122,0))+(1-Inputs!$B$19)*INDEX(Baseline!$C$3:$C$122,MATCH(MIN(MAX(ROUND((MAX($A90-Inputs!$B$20,30))/5,0)*5,5),600),Baseline!$A$3:$A$122,0)))),(1+Inputs!$B$19*INDEX(Baseline!$B$3:$B$122,MATCH(MIN(MAX(ROUND((MAX($A90-Inputs!$B$20,30))/5,0)*5,5),600),Baseline!$A$3:$A$122,0))+(1-Inputs!$B$19)*INDEX(Baseline!$C$3:$C$122,MATCH(MIN(MAX(ROUND((MAX($A90-Inputs!$B$20,30))/5,0)*5,5),600),Baseline!$A$3:$A$122,0)))))</f>
        <v>4.6088844</v>
      </c>
      <c r="C90" s="10" t="n">
        <f aca="false">IF($A90&lt;=50,$B90+Inputs!$B$18,IF($A90&lt;=250,MIN((1+(INDEX('Scratch Data'!$H$5:$H$13,MATCH($A90,'Scratch Data'!$G$5:$G$13,1))+($A90-INDEX('Scratch Data'!$G$5:$G$13,MATCH($A90,'Scratch Data'!$G$5:$G$13,1)))*(INDEX('Scratch Data'!$H$5:$H$13,MIN(MATCH($A90,'Scratch Data'!$G$5:$G$13,1)+1,ROWS('Scratch Data'!$G$5:$G$13)))-INDEX('Scratch Data'!$H$5:$H$13,MATCH($A90,'Scratch Data'!$G$5:$G$13,1)))/MAX(INDEX('Scratch Data'!$G$5:$G$13,MIN(MATCH($A90,'Scratch Data'!$G$5:$G$13,1)+1,ROWS('Scratch Data'!$G$5:$G$13)))-INDEX('Scratch Data'!$G$5:$G$13,MATCH($A90,'Scratch Data'!$G$5:$G$13,1)),0.0001))*Inputs!$B$12*INDEX(Baseline!$I$3:$I$102,MIN(MAX(ROUND(Inputs!$B$11*(INDEX('Scratch Data'!$I$5:$I$13,MATCH($A90,'Scratch Data'!$G$5:$G$13,1))+($A90-INDEX('Scratch Data'!$G$5:$G$13,MATCH($A90,'Scratch Data'!$G$5:$G$13,1)))*(INDEX('Scratch Data'!$I$5:$I$13,MIN(MATCH($A90,'Scratch Data'!$G$5:$G$13,1)+1,ROWS('Scratch Data'!$G$5:$G$13)))-INDEX('Scratch Data'!$I$5:$I$13,MATCH($A90,'Scratch Data'!$G$5:$G$13,1)))/MAX(INDEX('Scratch Data'!$G$5:$G$13,MIN(MATCH($A90,'Scratch Data'!$G$5:$G$13,1)+1,ROWS('Scratch Data'!$G$5:$G$13)))-INDEX('Scratch Data'!$G$5:$G$13,MATCH($A90,'Scratch Data'!$G$5:$G$13,1)),0.0001))*Inputs!$B$13,0),1),100))+(1-(INDEX('Scratch Data'!$H$5:$H$13,MATCH($A90,'Scratch Data'!$G$5:$G$13,1))+($A90-INDEX('Scratch Data'!$G$5:$G$13,MATCH($A90,'Scratch Data'!$G$5:$G$13,1)))*(INDEX('Scratch Data'!$H$5:$H$13,MIN(MATCH($A90,'Scratch Data'!$G$5:$G$13,1)+1,ROWS('Scratch Data'!$G$5:$G$13)))-INDEX('Scratch Data'!$H$5:$H$13,MATCH($A90,'Scratch Data'!$G$5:$G$13,1)))/MAX(INDEX('Scratch Data'!$G$5:$G$13,MIN(MATCH($A90,'Scratch Data'!$G$5:$G$13,1)+1,ROWS('Scratch Data'!$G$5:$G$13)))-INDEX('Scratch Data'!$G$5:$G$13,MATCH($A90,'Scratch Data'!$G$5:$G$13,1)),0.0001))*Inputs!$B$12)*((INDEX('Scratch Data'!$J$5:$J$13,MATCH($A90,'Scratch Data'!$G$5:$G$13,1))+($A90-INDEX('Scratch Data'!$G$5:$G$13,MATCH($A90,'Scratch Data'!$G$5:$G$13,1)))*(INDEX('Scratch Data'!$J$5:$J$13,MIN(MATCH($A90,'Scratch Data'!$G$5:$G$13,1)+1,ROWS('Scratch Data'!$G$5:$G$13)))-INDEX('Scratch Data'!$J$5:$J$13,MATCH($A90,'Scratch Data'!$G$5:$G$13,1)))/MAX(INDEX('Scratch Data'!$G$5:$G$13,MIN(MATCH($A90,'Scratch Data'!$G$5:$G$13,1)+1,ROWS('Scratch Data'!$G$5:$G$13)))-INDEX('Scratch Data'!$G$5:$G$13,MATCH($A90,'Scratch Data'!$G$5:$G$13,1)),0.0001))+Inputs!$B$14)),(1+Inputs!$B$19*INDEX(Baseline!$B$3:$B$122,MATCH(MIN(MAX(ROUND((MAX($A90-Inputs!$B$21,30))/5,0)*5,5),600),Baseline!$A$3:$A$122,0))+(1-Inputs!$B$19)*INDEX(Baseline!$C$3:$C$122,MATCH(MIN(MAX(ROUND((MAX($A90-Inputs!$B$21,30))/5,0)*5,5),600),Baseline!$A$3:$A$122,0))+Inputs!$B$14)),(1+Inputs!$B$19*INDEX(Baseline!$B$3:$B$122,MATCH(MIN(MAX(ROUND((MAX($A90-Inputs!$B$21,30))/5,0)*5,5),600),Baseline!$A$3:$A$122,0))+(1-Inputs!$B$19)*INDEX(Baseline!$C$3:$C$122,MATCH(MIN(MAX(ROUND((MAX($A90-Inputs!$B$21,30))/5,0)*5,5),600),Baseline!$A$3:$A$122,0))+Inputs!$B$14)))</f>
        <v>4.8077664</v>
      </c>
      <c r="D90" s="10" t="n">
        <f aca="false">IF($A90&lt;=50,(INDEX('Scratch Data'!$P$5:$P$11,MATCH($A90,'Scratch Data'!$O$5:$O$11,1))+($A90-INDEX('Scratch Data'!$O$5:$O$11,MATCH($A90,'Scratch Data'!$O$5:$O$11,1)))*(INDEX('Scratch Data'!$P$5:$P$11,MIN(MATCH($A90,'Scratch Data'!$O$5:$O$11,1)+1,ROWS('Scratch Data'!$O$5:$O$11)))-INDEX('Scratch Data'!$P$5:$P$11,MATCH($A90,'Scratch Data'!$O$5:$O$11,1)))/MAX(INDEX('Scratch Data'!$O$5:$O$11,MIN(MATCH($A90,'Scratch Data'!$O$5:$O$11,1)+1,ROWS('Scratch Data'!$O$5:$O$11)))-INDEX('Scratch Data'!$O$5:$O$11,MATCH($A90,'Scratch Data'!$O$5:$O$11,1)),0.0001)),IF($A90&lt;=250,MIN((1+(INDEX('Scratch Data'!$H$5:$H$13,MATCH($A90,'Scratch Data'!$G$5:$G$13,1))+($A90-INDEX('Scratch Data'!$G$5:$G$13,MATCH($A90,'Scratch Data'!$G$5:$G$13,1)))*(INDEX('Scratch Data'!$H$5:$H$13,MIN(MATCH($A90,'Scratch Data'!$G$5:$G$13,1)+1,ROWS('Scratch Data'!$G$5:$G$13)))-INDEX('Scratch Data'!$H$5:$H$13,MATCH($A90,'Scratch Data'!$G$5:$G$13,1)))/MAX(INDEX('Scratch Data'!$G$5:$G$13,MIN(MATCH($A90,'Scratch Data'!$G$5:$G$13,1)+1,ROWS('Scratch Data'!$G$5:$G$13)))-INDEX('Scratch Data'!$G$5:$G$13,MATCH($A90,'Scratch Data'!$G$5:$G$13,1)),0.0001))*Inputs!$B$15*INDEX(Baseline!$I$3:$I$102,MIN(MAX(ROUND(Inputs!$B$11*(INDEX('Scratch Data'!$I$5:$I$13,MATCH($A90,'Scratch Data'!$G$5:$G$13,1))+($A90-INDEX('Scratch Data'!$G$5:$G$13,MATCH($A90,'Scratch Data'!$G$5:$G$13,1)))*(INDEX('Scratch Data'!$I$5:$I$13,MIN(MATCH($A90,'Scratch Data'!$G$5:$G$13,1)+1,ROWS('Scratch Data'!$G$5:$G$13)))-INDEX('Scratch Data'!$I$5:$I$13,MATCH($A90,'Scratch Data'!$G$5:$G$13,1)))/MAX(INDEX('Scratch Data'!$G$5:$G$13,MIN(MATCH($A90,'Scratch Data'!$G$5:$G$13,1)+1,ROWS('Scratch Data'!$G$5:$G$13)))-INDEX('Scratch Data'!$G$5:$G$13,MATCH($A90,'Scratch Data'!$G$5:$G$13,1)),0.0001))*Inputs!$B$16,0),1),100))+(1-(INDEX('Scratch Data'!$H$5:$H$13,MATCH($A90,'Scratch Data'!$G$5:$G$13,1))+($A90-INDEX('Scratch Data'!$G$5:$G$13,MATCH($A90,'Scratch Data'!$G$5:$G$13,1)))*(INDEX('Scratch Data'!$H$5:$H$13,MIN(MATCH($A90,'Scratch Data'!$G$5:$G$13,1)+1,ROWS('Scratch Data'!$G$5:$G$13)))-INDEX('Scratch Data'!$H$5:$H$13,MATCH($A90,'Scratch Data'!$G$5:$G$13,1)))/MAX(INDEX('Scratch Data'!$G$5:$G$13,MIN(MATCH($A90,'Scratch Data'!$G$5:$G$13,1)+1,ROWS('Scratch Data'!$G$5:$G$13)))-INDEX('Scratch Data'!$G$5:$G$13,MATCH($A90,'Scratch Data'!$G$5:$G$13,1)),0.0001))*Inputs!$B$15)*((INDEX('Scratch Data'!$J$5:$J$13,MATCH($A90,'Scratch Data'!$G$5:$G$13,1))+($A90-INDEX('Scratch Data'!$G$5:$G$13,MATCH($A90,'Scratch Data'!$G$5:$G$13,1)))*(INDEX('Scratch Data'!$J$5:$J$13,MIN(MATCH($A90,'Scratch Data'!$G$5:$G$13,1)+1,ROWS('Scratch Data'!$G$5:$G$13)))-INDEX('Scratch Data'!$J$5:$J$13,MATCH($A90,'Scratch Data'!$G$5:$G$13,1)))/MAX(INDEX('Scratch Data'!$G$5:$G$13,MIN(MATCH($A90,'Scratch Data'!$G$5:$G$13,1)+1,ROWS('Scratch Data'!$G$5:$G$13)))-INDEX('Scratch Data'!$G$5:$G$13,MATCH($A90,'Scratch Data'!$G$5:$G$13,1)),0.0001))+Inputs!$B$17)),(1+Inputs!$B$19*INDEX(Baseline!$B$3:$B$122,MATCH(MIN(MAX(ROUND((MAX($A90-Inputs!$B$22,30))/5,0)*5,5),600),Baseline!$A$3:$A$122,0))+(1-Inputs!$B$19)*INDEX(Baseline!$C$3:$C$122,MATCH(MIN(MAX(ROUND((MAX($A90-Inputs!$B$22,30))/5,0)*5,5),600),Baseline!$A$3:$A$122,0))+Inputs!$B$17)),(1+Inputs!$B$19*INDEX(Baseline!$B$3:$B$122,MATCH(MIN(MAX(ROUND((MAX($A90-Inputs!$B$22,30))/5,0)*5,5),600),Baseline!$A$3:$A$122,0))+(1-Inputs!$B$19)*INDEX(Baseline!$C$3:$C$122,MATCH(MIN(MAX(ROUND((MAX($A90-Inputs!$B$22,30))/5,0)*5,5),600),Baseline!$A$3:$A$122,0))+Inputs!$B$17)))</f>
        <v>5.1297693824</v>
      </c>
      <c r="E90" s="10" t="n">
        <f aca="false">1+Inputs!$B$24+0.6*INDEX(Baseline!$B$3:$B$122,MATCH(MIN(MAX(ROUND((MAX($A90-Inputs!$B$23,15))/5,0)*5,5),600),Baseline!$A$3:$A$122,0))+0.4*INDEX(Baseline!$C$3:$C$122,MATCH(MIN(MAX(ROUND((MAX($A90-Inputs!$B$23,15))/5,0)*5,5),600),Baseline!$A$3:$A$122,0))</f>
        <v>5.3478581536</v>
      </c>
      <c r="H90" s="7" t="n">
        <v>88</v>
      </c>
      <c r="I90" s="10" t="n">
        <f aca="false">(INDEX('Scratch Data'!$E$5:$E$22,MATCH($H90,'Scratch Data'!$A$5:$A$22,1))+($H90-INDEX('Scratch Data'!$A$5:$A$22,MATCH($H90,'Scratch Data'!$A$5:$A$22,1)))*(INDEX('Scratch Data'!$E$5:$E$22,MIN(MATCH($H90,'Scratch Data'!$A$5:$A$22,1)+1,ROWS('Scratch Data'!$A$5:$A$22)))-INDEX('Scratch Data'!$E$5:$E$22,MATCH($H90,'Scratch Data'!$A$5:$A$22,1)))/MAX(INDEX('Scratch Data'!$A$5:$A$22,MIN(MATCH($H90,'Scratch Data'!$A$5:$A$22,1)+1,ROWS('Scratch Data'!$A$5:$A$22)))-INDEX('Scratch Data'!$A$5:$A$22,MATCH($H90,'Scratch Data'!$A$5:$A$22,1)),0.0001))</f>
        <v>2.503</v>
      </c>
    </row>
    <row r="91" customFormat="false" ht="15" hidden="false" customHeight="false" outlineLevel="0" collapsed="false">
      <c r="A91" s="7" t="n">
        <v>445</v>
      </c>
      <c r="B91" s="10" t="n">
        <f aca="false">IF($A91&lt;=50,(INDEX('Scratch Data'!$M$5:$M$12,MATCH($A91,'Scratch Data'!$L$5:$L$12,1))+($A91-INDEX('Scratch Data'!$L$5:$L$12,MATCH($A91,'Scratch Data'!$L$5:$L$12,1)))*(INDEX('Scratch Data'!$M$5:$M$12,MIN(MATCH($A91,'Scratch Data'!$L$5:$L$12,1)+1,ROWS('Scratch Data'!$L$5:$L$12)))-INDEX('Scratch Data'!$M$5:$M$12,MATCH($A91,'Scratch Data'!$L$5:$L$12,1)))/MAX(INDEX('Scratch Data'!$L$5:$L$12,MIN(MATCH($A91,'Scratch Data'!$L$5:$L$12,1)+1,ROWS('Scratch Data'!$L$5:$L$12)))-INDEX('Scratch Data'!$L$5:$L$12,MATCH($A91,'Scratch Data'!$L$5:$L$12,1)),0.0001)),IF($A91&lt;=250,MIN((1+(INDEX('Scratch Data'!$H$5:$H$13,MATCH($A91,'Scratch Data'!$G$5:$G$13,1))+($A91-INDEX('Scratch Data'!$G$5:$G$13,MATCH($A91,'Scratch Data'!$G$5:$G$13,1)))*(INDEX('Scratch Data'!$H$5:$H$13,MIN(MATCH($A91,'Scratch Data'!$G$5:$G$13,1)+1,ROWS('Scratch Data'!$G$5:$G$13)))-INDEX('Scratch Data'!$H$5:$H$13,MATCH($A91,'Scratch Data'!$G$5:$G$13,1)))/MAX(INDEX('Scratch Data'!$G$5:$G$13,MIN(MATCH($A91,'Scratch Data'!$G$5:$G$13,1)+1,ROWS('Scratch Data'!$G$5:$G$13)))-INDEX('Scratch Data'!$G$5:$G$13,MATCH($A91,'Scratch Data'!$G$5:$G$13,1)),0.0001))*INDEX(Baseline!$I$3:$I$102,MIN(MAX(ROUND(Inputs!$B$11*(INDEX('Scratch Data'!$I$5:$I$13,MATCH($A91,'Scratch Data'!$G$5:$G$13,1))+($A91-INDEX('Scratch Data'!$G$5:$G$13,MATCH($A91,'Scratch Data'!$G$5:$G$13,1)))*(INDEX('Scratch Data'!$I$5:$I$13,MIN(MATCH($A91,'Scratch Data'!$G$5:$G$13,1)+1,ROWS('Scratch Data'!$G$5:$G$13)))-INDEX('Scratch Data'!$I$5:$I$13,MATCH($A91,'Scratch Data'!$G$5:$G$13,1)))/MAX(INDEX('Scratch Data'!$G$5:$G$13,MIN(MATCH($A91,'Scratch Data'!$G$5:$G$13,1)+1,ROWS('Scratch Data'!$G$5:$G$13)))-INDEX('Scratch Data'!$G$5:$G$13,MATCH($A91,'Scratch Data'!$G$5:$G$13,1)),0.0001)),0),1),100))+(1-(INDEX('Scratch Data'!$H$5:$H$13,MATCH($A91,'Scratch Data'!$G$5:$G$13,1))+($A91-INDEX('Scratch Data'!$G$5:$G$13,MATCH($A91,'Scratch Data'!$G$5:$G$13,1)))*(INDEX('Scratch Data'!$H$5:$H$13,MIN(MATCH($A91,'Scratch Data'!$G$5:$G$13,1)+1,ROWS('Scratch Data'!$G$5:$G$13)))-INDEX('Scratch Data'!$H$5:$H$13,MATCH($A91,'Scratch Data'!$G$5:$G$13,1)))/MAX(INDEX('Scratch Data'!$G$5:$G$13,MIN(MATCH($A91,'Scratch Data'!$G$5:$G$13,1)+1,ROWS('Scratch Data'!$G$5:$G$13)))-INDEX('Scratch Data'!$G$5:$G$13,MATCH($A91,'Scratch Data'!$G$5:$G$13,1)),0.0001)))*(INDEX('Scratch Data'!$J$5:$J$13,MATCH($A91,'Scratch Data'!$G$5:$G$13,1))+($A91-INDEX('Scratch Data'!$G$5:$G$13,MATCH($A91,'Scratch Data'!$G$5:$G$13,1)))*(INDEX('Scratch Data'!$J$5:$J$13,MIN(MATCH($A91,'Scratch Data'!$G$5:$G$13,1)+1,ROWS('Scratch Data'!$G$5:$G$13)))-INDEX('Scratch Data'!$J$5:$J$13,MATCH($A91,'Scratch Data'!$G$5:$G$13,1)))/MAX(INDEX('Scratch Data'!$G$5:$G$13,MIN(MATCH($A91,'Scratch Data'!$G$5:$G$13,1)+1,ROWS('Scratch Data'!$G$5:$G$13)))-INDEX('Scratch Data'!$G$5:$G$13,MATCH($A91,'Scratch Data'!$G$5:$G$13,1)),0.0001))),(1+Inputs!$B$19*INDEX(Baseline!$B$3:$B$122,MATCH(MIN(MAX(ROUND((MAX($A91-Inputs!$B$20,30))/5,0)*5,5),600),Baseline!$A$3:$A$122,0))+(1-Inputs!$B$19)*INDEX(Baseline!$C$3:$C$122,MATCH(MIN(MAX(ROUND((MAX($A91-Inputs!$B$20,30))/5,0)*5,5),600),Baseline!$A$3:$A$122,0)))),(1+Inputs!$B$19*INDEX(Baseline!$B$3:$B$122,MATCH(MIN(MAX(ROUND((MAX($A91-Inputs!$B$20,30))/5,0)*5,5),600),Baseline!$A$3:$A$122,0))+(1-Inputs!$B$19)*INDEX(Baseline!$C$3:$C$122,MATCH(MIN(MAX(ROUND((MAX($A91-Inputs!$B$20,30))/5,0)*5,5),600),Baseline!$A$3:$A$122,0)))))</f>
        <v>4.633512</v>
      </c>
      <c r="C91" s="10" t="n">
        <f aca="false">IF($A91&lt;=50,$B91+Inputs!$B$18,IF($A91&lt;=250,MIN((1+(INDEX('Scratch Data'!$H$5:$H$13,MATCH($A91,'Scratch Data'!$G$5:$G$13,1))+($A91-INDEX('Scratch Data'!$G$5:$G$13,MATCH($A91,'Scratch Data'!$G$5:$G$13,1)))*(INDEX('Scratch Data'!$H$5:$H$13,MIN(MATCH($A91,'Scratch Data'!$G$5:$G$13,1)+1,ROWS('Scratch Data'!$G$5:$G$13)))-INDEX('Scratch Data'!$H$5:$H$13,MATCH($A91,'Scratch Data'!$G$5:$G$13,1)))/MAX(INDEX('Scratch Data'!$G$5:$G$13,MIN(MATCH($A91,'Scratch Data'!$G$5:$G$13,1)+1,ROWS('Scratch Data'!$G$5:$G$13)))-INDEX('Scratch Data'!$G$5:$G$13,MATCH($A91,'Scratch Data'!$G$5:$G$13,1)),0.0001))*Inputs!$B$12*INDEX(Baseline!$I$3:$I$102,MIN(MAX(ROUND(Inputs!$B$11*(INDEX('Scratch Data'!$I$5:$I$13,MATCH($A91,'Scratch Data'!$G$5:$G$13,1))+($A91-INDEX('Scratch Data'!$G$5:$G$13,MATCH($A91,'Scratch Data'!$G$5:$G$13,1)))*(INDEX('Scratch Data'!$I$5:$I$13,MIN(MATCH($A91,'Scratch Data'!$G$5:$G$13,1)+1,ROWS('Scratch Data'!$G$5:$G$13)))-INDEX('Scratch Data'!$I$5:$I$13,MATCH($A91,'Scratch Data'!$G$5:$G$13,1)))/MAX(INDEX('Scratch Data'!$G$5:$G$13,MIN(MATCH($A91,'Scratch Data'!$G$5:$G$13,1)+1,ROWS('Scratch Data'!$G$5:$G$13)))-INDEX('Scratch Data'!$G$5:$G$13,MATCH($A91,'Scratch Data'!$G$5:$G$13,1)),0.0001))*Inputs!$B$13,0),1),100))+(1-(INDEX('Scratch Data'!$H$5:$H$13,MATCH($A91,'Scratch Data'!$G$5:$G$13,1))+($A91-INDEX('Scratch Data'!$G$5:$G$13,MATCH($A91,'Scratch Data'!$G$5:$G$13,1)))*(INDEX('Scratch Data'!$H$5:$H$13,MIN(MATCH($A91,'Scratch Data'!$G$5:$G$13,1)+1,ROWS('Scratch Data'!$G$5:$G$13)))-INDEX('Scratch Data'!$H$5:$H$13,MATCH($A91,'Scratch Data'!$G$5:$G$13,1)))/MAX(INDEX('Scratch Data'!$G$5:$G$13,MIN(MATCH($A91,'Scratch Data'!$G$5:$G$13,1)+1,ROWS('Scratch Data'!$G$5:$G$13)))-INDEX('Scratch Data'!$G$5:$G$13,MATCH($A91,'Scratch Data'!$G$5:$G$13,1)),0.0001))*Inputs!$B$12)*((INDEX('Scratch Data'!$J$5:$J$13,MATCH($A91,'Scratch Data'!$G$5:$G$13,1))+($A91-INDEX('Scratch Data'!$G$5:$G$13,MATCH($A91,'Scratch Data'!$G$5:$G$13,1)))*(INDEX('Scratch Data'!$J$5:$J$13,MIN(MATCH($A91,'Scratch Data'!$G$5:$G$13,1)+1,ROWS('Scratch Data'!$G$5:$G$13)))-INDEX('Scratch Data'!$J$5:$J$13,MATCH($A91,'Scratch Data'!$G$5:$G$13,1)))/MAX(INDEX('Scratch Data'!$G$5:$G$13,MIN(MATCH($A91,'Scratch Data'!$G$5:$G$13,1)+1,ROWS('Scratch Data'!$G$5:$G$13)))-INDEX('Scratch Data'!$G$5:$G$13,MATCH($A91,'Scratch Data'!$G$5:$G$13,1)),0.0001))+Inputs!$B$14)),(1+Inputs!$B$19*INDEX(Baseline!$B$3:$B$122,MATCH(MIN(MAX(ROUND((MAX($A91-Inputs!$B$21,30))/5,0)*5,5),600),Baseline!$A$3:$A$122,0))+(1-Inputs!$B$19)*INDEX(Baseline!$C$3:$C$122,MATCH(MIN(MAX(ROUND((MAX($A91-Inputs!$B$21,30))/5,0)*5,5),600),Baseline!$A$3:$A$122,0))+Inputs!$B$14)),(1+Inputs!$B$19*INDEX(Baseline!$B$3:$B$122,MATCH(MIN(MAX(ROUND((MAX($A91-Inputs!$B$21,30))/5,0)*5,5),600),Baseline!$A$3:$A$122,0))+(1-Inputs!$B$19)*INDEX(Baseline!$C$3:$C$122,MATCH(MIN(MAX(ROUND((MAX($A91-Inputs!$B$21,30))/5,0)*5,5),600),Baseline!$A$3:$A$122,0))+Inputs!$B$14)))</f>
        <v>4.89325718</v>
      </c>
      <c r="D91" s="10" t="n">
        <f aca="false">IF($A91&lt;=50,(INDEX('Scratch Data'!$P$5:$P$11,MATCH($A91,'Scratch Data'!$O$5:$O$11,1))+($A91-INDEX('Scratch Data'!$O$5:$O$11,MATCH($A91,'Scratch Data'!$O$5:$O$11,1)))*(INDEX('Scratch Data'!$P$5:$P$11,MIN(MATCH($A91,'Scratch Data'!$O$5:$O$11,1)+1,ROWS('Scratch Data'!$O$5:$O$11)))-INDEX('Scratch Data'!$P$5:$P$11,MATCH($A91,'Scratch Data'!$O$5:$O$11,1)))/MAX(INDEX('Scratch Data'!$O$5:$O$11,MIN(MATCH($A91,'Scratch Data'!$O$5:$O$11,1)+1,ROWS('Scratch Data'!$O$5:$O$11)))-INDEX('Scratch Data'!$O$5:$O$11,MATCH($A91,'Scratch Data'!$O$5:$O$11,1)),0.0001)),IF($A91&lt;=250,MIN((1+(INDEX('Scratch Data'!$H$5:$H$13,MATCH($A91,'Scratch Data'!$G$5:$G$13,1))+($A91-INDEX('Scratch Data'!$G$5:$G$13,MATCH($A91,'Scratch Data'!$G$5:$G$13,1)))*(INDEX('Scratch Data'!$H$5:$H$13,MIN(MATCH($A91,'Scratch Data'!$G$5:$G$13,1)+1,ROWS('Scratch Data'!$G$5:$G$13)))-INDEX('Scratch Data'!$H$5:$H$13,MATCH($A91,'Scratch Data'!$G$5:$G$13,1)))/MAX(INDEX('Scratch Data'!$G$5:$G$13,MIN(MATCH($A91,'Scratch Data'!$G$5:$G$13,1)+1,ROWS('Scratch Data'!$G$5:$G$13)))-INDEX('Scratch Data'!$G$5:$G$13,MATCH($A91,'Scratch Data'!$G$5:$G$13,1)),0.0001))*Inputs!$B$15*INDEX(Baseline!$I$3:$I$102,MIN(MAX(ROUND(Inputs!$B$11*(INDEX('Scratch Data'!$I$5:$I$13,MATCH($A91,'Scratch Data'!$G$5:$G$13,1))+($A91-INDEX('Scratch Data'!$G$5:$G$13,MATCH($A91,'Scratch Data'!$G$5:$G$13,1)))*(INDEX('Scratch Data'!$I$5:$I$13,MIN(MATCH($A91,'Scratch Data'!$G$5:$G$13,1)+1,ROWS('Scratch Data'!$G$5:$G$13)))-INDEX('Scratch Data'!$I$5:$I$13,MATCH($A91,'Scratch Data'!$G$5:$G$13,1)))/MAX(INDEX('Scratch Data'!$G$5:$G$13,MIN(MATCH($A91,'Scratch Data'!$G$5:$G$13,1)+1,ROWS('Scratch Data'!$G$5:$G$13)))-INDEX('Scratch Data'!$G$5:$G$13,MATCH($A91,'Scratch Data'!$G$5:$G$13,1)),0.0001))*Inputs!$B$16,0),1),100))+(1-(INDEX('Scratch Data'!$H$5:$H$13,MATCH($A91,'Scratch Data'!$G$5:$G$13,1))+($A91-INDEX('Scratch Data'!$G$5:$G$13,MATCH($A91,'Scratch Data'!$G$5:$G$13,1)))*(INDEX('Scratch Data'!$H$5:$H$13,MIN(MATCH($A91,'Scratch Data'!$G$5:$G$13,1)+1,ROWS('Scratch Data'!$G$5:$G$13)))-INDEX('Scratch Data'!$H$5:$H$13,MATCH($A91,'Scratch Data'!$G$5:$G$13,1)))/MAX(INDEX('Scratch Data'!$G$5:$G$13,MIN(MATCH($A91,'Scratch Data'!$G$5:$G$13,1)+1,ROWS('Scratch Data'!$G$5:$G$13)))-INDEX('Scratch Data'!$G$5:$G$13,MATCH($A91,'Scratch Data'!$G$5:$G$13,1)),0.0001))*Inputs!$B$15)*((INDEX('Scratch Data'!$J$5:$J$13,MATCH($A91,'Scratch Data'!$G$5:$G$13,1))+($A91-INDEX('Scratch Data'!$G$5:$G$13,MATCH($A91,'Scratch Data'!$G$5:$G$13,1)))*(INDEX('Scratch Data'!$J$5:$J$13,MIN(MATCH($A91,'Scratch Data'!$G$5:$G$13,1)+1,ROWS('Scratch Data'!$G$5:$G$13)))-INDEX('Scratch Data'!$J$5:$J$13,MATCH($A91,'Scratch Data'!$G$5:$G$13,1)))/MAX(INDEX('Scratch Data'!$G$5:$G$13,MIN(MATCH($A91,'Scratch Data'!$G$5:$G$13,1)+1,ROWS('Scratch Data'!$G$5:$G$13)))-INDEX('Scratch Data'!$G$5:$G$13,MATCH($A91,'Scratch Data'!$G$5:$G$13,1)),0.0001))+Inputs!$B$17)),(1+Inputs!$B$19*INDEX(Baseline!$B$3:$B$122,MATCH(MIN(MAX(ROUND((MAX($A91-Inputs!$B$22,30))/5,0)*5,5),600),Baseline!$A$3:$A$122,0))+(1-Inputs!$B$19)*INDEX(Baseline!$C$3:$C$122,MATCH(MIN(MAX(ROUND((MAX($A91-Inputs!$B$22,30))/5,0)*5,5),600),Baseline!$A$3:$A$122,0))+Inputs!$B$17)),(1+Inputs!$B$19*INDEX(Baseline!$B$3:$B$122,MATCH(MIN(MAX(ROUND((MAX($A91-Inputs!$B$22,30))/5,0)*5,5),600),Baseline!$A$3:$A$122,0))+(1-Inputs!$B$19)*INDEX(Baseline!$C$3:$C$122,MATCH(MIN(MAX(ROUND((MAX($A91-Inputs!$B$22,30))/5,0)*5,5),600),Baseline!$A$3:$A$122,0))+Inputs!$B$17)))</f>
        <v>5.1580578288</v>
      </c>
      <c r="E91" s="10" t="n">
        <f aca="false">1+Inputs!$B$24+0.6*INDEX(Baseline!$B$3:$B$122,MATCH(MIN(MAX(ROUND((MAX($A91-Inputs!$B$23,15))/5,0)*5,5),600),Baseline!$A$3:$A$122,0))+0.4*INDEX(Baseline!$C$3:$C$122,MATCH(MIN(MAX(ROUND((MAX($A91-Inputs!$B$23,15))/5,0)*5,5),600),Baseline!$A$3:$A$122,0))</f>
        <v>5.3712088256</v>
      </c>
      <c r="H91" s="7" t="n">
        <v>89</v>
      </c>
      <c r="I91" s="10" t="n">
        <f aca="false">(INDEX('Scratch Data'!$E$5:$E$22,MATCH($H91,'Scratch Data'!$A$5:$A$22,1))+($H91-INDEX('Scratch Data'!$A$5:$A$22,MATCH($H91,'Scratch Data'!$A$5:$A$22,1)))*(INDEX('Scratch Data'!$E$5:$E$22,MIN(MATCH($H91,'Scratch Data'!$A$5:$A$22,1)+1,ROWS('Scratch Data'!$A$5:$A$22)))-INDEX('Scratch Data'!$E$5:$E$22,MATCH($H91,'Scratch Data'!$A$5:$A$22,1)))/MAX(INDEX('Scratch Data'!$A$5:$A$22,MIN(MATCH($H91,'Scratch Data'!$A$5:$A$22,1)+1,ROWS('Scratch Data'!$A$5:$A$22)))-INDEX('Scratch Data'!$A$5:$A$22,MATCH($H91,'Scratch Data'!$A$5:$A$22,1)),0.0001))</f>
        <v>2.50775</v>
      </c>
    </row>
    <row r="92" customFormat="false" ht="15" hidden="false" customHeight="false" outlineLevel="0" collapsed="false">
      <c r="A92" s="7" t="n">
        <v>450</v>
      </c>
      <c r="B92" s="10" t="n">
        <f aca="false">IF($A92&lt;=50,(INDEX('Scratch Data'!$M$5:$M$12,MATCH($A92,'Scratch Data'!$L$5:$L$12,1))+($A92-INDEX('Scratch Data'!$L$5:$L$12,MATCH($A92,'Scratch Data'!$L$5:$L$12,1)))*(INDEX('Scratch Data'!$M$5:$M$12,MIN(MATCH($A92,'Scratch Data'!$L$5:$L$12,1)+1,ROWS('Scratch Data'!$L$5:$L$12)))-INDEX('Scratch Data'!$M$5:$M$12,MATCH($A92,'Scratch Data'!$L$5:$L$12,1)))/MAX(INDEX('Scratch Data'!$L$5:$L$12,MIN(MATCH($A92,'Scratch Data'!$L$5:$L$12,1)+1,ROWS('Scratch Data'!$L$5:$L$12)))-INDEX('Scratch Data'!$L$5:$L$12,MATCH($A92,'Scratch Data'!$L$5:$L$12,1)),0.0001)),IF($A92&lt;=250,MIN((1+(INDEX('Scratch Data'!$H$5:$H$13,MATCH($A92,'Scratch Data'!$G$5:$G$13,1))+($A92-INDEX('Scratch Data'!$G$5:$G$13,MATCH($A92,'Scratch Data'!$G$5:$G$13,1)))*(INDEX('Scratch Data'!$H$5:$H$13,MIN(MATCH($A92,'Scratch Data'!$G$5:$G$13,1)+1,ROWS('Scratch Data'!$G$5:$G$13)))-INDEX('Scratch Data'!$H$5:$H$13,MATCH($A92,'Scratch Data'!$G$5:$G$13,1)))/MAX(INDEX('Scratch Data'!$G$5:$G$13,MIN(MATCH($A92,'Scratch Data'!$G$5:$G$13,1)+1,ROWS('Scratch Data'!$G$5:$G$13)))-INDEX('Scratch Data'!$G$5:$G$13,MATCH($A92,'Scratch Data'!$G$5:$G$13,1)),0.0001))*INDEX(Baseline!$I$3:$I$102,MIN(MAX(ROUND(Inputs!$B$11*(INDEX('Scratch Data'!$I$5:$I$13,MATCH($A92,'Scratch Data'!$G$5:$G$13,1))+($A92-INDEX('Scratch Data'!$G$5:$G$13,MATCH($A92,'Scratch Data'!$G$5:$G$13,1)))*(INDEX('Scratch Data'!$I$5:$I$13,MIN(MATCH($A92,'Scratch Data'!$G$5:$G$13,1)+1,ROWS('Scratch Data'!$G$5:$G$13)))-INDEX('Scratch Data'!$I$5:$I$13,MATCH($A92,'Scratch Data'!$G$5:$G$13,1)))/MAX(INDEX('Scratch Data'!$G$5:$G$13,MIN(MATCH($A92,'Scratch Data'!$G$5:$G$13,1)+1,ROWS('Scratch Data'!$G$5:$G$13)))-INDEX('Scratch Data'!$G$5:$G$13,MATCH($A92,'Scratch Data'!$G$5:$G$13,1)),0.0001)),0),1),100))+(1-(INDEX('Scratch Data'!$H$5:$H$13,MATCH($A92,'Scratch Data'!$G$5:$G$13,1))+($A92-INDEX('Scratch Data'!$G$5:$G$13,MATCH($A92,'Scratch Data'!$G$5:$G$13,1)))*(INDEX('Scratch Data'!$H$5:$H$13,MIN(MATCH($A92,'Scratch Data'!$G$5:$G$13,1)+1,ROWS('Scratch Data'!$G$5:$G$13)))-INDEX('Scratch Data'!$H$5:$H$13,MATCH($A92,'Scratch Data'!$G$5:$G$13,1)))/MAX(INDEX('Scratch Data'!$G$5:$G$13,MIN(MATCH($A92,'Scratch Data'!$G$5:$G$13,1)+1,ROWS('Scratch Data'!$G$5:$G$13)))-INDEX('Scratch Data'!$G$5:$G$13,MATCH($A92,'Scratch Data'!$G$5:$G$13,1)),0.0001)))*(INDEX('Scratch Data'!$J$5:$J$13,MATCH($A92,'Scratch Data'!$G$5:$G$13,1))+($A92-INDEX('Scratch Data'!$G$5:$G$13,MATCH($A92,'Scratch Data'!$G$5:$G$13,1)))*(INDEX('Scratch Data'!$J$5:$J$13,MIN(MATCH($A92,'Scratch Data'!$G$5:$G$13,1)+1,ROWS('Scratch Data'!$G$5:$G$13)))-INDEX('Scratch Data'!$J$5:$J$13,MATCH($A92,'Scratch Data'!$G$5:$G$13,1)))/MAX(INDEX('Scratch Data'!$G$5:$G$13,MIN(MATCH($A92,'Scratch Data'!$G$5:$G$13,1)+1,ROWS('Scratch Data'!$G$5:$G$13)))-INDEX('Scratch Data'!$G$5:$G$13,MATCH($A92,'Scratch Data'!$G$5:$G$13,1)),0.0001))),(1+Inputs!$B$19*INDEX(Baseline!$B$3:$B$122,MATCH(MIN(MAX(ROUND((MAX($A92-Inputs!$B$20,30))/5,0)*5,5),600),Baseline!$A$3:$A$122,0))+(1-Inputs!$B$19)*INDEX(Baseline!$C$3:$C$122,MATCH(MIN(MAX(ROUND((MAX($A92-Inputs!$B$20,30))/5,0)*5,5),600),Baseline!$A$3:$A$122,0)))),(1+Inputs!$B$19*INDEX(Baseline!$B$3:$B$122,MATCH(MIN(MAX(ROUND((MAX($A92-Inputs!$B$20,30))/5,0)*5,5),600),Baseline!$A$3:$A$122,0))+(1-Inputs!$B$19)*INDEX(Baseline!$C$3:$C$122,MATCH(MIN(MAX(ROUND((MAX($A92-Inputs!$B$20,30))/5,0)*5,5),600),Baseline!$A$3:$A$122,0)))))</f>
        <v>4.66125928</v>
      </c>
      <c r="C92" s="10" t="n">
        <f aca="false">IF($A92&lt;=50,$B92+Inputs!$B$18,IF($A92&lt;=250,MIN((1+(INDEX('Scratch Data'!$H$5:$H$13,MATCH($A92,'Scratch Data'!$G$5:$G$13,1))+($A92-INDEX('Scratch Data'!$G$5:$G$13,MATCH($A92,'Scratch Data'!$G$5:$G$13,1)))*(INDEX('Scratch Data'!$H$5:$H$13,MIN(MATCH($A92,'Scratch Data'!$G$5:$G$13,1)+1,ROWS('Scratch Data'!$G$5:$G$13)))-INDEX('Scratch Data'!$H$5:$H$13,MATCH($A92,'Scratch Data'!$G$5:$G$13,1)))/MAX(INDEX('Scratch Data'!$G$5:$G$13,MIN(MATCH($A92,'Scratch Data'!$G$5:$G$13,1)+1,ROWS('Scratch Data'!$G$5:$G$13)))-INDEX('Scratch Data'!$G$5:$G$13,MATCH($A92,'Scratch Data'!$G$5:$G$13,1)),0.0001))*Inputs!$B$12*INDEX(Baseline!$I$3:$I$102,MIN(MAX(ROUND(Inputs!$B$11*(INDEX('Scratch Data'!$I$5:$I$13,MATCH($A92,'Scratch Data'!$G$5:$G$13,1))+($A92-INDEX('Scratch Data'!$G$5:$G$13,MATCH($A92,'Scratch Data'!$G$5:$G$13,1)))*(INDEX('Scratch Data'!$I$5:$I$13,MIN(MATCH($A92,'Scratch Data'!$G$5:$G$13,1)+1,ROWS('Scratch Data'!$G$5:$G$13)))-INDEX('Scratch Data'!$I$5:$I$13,MATCH($A92,'Scratch Data'!$G$5:$G$13,1)))/MAX(INDEX('Scratch Data'!$G$5:$G$13,MIN(MATCH($A92,'Scratch Data'!$G$5:$G$13,1)+1,ROWS('Scratch Data'!$G$5:$G$13)))-INDEX('Scratch Data'!$G$5:$G$13,MATCH($A92,'Scratch Data'!$G$5:$G$13,1)),0.0001))*Inputs!$B$13,0),1),100))+(1-(INDEX('Scratch Data'!$H$5:$H$13,MATCH($A92,'Scratch Data'!$G$5:$G$13,1))+($A92-INDEX('Scratch Data'!$G$5:$G$13,MATCH($A92,'Scratch Data'!$G$5:$G$13,1)))*(INDEX('Scratch Data'!$H$5:$H$13,MIN(MATCH($A92,'Scratch Data'!$G$5:$G$13,1)+1,ROWS('Scratch Data'!$G$5:$G$13)))-INDEX('Scratch Data'!$H$5:$H$13,MATCH($A92,'Scratch Data'!$G$5:$G$13,1)))/MAX(INDEX('Scratch Data'!$G$5:$G$13,MIN(MATCH($A92,'Scratch Data'!$G$5:$G$13,1)+1,ROWS('Scratch Data'!$G$5:$G$13)))-INDEX('Scratch Data'!$G$5:$G$13,MATCH($A92,'Scratch Data'!$G$5:$G$13,1)),0.0001))*Inputs!$B$12)*((INDEX('Scratch Data'!$J$5:$J$13,MATCH($A92,'Scratch Data'!$G$5:$G$13,1))+($A92-INDEX('Scratch Data'!$G$5:$G$13,MATCH($A92,'Scratch Data'!$G$5:$G$13,1)))*(INDEX('Scratch Data'!$J$5:$J$13,MIN(MATCH($A92,'Scratch Data'!$G$5:$G$13,1)+1,ROWS('Scratch Data'!$G$5:$G$13)))-INDEX('Scratch Data'!$J$5:$J$13,MATCH($A92,'Scratch Data'!$G$5:$G$13,1)))/MAX(INDEX('Scratch Data'!$G$5:$G$13,MIN(MATCH($A92,'Scratch Data'!$G$5:$G$13,1)+1,ROWS('Scratch Data'!$G$5:$G$13)))-INDEX('Scratch Data'!$G$5:$G$13,MATCH($A92,'Scratch Data'!$G$5:$G$13,1)),0.0001))+Inputs!$B$14)),(1+Inputs!$B$19*INDEX(Baseline!$B$3:$B$122,MATCH(MIN(MAX(ROUND((MAX($A92-Inputs!$B$21,30))/5,0)*5,5),600),Baseline!$A$3:$A$122,0))+(1-Inputs!$B$19)*INDEX(Baseline!$C$3:$C$122,MATCH(MIN(MAX(ROUND((MAX($A92-Inputs!$B$21,30))/5,0)*5,5),600),Baseline!$A$3:$A$122,0))+Inputs!$B$14)),(1+Inputs!$B$19*INDEX(Baseline!$B$3:$B$122,MATCH(MIN(MAX(ROUND((MAX($A92-Inputs!$B$21,30))/5,0)*5,5),600),Baseline!$A$3:$A$122,0))+(1-Inputs!$B$19)*INDEX(Baseline!$C$3:$C$122,MATCH(MIN(MAX(ROUND((MAX($A92-Inputs!$B$21,30))/5,0)*5,5),600),Baseline!$A$3:$A$122,0))+Inputs!$B$14)))</f>
        <v>4.93096792</v>
      </c>
      <c r="D92" s="10" t="n">
        <f aca="false">IF($A92&lt;=50,(INDEX('Scratch Data'!$P$5:$P$11,MATCH($A92,'Scratch Data'!$O$5:$O$11,1))+($A92-INDEX('Scratch Data'!$O$5:$O$11,MATCH($A92,'Scratch Data'!$O$5:$O$11,1)))*(INDEX('Scratch Data'!$P$5:$P$11,MIN(MATCH($A92,'Scratch Data'!$O$5:$O$11,1)+1,ROWS('Scratch Data'!$O$5:$O$11)))-INDEX('Scratch Data'!$P$5:$P$11,MATCH($A92,'Scratch Data'!$O$5:$O$11,1)))/MAX(INDEX('Scratch Data'!$O$5:$O$11,MIN(MATCH($A92,'Scratch Data'!$O$5:$O$11,1)+1,ROWS('Scratch Data'!$O$5:$O$11)))-INDEX('Scratch Data'!$O$5:$O$11,MATCH($A92,'Scratch Data'!$O$5:$O$11,1)),0.0001)),IF($A92&lt;=250,MIN((1+(INDEX('Scratch Data'!$H$5:$H$13,MATCH($A92,'Scratch Data'!$G$5:$G$13,1))+($A92-INDEX('Scratch Data'!$G$5:$G$13,MATCH($A92,'Scratch Data'!$G$5:$G$13,1)))*(INDEX('Scratch Data'!$H$5:$H$13,MIN(MATCH($A92,'Scratch Data'!$G$5:$G$13,1)+1,ROWS('Scratch Data'!$G$5:$G$13)))-INDEX('Scratch Data'!$H$5:$H$13,MATCH($A92,'Scratch Data'!$G$5:$G$13,1)))/MAX(INDEX('Scratch Data'!$G$5:$G$13,MIN(MATCH($A92,'Scratch Data'!$G$5:$G$13,1)+1,ROWS('Scratch Data'!$G$5:$G$13)))-INDEX('Scratch Data'!$G$5:$G$13,MATCH($A92,'Scratch Data'!$G$5:$G$13,1)),0.0001))*Inputs!$B$15*INDEX(Baseline!$I$3:$I$102,MIN(MAX(ROUND(Inputs!$B$11*(INDEX('Scratch Data'!$I$5:$I$13,MATCH($A92,'Scratch Data'!$G$5:$G$13,1))+($A92-INDEX('Scratch Data'!$G$5:$G$13,MATCH($A92,'Scratch Data'!$G$5:$G$13,1)))*(INDEX('Scratch Data'!$I$5:$I$13,MIN(MATCH($A92,'Scratch Data'!$G$5:$G$13,1)+1,ROWS('Scratch Data'!$G$5:$G$13)))-INDEX('Scratch Data'!$I$5:$I$13,MATCH($A92,'Scratch Data'!$G$5:$G$13,1)))/MAX(INDEX('Scratch Data'!$G$5:$G$13,MIN(MATCH($A92,'Scratch Data'!$G$5:$G$13,1)+1,ROWS('Scratch Data'!$G$5:$G$13)))-INDEX('Scratch Data'!$G$5:$G$13,MATCH($A92,'Scratch Data'!$G$5:$G$13,1)),0.0001))*Inputs!$B$16,0),1),100))+(1-(INDEX('Scratch Data'!$H$5:$H$13,MATCH($A92,'Scratch Data'!$G$5:$G$13,1))+($A92-INDEX('Scratch Data'!$G$5:$G$13,MATCH($A92,'Scratch Data'!$G$5:$G$13,1)))*(INDEX('Scratch Data'!$H$5:$H$13,MIN(MATCH($A92,'Scratch Data'!$G$5:$G$13,1)+1,ROWS('Scratch Data'!$G$5:$G$13)))-INDEX('Scratch Data'!$H$5:$H$13,MATCH($A92,'Scratch Data'!$G$5:$G$13,1)))/MAX(INDEX('Scratch Data'!$G$5:$G$13,MIN(MATCH($A92,'Scratch Data'!$G$5:$G$13,1)+1,ROWS('Scratch Data'!$G$5:$G$13)))-INDEX('Scratch Data'!$G$5:$G$13,MATCH($A92,'Scratch Data'!$G$5:$G$13,1)),0.0001))*Inputs!$B$15)*((INDEX('Scratch Data'!$J$5:$J$13,MATCH($A92,'Scratch Data'!$G$5:$G$13,1))+($A92-INDEX('Scratch Data'!$G$5:$G$13,MATCH($A92,'Scratch Data'!$G$5:$G$13,1)))*(INDEX('Scratch Data'!$J$5:$J$13,MIN(MATCH($A92,'Scratch Data'!$G$5:$G$13,1)+1,ROWS('Scratch Data'!$G$5:$G$13)))-INDEX('Scratch Data'!$J$5:$J$13,MATCH($A92,'Scratch Data'!$G$5:$G$13,1)))/MAX(INDEX('Scratch Data'!$G$5:$G$13,MIN(MATCH($A92,'Scratch Data'!$G$5:$G$13,1)+1,ROWS('Scratch Data'!$G$5:$G$13)))-INDEX('Scratch Data'!$G$5:$G$13,MATCH($A92,'Scratch Data'!$G$5:$G$13,1)),0.0001))+Inputs!$B$17)),(1+Inputs!$B$19*INDEX(Baseline!$B$3:$B$122,MATCH(MIN(MAX(ROUND((MAX($A92-Inputs!$B$22,30))/5,0)*5,5),600),Baseline!$A$3:$A$122,0))+(1-Inputs!$B$19)*INDEX(Baseline!$C$3:$C$122,MATCH(MIN(MAX(ROUND((MAX($A92-Inputs!$B$22,30))/5,0)*5,5),600),Baseline!$A$3:$A$122,0))+Inputs!$B$17)),(1+Inputs!$B$19*INDEX(Baseline!$B$3:$B$122,MATCH(MIN(MAX(ROUND((MAX($A92-Inputs!$B$22,30))/5,0)*5,5),600),Baseline!$A$3:$A$122,0))+(1-Inputs!$B$19)*INDEX(Baseline!$C$3:$C$122,MATCH(MIN(MAX(ROUND((MAX($A92-Inputs!$B$22,30))/5,0)*5,5),600),Baseline!$A$3:$A$122,0))+Inputs!$B$17)))</f>
        <v>5.1877265104</v>
      </c>
      <c r="E92" s="10" t="n">
        <f aca="false">1+Inputs!$B$24+0.6*INDEX(Baseline!$B$3:$B$122,MATCH(MIN(MAX(ROUND((MAX($A92-Inputs!$B$23,15))/5,0)*5,5),600),Baseline!$A$3:$A$122,0))+0.4*INDEX(Baseline!$C$3:$C$122,MATCH(MIN(MAX(ROUND((MAX($A92-Inputs!$B$23,15))/5,0)*5,5),600),Baseline!$A$3:$A$122,0))</f>
        <v>5.3897199392</v>
      </c>
      <c r="H92" s="7" t="n">
        <v>90</v>
      </c>
      <c r="I92" s="10" t="n">
        <f aca="false">(INDEX('Scratch Data'!$E$5:$E$22,MATCH($H92,'Scratch Data'!$A$5:$A$22,1))+($H92-INDEX('Scratch Data'!$A$5:$A$22,MATCH($H92,'Scratch Data'!$A$5:$A$22,1)))*(INDEX('Scratch Data'!$E$5:$E$22,MIN(MATCH($H92,'Scratch Data'!$A$5:$A$22,1)+1,ROWS('Scratch Data'!$A$5:$A$22)))-INDEX('Scratch Data'!$E$5:$E$22,MATCH($H92,'Scratch Data'!$A$5:$A$22,1)))/MAX(INDEX('Scratch Data'!$A$5:$A$22,MIN(MATCH($H92,'Scratch Data'!$A$5:$A$22,1)+1,ROWS('Scratch Data'!$A$5:$A$22)))-INDEX('Scratch Data'!$A$5:$A$22,MATCH($H92,'Scratch Data'!$A$5:$A$22,1)),0.0001))</f>
        <v>2.5125</v>
      </c>
    </row>
    <row r="93" customFormat="false" ht="15" hidden="false" customHeight="false" outlineLevel="0" collapsed="false">
      <c r="A93" s="7" t="n">
        <v>455</v>
      </c>
      <c r="B93" s="10" t="n">
        <f aca="false">IF($A93&lt;=50,(INDEX('Scratch Data'!$M$5:$M$12,MATCH($A93,'Scratch Data'!$L$5:$L$12,1))+($A93-INDEX('Scratch Data'!$L$5:$L$12,MATCH($A93,'Scratch Data'!$L$5:$L$12,1)))*(INDEX('Scratch Data'!$M$5:$M$12,MIN(MATCH($A93,'Scratch Data'!$L$5:$L$12,1)+1,ROWS('Scratch Data'!$L$5:$L$12)))-INDEX('Scratch Data'!$M$5:$M$12,MATCH($A93,'Scratch Data'!$L$5:$L$12,1)))/MAX(INDEX('Scratch Data'!$L$5:$L$12,MIN(MATCH($A93,'Scratch Data'!$L$5:$L$12,1)+1,ROWS('Scratch Data'!$L$5:$L$12)))-INDEX('Scratch Data'!$L$5:$L$12,MATCH($A93,'Scratch Data'!$L$5:$L$12,1)),0.0001)),IF($A93&lt;=250,MIN((1+(INDEX('Scratch Data'!$H$5:$H$13,MATCH($A93,'Scratch Data'!$G$5:$G$13,1))+($A93-INDEX('Scratch Data'!$G$5:$G$13,MATCH($A93,'Scratch Data'!$G$5:$G$13,1)))*(INDEX('Scratch Data'!$H$5:$H$13,MIN(MATCH($A93,'Scratch Data'!$G$5:$G$13,1)+1,ROWS('Scratch Data'!$G$5:$G$13)))-INDEX('Scratch Data'!$H$5:$H$13,MATCH($A93,'Scratch Data'!$G$5:$G$13,1)))/MAX(INDEX('Scratch Data'!$G$5:$G$13,MIN(MATCH($A93,'Scratch Data'!$G$5:$G$13,1)+1,ROWS('Scratch Data'!$G$5:$G$13)))-INDEX('Scratch Data'!$G$5:$G$13,MATCH($A93,'Scratch Data'!$G$5:$G$13,1)),0.0001))*INDEX(Baseline!$I$3:$I$102,MIN(MAX(ROUND(Inputs!$B$11*(INDEX('Scratch Data'!$I$5:$I$13,MATCH($A93,'Scratch Data'!$G$5:$G$13,1))+($A93-INDEX('Scratch Data'!$G$5:$G$13,MATCH($A93,'Scratch Data'!$G$5:$G$13,1)))*(INDEX('Scratch Data'!$I$5:$I$13,MIN(MATCH($A93,'Scratch Data'!$G$5:$G$13,1)+1,ROWS('Scratch Data'!$G$5:$G$13)))-INDEX('Scratch Data'!$I$5:$I$13,MATCH($A93,'Scratch Data'!$G$5:$G$13,1)))/MAX(INDEX('Scratch Data'!$G$5:$G$13,MIN(MATCH($A93,'Scratch Data'!$G$5:$G$13,1)+1,ROWS('Scratch Data'!$G$5:$G$13)))-INDEX('Scratch Data'!$G$5:$G$13,MATCH($A93,'Scratch Data'!$G$5:$G$13,1)),0.0001)),0),1),100))+(1-(INDEX('Scratch Data'!$H$5:$H$13,MATCH($A93,'Scratch Data'!$G$5:$G$13,1))+($A93-INDEX('Scratch Data'!$G$5:$G$13,MATCH($A93,'Scratch Data'!$G$5:$G$13,1)))*(INDEX('Scratch Data'!$H$5:$H$13,MIN(MATCH($A93,'Scratch Data'!$G$5:$G$13,1)+1,ROWS('Scratch Data'!$G$5:$G$13)))-INDEX('Scratch Data'!$H$5:$H$13,MATCH($A93,'Scratch Data'!$G$5:$G$13,1)))/MAX(INDEX('Scratch Data'!$G$5:$G$13,MIN(MATCH($A93,'Scratch Data'!$G$5:$G$13,1)+1,ROWS('Scratch Data'!$G$5:$G$13)))-INDEX('Scratch Data'!$G$5:$G$13,MATCH($A93,'Scratch Data'!$G$5:$G$13,1)),0.0001)))*(INDEX('Scratch Data'!$J$5:$J$13,MATCH($A93,'Scratch Data'!$G$5:$G$13,1))+($A93-INDEX('Scratch Data'!$G$5:$G$13,MATCH($A93,'Scratch Data'!$G$5:$G$13,1)))*(INDEX('Scratch Data'!$J$5:$J$13,MIN(MATCH($A93,'Scratch Data'!$G$5:$G$13,1)+1,ROWS('Scratch Data'!$G$5:$G$13)))-INDEX('Scratch Data'!$J$5:$J$13,MATCH($A93,'Scratch Data'!$G$5:$G$13,1)))/MAX(INDEX('Scratch Data'!$G$5:$G$13,MIN(MATCH($A93,'Scratch Data'!$G$5:$G$13,1)+1,ROWS('Scratch Data'!$G$5:$G$13)))-INDEX('Scratch Data'!$G$5:$G$13,MATCH($A93,'Scratch Data'!$G$5:$G$13,1)),0.0001))),(1+Inputs!$B$19*INDEX(Baseline!$B$3:$B$122,MATCH(MIN(MAX(ROUND((MAX($A93-Inputs!$B$20,30))/5,0)*5,5),600),Baseline!$A$3:$A$122,0))+(1-Inputs!$B$19)*INDEX(Baseline!$C$3:$C$122,MATCH(MIN(MAX(ROUND((MAX($A93-Inputs!$B$20,30))/5,0)*5,5),600),Baseline!$A$3:$A$122,0)))),(1+Inputs!$B$19*INDEX(Baseline!$B$3:$B$122,MATCH(MIN(MAX(ROUND((MAX($A93-Inputs!$B$20,30))/5,0)*5,5),600),Baseline!$A$3:$A$122,0))+(1-Inputs!$B$19)*INDEX(Baseline!$C$3:$C$122,MATCH(MIN(MAX(ROUND((MAX($A93-Inputs!$B$20,30))/5,0)*5,5),600),Baseline!$A$3:$A$122,0)))))</f>
        <v>4.68266048</v>
      </c>
      <c r="C93" s="10" t="n">
        <f aca="false">IF($A93&lt;=50,$B93+Inputs!$B$18,IF($A93&lt;=250,MIN((1+(INDEX('Scratch Data'!$H$5:$H$13,MATCH($A93,'Scratch Data'!$G$5:$G$13,1))+($A93-INDEX('Scratch Data'!$G$5:$G$13,MATCH($A93,'Scratch Data'!$G$5:$G$13,1)))*(INDEX('Scratch Data'!$H$5:$H$13,MIN(MATCH($A93,'Scratch Data'!$G$5:$G$13,1)+1,ROWS('Scratch Data'!$G$5:$G$13)))-INDEX('Scratch Data'!$H$5:$H$13,MATCH($A93,'Scratch Data'!$G$5:$G$13,1)))/MAX(INDEX('Scratch Data'!$G$5:$G$13,MIN(MATCH($A93,'Scratch Data'!$G$5:$G$13,1)+1,ROWS('Scratch Data'!$G$5:$G$13)))-INDEX('Scratch Data'!$G$5:$G$13,MATCH($A93,'Scratch Data'!$G$5:$G$13,1)),0.0001))*Inputs!$B$12*INDEX(Baseline!$I$3:$I$102,MIN(MAX(ROUND(Inputs!$B$11*(INDEX('Scratch Data'!$I$5:$I$13,MATCH($A93,'Scratch Data'!$G$5:$G$13,1))+($A93-INDEX('Scratch Data'!$G$5:$G$13,MATCH($A93,'Scratch Data'!$G$5:$G$13,1)))*(INDEX('Scratch Data'!$I$5:$I$13,MIN(MATCH($A93,'Scratch Data'!$G$5:$G$13,1)+1,ROWS('Scratch Data'!$G$5:$G$13)))-INDEX('Scratch Data'!$I$5:$I$13,MATCH($A93,'Scratch Data'!$G$5:$G$13,1)))/MAX(INDEX('Scratch Data'!$G$5:$G$13,MIN(MATCH($A93,'Scratch Data'!$G$5:$G$13,1)+1,ROWS('Scratch Data'!$G$5:$G$13)))-INDEX('Scratch Data'!$G$5:$G$13,MATCH($A93,'Scratch Data'!$G$5:$G$13,1)),0.0001))*Inputs!$B$13,0),1),100))+(1-(INDEX('Scratch Data'!$H$5:$H$13,MATCH($A93,'Scratch Data'!$G$5:$G$13,1))+($A93-INDEX('Scratch Data'!$G$5:$G$13,MATCH($A93,'Scratch Data'!$G$5:$G$13,1)))*(INDEX('Scratch Data'!$H$5:$H$13,MIN(MATCH($A93,'Scratch Data'!$G$5:$G$13,1)+1,ROWS('Scratch Data'!$G$5:$G$13)))-INDEX('Scratch Data'!$H$5:$H$13,MATCH($A93,'Scratch Data'!$G$5:$G$13,1)))/MAX(INDEX('Scratch Data'!$G$5:$G$13,MIN(MATCH($A93,'Scratch Data'!$G$5:$G$13,1)+1,ROWS('Scratch Data'!$G$5:$G$13)))-INDEX('Scratch Data'!$G$5:$G$13,MATCH($A93,'Scratch Data'!$G$5:$G$13,1)),0.0001))*Inputs!$B$12)*((INDEX('Scratch Data'!$J$5:$J$13,MATCH($A93,'Scratch Data'!$G$5:$G$13,1))+($A93-INDEX('Scratch Data'!$G$5:$G$13,MATCH($A93,'Scratch Data'!$G$5:$G$13,1)))*(INDEX('Scratch Data'!$J$5:$J$13,MIN(MATCH($A93,'Scratch Data'!$G$5:$G$13,1)+1,ROWS('Scratch Data'!$G$5:$G$13)))-INDEX('Scratch Data'!$J$5:$J$13,MATCH($A93,'Scratch Data'!$G$5:$G$13,1)))/MAX(INDEX('Scratch Data'!$G$5:$G$13,MIN(MATCH($A93,'Scratch Data'!$G$5:$G$13,1)+1,ROWS('Scratch Data'!$G$5:$G$13)))-INDEX('Scratch Data'!$G$5:$G$13,MATCH($A93,'Scratch Data'!$G$5:$G$13,1)),0.0001))+Inputs!$B$14)),(1+Inputs!$B$19*INDEX(Baseline!$B$3:$B$122,MATCH(MIN(MAX(ROUND((MAX($A93-Inputs!$B$21,30))/5,0)*5,5),600),Baseline!$A$3:$A$122,0))+(1-Inputs!$B$19)*INDEX(Baseline!$C$3:$C$122,MATCH(MIN(MAX(ROUND((MAX($A93-Inputs!$B$21,30))/5,0)*5,5),600),Baseline!$A$3:$A$122,0))+Inputs!$B$14)),(1+Inputs!$B$19*INDEX(Baseline!$B$3:$B$122,MATCH(MIN(MAX(ROUND((MAX($A93-Inputs!$B$21,30))/5,0)*5,5),600),Baseline!$A$3:$A$122,0))+(1-Inputs!$B$19)*INDEX(Baseline!$C$3:$C$122,MATCH(MIN(MAX(ROUND((MAX($A93-Inputs!$B$21,30))/5,0)*5,5),600),Baseline!$A$3:$A$122,0))+Inputs!$B$14)))</f>
        <v>4.983295</v>
      </c>
      <c r="D93" s="10" t="n">
        <f aca="false">IF($A93&lt;=50,(INDEX('Scratch Data'!$P$5:$P$11,MATCH($A93,'Scratch Data'!$O$5:$O$11,1))+($A93-INDEX('Scratch Data'!$O$5:$O$11,MATCH($A93,'Scratch Data'!$O$5:$O$11,1)))*(INDEX('Scratch Data'!$P$5:$P$11,MIN(MATCH($A93,'Scratch Data'!$O$5:$O$11,1)+1,ROWS('Scratch Data'!$O$5:$O$11)))-INDEX('Scratch Data'!$P$5:$P$11,MATCH($A93,'Scratch Data'!$O$5:$O$11,1)))/MAX(INDEX('Scratch Data'!$O$5:$O$11,MIN(MATCH($A93,'Scratch Data'!$O$5:$O$11,1)+1,ROWS('Scratch Data'!$O$5:$O$11)))-INDEX('Scratch Data'!$O$5:$O$11,MATCH($A93,'Scratch Data'!$O$5:$O$11,1)),0.0001)),IF($A93&lt;=250,MIN((1+(INDEX('Scratch Data'!$H$5:$H$13,MATCH($A93,'Scratch Data'!$G$5:$G$13,1))+($A93-INDEX('Scratch Data'!$G$5:$G$13,MATCH($A93,'Scratch Data'!$G$5:$G$13,1)))*(INDEX('Scratch Data'!$H$5:$H$13,MIN(MATCH($A93,'Scratch Data'!$G$5:$G$13,1)+1,ROWS('Scratch Data'!$G$5:$G$13)))-INDEX('Scratch Data'!$H$5:$H$13,MATCH($A93,'Scratch Data'!$G$5:$G$13,1)))/MAX(INDEX('Scratch Data'!$G$5:$G$13,MIN(MATCH($A93,'Scratch Data'!$G$5:$G$13,1)+1,ROWS('Scratch Data'!$G$5:$G$13)))-INDEX('Scratch Data'!$G$5:$G$13,MATCH($A93,'Scratch Data'!$G$5:$G$13,1)),0.0001))*Inputs!$B$15*INDEX(Baseline!$I$3:$I$102,MIN(MAX(ROUND(Inputs!$B$11*(INDEX('Scratch Data'!$I$5:$I$13,MATCH($A93,'Scratch Data'!$G$5:$G$13,1))+($A93-INDEX('Scratch Data'!$G$5:$G$13,MATCH($A93,'Scratch Data'!$G$5:$G$13,1)))*(INDEX('Scratch Data'!$I$5:$I$13,MIN(MATCH($A93,'Scratch Data'!$G$5:$G$13,1)+1,ROWS('Scratch Data'!$G$5:$G$13)))-INDEX('Scratch Data'!$I$5:$I$13,MATCH($A93,'Scratch Data'!$G$5:$G$13,1)))/MAX(INDEX('Scratch Data'!$G$5:$G$13,MIN(MATCH($A93,'Scratch Data'!$G$5:$G$13,1)+1,ROWS('Scratch Data'!$G$5:$G$13)))-INDEX('Scratch Data'!$G$5:$G$13,MATCH($A93,'Scratch Data'!$G$5:$G$13,1)),0.0001))*Inputs!$B$16,0),1),100))+(1-(INDEX('Scratch Data'!$H$5:$H$13,MATCH($A93,'Scratch Data'!$G$5:$G$13,1))+($A93-INDEX('Scratch Data'!$G$5:$G$13,MATCH($A93,'Scratch Data'!$G$5:$G$13,1)))*(INDEX('Scratch Data'!$H$5:$H$13,MIN(MATCH($A93,'Scratch Data'!$G$5:$G$13,1)+1,ROWS('Scratch Data'!$G$5:$G$13)))-INDEX('Scratch Data'!$H$5:$H$13,MATCH($A93,'Scratch Data'!$G$5:$G$13,1)))/MAX(INDEX('Scratch Data'!$G$5:$G$13,MIN(MATCH($A93,'Scratch Data'!$G$5:$G$13,1)+1,ROWS('Scratch Data'!$G$5:$G$13)))-INDEX('Scratch Data'!$G$5:$G$13,MATCH($A93,'Scratch Data'!$G$5:$G$13,1)),0.0001))*Inputs!$B$15)*((INDEX('Scratch Data'!$J$5:$J$13,MATCH($A93,'Scratch Data'!$G$5:$G$13,1))+($A93-INDEX('Scratch Data'!$G$5:$G$13,MATCH($A93,'Scratch Data'!$G$5:$G$13,1)))*(INDEX('Scratch Data'!$J$5:$J$13,MIN(MATCH($A93,'Scratch Data'!$G$5:$G$13,1)+1,ROWS('Scratch Data'!$G$5:$G$13)))-INDEX('Scratch Data'!$J$5:$J$13,MATCH($A93,'Scratch Data'!$G$5:$G$13,1)))/MAX(INDEX('Scratch Data'!$G$5:$G$13,MIN(MATCH($A93,'Scratch Data'!$G$5:$G$13,1)+1,ROWS('Scratch Data'!$G$5:$G$13)))-INDEX('Scratch Data'!$G$5:$G$13,MATCH($A93,'Scratch Data'!$G$5:$G$13,1)),0.0001))+Inputs!$B$17)),(1+Inputs!$B$19*INDEX(Baseline!$B$3:$B$122,MATCH(MIN(MAX(ROUND((MAX($A93-Inputs!$B$22,30))/5,0)*5,5),600),Baseline!$A$3:$A$122,0))+(1-Inputs!$B$19)*INDEX(Baseline!$C$3:$C$122,MATCH(MIN(MAX(ROUND((MAX($A93-Inputs!$B$22,30))/5,0)*5,5),600),Baseline!$A$3:$A$122,0))+Inputs!$B$17)),(1+Inputs!$B$19*INDEX(Baseline!$B$3:$B$122,MATCH(MIN(MAX(ROUND((MAX($A93-Inputs!$B$22,30))/5,0)*5,5),600),Baseline!$A$3:$A$122,0))+(1-Inputs!$B$19)*INDEX(Baseline!$C$3:$C$122,MATCH(MIN(MAX(ROUND((MAX($A93-Inputs!$B$22,30))/5,0)*5,5),600),Baseline!$A$3:$A$122,0))+Inputs!$B$17)))</f>
        <v>5.2017724968</v>
      </c>
      <c r="E93" s="10" t="n">
        <f aca="false">1+Inputs!$B$24+0.6*INDEX(Baseline!$B$3:$B$122,MATCH(MIN(MAX(ROUND((MAX($A93-Inputs!$B$23,15))/5,0)*5,5),600),Baseline!$A$3:$A$122,0))+0.4*INDEX(Baseline!$C$3:$C$122,MATCH(MIN(MAX(ROUND((MAX($A93-Inputs!$B$23,15))/5,0)*5,5),600),Baseline!$A$3:$A$122,0))</f>
        <v>5.413526368</v>
      </c>
      <c r="H93" s="7" t="n">
        <v>91</v>
      </c>
      <c r="I93" s="10" t="n">
        <f aca="false">(INDEX('Scratch Data'!$E$5:$E$22,MATCH($H93,'Scratch Data'!$A$5:$A$22,1))+($H93-INDEX('Scratch Data'!$A$5:$A$22,MATCH($H93,'Scratch Data'!$A$5:$A$22,1)))*(INDEX('Scratch Data'!$E$5:$E$22,MIN(MATCH($H93,'Scratch Data'!$A$5:$A$22,1)+1,ROWS('Scratch Data'!$A$5:$A$22)))-INDEX('Scratch Data'!$E$5:$E$22,MATCH($H93,'Scratch Data'!$A$5:$A$22,1)))/MAX(INDEX('Scratch Data'!$A$5:$A$22,MIN(MATCH($H93,'Scratch Data'!$A$5:$A$22,1)+1,ROWS('Scratch Data'!$A$5:$A$22)))-INDEX('Scratch Data'!$A$5:$A$22,MATCH($H93,'Scratch Data'!$A$5:$A$22,1)),0.0001))</f>
        <v>2.51725</v>
      </c>
    </row>
    <row r="94" customFormat="false" ht="15" hidden="false" customHeight="false" outlineLevel="0" collapsed="false">
      <c r="A94" s="7" t="n">
        <v>460</v>
      </c>
      <c r="B94" s="10" t="n">
        <f aca="false">IF($A94&lt;=50,(INDEX('Scratch Data'!$M$5:$M$12,MATCH($A94,'Scratch Data'!$L$5:$L$12,1))+($A94-INDEX('Scratch Data'!$L$5:$L$12,MATCH($A94,'Scratch Data'!$L$5:$L$12,1)))*(INDEX('Scratch Data'!$M$5:$M$12,MIN(MATCH($A94,'Scratch Data'!$L$5:$L$12,1)+1,ROWS('Scratch Data'!$L$5:$L$12)))-INDEX('Scratch Data'!$M$5:$M$12,MATCH($A94,'Scratch Data'!$L$5:$L$12,1)))/MAX(INDEX('Scratch Data'!$L$5:$L$12,MIN(MATCH($A94,'Scratch Data'!$L$5:$L$12,1)+1,ROWS('Scratch Data'!$L$5:$L$12)))-INDEX('Scratch Data'!$L$5:$L$12,MATCH($A94,'Scratch Data'!$L$5:$L$12,1)),0.0001)),IF($A94&lt;=250,MIN((1+(INDEX('Scratch Data'!$H$5:$H$13,MATCH($A94,'Scratch Data'!$G$5:$G$13,1))+($A94-INDEX('Scratch Data'!$G$5:$G$13,MATCH($A94,'Scratch Data'!$G$5:$G$13,1)))*(INDEX('Scratch Data'!$H$5:$H$13,MIN(MATCH($A94,'Scratch Data'!$G$5:$G$13,1)+1,ROWS('Scratch Data'!$G$5:$G$13)))-INDEX('Scratch Data'!$H$5:$H$13,MATCH($A94,'Scratch Data'!$G$5:$G$13,1)))/MAX(INDEX('Scratch Data'!$G$5:$G$13,MIN(MATCH($A94,'Scratch Data'!$G$5:$G$13,1)+1,ROWS('Scratch Data'!$G$5:$G$13)))-INDEX('Scratch Data'!$G$5:$G$13,MATCH($A94,'Scratch Data'!$G$5:$G$13,1)),0.0001))*INDEX(Baseline!$I$3:$I$102,MIN(MAX(ROUND(Inputs!$B$11*(INDEX('Scratch Data'!$I$5:$I$13,MATCH($A94,'Scratch Data'!$G$5:$G$13,1))+($A94-INDEX('Scratch Data'!$G$5:$G$13,MATCH($A94,'Scratch Data'!$G$5:$G$13,1)))*(INDEX('Scratch Data'!$I$5:$I$13,MIN(MATCH($A94,'Scratch Data'!$G$5:$G$13,1)+1,ROWS('Scratch Data'!$G$5:$G$13)))-INDEX('Scratch Data'!$I$5:$I$13,MATCH($A94,'Scratch Data'!$G$5:$G$13,1)))/MAX(INDEX('Scratch Data'!$G$5:$G$13,MIN(MATCH($A94,'Scratch Data'!$G$5:$G$13,1)+1,ROWS('Scratch Data'!$G$5:$G$13)))-INDEX('Scratch Data'!$G$5:$G$13,MATCH($A94,'Scratch Data'!$G$5:$G$13,1)),0.0001)),0),1),100))+(1-(INDEX('Scratch Data'!$H$5:$H$13,MATCH($A94,'Scratch Data'!$G$5:$G$13,1))+($A94-INDEX('Scratch Data'!$G$5:$G$13,MATCH($A94,'Scratch Data'!$G$5:$G$13,1)))*(INDEX('Scratch Data'!$H$5:$H$13,MIN(MATCH($A94,'Scratch Data'!$G$5:$G$13,1)+1,ROWS('Scratch Data'!$G$5:$G$13)))-INDEX('Scratch Data'!$H$5:$H$13,MATCH($A94,'Scratch Data'!$G$5:$G$13,1)))/MAX(INDEX('Scratch Data'!$G$5:$G$13,MIN(MATCH($A94,'Scratch Data'!$G$5:$G$13,1)+1,ROWS('Scratch Data'!$G$5:$G$13)))-INDEX('Scratch Data'!$G$5:$G$13,MATCH($A94,'Scratch Data'!$G$5:$G$13,1)),0.0001)))*(INDEX('Scratch Data'!$J$5:$J$13,MATCH($A94,'Scratch Data'!$G$5:$G$13,1))+($A94-INDEX('Scratch Data'!$G$5:$G$13,MATCH($A94,'Scratch Data'!$G$5:$G$13,1)))*(INDEX('Scratch Data'!$J$5:$J$13,MIN(MATCH($A94,'Scratch Data'!$G$5:$G$13,1)+1,ROWS('Scratch Data'!$G$5:$G$13)))-INDEX('Scratch Data'!$J$5:$J$13,MATCH($A94,'Scratch Data'!$G$5:$G$13,1)))/MAX(INDEX('Scratch Data'!$G$5:$G$13,MIN(MATCH($A94,'Scratch Data'!$G$5:$G$13,1)+1,ROWS('Scratch Data'!$G$5:$G$13)))-INDEX('Scratch Data'!$G$5:$G$13,MATCH($A94,'Scratch Data'!$G$5:$G$13,1)),0.0001))),(1+Inputs!$B$19*INDEX(Baseline!$B$3:$B$122,MATCH(MIN(MAX(ROUND((MAX($A94-Inputs!$B$20,30))/5,0)*5,5),600),Baseline!$A$3:$A$122,0))+(1-Inputs!$B$19)*INDEX(Baseline!$C$3:$C$122,MATCH(MIN(MAX(ROUND((MAX($A94-Inputs!$B$20,30))/5,0)*5,5),600),Baseline!$A$3:$A$122,0)))),(1+Inputs!$B$19*INDEX(Baseline!$B$3:$B$122,MATCH(MIN(MAX(ROUND((MAX($A94-Inputs!$B$20,30))/5,0)*5,5),600),Baseline!$A$3:$A$122,0))+(1-Inputs!$B$19)*INDEX(Baseline!$C$3:$C$122,MATCH(MIN(MAX(ROUND((MAX($A94-Inputs!$B$20,30))/5,0)*5,5),600),Baseline!$A$3:$A$122,0)))))</f>
        <v>4.69130528</v>
      </c>
      <c r="C94" s="10" t="n">
        <f aca="false">IF($A94&lt;=50,$B94+Inputs!$B$18,IF($A94&lt;=250,MIN((1+(INDEX('Scratch Data'!$H$5:$H$13,MATCH($A94,'Scratch Data'!$G$5:$G$13,1))+($A94-INDEX('Scratch Data'!$G$5:$G$13,MATCH($A94,'Scratch Data'!$G$5:$G$13,1)))*(INDEX('Scratch Data'!$H$5:$H$13,MIN(MATCH($A94,'Scratch Data'!$G$5:$G$13,1)+1,ROWS('Scratch Data'!$G$5:$G$13)))-INDEX('Scratch Data'!$H$5:$H$13,MATCH($A94,'Scratch Data'!$G$5:$G$13,1)))/MAX(INDEX('Scratch Data'!$G$5:$G$13,MIN(MATCH($A94,'Scratch Data'!$G$5:$G$13,1)+1,ROWS('Scratch Data'!$G$5:$G$13)))-INDEX('Scratch Data'!$G$5:$G$13,MATCH($A94,'Scratch Data'!$G$5:$G$13,1)),0.0001))*Inputs!$B$12*INDEX(Baseline!$I$3:$I$102,MIN(MAX(ROUND(Inputs!$B$11*(INDEX('Scratch Data'!$I$5:$I$13,MATCH($A94,'Scratch Data'!$G$5:$G$13,1))+($A94-INDEX('Scratch Data'!$G$5:$G$13,MATCH($A94,'Scratch Data'!$G$5:$G$13,1)))*(INDEX('Scratch Data'!$I$5:$I$13,MIN(MATCH($A94,'Scratch Data'!$G$5:$G$13,1)+1,ROWS('Scratch Data'!$G$5:$G$13)))-INDEX('Scratch Data'!$I$5:$I$13,MATCH($A94,'Scratch Data'!$G$5:$G$13,1)))/MAX(INDEX('Scratch Data'!$G$5:$G$13,MIN(MATCH($A94,'Scratch Data'!$G$5:$G$13,1)+1,ROWS('Scratch Data'!$G$5:$G$13)))-INDEX('Scratch Data'!$G$5:$G$13,MATCH($A94,'Scratch Data'!$G$5:$G$13,1)),0.0001))*Inputs!$B$13,0),1),100))+(1-(INDEX('Scratch Data'!$H$5:$H$13,MATCH($A94,'Scratch Data'!$G$5:$G$13,1))+($A94-INDEX('Scratch Data'!$G$5:$G$13,MATCH($A94,'Scratch Data'!$G$5:$G$13,1)))*(INDEX('Scratch Data'!$H$5:$H$13,MIN(MATCH($A94,'Scratch Data'!$G$5:$G$13,1)+1,ROWS('Scratch Data'!$G$5:$G$13)))-INDEX('Scratch Data'!$H$5:$H$13,MATCH($A94,'Scratch Data'!$G$5:$G$13,1)))/MAX(INDEX('Scratch Data'!$G$5:$G$13,MIN(MATCH($A94,'Scratch Data'!$G$5:$G$13,1)+1,ROWS('Scratch Data'!$G$5:$G$13)))-INDEX('Scratch Data'!$G$5:$G$13,MATCH($A94,'Scratch Data'!$G$5:$G$13,1)),0.0001))*Inputs!$B$12)*((INDEX('Scratch Data'!$J$5:$J$13,MATCH($A94,'Scratch Data'!$G$5:$G$13,1))+($A94-INDEX('Scratch Data'!$G$5:$G$13,MATCH($A94,'Scratch Data'!$G$5:$G$13,1)))*(INDEX('Scratch Data'!$J$5:$J$13,MIN(MATCH($A94,'Scratch Data'!$G$5:$G$13,1)+1,ROWS('Scratch Data'!$G$5:$G$13)))-INDEX('Scratch Data'!$J$5:$J$13,MATCH($A94,'Scratch Data'!$G$5:$G$13,1)))/MAX(INDEX('Scratch Data'!$G$5:$G$13,MIN(MATCH($A94,'Scratch Data'!$G$5:$G$13,1)+1,ROWS('Scratch Data'!$G$5:$G$13)))-INDEX('Scratch Data'!$G$5:$G$13,MATCH($A94,'Scratch Data'!$G$5:$G$13,1)),0.0001))+Inputs!$B$14)),(1+Inputs!$B$19*INDEX(Baseline!$B$3:$B$122,MATCH(MIN(MAX(ROUND((MAX($A94-Inputs!$B$21,30))/5,0)*5,5),600),Baseline!$A$3:$A$122,0))+(1-Inputs!$B$19)*INDEX(Baseline!$C$3:$C$122,MATCH(MIN(MAX(ROUND((MAX($A94-Inputs!$B$21,30))/5,0)*5,5),600),Baseline!$A$3:$A$122,0))+Inputs!$B$14)),(1+Inputs!$B$19*INDEX(Baseline!$B$3:$B$122,MATCH(MIN(MAX(ROUND((MAX($A94-Inputs!$B$21,30))/5,0)*5,5),600),Baseline!$A$3:$A$122,0))+(1-Inputs!$B$19)*INDEX(Baseline!$C$3:$C$122,MATCH(MIN(MAX(ROUND((MAX($A94-Inputs!$B$21,30))/5,0)*5,5),600),Baseline!$A$3:$A$122,0))+Inputs!$B$14)))</f>
        <v>5.0297693824</v>
      </c>
      <c r="D94" s="10" t="n">
        <f aca="false">IF($A94&lt;=50,(INDEX('Scratch Data'!$P$5:$P$11,MATCH($A94,'Scratch Data'!$O$5:$O$11,1))+($A94-INDEX('Scratch Data'!$O$5:$O$11,MATCH($A94,'Scratch Data'!$O$5:$O$11,1)))*(INDEX('Scratch Data'!$P$5:$P$11,MIN(MATCH($A94,'Scratch Data'!$O$5:$O$11,1)+1,ROWS('Scratch Data'!$O$5:$O$11)))-INDEX('Scratch Data'!$P$5:$P$11,MATCH($A94,'Scratch Data'!$O$5:$O$11,1)))/MAX(INDEX('Scratch Data'!$O$5:$O$11,MIN(MATCH($A94,'Scratch Data'!$O$5:$O$11,1)+1,ROWS('Scratch Data'!$O$5:$O$11)))-INDEX('Scratch Data'!$O$5:$O$11,MATCH($A94,'Scratch Data'!$O$5:$O$11,1)),0.0001)),IF($A94&lt;=250,MIN((1+(INDEX('Scratch Data'!$H$5:$H$13,MATCH($A94,'Scratch Data'!$G$5:$G$13,1))+($A94-INDEX('Scratch Data'!$G$5:$G$13,MATCH($A94,'Scratch Data'!$G$5:$G$13,1)))*(INDEX('Scratch Data'!$H$5:$H$13,MIN(MATCH($A94,'Scratch Data'!$G$5:$G$13,1)+1,ROWS('Scratch Data'!$G$5:$G$13)))-INDEX('Scratch Data'!$H$5:$H$13,MATCH($A94,'Scratch Data'!$G$5:$G$13,1)))/MAX(INDEX('Scratch Data'!$G$5:$G$13,MIN(MATCH($A94,'Scratch Data'!$G$5:$G$13,1)+1,ROWS('Scratch Data'!$G$5:$G$13)))-INDEX('Scratch Data'!$G$5:$G$13,MATCH($A94,'Scratch Data'!$G$5:$G$13,1)),0.0001))*Inputs!$B$15*INDEX(Baseline!$I$3:$I$102,MIN(MAX(ROUND(Inputs!$B$11*(INDEX('Scratch Data'!$I$5:$I$13,MATCH($A94,'Scratch Data'!$G$5:$G$13,1))+($A94-INDEX('Scratch Data'!$G$5:$G$13,MATCH($A94,'Scratch Data'!$G$5:$G$13,1)))*(INDEX('Scratch Data'!$I$5:$I$13,MIN(MATCH($A94,'Scratch Data'!$G$5:$G$13,1)+1,ROWS('Scratch Data'!$G$5:$G$13)))-INDEX('Scratch Data'!$I$5:$I$13,MATCH($A94,'Scratch Data'!$G$5:$G$13,1)))/MAX(INDEX('Scratch Data'!$G$5:$G$13,MIN(MATCH($A94,'Scratch Data'!$G$5:$G$13,1)+1,ROWS('Scratch Data'!$G$5:$G$13)))-INDEX('Scratch Data'!$G$5:$G$13,MATCH($A94,'Scratch Data'!$G$5:$G$13,1)),0.0001))*Inputs!$B$16,0),1),100))+(1-(INDEX('Scratch Data'!$H$5:$H$13,MATCH($A94,'Scratch Data'!$G$5:$G$13,1))+($A94-INDEX('Scratch Data'!$G$5:$G$13,MATCH($A94,'Scratch Data'!$G$5:$G$13,1)))*(INDEX('Scratch Data'!$H$5:$H$13,MIN(MATCH($A94,'Scratch Data'!$G$5:$G$13,1)+1,ROWS('Scratch Data'!$G$5:$G$13)))-INDEX('Scratch Data'!$H$5:$H$13,MATCH($A94,'Scratch Data'!$G$5:$G$13,1)))/MAX(INDEX('Scratch Data'!$G$5:$G$13,MIN(MATCH($A94,'Scratch Data'!$G$5:$G$13,1)+1,ROWS('Scratch Data'!$G$5:$G$13)))-INDEX('Scratch Data'!$G$5:$G$13,MATCH($A94,'Scratch Data'!$G$5:$G$13,1)),0.0001))*Inputs!$B$15)*((INDEX('Scratch Data'!$J$5:$J$13,MATCH($A94,'Scratch Data'!$G$5:$G$13,1))+($A94-INDEX('Scratch Data'!$G$5:$G$13,MATCH($A94,'Scratch Data'!$G$5:$G$13,1)))*(INDEX('Scratch Data'!$J$5:$J$13,MIN(MATCH($A94,'Scratch Data'!$G$5:$G$13,1)+1,ROWS('Scratch Data'!$G$5:$G$13)))-INDEX('Scratch Data'!$J$5:$J$13,MATCH($A94,'Scratch Data'!$G$5:$G$13,1)))/MAX(INDEX('Scratch Data'!$G$5:$G$13,MIN(MATCH($A94,'Scratch Data'!$G$5:$G$13,1)+1,ROWS('Scratch Data'!$G$5:$G$13)))-INDEX('Scratch Data'!$G$5:$G$13,MATCH($A94,'Scratch Data'!$G$5:$G$13,1)),0.0001))+Inputs!$B$17)),(1+Inputs!$B$19*INDEX(Baseline!$B$3:$B$122,MATCH(MIN(MAX(ROUND((MAX($A94-Inputs!$B$22,30))/5,0)*5,5),600),Baseline!$A$3:$A$122,0))+(1-Inputs!$B$19)*INDEX(Baseline!$C$3:$C$122,MATCH(MIN(MAX(ROUND((MAX($A94-Inputs!$B$22,30))/5,0)*5,5),600),Baseline!$A$3:$A$122,0))+Inputs!$B$17)),(1+Inputs!$B$19*INDEX(Baseline!$B$3:$B$122,MATCH(MIN(MAX(ROUND((MAX($A94-Inputs!$B$22,30))/5,0)*5,5),600),Baseline!$A$3:$A$122,0))+(1-Inputs!$B$19)*INDEX(Baseline!$C$3:$C$122,MATCH(MIN(MAX(ROUND((MAX($A94-Inputs!$B$22,30))/5,0)*5,5),600),Baseline!$A$3:$A$122,0))+Inputs!$B$17)))</f>
        <v>5.215161936</v>
      </c>
      <c r="E94" s="10" t="n">
        <f aca="false">1+Inputs!$B$24+0.6*INDEX(Baseline!$B$3:$B$122,MATCH(MIN(MAX(ROUND((MAX($A94-Inputs!$B$23,15))/5,0)*5,5),600),Baseline!$A$3:$A$122,0))+0.4*INDEX(Baseline!$C$3:$C$122,MATCH(MIN(MAX(ROUND((MAX($A94-Inputs!$B$23,15))/5,0)*5,5),600),Baseline!$A$3:$A$122,0))</f>
        <v>5.4335547776</v>
      </c>
      <c r="H94" s="7" t="n">
        <v>92</v>
      </c>
      <c r="I94" s="10" t="n">
        <f aca="false">(INDEX('Scratch Data'!$E$5:$E$22,MATCH($H94,'Scratch Data'!$A$5:$A$22,1))+($H94-INDEX('Scratch Data'!$A$5:$A$22,MATCH($H94,'Scratch Data'!$A$5:$A$22,1)))*(INDEX('Scratch Data'!$E$5:$E$22,MIN(MATCH($H94,'Scratch Data'!$A$5:$A$22,1)+1,ROWS('Scratch Data'!$A$5:$A$22)))-INDEX('Scratch Data'!$E$5:$E$22,MATCH($H94,'Scratch Data'!$A$5:$A$22,1)))/MAX(INDEX('Scratch Data'!$A$5:$A$22,MIN(MATCH($H94,'Scratch Data'!$A$5:$A$22,1)+1,ROWS('Scratch Data'!$A$5:$A$22)))-INDEX('Scratch Data'!$A$5:$A$22,MATCH($H94,'Scratch Data'!$A$5:$A$22,1)),0.0001))</f>
        <v>2.522</v>
      </c>
    </row>
    <row r="95" customFormat="false" ht="15" hidden="false" customHeight="false" outlineLevel="0" collapsed="false">
      <c r="A95" s="7" t="n">
        <v>465</v>
      </c>
      <c r="B95" s="10" t="n">
        <f aca="false">IF($A95&lt;=50,(INDEX('Scratch Data'!$M$5:$M$12,MATCH($A95,'Scratch Data'!$L$5:$L$12,1))+($A95-INDEX('Scratch Data'!$L$5:$L$12,MATCH($A95,'Scratch Data'!$L$5:$L$12,1)))*(INDEX('Scratch Data'!$M$5:$M$12,MIN(MATCH($A95,'Scratch Data'!$L$5:$L$12,1)+1,ROWS('Scratch Data'!$L$5:$L$12)))-INDEX('Scratch Data'!$M$5:$M$12,MATCH($A95,'Scratch Data'!$L$5:$L$12,1)))/MAX(INDEX('Scratch Data'!$L$5:$L$12,MIN(MATCH($A95,'Scratch Data'!$L$5:$L$12,1)+1,ROWS('Scratch Data'!$L$5:$L$12)))-INDEX('Scratch Data'!$L$5:$L$12,MATCH($A95,'Scratch Data'!$L$5:$L$12,1)),0.0001)),IF($A95&lt;=250,MIN((1+(INDEX('Scratch Data'!$H$5:$H$13,MATCH($A95,'Scratch Data'!$G$5:$G$13,1))+($A95-INDEX('Scratch Data'!$G$5:$G$13,MATCH($A95,'Scratch Data'!$G$5:$G$13,1)))*(INDEX('Scratch Data'!$H$5:$H$13,MIN(MATCH($A95,'Scratch Data'!$G$5:$G$13,1)+1,ROWS('Scratch Data'!$G$5:$G$13)))-INDEX('Scratch Data'!$H$5:$H$13,MATCH($A95,'Scratch Data'!$G$5:$G$13,1)))/MAX(INDEX('Scratch Data'!$G$5:$G$13,MIN(MATCH($A95,'Scratch Data'!$G$5:$G$13,1)+1,ROWS('Scratch Data'!$G$5:$G$13)))-INDEX('Scratch Data'!$G$5:$G$13,MATCH($A95,'Scratch Data'!$G$5:$G$13,1)),0.0001))*INDEX(Baseline!$I$3:$I$102,MIN(MAX(ROUND(Inputs!$B$11*(INDEX('Scratch Data'!$I$5:$I$13,MATCH($A95,'Scratch Data'!$G$5:$G$13,1))+($A95-INDEX('Scratch Data'!$G$5:$G$13,MATCH($A95,'Scratch Data'!$G$5:$G$13,1)))*(INDEX('Scratch Data'!$I$5:$I$13,MIN(MATCH($A95,'Scratch Data'!$G$5:$G$13,1)+1,ROWS('Scratch Data'!$G$5:$G$13)))-INDEX('Scratch Data'!$I$5:$I$13,MATCH($A95,'Scratch Data'!$G$5:$G$13,1)))/MAX(INDEX('Scratch Data'!$G$5:$G$13,MIN(MATCH($A95,'Scratch Data'!$G$5:$G$13,1)+1,ROWS('Scratch Data'!$G$5:$G$13)))-INDEX('Scratch Data'!$G$5:$G$13,MATCH($A95,'Scratch Data'!$G$5:$G$13,1)),0.0001)),0),1),100))+(1-(INDEX('Scratch Data'!$H$5:$H$13,MATCH($A95,'Scratch Data'!$G$5:$G$13,1))+($A95-INDEX('Scratch Data'!$G$5:$G$13,MATCH($A95,'Scratch Data'!$G$5:$G$13,1)))*(INDEX('Scratch Data'!$H$5:$H$13,MIN(MATCH($A95,'Scratch Data'!$G$5:$G$13,1)+1,ROWS('Scratch Data'!$G$5:$G$13)))-INDEX('Scratch Data'!$H$5:$H$13,MATCH($A95,'Scratch Data'!$G$5:$G$13,1)))/MAX(INDEX('Scratch Data'!$G$5:$G$13,MIN(MATCH($A95,'Scratch Data'!$G$5:$G$13,1)+1,ROWS('Scratch Data'!$G$5:$G$13)))-INDEX('Scratch Data'!$G$5:$G$13,MATCH($A95,'Scratch Data'!$G$5:$G$13,1)),0.0001)))*(INDEX('Scratch Data'!$J$5:$J$13,MATCH($A95,'Scratch Data'!$G$5:$G$13,1))+($A95-INDEX('Scratch Data'!$G$5:$G$13,MATCH($A95,'Scratch Data'!$G$5:$G$13,1)))*(INDEX('Scratch Data'!$J$5:$J$13,MIN(MATCH($A95,'Scratch Data'!$G$5:$G$13,1)+1,ROWS('Scratch Data'!$G$5:$G$13)))-INDEX('Scratch Data'!$J$5:$J$13,MATCH($A95,'Scratch Data'!$G$5:$G$13,1)))/MAX(INDEX('Scratch Data'!$G$5:$G$13,MIN(MATCH($A95,'Scratch Data'!$G$5:$G$13,1)+1,ROWS('Scratch Data'!$G$5:$G$13)))-INDEX('Scratch Data'!$G$5:$G$13,MATCH($A95,'Scratch Data'!$G$5:$G$13,1)),0.0001))),(1+Inputs!$B$19*INDEX(Baseline!$B$3:$B$122,MATCH(MIN(MAX(ROUND((MAX($A95-Inputs!$B$20,30))/5,0)*5,5),600),Baseline!$A$3:$A$122,0))+(1-Inputs!$B$19)*INDEX(Baseline!$C$3:$C$122,MATCH(MIN(MAX(ROUND((MAX($A95-Inputs!$B$20,30))/5,0)*5,5),600),Baseline!$A$3:$A$122,0)))),(1+Inputs!$B$19*INDEX(Baseline!$B$3:$B$122,MATCH(MIN(MAX(ROUND((MAX($A95-Inputs!$B$20,30))/5,0)*5,5),600),Baseline!$A$3:$A$122,0))+(1-Inputs!$B$19)*INDEX(Baseline!$C$3:$C$122,MATCH(MIN(MAX(ROUND((MAX($A95-Inputs!$B$20,30))/5,0)*5,5),600),Baseline!$A$3:$A$122,0)))))</f>
        <v>4.69949168</v>
      </c>
      <c r="C95" s="10" t="n">
        <f aca="false">IF($A95&lt;=50,$B95+Inputs!$B$18,IF($A95&lt;=250,MIN((1+(INDEX('Scratch Data'!$H$5:$H$13,MATCH($A95,'Scratch Data'!$G$5:$G$13,1))+($A95-INDEX('Scratch Data'!$G$5:$G$13,MATCH($A95,'Scratch Data'!$G$5:$G$13,1)))*(INDEX('Scratch Data'!$H$5:$H$13,MIN(MATCH($A95,'Scratch Data'!$G$5:$G$13,1)+1,ROWS('Scratch Data'!$G$5:$G$13)))-INDEX('Scratch Data'!$H$5:$H$13,MATCH($A95,'Scratch Data'!$G$5:$G$13,1)))/MAX(INDEX('Scratch Data'!$G$5:$G$13,MIN(MATCH($A95,'Scratch Data'!$G$5:$G$13,1)+1,ROWS('Scratch Data'!$G$5:$G$13)))-INDEX('Scratch Data'!$G$5:$G$13,MATCH($A95,'Scratch Data'!$G$5:$G$13,1)),0.0001))*Inputs!$B$12*INDEX(Baseline!$I$3:$I$102,MIN(MAX(ROUND(Inputs!$B$11*(INDEX('Scratch Data'!$I$5:$I$13,MATCH($A95,'Scratch Data'!$G$5:$G$13,1))+($A95-INDEX('Scratch Data'!$G$5:$G$13,MATCH($A95,'Scratch Data'!$G$5:$G$13,1)))*(INDEX('Scratch Data'!$I$5:$I$13,MIN(MATCH($A95,'Scratch Data'!$G$5:$G$13,1)+1,ROWS('Scratch Data'!$G$5:$G$13)))-INDEX('Scratch Data'!$I$5:$I$13,MATCH($A95,'Scratch Data'!$G$5:$G$13,1)))/MAX(INDEX('Scratch Data'!$G$5:$G$13,MIN(MATCH($A95,'Scratch Data'!$G$5:$G$13,1)+1,ROWS('Scratch Data'!$G$5:$G$13)))-INDEX('Scratch Data'!$G$5:$G$13,MATCH($A95,'Scratch Data'!$G$5:$G$13,1)),0.0001))*Inputs!$B$13,0),1),100))+(1-(INDEX('Scratch Data'!$H$5:$H$13,MATCH($A95,'Scratch Data'!$G$5:$G$13,1))+($A95-INDEX('Scratch Data'!$G$5:$G$13,MATCH($A95,'Scratch Data'!$G$5:$G$13,1)))*(INDEX('Scratch Data'!$H$5:$H$13,MIN(MATCH($A95,'Scratch Data'!$G$5:$G$13,1)+1,ROWS('Scratch Data'!$G$5:$G$13)))-INDEX('Scratch Data'!$H$5:$H$13,MATCH($A95,'Scratch Data'!$G$5:$G$13,1)))/MAX(INDEX('Scratch Data'!$G$5:$G$13,MIN(MATCH($A95,'Scratch Data'!$G$5:$G$13,1)+1,ROWS('Scratch Data'!$G$5:$G$13)))-INDEX('Scratch Data'!$G$5:$G$13,MATCH($A95,'Scratch Data'!$G$5:$G$13,1)),0.0001))*Inputs!$B$12)*((INDEX('Scratch Data'!$J$5:$J$13,MATCH($A95,'Scratch Data'!$G$5:$G$13,1))+($A95-INDEX('Scratch Data'!$G$5:$G$13,MATCH($A95,'Scratch Data'!$G$5:$G$13,1)))*(INDEX('Scratch Data'!$J$5:$J$13,MIN(MATCH($A95,'Scratch Data'!$G$5:$G$13,1)+1,ROWS('Scratch Data'!$G$5:$G$13)))-INDEX('Scratch Data'!$J$5:$J$13,MATCH($A95,'Scratch Data'!$G$5:$G$13,1)))/MAX(INDEX('Scratch Data'!$G$5:$G$13,MIN(MATCH($A95,'Scratch Data'!$G$5:$G$13,1)+1,ROWS('Scratch Data'!$G$5:$G$13)))-INDEX('Scratch Data'!$G$5:$G$13,MATCH($A95,'Scratch Data'!$G$5:$G$13,1)),0.0001))+Inputs!$B$14)),(1+Inputs!$B$19*INDEX(Baseline!$B$3:$B$122,MATCH(MIN(MAX(ROUND((MAX($A95-Inputs!$B$21,30))/5,0)*5,5),600),Baseline!$A$3:$A$122,0))+(1-Inputs!$B$19)*INDEX(Baseline!$C$3:$C$122,MATCH(MIN(MAX(ROUND((MAX($A95-Inputs!$B$21,30))/5,0)*5,5),600),Baseline!$A$3:$A$122,0))+Inputs!$B$14)),(1+Inputs!$B$19*INDEX(Baseline!$B$3:$B$122,MATCH(MIN(MAX(ROUND((MAX($A95-Inputs!$B$21,30))/5,0)*5,5),600),Baseline!$A$3:$A$122,0))+(1-Inputs!$B$19)*INDEX(Baseline!$C$3:$C$122,MATCH(MIN(MAX(ROUND((MAX($A95-Inputs!$B$21,30))/5,0)*5,5),600),Baseline!$A$3:$A$122,0))+Inputs!$B$14)))</f>
        <v>5.0580578288</v>
      </c>
      <c r="D95" s="10" t="n">
        <f aca="false">IF($A95&lt;=50,(INDEX('Scratch Data'!$P$5:$P$11,MATCH($A95,'Scratch Data'!$O$5:$O$11,1))+($A95-INDEX('Scratch Data'!$O$5:$O$11,MATCH($A95,'Scratch Data'!$O$5:$O$11,1)))*(INDEX('Scratch Data'!$P$5:$P$11,MIN(MATCH($A95,'Scratch Data'!$O$5:$O$11,1)+1,ROWS('Scratch Data'!$O$5:$O$11)))-INDEX('Scratch Data'!$P$5:$P$11,MATCH($A95,'Scratch Data'!$O$5:$O$11,1)))/MAX(INDEX('Scratch Data'!$O$5:$O$11,MIN(MATCH($A95,'Scratch Data'!$O$5:$O$11,1)+1,ROWS('Scratch Data'!$O$5:$O$11)))-INDEX('Scratch Data'!$O$5:$O$11,MATCH($A95,'Scratch Data'!$O$5:$O$11,1)),0.0001)),IF($A95&lt;=250,MIN((1+(INDEX('Scratch Data'!$H$5:$H$13,MATCH($A95,'Scratch Data'!$G$5:$G$13,1))+($A95-INDEX('Scratch Data'!$G$5:$G$13,MATCH($A95,'Scratch Data'!$G$5:$G$13,1)))*(INDEX('Scratch Data'!$H$5:$H$13,MIN(MATCH($A95,'Scratch Data'!$G$5:$G$13,1)+1,ROWS('Scratch Data'!$G$5:$G$13)))-INDEX('Scratch Data'!$H$5:$H$13,MATCH($A95,'Scratch Data'!$G$5:$G$13,1)))/MAX(INDEX('Scratch Data'!$G$5:$G$13,MIN(MATCH($A95,'Scratch Data'!$G$5:$G$13,1)+1,ROWS('Scratch Data'!$G$5:$G$13)))-INDEX('Scratch Data'!$G$5:$G$13,MATCH($A95,'Scratch Data'!$G$5:$G$13,1)),0.0001))*Inputs!$B$15*INDEX(Baseline!$I$3:$I$102,MIN(MAX(ROUND(Inputs!$B$11*(INDEX('Scratch Data'!$I$5:$I$13,MATCH($A95,'Scratch Data'!$G$5:$G$13,1))+($A95-INDEX('Scratch Data'!$G$5:$G$13,MATCH($A95,'Scratch Data'!$G$5:$G$13,1)))*(INDEX('Scratch Data'!$I$5:$I$13,MIN(MATCH($A95,'Scratch Data'!$G$5:$G$13,1)+1,ROWS('Scratch Data'!$G$5:$G$13)))-INDEX('Scratch Data'!$I$5:$I$13,MATCH($A95,'Scratch Data'!$G$5:$G$13,1)))/MAX(INDEX('Scratch Data'!$G$5:$G$13,MIN(MATCH($A95,'Scratch Data'!$G$5:$G$13,1)+1,ROWS('Scratch Data'!$G$5:$G$13)))-INDEX('Scratch Data'!$G$5:$G$13,MATCH($A95,'Scratch Data'!$G$5:$G$13,1)),0.0001))*Inputs!$B$16,0),1),100))+(1-(INDEX('Scratch Data'!$H$5:$H$13,MATCH($A95,'Scratch Data'!$G$5:$G$13,1))+($A95-INDEX('Scratch Data'!$G$5:$G$13,MATCH($A95,'Scratch Data'!$G$5:$G$13,1)))*(INDEX('Scratch Data'!$H$5:$H$13,MIN(MATCH($A95,'Scratch Data'!$G$5:$G$13,1)+1,ROWS('Scratch Data'!$G$5:$G$13)))-INDEX('Scratch Data'!$H$5:$H$13,MATCH($A95,'Scratch Data'!$G$5:$G$13,1)))/MAX(INDEX('Scratch Data'!$G$5:$G$13,MIN(MATCH($A95,'Scratch Data'!$G$5:$G$13,1)+1,ROWS('Scratch Data'!$G$5:$G$13)))-INDEX('Scratch Data'!$G$5:$G$13,MATCH($A95,'Scratch Data'!$G$5:$G$13,1)),0.0001))*Inputs!$B$15)*((INDEX('Scratch Data'!$J$5:$J$13,MATCH($A95,'Scratch Data'!$G$5:$G$13,1))+($A95-INDEX('Scratch Data'!$G$5:$G$13,MATCH($A95,'Scratch Data'!$G$5:$G$13,1)))*(INDEX('Scratch Data'!$J$5:$J$13,MIN(MATCH($A95,'Scratch Data'!$G$5:$G$13,1)+1,ROWS('Scratch Data'!$G$5:$G$13)))-INDEX('Scratch Data'!$J$5:$J$13,MATCH($A95,'Scratch Data'!$G$5:$G$13,1)))/MAX(INDEX('Scratch Data'!$G$5:$G$13,MIN(MATCH($A95,'Scratch Data'!$G$5:$G$13,1)+1,ROWS('Scratch Data'!$G$5:$G$13)))-INDEX('Scratch Data'!$G$5:$G$13,MATCH($A95,'Scratch Data'!$G$5:$G$13,1)),0.0001))+Inputs!$B$17)),(1+Inputs!$B$19*INDEX(Baseline!$B$3:$B$122,MATCH(MIN(MAX(ROUND((MAX($A95-Inputs!$B$22,30))/5,0)*5,5),600),Baseline!$A$3:$A$122,0))+(1-Inputs!$B$19)*INDEX(Baseline!$C$3:$C$122,MATCH(MIN(MAX(ROUND((MAX($A95-Inputs!$B$22,30))/5,0)*5,5),600),Baseline!$A$3:$A$122,0))+Inputs!$B$17)),(1+Inputs!$B$19*INDEX(Baseline!$B$3:$B$122,MATCH(MIN(MAX(ROUND((MAX($A95-Inputs!$B$22,30))/5,0)*5,5),600),Baseline!$A$3:$A$122,0))+(1-Inputs!$B$19)*INDEX(Baseline!$C$3:$C$122,MATCH(MIN(MAX(ROUND((MAX($A95-Inputs!$B$22,30))/5,0)*5,5),600),Baseline!$A$3:$A$122,0))+Inputs!$B$17)))</f>
        <v>5.2437607408</v>
      </c>
      <c r="E95" s="10" t="n">
        <f aca="false">1+Inputs!$B$24+0.6*INDEX(Baseline!$B$3:$B$122,MATCH(MIN(MAX(ROUND((MAX($A95-Inputs!$B$23,15))/5,0)*5,5),600),Baseline!$A$3:$A$122,0))+0.4*INDEX(Baseline!$C$3:$C$122,MATCH(MIN(MAX(ROUND((MAX($A95-Inputs!$B$23,15))/5,0)*5,5),600),Baseline!$A$3:$A$122,0))</f>
        <v>5.452274</v>
      </c>
      <c r="H95" s="7" t="n">
        <v>93</v>
      </c>
      <c r="I95" s="10" t="n">
        <f aca="false">(INDEX('Scratch Data'!$E$5:$E$22,MATCH($H95,'Scratch Data'!$A$5:$A$22,1))+($H95-INDEX('Scratch Data'!$A$5:$A$22,MATCH($H95,'Scratch Data'!$A$5:$A$22,1)))*(INDEX('Scratch Data'!$E$5:$E$22,MIN(MATCH($H95,'Scratch Data'!$A$5:$A$22,1)+1,ROWS('Scratch Data'!$A$5:$A$22)))-INDEX('Scratch Data'!$E$5:$E$22,MATCH($H95,'Scratch Data'!$A$5:$A$22,1)))/MAX(INDEX('Scratch Data'!$A$5:$A$22,MIN(MATCH($H95,'Scratch Data'!$A$5:$A$22,1)+1,ROWS('Scratch Data'!$A$5:$A$22)))-INDEX('Scratch Data'!$A$5:$A$22,MATCH($H95,'Scratch Data'!$A$5:$A$22,1)),0.0001))</f>
        <v>2.52675</v>
      </c>
    </row>
    <row r="96" customFormat="false" ht="15" hidden="false" customHeight="false" outlineLevel="0" collapsed="false">
      <c r="A96" s="7" t="n">
        <v>470</v>
      </c>
      <c r="B96" s="10" t="n">
        <f aca="false">IF($A96&lt;=50,(INDEX('Scratch Data'!$M$5:$M$12,MATCH($A96,'Scratch Data'!$L$5:$L$12,1))+($A96-INDEX('Scratch Data'!$L$5:$L$12,MATCH($A96,'Scratch Data'!$L$5:$L$12,1)))*(INDEX('Scratch Data'!$M$5:$M$12,MIN(MATCH($A96,'Scratch Data'!$L$5:$L$12,1)+1,ROWS('Scratch Data'!$L$5:$L$12)))-INDEX('Scratch Data'!$M$5:$M$12,MATCH($A96,'Scratch Data'!$L$5:$L$12,1)))/MAX(INDEX('Scratch Data'!$L$5:$L$12,MIN(MATCH($A96,'Scratch Data'!$L$5:$L$12,1)+1,ROWS('Scratch Data'!$L$5:$L$12)))-INDEX('Scratch Data'!$L$5:$L$12,MATCH($A96,'Scratch Data'!$L$5:$L$12,1)),0.0001)),IF($A96&lt;=250,MIN((1+(INDEX('Scratch Data'!$H$5:$H$13,MATCH($A96,'Scratch Data'!$G$5:$G$13,1))+($A96-INDEX('Scratch Data'!$G$5:$G$13,MATCH($A96,'Scratch Data'!$G$5:$G$13,1)))*(INDEX('Scratch Data'!$H$5:$H$13,MIN(MATCH($A96,'Scratch Data'!$G$5:$G$13,1)+1,ROWS('Scratch Data'!$G$5:$G$13)))-INDEX('Scratch Data'!$H$5:$H$13,MATCH($A96,'Scratch Data'!$G$5:$G$13,1)))/MAX(INDEX('Scratch Data'!$G$5:$G$13,MIN(MATCH($A96,'Scratch Data'!$G$5:$G$13,1)+1,ROWS('Scratch Data'!$G$5:$G$13)))-INDEX('Scratch Data'!$G$5:$G$13,MATCH($A96,'Scratch Data'!$G$5:$G$13,1)),0.0001))*INDEX(Baseline!$I$3:$I$102,MIN(MAX(ROUND(Inputs!$B$11*(INDEX('Scratch Data'!$I$5:$I$13,MATCH($A96,'Scratch Data'!$G$5:$G$13,1))+($A96-INDEX('Scratch Data'!$G$5:$G$13,MATCH($A96,'Scratch Data'!$G$5:$G$13,1)))*(INDEX('Scratch Data'!$I$5:$I$13,MIN(MATCH($A96,'Scratch Data'!$G$5:$G$13,1)+1,ROWS('Scratch Data'!$G$5:$G$13)))-INDEX('Scratch Data'!$I$5:$I$13,MATCH($A96,'Scratch Data'!$G$5:$G$13,1)))/MAX(INDEX('Scratch Data'!$G$5:$G$13,MIN(MATCH($A96,'Scratch Data'!$G$5:$G$13,1)+1,ROWS('Scratch Data'!$G$5:$G$13)))-INDEX('Scratch Data'!$G$5:$G$13,MATCH($A96,'Scratch Data'!$G$5:$G$13,1)),0.0001)),0),1),100))+(1-(INDEX('Scratch Data'!$H$5:$H$13,MATCH($A96,'Scratch Data'!$G$5:$G$13,1))+($A96-INDEX('Scratch Data'!$G$5:$G$13,MATCH($A96,'Scratch Data'!$G$5:$G$13,1)))*(INDEX('Scratch Data'!$H$5:$H$13,MIN(MATCH($A96,'Scratch Data'!$G$5:$G$13,1)+1,ROWS('Scratch Data'!$G$5:$G$13)))-INDEX('Scratch Data'!$H$5:$H$13,MATCH($A96,'Scratch Data'!$G$5:$G$13,1)))/MAX(INDEX('Scratch Data'!$G$5:$G$13,MIN(MATCH($A96,'Scratch Data'!$G$5:$G$13,1)+1,ROWS('Scratch Data'!$G$5:$G$13)))-INDEX('Scratch Data'!$G$5:$G$13,MATCH($A96,'Scratch Data'!$G$5:$G$13,1)),0.0001)))*(INDEX('Scratch Data'!$J$5:$J$13,MATCH($A96,'Scratch Data'!$G$5:$G$13,1))+($A96-INDEX('Scratch Data'!$G$5:$G$13,MATCH($A96,'Scratch Data'!$G$5:$G$13,1)))*(INDEX('Scratch Data'!$J$5:$J$13,MIN(MATCH($A96,'Scratch Data'!$G$5:$G$13,1)+1,ROWS('Scratch Data'!$G$5:$G$13)))-INDEX('Scratch Data'!$J$5:$J$13,MATCH($A96,'Scratch Data'!$G$5:$G$13,1)))/MAX(INDEX('Scratch Data'!$G$5:$G$13,MIN(MATCH($A96,'Scratch Data'!$G$5:$G$13,1)+1,ROWS('Scratch Data'!$G$5:$G$13)))-INDEX('Scratch Data'!$G$5:$G$13,MATCH($A96,'Scratch Data'!$G$5:$G$13,1)),0.0001))),(1+Inputs!$B$19*INDEX(Baseline!$B$3:$B$122,MATCH(MIN(MAX(ROUND((MAX($A96-Inputs!$B$20,30))/5,0)*5,5),600),Baseline!$A$3:$A$122,0))+(1-Inputs!$B$19)*INDEX(Baseline!$C$3:$C$122,MATCH(MIN(MAX(ROUND((MAX($A96-Inputs!$B$20,30))/5,0)*5,5),600),Baseline!$A$3:$A$122,0)))),(1+Inputs!$B$19*INDEX(Baseline!$B$3:$B$122,MATCH(MIN(MAX(ROUND((MAX($A96-Inputs!$B$20,30))/5,0)*5,5),600),Baseline!$A$3:$A$122,0))+(1-Inputs!$B$19)*INDEX(Baseline!$C$3:$C$122,MATCH(MIN(MAX(ROUND((MAX($A96-Inputs!$B$20,30))/5,0)*5,5),600),Baseline!$A$3:$A$122,0)))))</f>
        <v>4.7077664</v>
      </c>
      <c r="C96" s="10" t="n">
        <f aca="false">IF($A96&lt;=50,$B96+Inputs!$B$18,IF($A96&lt;=250,MIN((1+(INDEX('Scratch Data'!$H$5:$H$13,MATCH($A96,'Scratch Data'!$G$5:$G$13,1))+($A96-INDEX('Scratch Data'!$G$5:$G$13,MATCH($A96,'Scratch Data'!$G$5:$G$13,1)))*(INDEX('Scratch Data'!$H$5:$H$13,MIN(MATCH($A96,'Scratch Data'!$G$5:$G$13,1)+1,ROWS('Scratch Data'!$G$5:$G$13)))-INDEX('Scratch Data'!$H$5:$H$13,MATCH($A96,'Scratch Data'!$G$5:$G$13,1)))/MAX(INDEX('Scratch Data'!$G$5:$G$13,MIN(MATCH($A96,'Scratch Data'!$G$5:$G$13,1)+1,ROWS('Scratch Data'!$G$5:$G$13)))-INDEX('Scratch Data'!$G$5:$G$13,MATCH($A96,'Scratch Data'!$G$5:$G$13,1)),0.0001))*Inputs!$B$12*INDEX(Baseline!$I$3:$I$102,MIN(MAX(ROUND(Inputs!$B$11*(INDEX('Scratch Data'!$I$5:$I$13,MATCH($A96,'Scratch Data'!$G$5:$G$13,1))+($A96-INDEX('Scratch Data'!$G$5:$G$13,MATCH($A96,'Scratch Data'!$G$5:$G$13,1)))*(INDEX('Scratch Data'!$I$5:$I$13,MIN(MATCH($A96,'Scratch Data'!$G$5:$G$13,1)+1,ROWS('Scratch Data'!$G$5:$G$13)))-INDEX('Scratch Data'!$I$5:$I$13,MATCH($A96,'Scratch Data'!$G$5:$G$13,1)))/MAX(INDEX('Scratch Data'!$G$5:$G$13,MIN(MATCH($A96,'Scratch Data'!$G$5:$G$13,1)+1,ROWS('Scratch Data'!$G$5:$G$13)))-INDEX('Scratch Data'!$G$5:$G$13,MATCH($A96,'Scratch Data'!$G$5:$G$13,1)),0.0001))*Inputs!$B$13,0),1),100))+(1-(INDEX('Scratch Data'!$H$5:$H$13,MATCH($A96,'Scratch Data'!$G$5:$G$13,1))+($A96-INDEX('Scratch Data'!$G$5:$G$13,MATCH($A96,'Scratch Data'!$G$5:$G$13,1)))*(INDEX('Scratch Data'!$H$5:$H$13,MIN(MATCH($A96,'Scratch Data'!$G$5:$G$13,1)+1,ROWS('Scratch Data'!$G$5:$G$13)))-INDEX('Scratch Data'!$H$5:$H$13,MATCH($A96,'Scratch Data'!$G$5:$G$13,1)))/MAX(INDEX('Scratch Data'!$G$5:$G$13,MIN(MATCH($A96,'Scratch Data'!$G$5:$G$13,1)+1,ROWS('Scratch Data'!$G$5:$G$13)))-INDEX('Scratch Data'!$G$5:$G$13,MATCH($A96,'Scratch Data'!$G$5:$G$13,1)),0.0001))*Inputs!$B$12)*((INDEX('Scratch Data'!$J$5:$J$13,MATCH($A96,'Scratch Data'!$G$5:$G$13,1))+($A96-INDEX('Scratch Data'!$G$5:$G$13,MATCH($A96,'Scratch Data'!$G$5:$G$13,1)))*(INDEX('Scratch Data'!$J$5:$J$13,MIN(MATCH($A96,'Scratch Data'!$G$5:$G$13,1)+1,ROWS('Scratch Data'!$G$5:$G$13)))-INDEX('Scratch Data'!$J$5:$J$13,MATCH($A96,'Scratch Data'!$G$5:$G$13,1)))/MAX(INDEX('Scratch Data'!$G$5:$G$13,MIN(MATCH($A96,'Scratch Data'!$G$5:$G$13,1)+1,ROWS('Scratch Data'!$G$5:$G$13)))-INDEX('Scratch Data'!$G$5:$G$13,MATCH($A96,'Scratch Data'!$G$5:$G$13,1)),0.0001))+Inputs!$B$14)),(1+Inputs!$B$19*INDEX(Baseline!$B$3:$B$122,MATCH(MIN(MAX(ROUND((MAX($A96-Inputs!$B$21,30))/5,0)*5,5),600),Baseline!$A$3:$A$122,0))+(1-Inputs!$B$19)*INDEX(Baseline!$C$3:$C$122,MATCH(MIN(MAX(ROUND((MAX($A96-Inputs!$B$21,30))/5,0)*5,5),600),Baseline!$A$3:$A$122,0))+Inputs!$B$14)),(1+Inputs!$B$19*INDEX(Baseline!$B$3:$B$122,MATCH(MIN(MAX(ROUND((MAX($A96-Inputs!$B$21,30))/5,0)*5,5),600),Baseline!$A$3:$A$122,0))+(1-Inputs!$B$19)*INDEX(Baseline!$C$3:$C$122,MATCH(MIN(MAX(ROUND((MAX($A96-Inputs!$B$21,30))/5,0)*5,5),600),Baseline!$A$3:$A$122,0))+Inputs!$B$14)))</f>
        <v>5.0877265104</v>
      </c>
      <c r="D96" s="10" t="n">
        <f aca="false">IF($A96&lt;=50,(INDEX('Scratch Data'!$P$5:$P$11,MATCH($A96,'Scratch Data'!$O$5:$O$11,1))+($A96-INDEX('Scratch Data'!$O$5:$O$11,MATCH($A96,'Scratch Data'!$O$5:$O$11,1)))*(INDEX('Scratch Data'!$P$5:$P$11,MIN(MATCH($A96,'Scratch Data'!$O$5:$O$11,1)+1,ROWS('Scratch Data'!$O$5:$O$11)))-INDEX('Scratch Data'!$P$5:$P$11,MATCH($A96,'Scratch Data'!$O$5:$O$11,1)))/MAX(INDEX('Scratch Data'!$O$5:$O$11,MIN(MATCH($A96,'Scratch Data'!$O$5:$O$11,1)+1,ROWS('Scratch Data'!$O$5:$O$11)))-INDEX('Scratch Data'!$O$5:$O$11,MATCH($A96,'Scratch Data'!$O$5:$O$11,1)),0.0001)),IF($A96&lt;=250,MIN((1+(INDEX('Scratch Data'!$H$5:$H$13,MATCH($A96,'Scratch Data'!$G$5:$G$13,1))+($A96-INDEX('Scratch Data'!$G$5:$G$13,MATCH($A96,'Scratch Data'!$G$5:$G$13,1)))*(INDEX('Scratch Data'!$H$5:$H$13,MIN(MATCH($A96,'Scratch Data'!$G$5:$G$13,1)+1,ROWS('Scratch Data'!$G$5:$G$13)))-INDEX('Scratch Data'!$H$5:$H$13,MATCH($A96,'Scratch Data'!$G$5:$G$13,1)))/MAX(INDEX('Scratch Data'!$G$5:$G$13,MIN(MATCH($A96,'Scratch Data'!$G$5:$G$13,1)+1,ROWS('Scratch Data'!$G$5:$G$13)))-INDEX('Scratch Data'!$G$5:$G$13,MATCH($A96,'Scratch Data'!$G$5:$G$13,1)),0.0001))*Inputs!$B$15*INDEX(Baseline!$I$3:$I$102,MIN(MAX(ROUND(Inputs!$B$11*(INDEX('Scratch Data'!$I$5:$I$13,MATCH($A96,'Scratch Data'!$G$5:$G$13,1))+($A96-INDEX('Scratch Data'!$G$5:$G$13,MATCH($A96,'Scratch Data'!$G$5:$G$13,1)))*(INDEX('Scratch Data'!$I$5:$I$13,MIN(MATCH($A96,'Scratch Data'!$G$5:$G$13,1)+1,ROWS('Scratch Data'!$G$5:$G$13)))-INDEX('Scratch Data'!$I$5:$I$13,MATCH($A96,'Scratch Data'!$G$5:$G$13,1)))/MAX(INDEX('Scratch Data'!$G$5:$G$13,MIN(MATCH($A96,'Scratch Data'!$G$5:$G$13,1)+1,ROWS('Scratch Data'!$G$5:$G$13)))-INDEX('Scratch Data'!$G$5:$G$13,MATCH($A96,'Scratch Data'!$G$5:$G$13,1)),0.0001))*Inputs!$B$16,0),1),100))+(1-(INDEX('Scratch Data'!$H$5:$H$13,MATCH($A96,'Scratch Data'!$G$5:$G$13,1))+($A96-INDEX('Scratch Data'!$G$5:$G$13,MATCH($A96,'Scratch Data'!$G$5:$G$13,1)))*(INDEX('Scratch Data'!$H$5:$H$13,MIN(MATCH($A96,'Scratch Data'!$G$5:$G$13,1)+1,ROWS('Scratch Data'!$G$5:$G$13)))-INDEX('Scratch Data'!$H$5:$H$13,MATCH($A96,'Scratch Data'!$G$5:$G$13,1)))/MAX(INDEX('Scratch Data'!$G$5:$G$13,MIN(MATCH($A96,'Scratch Data'!$G$5:$G$13,1)+1,ROWS('Scratch Data'!$G$5:$G$13)))-INDEX('Scratch Data'!$G$5:$G$13,MATCH($A96,'Scratch Data'!$G$5:$G$13,1)),0.0001))*Inputs!$B$15)*((INDEX('Scratch Data'!$J$5:$J$13,MATCH($A96,'Scratch Data'!$G$5:$G$13,1))+($A96-INDEX('Scratch Data'!$G$5:$G$13,MATCH($A96,'Scratch Data'!$G$5:$G$13,1)))*(INDEX('Scratch Data'!$J$5:$J$13,MIN(MATCH($A96,'Scratch Data'!$G$5:$G$13,1)+1,ROWS('Scratch Data'!$G$5:$G$13)))-INDEX('Scratch Data'!$J$5:$J$13,MATCH($A96,'Scratch Data'!$G$5:$G$13,1)))/MAX(INDEX('Scratch Data'!$G$5:$G$13,MIN(MATCH($A96,'Scratch Data'!$G$5:$G$13,1)+1,ROWS('Scratch Data'!$G$5:$G$13)))-INDEX('Scratch Data'!$G$5:$G$13,MATCH($A96,'Scratch Data'!$G$5:$G$13,1)),0.0001))+Inputs!$B$17)),(1+Inputs!$B$19*INDEX(Baseline!$B$3:$B$122,MATCH(MIN(MAX(ROUND((MAX($A96-Inputs!$B$22,30))/5,0)*5,5),600),Baseline!$A$3:$A$122,0))+(1-Inputs!$B$19)*INDEX(Baseline!$C$3:$C$122,MATCH(MIN(MAX(ROUND((MAX($A96-Inputs!$B$22,30))/5,0)*5,5),600),Baseline!$A$3:$A$122,0))+Inputs!$B$17)),(1+Inputs!$B$19*INDEX(Baseline!$B$3:$B$122,MATCH(MIN(MAX(ROUND((MAX($A96-Inputs!$B$22,30))/5,0)*5,5),600),Baseline!$A$3:$A$122,0))+(1-Inputs!$B$19)*INDEX(Baseline!$C$3:$C$122,MATCH(MIN(MAX(ROUND((MAX($A96-Inputs!$B$22,30))/5,0)*5,5),600),Baseline!$A$3:$A$122,0))+Inputs!$B$17)))</f>
        <v>5.2616548096</v>
      </c>
      <c r="E96" s="10" t="n">
        <f aca="false">1+Inputs!$B$24+0.6*INDEX(Baseline!$B$3:$B$122,MATCH(MIN(MAX(ROUND((MAX($A96-Inputs!$B$23,15))/5,0)*5,5),600),Baseline!$A$3:$A$122,0))+0.4*INDEX(Baseline!$C$3:$C$122,MATCH(MIN(MAX(ROUND((MAX($A96-Inputs!$B$23,15))/5,0)*5,5),600),Baseline!$A$3:$A$122,0))</f>
        <v>5.4752938352</v>
      </c>
      <c r="H96" s="7" t="n">
        <v>94</v>
      </c>
      <c r="I96" s="10" t="n">
        <f aca="false">(INDEX('Scratch Data'!$E$5:$E$22,MATCH($H96,'Scratch Data'!$A$5:$A$22,1))+($H96-INDEX('Scratch Data'!$A$5:$A$22,MATCH($H96,'Scratch Data'!$A$5:$A$22,1)))*(INDEX('Scratch Data'!$E$5:$E$22,MIN(MATCH($H96,'Scratch Data'!$A$5:$A$22,1)+1,ROWS('Scratch Data'!$A$5:$A$22)))-INDEX('Scratch Data'!$E$5:$E$22,MATCH($H96,'Scratch Data'!$A$5:$A$22,1)))/MAX(INDEX('Scratch Data'!$A$5:$A$22,MIN(MATCH($H96,'Scratch Data'!$A$5:$A$22,1)+1,ROWS('Scratch Data'!$A$5:$A$22)))-INDEX('Scratch Data'!$A$5:$A$22,MATCH($H96,'Scratch Data'!$A$5:$A$22,1)),0.0001))</f>
        <v>2.5315</v>
      </c>
    </row>
    <row r="97" customFormat="false" ht="15" hidden="false" customHeight="false" outlineLevel="0" collapsed="false">
      <c r="A97" s="7" t="n">
        <v>475</v>
      </c>
      <c r="B97" s="10" t="n">
        <f aca="false">IF($A97&lt;=50,(INDEX('Scratch Data'!$M$5:$M$12,MATCH($A97,'Scratch Data'!$L$5:$L$12,1))+($A97-INDEX('Scratch Data'!$L$5:$L$12,MATCH($A97,'Scratch Data'!$L$5:$L$12,1)))*(INDEX('Scratch Data'!$M$5:$M$12,MIN(MATCH($A97,'Scratch Data'!$L$5:$L$12,1)+1,ROWS('Scratch Data'!$L$5:$L$12)))-INDEX('Scratch Data'!$M$5:$M$12,MATCH($A97,'Scratch Data'!$L$5:$L$12,1)))/MAX(INDEX('Scratch Data'!$L$5:$L$12,MIN(MATCH($A97,'Scratch Data'!$L$5:$L$12,1)+1,ROWS('Scratch Data'!$L$5:$L$12)))-INDEX('Scratch Data'!$L$5:$L$12,MATCH($A97,'Scratch Data'!$L$5:$L$12,1)),0.0001)),IF($A97&lt;=250,MIN((1+(INDEX('Scratch Data'!$H$5:$H$13,MATCH($A97,'Scratch Data'!$G$5:$G$13,1))+($A97-INDEX('Scratch Data'!$G$5:$G$13,MATCH($A97,'Scratch Data'!$G$5:$G$13,1)))*(INDEX('Scratch Data'!$H$5:$H$13,MIN(MATCH($A97,'Scratch Data'!$G$5:$G$13,1)+1,ROWS('Scratch Data'!$G$5:$G$13)))-INDEX('Scratch Data'!$H$5:$H$13,MATCH($A97,'Scratch Data'!$G$5:$G$13,1)))/MAX(INDEX('Scratch Data'!$G$5:$G$13,MIN(MATCH($A97,'Scratch Data'!$G$5:$G$13,1)+1,ROWS('Scratch Data'!$G$5:$G$13)))-INDEX('Scratch Data'!$G$5:$G$13,MATCH($A97,'Scratch Data'!$G$5:$G$13,1)),0.0001))*INDEX(Baseline!$I$3:$I$102,MIN(MAX(ROUND(Inputs!$B$11*(INDEX('Scratch Data'!$I$5:$I$13,MATCH($A97,'Scratch Data'!$G$5:$G$13,1))+($A97-INDEX('Scratch Data'!$G$5:$G$13,MATCH($A97,'Scratch Data'!$G$5:$G$13,1)))*(INDEX('Scratch Data'!$I$5:$I$13,MIN(MATCH($A97,'Scratch Data'!$G$5:$G$13,1)+1,ROWS('Scratch Data'!$G$5:$G$13)))-INDEX('Scratch Data'!$I$5:$I$13,MATCH($A97,'Scratch Data'!$G$5:$G$13,1)))/MAX(INDEX('Scratch Data'!$G$5:$G$13,MIN(MATCH($A97,'Scratch Data'!$G$5:$G$13,1)+1,ROWS('Scratch Data'!$G$5:$G$13)))-INDEX('Scratch Data'!$G$5:$G$13,MATCH($A97,'Scratch Data'!$G$5:$G$13,1)),0.0001)),0),1),100))+(1-(INDEX('Scratch Data'!$H$5:$H$13,MATCH($A97,'Scratch Data'!$G$5:$G$13,1))+($A97-INDEX('Scratch Data'!$G$5:$G$13,MATCH($A97,'Scratch Data'!$G$5:$G$13,1)))*(INDEX('Scratch Data'!$H$5:$H$13,MIN(MATCH($A97,'Scratch Data'!$G$5:$G$13,1)+1,ROWS('Scratch Data'!$G$5:$G$13)))-INDEX('Scratch Data'!$H$5:$H$13,MATCH($A97,'Scratch Data'!$G$5:$G$13,1)))/MAX(INDEX('Scratch Data'!$G$5:$G$13,MIN(MATCH($A97,'Scratch Data'!$G$5:$G$13,1)+1,ROWS('Scratch Data'!$G$5:$G$13)))-INDEX('Scratch Data'!$G$5:$G$13,MATCH($A97,'Scratch Data'!$G$5:$G$13,1)),0.0001)))*(INDEX('Scratch Data'!$J$5:$J$13,MATCH($A97,'Scratch Data'!$G$5:$G$13,1))+($A97-INDEX('Scratch Data'!$G$5:$G$13,MATCH($A97,'Scratch Data'!$G$5:$G$13,1)))*(INDEX('Scratch Data'!$J$5:$J$13,MIN(MATCH($A97,'Scratch Data'!$G$5:$G$13,1)+1,ROWS('Scratch Data'!$G$5:$G$13)))-INDEX('Scratch Data'!$J$5:$J$13,MATCH($A97,'Scratch Data'!$G$5:$G$13,1)))/MAX(INDEX('Scratch Data'!$G$5:$G$13,MIN(MATCH($A97,'Scratch Data'!$G$5:$G$13,1)+1,ROWS('Scratch Data'!$G$5:$G$13)))-INDEX('Scratch Data'!$G$5:$G$13,MATCH($A97,'Scratch Data'!$G$5:$G$13,1)),0.0001))),(1+Inputs!$B$19*INDEX(Baseline!$B$3:$B$122,MATCH(MIN(MAX(ROUND((MAX($A97-Inputs!$B$20,30))/5,0)*5,5),600),Baseline!$A$3:$A$122,0))+(1-Inputs!$B$19)*INDEX(Baseline!$C$3:$C$122,MATCH(MIN(MAX(ROUND((MAX($A97-Inputs!$B$20,30))/5,0)*5,5),600),Baseline!$A$3:$A$122,0)))),(1+Inputs!$B$19*INDEX(Baseline!$B$3:$B$122,MATCH(MIN(MAX(ROUND((MAX($A97-Inputs!$B$20,30))/5,0)*5,5),600),Baseline!$A$3:$A$122,0))+(1-Inputs!$B$19)*INDEX(Baseline!$C$3:$C$122,MATCH(MIN(MAX(ROUND((MAX($A97-Inputs!$B$20,30))/5,0)*5,5),600),Baseline!$A$3:$A$122,0)))))</f>
        <v>4.79325718</v>
      </c>
      <c r="C97" s="10" t="n">
        <f aca="false">IF($A97&lt;=50,$B97+Inputs!$B$18,IF($A97&lt;=250,MIN((1+(INDEX('Scratch Data'!$H$5:$H$13,MATCH($A97,'Scratch Data'!$G$5:$G$13,1))+($A97-INDEX('Scratch Data'!$G$5:$G$13,MATCH($A97,'Scratch Data'!$G$5:$G$13,1)))*(INDEX('Scratch Data'!$H$5:$H$13,MIN(MATCH($A97,'Scratch Data'!$G$5:$G$13,1)+1,ROWS('Scratch Data'!$G$5:$G$13)))-INDEX('Scratch Data'!$H$5:$H$13,MATCH($A97,'Scratch Data'!$G$5:$G$13,1)))/MAX(INDEX('Scratch Data'!$G$5:$G$13,MIN(MATCH($A97,'Scratch Data'!$G$5:$G$13,1)+1,ROWS('Scratch Data'!$G$5:$G$13)))-INDEX('Scratch Data'!$G$5:$G$13,MATCH($A97,'Scratch Data'!$G$5:$G$13,1)),0.0001))*Inputs!$B$12*INDEX(Baseline!$I$3:$I$102,MIN(MAX(ROUND(Inputs!$B$11*(INDEX('Scratch Data'!$I$5:$I$13,MATCH($A97,'Scratch Data'!$G$5:$G$13,1))+($A97-INDEX('Scratch Data'!$G$5:$G$13,MATCH($A97,'Scratch Data'!$G$5:$G$13,1)))*(INDEX('Scratch Data'!$I$5:$I$13,MIN(MATCH($A97,'Scratch Data'!$G$5:$G$13,1)+1,ROWS('Scratch Data'!$G$5:$G$13)))-INDEX('Scratch Data'!$I$5:$I$13,MATCH($A97,'Scratch Data'!$G$5:$G$13,1)))/MAX(INDEX('Scratch Data'!$G$5:$G$13,MIN(MATCH($A97,'Scratch Data'!$G$5:$G$13,1)+1,ROWS('Scratch Data'!$G$5:$G$13)))-INDEX('Scratch Data'!$G$5:$G$13,MATCH($A97,'Scratch Data'!$G$5:$G$13,1)),0.0001))*Inputs!$B$13,0),1),100))+(1-(INDEX('Scratch Data'!$H$5:$H$13,MATCH($A97,'Scratch Data'!$G$5:$G$13,1))+($A97-INDEX('Scratch Data'!$G$5:$G$13,MATCH($A97,'Scratch Data'!$G$5:$G$13,1)))*(INDEX('Scratch Data'!$H$5:$H$13,MIN(MATCH($A97,'Scratch Data'!$G$5:$G$13,1)+1,ROWS('Scratch Data'!$G$5:$G$13)))-INDEX('Scratch Data'!$H$5:$H$13,MATCH($A97,'Scratch Data'!$G$5:$G$13,1)))/MAX(INDEX('Scratch Data'!$G$5:$G$13,MIN(MATCH($A97,'Scratch Data'!$G$5:$G$13,1)+1,ROWS('Scratch Data'!$G$5:$G$13)))-INDEX('Scratch Data'!$G$5:$G$13,MATCH($A97,'Scratch Data'!$G$5:$G$13,1)),0.0001))*Inputs!$B$12)*((INDEX('Scratch Data'!$J$5:$J$13,MATCH($A97,'Scratch Data'!$G$5:$G$13,1))+($A97-INDEX('Scratch Data'!$G$5:$G$13,MATCH($A97,'Scratch Data'!$G$5:$G$13,1)))*(INDEX('Scratch Data'!$J$5:$J$13,MIN(MATCH($A97,'Scratch Data'!$G$5:$G$13,1)+1,ROWS('Scratch Data'!$G$5:$G$13)))-INDEX('Scratch Data'!$J$5:$J$13,MATCH($A97,'Scratch Data'!$G$5:$G$13,1)))/MAX(INDEX('Scratch Data'!$G$5:$G$13,MIN(MATCH($A97,'Scratch Data'!$G$5:$G$13,1)+1,ROWS('Scratch Data'!$G$5:$G$13)))-INDEX('Scratch Data'!$G$5:$G$13,MATCH($A97,'Scratch Data'!$G$5:$G$13,1)),0.0001))+Inputs!$B$14)),(1+Inputs!$B$19*INDEX(Baseline!$B$3:$B$122,MATCH(MIN(MAX(ROUND((MAX($A97-Inputs!$B$21,30))/5,0)*5,5),600),Baseline!$A$3:$A$122,0))+(1-Inputs!$B$19)*INDEX(Baseline!$C$3:$C$122,MATCH(MIN(MAX(ROUND((MAX($A97-Inputs!$B$21,30))/5,0)*5,5),600),Baseline!$A$3:$A$122,0))+Inputs!$B$14)),(1+Inputs!$B$19*INDEX(Baseline!$B$3:$B$122,MATCH(MIN(MAX(ROUND((MAX($A97-Inputs!$B$21,30))/5,0)*5,5),600),Baseline!$A$3:$A$122,0))+(1-Inputs!$B$19)*INDEX(Baseline!$C$3:$C$122,MATCH(MIN(MAX(ROUND((MAX($A97-Inputs!$B$21,30))/5,0)*5,5),600),Baseline!$A$3:$A$122,0))+Inputs!$B$14)))</f>
        <v>5.1017724968</v>
      </c>
      <c r="D97" s="10" t="n">
        <f aca="false">IF($A97&lt;=50,(INDEX('Scratch Data'!$P$5:$P$11,MATCH($A97,'Scratch Data'!$O$5:$O$11,1))+($A97-INDEX('Scratch Data'!$O$5:$O$11,MATCH($A97,'Scratch Data'!$O$5:$O$11,1)))*(INDEX('Scratch Data'!$P$5:$P$11,MIN(MATCH($A97,'Scratch Data'!$O$5:$O$11,1)+1,ROWS('Scratch Data'!$O$5:$O$11)))-INDEX('Scratch Data'!$P$5:$P$11,MATCH($A97,'Scratch Data'!$O$5:$O$11,1)))/MAX(INDEX('Scratch Data'!$O$5:$O$11,MIN(MATCH($A97,'Scratch Data'!$O$5:$O$11,1)+1,ROWS('Scratch Data'!$O$5:$O$11)))-INDEX('Scratch Data'!$O$5:$O$11,MATCH($A97,'Scratch Data'!$O$5:$O$11,1)),0.0001)),IF($A97&lt;=250,MIN((1+(INDEX('Scratch Data'!$H$5:$H$13,MATCH($A97,'Scratch Data'!$G$5:$G$13,1))+($A97-INDEX('Scratch Data'!$G$5:$G$13,MATCH($A97,'Scratch Data'!$G$5:$G$13,1)))*(INDEX('Scratch Data'!$H$5:$H$13,MIN(MATCH($A97,'Scratch Data'!$G$5:$G$13,1)+1,ROWS('Scratch Data'!$G$5:$G$13)))-INDEX('Scratch Data'!$H$5:$H$13,MATCH($A97,'Scratch Data'!$G$5:$G$13,1)))/MAX(INDEX('Scratch Data'!$G$5:$G$13,MIN(MATCH($A97,'Scratch Data'!$G$5:$G$13,1)+1,ROWS('Scratch Data'!$G$5:$G$13)))-INDEX('Scratch Data'!$G$5:$G$13,MATCH($A97,'Scratch Data'!$G$5:$G$13,1)),0.0001))*Inputs!$B$15*INDEX(Baseline!$I$3:$I$102,MIN(MAX(ROUND(Inputs!$B$11*(INDEX('Scratch Data'!$I$5:$I$13,MATCH($A97,'Scratch Data'!$G$5:$G$13,1))+($A97-INDEX('Scratch Data'!$G$5:$G$13,MATCH($A97,'Scratch Data'!$G$5:$G$13,1)))*(INDEX('Scratch Data'!$I$5:$I$13,MIN(MATCH($A97,'Scratch Data'!$G$5:$G$13,1)+1,ROWS('Scratch Data'!$G$5:$G$13)))-INDEX('Scratch Data'!$I$5:$I$13,MATCH($A97,'Scratch Data'!$G$5:$G$13,1)))/MAX(INDEX('Scratch Data'!$G$5:$G$13,MIN(MATCH($A97,'Scratch Data'!$G$5:$G$13,1)+1,ROWS('Scratch Data'!$G$5:$G$13)))-INDEX('Scratch Data'!$G$5:$G$13,MATCH($A97,'Scratch Data'!$G$5:$G$13,1)),0.0001))*Inputs!$B$16,0),1),100))+(1-(INDEX('Scratch Data'!$H$5:$H$13,MATCH($A97,'Scratch Data'!$G$5:$G$13,1))+($A97-INDEX('Scratch Data'!$G$5:$G$13,MATCH($A97,'Scratch Data'!$G$5:$G$13,1)))*(INDEX('Scratch Data'!$H$5:$H$13,MIN(MATCH($A97,'Scratch Data'!$G$5:$G$13,1)+1,ROWS('Scratch Data'!$G$5:$G$13)))-INDEX('Scratch Data'!$H$5:$H$13,MATCH($A97,'Scratch Data'!$G$5:$G$13,1)))/MAX(INDEX('Scratch Data'!$G$5:$G$13,MIN(MATCH($A97,'Scratch Data'!$G$5:$G$13,1)+1,ROWS('Scratch Data'!$G$5:$G$13)))-INDEX('Scratch Data'!$G$5:$G$13,MATCH($A97,'Scratch Data'!$G$5:$G$13,1)),0.0001))*Inputs!$B$15)*((INDEX('Scratch Data'!$J$5:$J$13,MATCH($A97,'Scratch Data'!$G$5:$G$13,1))+($A97-INDEX('Scratch Data'!$G$5:$G$13,MATCH($A97,'Scratch Data'!$G$5:$G$13,1)))*(INDEX('Scratch Data'!$J$5:$J$13,MIN(MATCH($A97,'Scratch Data'!$G$5:$G$13,1)+1,ROWS('Scratch Data'!$G$5:$G$13)))-INDEX('Scratch Data'!$J$5:$J$13,MATCH($A97,'Scratch Data'!$G$5:$G$13,1)))/MAX(INDEX('Scratch Data'!$G$5:$G$13,MIN(MATCH($A97,'Scratch Data'!$G$5:$G$13,1)+1,ROWS('Scratch Data'!$G$5:$G$13)))-INDEX('Scratch Data'!$G$5:$G$13,MATCH($A97,'Scratch Data'!$G$5:$G$13,1)),0.0001))+Inputs!$B$17)),(1+Inputs!$B$19*INDEX(Baseline!$B$3:$B$122,MATCH(MIN(MAX(ROUND((MAX($A97-Inputs!$B$22,30))/5,0)*5,5),600),Baseline!$A$3:$A$122,0))+(1-Inputs!$B$19)*INDEX(Baseline!$C$3:$C$122,MATCH(MIN(MAX(ROUND((MAX($A97-Inputs!$B$22,30))/5,0)*5,5),600),Baseline!$A$3:$A$122,0))+Inputs!$B$17)),(1+Inputs!$B$19*INDEX(Baseline!$B$3:$B$122,MATCH(MIN(MAX(ROUND((MAX($A97-Inputs!$B$22,30))/5,0)*5,5),600),Baseline!$A$3:$A$122,0))+(1-Inputs!$B$19)*INDEX(Baseline!$C$3:$C$122,MATCH(MIN(MAX(ROUND((MAX($A97-Inputs!$B$22,30))/5,0)*5,5),600),Baseline!$A$3:$A$122,0))+Inputs!$B$17)))</f>
        <v>5.28245961653333</v>
      </c>
      <c r="E97" s="10" t="n">
        <f aca="false">1+Inputs!$B$24+0.6*INDEX(Baseline!$B$3:$B$122,MATCH(MIN(MAX(ROUND((MAX($A97-Inputs!$B$23,15))/5,0)*5,5),600),Baseline!$A$3:$A$122,0))+0.4*INDEX(Baseline!$C$3:$C$122,MATCH(MIN(MAX(ROUND((MAX($A97-Inputs!$B$23,15))/5,0)*5,5),600),Baseline!$A$3:$A$122,0))</f>
        <v>5.4989878496</v>
      </c>
      <c r="H97" s="7" t="n">
        <v>95</v>
      </c>
      <c r="I97" s="10" t="n">
        <f aca="false">(INDEX('Scratch Data'!$E$5:$E$22,MATCH($H97,'Scratch Data'!$A$5:$A$22,1))+($H97-INDEX('Scratch Data'!$A$5:$A$22,MATCH($H97,'Scratch Data'!$A$5:$A$22,1)))*(INDEX('Scratch Data'!$E$5:$E$22,MIN(MATCH($H97,'Scratch Data'!$A$5:$A$22,1)+1,ROWS('Scratch Data'!$A$5:$A$22)))-INDEX('Scratch Data'!$E$5:$E$22,MATCH($H97,'Scratch Data'!$A$5:$A$22,1)))/MAX(INDEX('Scratch Data'!$A$5:$A$22,MIN(MATCH($H97,'Scratch Data'!$A$5:$A$22,1)+1,ROWS('Scratch Data'!$A$5:$A$22)))-INDEX('Scratch Data'!$A$5:$A$22,MATCH($H97,'Scratch Data'!$A$5:$A$22,1)),0.0001))</f>
        <v>2.53625</v>
      </c>
    </row>
    <row r="98" customFormat="false" ht="15" hidden="false" customHeight="false" outlineLevel="0" collapsed="false">
      <c r="A98" s="7" t="n">
        <v>480</v>
      </c>
      <c r="B98" s="10" t="n">
        <f aca="false">IF($A98&lt;=50,(INDEX('Scratch Data'!$M$5:$M$12,MATCH($A98,'Scratch Data'!$L$5:$L$12,1))+($A98-INDEX('Scratch Data'!$L$5:$L$12,MATCH($A98,'Scratch Data'!$L$5:$L$12,1)))*(INDEX('Scratch Data'!$M$5:$M$12,MIN(MATCH($A98,'Scratch Data'!$L$5:$L$12,1)+1,ROWS('Scratch Data'!$L$5:$L$12)))-INDEX('Scratch Data'!$M$5:$M$12,MATCH($A98,'Scratch Data'!$L$5:$L$12,1)))/MAX(INDEX('Scratch Data'!$L$5:$L$12,MIN(MATCH($A98,'Scratch Data'!$L$5:$L$12,1)+1,ROWS('Scratch Data'!$L$5:$L$12)))-INDEX('Scratch Data'!$L$5:$L$12,MATCH($A98,'Scratch Data'!$L$5:$L$12,1)),0.0001)),IF($A98&lt;=250,MIN((1+(INDEX('Scratch Data'!$H$5:$H$13,MATCH($A98,'Scratch Data'!$G$5:$G$13,1))+($A98-INDEX('Scratch Data'!$G$5:$G$13,MATCH($A98,'Scratch Data'!$G$5:$G$13,1)))*(INDEX('Scratch Data'!$H$5:$H$13,MIN(MATCH($A98,'Scratch Data'!$G$5:$G$13,1)+1,ROWS('Scratch Data'!$G$5:$G$13)))-INDEX('Scratch Data'!$H$5:$H$13,MATCH($A98,'Scratch Data'!$G$5:$G$13,1)))/MAX(INDEX('Scratch Data'!$G$5:$G$13,MIN(MATCH($A98,'Scratch Data'!$G$5:$G$13,1)+1,ROWS('Scratch Data'!$G$5:$G$13)))-INDEX('Scratch Data'!$G$5:$G$13,MATCH($A98,'Scratch Data'!$G$5:$G$13,1)),0.0001))*INDEX(Baseline!$I$3:$I$102,MIN(MAX(ROUND(Inputs!$B$11*(INDEX('Scratch Data'!$I$5:$I$13,MATCH($A98,'Scratch Data'!$G$5:$G$13,1))+($A98-INDEX('Scratch Data'!$G$5:$G$13,MATCH($A98,'Scratch Data'!$G$5:$G$13,1)))*(INDEX('Scratch Data'!$I$5:$I$13,MIN(MATCH($A98,'Scratch Data'!$G$5:$G$13,1)+1,ROWS('Scratch Data'!$G$5:$G$13)))-INDEX('Scratch Data'!$I$5:$I$13,MATCH($A98,'Scratch Data'!$G$5:$G$13,1)))/MAX(INDEX('Scratch Data'!$G$5:$G$13,MIN(MATCH($A98,'Scratch Data'!$G$5:$G$13,1)+1,ROWS('Scratch Data'!$G$5:$G$13)))-INDEX('Scratch Data'!$G$5:$G$13,MATCH($A98,'Scratch Data'!$G$5:$G$13,1)),0.0001)),0),1),100))+(1-(INDEX('Scratch Data'!$H$5:$H$13,MATCH($A98,'Scratch Data'!$G$5:$G$13,1))+($A98-INDEX('Scratch Data'!$G$5:$G$13,MATCH($A98,'Scratch Data'!$G$5:$G$13,1)))*(INDEX('Scratch Data'!$H$5:$H$13,MIN(MATCH($A98,'Scratch Data'!$G$5:$G$13,1)+1,ROWS('Scratch Data'!$G$5:$G$13)))-INDEX('Scratch Data'!$H$5:$H$13,MATCH($A98,'Scratch Data'!$G$5:$G$13,1)))/MAX(INDEX('Scratch Data'!$G$5:$G$13,MIN(MATCH($A98,'Scratch Data'!$G$5:$G$13,1)+1,ROWS('Scratch Data'!$G$5:$G$13)))-INDEX('Scratch Data'!$G$5:$G$13,MATCH($A98,'Scratch Data'!$G$5:$G$13,1)),0.0001)))*(INDEX('Scratch Data'!$J$5:$J$13,MATCH($A98,'Scratch Data'!$G$5:$G$13,1))+($A98-INDEX('Scratch Data'!$G$5:$G$13,MATCH($A98,'Scratch Data'!$G$5:$G$13,1)))*(INDEX('Scratch Data'!$J$5:$J$13,MIN(MATCH($A98,'Scratch Data'!$G$5:$G$13,1)+1,ROWS('Scratch Data'!$G$5:$G$13)))-INDEX('Scratch Data'!$J$5:$J$13,MATCH($A98,'Scratch Data'!$G$5:$G$13,1)))/MAX(INDEX('Scratch Data'!$G$5:$G$13,MIN(MATCH($A98,'Scratch Data'!$G$5:$G$13,1)+1,ROWS('Scratch Data'!$G$5:$G$13)))-INDEX('Scratch Data'!$G$5:$G$13,MATCH($A98,'Scratch Data'!$G$5:$G$13,1)),0.0001))),(1+Inputs!$B$19*INDEX(Baseline!$B$3:$B$122,MATCH(MIN(MAX(ROUND((MAX($A98-Inputs!$B$20,30))/5,0)*5,5),600),Baseline!$A$3:$A$122,0))+(1-Inputs!$B$19)*INDEX(Baseline!$C$3:$C$122,MATCH(MIN(MAX(ROUND((MAX($A98-Inputs!$B$20,30))/5,0)*5,5),600),Baseline!$A$3:$A$122,0)))),(1+Inputs!$B$19*INDEX(Baseline!$B$3:$B$122,MATCH(MIN(MAX(ROUND((MAX($A98-Inputs!$B$20,30))/5,0)*5,5),600),Baseline!$A$3:$A$122,0))+(1-Inputs!$B$19)*INDEX(Baseline!$C$3:$C$122,MATCH(MIN(MAX(ROUND((MAX($A98-Inputs!$B$20,30))/5,0)*5,5),600),Baseline!$A$3:$A$122,0)))))</f>
        <v>4.83096792</v>
      </c>
      <c r="C98" s="10" t="n">
        <f aca="false">IF($A98&lt;=50,$B98+Inputs!$B$18,IF($A98&lt;=250,MIN((1+(INDEX('Scratch Data'!$H$5:$H$13,MATCH($A98,'Scratch Data'!$G$5:$G$13,1))+($A98-INDEX('Scratch Data'!$G$5:$G$13,MATCH($A98,'Scratch Data'!$G$5:$G$13,1)))*(INDEX('Scratch Data'!$H$5:$H$13,MIN(MATCH($A98,'Scratch Data'!$G$5:$G$13,1)+1,ROWS('Scratch Data'!$G$5:$G$13)))-INDEX('Scratch Data'!$H$5:$H$13,MATCH($A98,'Scratch Data'!$G$5:$G$13,1)))/MAX(INDEX('Scratch Data'!$G$5:$G$13,MIN(MATCH($A98,'Scratch Data'!$G$5:$G$13,1)+1,ROWS('Scratch Data'!$G$5:$G$13)))-INDEX('Scratch Data'!$G$5:$G$13,MATCH($A98,'Scratch Data'!$G$5:$G$13,1)),0.0001))*Inputs!$B$12*INDEX(Baseline!$I$3:$I$102,MIN(MAX(ROUND(Inputs!$B$11*(INDEX('Scratch Data'!$I$5:$I$13,MATCH($A98,'Scratch Data'!$G$5:$G$13,1))+($A98-INDEX('Scratch Data'!$G$5:$G$13,MATCH($A98,'Scratch Data'!$G$5:$G$13,1)))*(INDEX('Scratch Data'!$I$5:$I$13,MIN(MATCH($A98,'Scratch Data'!$G$5:$G$13,1)+1,ROWS('Scratch Data'!$G$5:$G$13)))-INDEX('Scratch Data'!$I$5:$I$13,MATCH($A98,'Scratch Data'!$G$5:$G$13,1)))/MAX(INDEX('Scratch Data'!$G$5:$G$13,MIN(MATCH($A98,'Scratch Data'!$G$5:$G$13,1)+1,ROWS('Scratch Data'!$G$5:$G$13)))-INDEX('Scratch Data'!$G$5:$G$13,MATCH($A98,'Scratch Data'!$G$5:$G$13,1)),0.0001))*Inputs!$B$13,0),1),100))+(1-(INDEX('Scratch Data'!$H$5:$H$13,MATCH($A98,'Scratch Data'!$G$5:$G$13,1))+($A98-INDEX('Scratch Data'!$G$5:$G$13,MATCH($A98,'Scratch Data'!$G$5:$G$13,1)))*(INDEX('Scratch Data'!$H$5:$H$13,MIN(MATCH($A98,'Scratch Data'!$G$5:$G$13,1)+1,ROWS('Scratch Data'!$G$5:$G$13)))-INDEX('Scratch Data'!$H$5:$H$13,MATCH($A98,'Scratch Data'!$G$5:$G$13,1)))/MAX(INDEX('Scratch Data'!$G$5:$G$13,MIN(MATCH($A98,'Scratch Data'!$G$5:$G$13,1)+1,ROWS('Scratch Data'!$G$5:$G$13)))-INDEX('Scratch Data'!$G$5:$G$13,MATCH($A98,'Scratch Data'!$G$5:$G$13,1)),0.0001))*Inputs!$B$12)*((INDEX('Scratch Data'!$J$5:$J$13,MATCH($A98,'Scratch Data'!$G$5:$G$13,1))+($A98-INDEX('Scratch Data'!$G$5:$G$13,MATCH($A98,'Scratch Data'!$G$5:$G$13,1)))*(INDEX('Scratch Data'!$J$5:$J$13,MIN(MATCH($A98,'Scratch Data'!$G$5:$G$13,1)+1,ROWS('Scratch Data'!$G$5:$G$13)))-INDEX('Scratch Data'!$J$5:$J$13,MATCH($A98,'Scratch Data'!$G$5:$G$13,1)))/MAX(INDEX('Scratch Data'!$G$5:$G$13,MIN(MATCH($A98,'Scratch Data'!$G$5:$G$13,1)+1,ROWS('Scratch Data'!$G$5:$G$13)))-INDEX('Scratch Data'!$G$5:$G$13,MATCH($A98,'Scratch Data'!$G$5:$G$13,1)),0.0001))+Inputs!$B$14)),(1+Inputs!$B$19*INDEX(Baseline!$B$3:$B$122,MATCH(MIN(MAX(ROUND((MAX($A98-Inputs!$B$21,30))/5,0)*5,5),600),Baseline!$A$3:$A$122,0))+(1-Inputs!$B$19)*INDEX(Baseline!$C$3:$C$122,MATCH(MIN(MAX(ROUND((MAX($A98-Inputs!$B$21,30))/5,0)*5,5),600),Baseline!$A$3:$A$122,0))+Inputs!$B$14)),(1+Inputs!$B$19*INDEX(Baseline!$B$3:$B$122,MATCH(MIN(MAX(ROUND((MAX($A98-Inputs!$B$21,30))/5,0)*5,5),600),Baseline!$A$3:$A$122,0))+(1-Inputs!$B$19)*INDEX(Baseline!$C$3:$C$122,MATCH(MIN(MAX(ROUND((MAX($A98-Inputs!$B$21,30))/5,0)*5,5),600),Baseline!$A$3:$A$122,0))+Inputs!$B$14)))</f>
        <v>5.115161936</v>
      </c>
      <c r="D98" s="10" t="n">
        <f aca="false">IF($A98&lt;=50,(INDEX('Scratch Data'!$P$5:$P$11,MATCH($A98,'Scratch Data'!$O$5:$O$11,1))+($A98-INDEX('Scratch Data'!$O$5:$O$11,MATCH($A98,'Scratch Data'!$O$5:$O$11,1)))*(INDEX('Scratch Data'!$P$5:$P$11,MIN(MATCH($A98,'Scratch Data'!$O$5:$O$11,1)+1,ROWS('Scratch Data'!$O$5:$O$11)))-INDEX('Scratch Data'!$P$5:$P$11,MATCH($A98,'Scratch Data'!$O$5:$O$11,1)))/MAX(INDEX('Scratch Data'!$O$5:$O$11,MIN(MATCH($A98,'Scratch Data'!$O$5:$O$11,1)+1,ROWS('Scratch Data'!$O$5:$O$11)))-INDEX('Scratch Data'!$O$5:$O$11,MATCH($A98,'Scratch Data'!$O$5:$O$11,1)),0.0001)),IF($A98&lt;=250,MIN((1+(INDEX('Scratch Data'!$H$5:$H$13,MATCH($A98,'Scratch Data'!$G$5:$G$13,1))+($A98-INDEX('Scratch Data'!$G$5:$G$13,MATCH($A98,'Scratch Data'!$G$5:$G$13,1)))*(INDEX('Scratch Data'!$H$5:$H$13,MIN(MATCH($A98,'Scratch Data'!$G$5:$G$13,1)+1,ROWS('Scratch Data'!$G$5:$G$13)))-INDEX('Scratch Data'!$H$5:$H$13,MATCH($A98,'Scratch Data'!$G$5:$G$13,1)))/MAX(INDEX('Scratch Data'!$G$5:$G$13,MIN(MATCH($A98,'Scratch Data'!$G$5:$G$13,1)+1,ROWS('Scratch Data'!$G$5:$G$13)))-INDEX('Scratch Data'!$G$5:$G$13,MATCH($A98,'Scratch Data'!$G$5:$G$13,1)),0.0001))*Inputs!$B$15*INDEX(Baseline!$I$3:$I$102,MIN(MAX(ROUND(Inputs!$B$11*(INDEX('Scratch Data'!$I$5:$I$13,MATCH($A98,'Scratch Data'!$G$5:$G$13,1))+($A98-INDEX('Scratch Data'!$G$5:$G$13,MATCH($A98,'Scratch Data'!$G$5:$G$13,1)))*(INDEX('Scratch Data'!$I$5:$I$13,MIN(MATCH($A98,'Scratch Data'!$G$5:$G$13,1)+1,ROWS('Scratch Data'!$G$5:$G$13)))-INDEX('Scratch Data'!$I$5:$I$13,MATCH($A98,'Scratch Data'!$G$5:$G$13,1)))/MAX(INDEX('Scratch Data'!$G$5:$G$13,MIN(MATCH($A98,'Scratch Data'!$G$5:$G$13,1)+1,ROWS('Scratch Data'!$G$5:$G$13)))-INDEX('Scratch Data'!$G$5:$G$13,MATCH($A98,'Scratch Data'!$G$5:$G$13,1)),0.0001))*Inputs!$B$16,0),1),100))+(1-(INDEX('Scratch Data'!$H$5:$H$13,MATCH($A98,'Scratch Data'!$G$5:$G$13,1))+($A98-INDEX('Scratch Data'!$G$5:$G$13,MATCH($A98,'Scratch Data'!$G$5:$G$13,1)))*(INDEX('Scratch Data'!$H$5:$H$13,MIN(MATCH($A98,'Scratch Data'!$G$5:$G$13,1)+1,ROWS('Scratch Data'!$G$5:$G$13)))-INDEX('Scratch Data'!$H$5:$H$13,MATCH($A98,'Scratch Data'!$G$5:$G$13,1)))/MAX(INDEX('Scratch Data'!$G$5:$G$13,MIN(MATCH($A98,'Scratch Data'!$G$5:$G$13,1)+1,ROWS('Scratch Data'!$G$5:$G$13)))-INDEX('Scratch Data'!$G$5:$G$13,MATCH($A98,'Scratch Data'!$G$5:$G$13,1)),0.0001))*Inputs!$B$15)*((INDEX('Scratch Data'!$J$5:$J$13,MATCH($A98,'Scratch Data'!$G$5:$G$13,1))+($A98-INDEX('Scratch Data'!$G$5:$G$13,MATCH($A98,'Scratch Data'!$G$5:$G$13,1)))*(INDEX('Scratch Data'!$J$5:$J$13,MIN(MATCH($A98,'Scratch Data'!$G$5:$G$13,1)+1,ROWS('Scratch Data'!$G$5:$G$13)))-INDEX('Scratch Data'!$J$5:$J$13,MATCH($A98,'Scratch Data'!$G$5:$G$13,1)))/MAX(INDEX('Scratch Data'!$G$5:$G$13,MIN(MATCH($A98,'Scratch Data'!$G$5:$G$13,1)+1,ROWS('Scratch Data'!$G$5:$G$13)))-INDEX('Scratch Data'!$G$5:$G$13,MATCH($A98,'Scratch Data'!$G$5:$G$13,1)),0.0001))+Inputs!$B$17)),(1+Inputs!$B$19*INDEX(Baseline!$B$3:$B$122,MATCH(MIN(MAX(ROUND((MAX($A98-Inputs!$B$22,30))/5,0)*5,5),600),Baseline!$A$3:$A$122,0))+(1-Inputs!$B$19)*INDEX(Baseline!$C$3:$C$122,MATCH(MIN(MAX(ROUND((MAX($A98-Inputs!$B$22,30))/5,0)*5,5),600),Baseline!$A$3:$A$122,0))+Inputs!$B$17)),(1+Inputs!$B$19*INDEX(Baseline!$B$3:$B$122,MATCH(MIN(MAX(ROUND((MAX($A98-Inputs!$B$22,30))/5,0)*5,5),600),Baseline!$A$3:$A$122,0))+(1-Inputs!$B$19)*INDEX(Baseline!$C$3:$C$122,MATCH(MIN(MAX(ROUND((MAX($A98-Inputs!$B$22,30))/5,0)*5,5),600),Baseline!$A$3:$A$122,0))+Inputs!$B$17)))</f>
        <v>5.3091123744</v>
      </c>
      <c r="E98" s="10" t="n">
        <f aca="false">1+Inputs!$B$24+0.6*INDEX(Baseline!$B$3:$B$122,MATCH(MIN(MAX(ROUND((MAX($A98-Inputs!$B$23,15))/5,0)*5,5),600),Baseline!$A$3:$A$122,0))+0.4*INDEX(Baseline!$C$3:$C$122,MATCH(MIN(MAX(ROUND((MAX($A98-Inputs!$B$23,15))/5,0)*5,5),600),Baseline!$A$3:$A$122,0))</f>
        <v>5.5225902992</v>
      </c>
      <c r="H98" s="7" t="n">
        <v>96</v>
      </c>
      <c r="I98" s="10" t="n">
        <f aca="false">(INDEX('Scratch Data'!$E$5:$E$22,MATCH($H98,'Scratch Data'!$A$5:$A$22,1))+($H98-INDEX('Scratch Data'!$A$5:$A$22,MATCH($H98,'Scratch Data'!$A$5:$A$22,1)))*(INDEX('Scratch Data'!$E$5:$E$22,MIN(MATCH($H98,'Scratch Data'!$A$5:$A$22,1)+1,ROWS('Scratch Data'!$A$5:$A$22)))-INDEX('Scratch Data'!$E$5:$E$22,MATCH($H98,'Scratch Data'!$A$5:$A$22,1)))/MAX(INDEX('Scratch Data'!$A$5:$A$22,MIN(MATCH($H98,'Scratch Data'!$A$5:$A$22,1)+1,ROWS('Scratch Data'!$A$5:$A$22)))-INDEX('Scratch Data'!$A$5:$A$22,MATCH($H98,'Scratch Data'!$A$5:$A$22,1)),0.0001))</f>
        <v>2.541</v>
      </c>
    </row>
    <row r="99" customFormat="false" ht="15" hidden="false" customHeight="false" outlineLevel="0" collapsed="false">
      <c r="A99" s="7" t="n">
        <v>485</v>
      </c>
      <c r="B99" s="10" t="n">
        <f aca="false">IF($A99&lt;=50,(INDEX('Scratch Data'!$M$5:$M$12,MATCH($A99,'Scratch Data'!$L$5:$L$12,1))+($A99-INDEX('Scratch Data'!$L$5:$L$12,MATCH($A99,'Scratch Data'!$L$5:$L$12,1)))*(INDEX('Scratch Data'!$M$5:$M$12,MIN(MATCH($A99,'Scratch Data'!$L$5:$L$12,1)+1,ROWS('Scratch Data'!$L$5:$L$12)))-INDEX('Scratch Data'!$M$5:$M$12,MATCH($A99,'Scratch Data'!$L$5:$L$12,1)))/MAX(INDEX('Scratch Data'!$L$5:$L$12,MIN(MATCH($A99,'Scratch Data'!$L$5:$L$12,1)+1,ROWS('Scratch Data'!$L$5:$L$12)))-INDEX('Scratch Data'!$L$5:$L$12,MATCH($A99,'Scratch Data'!$L$5:$L$12,1)),0.0001)),IF($A99&lt;=250,MIN((1+(INDEX('Scratch Data'!$H$5:$H$13,MATCH($A99,'Scratch Data'!$G$5:$G$13,1))+($A99-INDEX('Scratch Data'!$G$5:$G$13,MATCH($A99,'Scratch Data'!$G$5:$G$13,1)))*(INDEX('Scratch Data'!$H$5:$H$13,MIN(MATCH($A99,'Scratch Data'!$G$5:$G$13,1)+1,ROWS('Scratch Data'!$G$5:$G$13)))-INDEX('Scratch Data'!$H$5:$H$13,MATCH($A99,'Scratch Data'!$G$5:$G$13,1)))/MAX(INDEX('Scratch Data'!$G$5:$G$13,MIN(MATCH($A99,'Scratch Data'!$G$5:$G$13,1)+1,ROWS('Scratch Data'!$G$5:$G$13)))-INDEX('Scratch Data'!$G$5:$G$13,MATCH($A99,'Scratch Data'!$G$5:$G$13,1)),0.0001))*INDEX(Baseline!$I$3:$I$102,MIN(MAX(ROUND(Inputs!$B$11*(INDEX('Scratch Data'!$I$5:$I$13,MATCH($A99,'Scratch Data'!$G$5:$G$13,1))+($A99-INDEX('Scratch Data'!$G$5:$G$13,MATCH($A99,'Scratch Data'!$G$5:$G$13,1)))*(INDEX('Scratch Data'!$I$5:$I$13,MIN(MATCH($A99,'Scratch Data'!$G$5:$G$13,1)+1,ROWS('Scratch Data'!$G$5:$G$13)))-INDEX('Scratch Data'!$I$5:$I$13,MATCH($A99,'Scratch Data'!$G$5:$G$13,1)))/MAX(INDEX('Scratch Data'!$G$5:$G$13,MIN(MATCH($A99,'Scratch Data'!$G$5:$G$13,1)+1,ROWS('Scratch Data'!$G$5:$G$13)))-INDEX('Scratch Data'!$G$5:$G$13,MATCH($A99,'Scratch Data'!$G$5:$G$13,1)),0.0001)),0),1),100))+(1-(INDEX('Scratch Data'!$H$5:$H$13,MATCH($A99,'Scratch Data'!$G$5:$G$13,1))+($A99-INDEX('Scratch Data'!$G$5:$G$13,MATCH($A99,'Scratch Data'!$G$5:$G$13,1)))*(INDEX('Scratch Data'!$H$5:$H$13,MIN(MATCH($A99,'Scratch Data'!$G$5:$G$13,1)+1,ROWS('Scratch Data'!$G$5:$G$13)))-INDEX('Scratch Data'!$H$5:$H$13,MATCH($A99,'Scratch Data'!$G$5:$G$13,1)))/MAX(INDEX('Scratch Data'!$G$5:$G$13,MIN(MATCH($A99,'Scratch Data'!$G$5:$G$13,1)+1,ROWS('Scratch Data'!$G$5:$G$13)))-INDEX('Scratch Data'!$G$5:$G$13,MATCH($A99,'Scratch Data'!$G$5:$G$13,1)),0.0001)))*(INDEX('Scratch Data'!$J$5:$J$13,MATCH($A99,'Scratch Data'!$G$5:$G$13,1))+($A99-INDEX('Scratch Data'!$G$5:$G$13,MATCH($A99,'Scratch Data'!$G$5:$G$13,1)))*(INDEX('Scratch Data'!$J$5:$J$13,MIN(MATCH($A99,'Scratch Data'!$G$5:$G$13,1)+1,ROWS('Scratch Data'!$G$5:$G$13)))-INDEX('Scratch Data'!$J$5:$J$13,MATCH($A99,'Scratch Data'!$G$5:$G$13,1)))/MAX(INDEX('Scratch Data'!$G$5:$G$13,MIN(MATCH($A99,'Scratch Data'!$G$5:$G$13,1)+1,ROWS('Scratch Data'!$G$5:$G$13)))-INDEX('Scratch Data'!$G$5:$G$13,MATCH($A99,'Scratch Data'!$G$5:$G$13,1)),0.0001))),(1+Inputs!$B$19*INDEX(Baseline!$B$3:$B$122,MATCH(MIN(MAX(ROUND((MAX($A99-Inputs!$B$20,30))/5,0)*5,5),600),Baseline!$A$3:$A$122,0))+(1-Inputs!$B$19)*INDEX(Baseline!$C$3:$C$122,MATCH(MIN(MAX(ROUND((MAX($A99-Inputs!$B$20,30))/5,0)*5,5),600),Baseline!$A$3:$A$122,0)))),(1+Inputs!$B$19*INDEX(Baseline!$B$3:$B$122,MATCH(MIN(MAX(ROUND((MAX($A99-Inputs!$B$20,30))/5,0)*5,5),600),Baseline!$A$3:$A$122,0))+(1-Inputs!$B$19)*INDEX(Baseline!$C$3:$C$122,MATCH(MIN(MAX(ROUND((MAX($A99-Inputs!$B$20,30))/5,0)*5,5),600),Baseline!$A$3:$A$122,0)))))</f>
        <v>4.883295</v>
      </c>
      <c r="C99" s="10" t="n">
        <f aca="false">IF($A99&lt;=50,$B99+Inputs!$B$18,IF($A99&lt;=250,MIN((1+(INDEX('Scratch Data'!$H$5:$H$13,MATCH($A99,'Scratch Data'!$G$5:$G$13,1))+($A99-INDEX('Scratch Data'!$G$5:$G$13,MATCH($A99,'Scratch Data'!$G$5:$G$13,1)))*(INDEX('Scratch Data'!$H$5:$H$13,MIN(MATCH($A99,'Scratch Data'!$G$5:$G$13,1)+1,ROWS('Scratch Data'!$G$5:$G$13)))-INDEX('Scratch Data'!$H$5:$H$13,MATCH($A99,'Scratch Data'!$G$5:$G$13,1)))/MAX(INDEX('Scratch Data'!$G$5:$G$13,MIN(MATCH($A99,'Scratch Data'!$G$5:$G$13,1)+1,ROWS('Scratch Data'!$G$5:$G$13)))-INDEX('Scratch Data'!$G$5:$G$13,MATCH($A99,'Scratch Data'!$G$5:$G$13,1)),0.0001))*Inputs!$B$12*INDEX(Baseline!$I$3:$I$102,MIN(MAX(ROUND(Inputs!$B$11*(INDEX('Scratch Data'!$I$5:$I$13,MATCH($A99,'Scratch Data'!$G$5:$G$13,1))+($A99-INDEX('Scratch Data'!$G$5:$G$13,MATCH($A99,'Scratch Data'!$G$5:$G$13,1)))*(INDEX('Scratch Data'!$I$5:$I$13,MIN(MATCH($A99,'Scratch Data'!$G$5:$G$13,1)+1,ROWS('Scratch Data'!$G$5:$G$13)))-INDEX('Scratch Data'!$I$5:$I$13,MATCH($A99,'Scratch Data'!$G$5:$G$13,1)))/MAX(INDEX('Scratch Data'!$G$5:$G$13,MIN(MATCH($A99,'Scratch Data'!$G$5:$G$13,1)+1,ROWS('Scratch Data'!$G$5:$G$13)))-INDEX('Scratch Data'!$G$5:$G$13,MATCH($A99,'Scratch Data'!$G$5:$G$13,1)),0.0001))*Inputs!$B$13,0),1),100))+(1-(INDEX('Scratch Data'!$H$5:$H$13,MATCH($A99,'Scratch Data'!$G$5:$G$13,1))+($A99-INDEX('Scratch Data'!$G$5:$G$13,MATCH($A99,'Scratch Data'!$G$5:$G$13,1)))*(INDEX('Scratch Data'!$H$5:$H$13,MIN(MATCH($A99,'Scratch Data'!$G$5:$G$13,1)+1,ROWS('Scratch Data'!$G$5:$G$13)))-INDEX('Scratch Data'!$H$5:$H$13,MATCH($A99,'Scratch Data'!$G$5:$G$13,1)))/MAX(INDEX('Scratch Data'!$G$5:$G$13,MIN(MATCH($A99,'Scratch Data'!$G$5:$G$13,1)+1,ROWS('Scratch Data'!$G$5:$G$13)))-INDEX('Scratch Data'!$G$5:$G$13,MATCH($A99,'Scratch Data'!$G$5:$G$13,1)),0.0001))*Inputs!$B$12)*((INDEX('Scratch Data'!$J$5:$J$13,MATCH($A99,'Scratch Data'!$G$5:$G$13,1))+($A99-INDEX('Scratch Data'!$G$5:$G$13,MATCH($A99,'Scratch Data'!$G$5:$G$13,1)))*(INDEX('Scratch Data'!$J$5:$J$13,MIN(MATCH($A99,'Scratch Data'!$G$5:$G$13,1)+1,ROWS('Scratch Data'!$G$5:$G$13)))-INDEX('Scratch Data'!$J$5:$J$13,MATCH($A99,'Scratch Data'!$G$5:$G$13,1)))/MAX(INDEX('Scratch Data'!$G$5:$G$13,MIN(MATCH($A99,'Scratch Data'!$G$5:$G$13,1)+1,ROWS('Scratch Data'!$G$5:$G$13)))-INDEX('Scratch Data'!$G$5:$G$13,MATCH($A99,'Scratch Data'!$G$5:$G$13,1)),0.0001))+Inputs!$B$14)),(1+Inputs!$B$19*INDEX(Baseline!$B$3:$B$122,MATCH(MIN(MAX(ROUND((MAX($A99-Inputs!$B$21,30))/5,0)*5,5),600),Baseline!$A$3:$A$122,0))+(1-Inputs!$B$19)*INDEX(Baseline!$C$3:$C$122,MATCH(MIN(MAX(ROUND((MAX($A99-Inputs!$B$21,30))/5,0)*5,5),600),Baseline!$A$3:$A$122,0))+Inputs!$B$14)),(1+Inputs!$B$19*INDEX(Baseline!$B$3:$B$122,MATCH(MIN(MAX(ROUND((MAX($A99-Inputs!$B$21,30))/5,0)*5,5),600),Baseline!$A$3:$A$122,0))+(1-Inputs!$B$19)*INDEX(Baseline!$C$3:$C$122,MATCH(MIN(MAX(ROUND((MAX($A99-Inputs!$B$21,30))/5,0)*5,5),600),Baseline!$A$3:$A$122,0))+Inputs!$B$14)))</f>
        <v>5.1437607408</v>
      </c>
      <c r="D99" s="10" t="n">
        <f aca="false">IF($A99&lt;=50,(INDEX('Scratch Data'!$P$5:$P$11,MATCH($A99,'Scratch Data'!$O$5:$O$11,1))+($A99-INDEX('Scratch Data'!$O$5:$O$11,MATCH($A99,'Scratch Data'!$O$5:$O$11,1)))*(INDEX('Scratch Data'!$P$5:$P$11,MIN(MATCH($A99,'Scratch Data'!$O$5:$O$11,1)+1,ROWS('Scratch Data'!$O$5:$O$11)))-INDEX('Scratch Data'!$P$5:$P$11,MATCH($A99,'Scratch Data'!$O$5:$O$11,1)))/MAX(INDEX('Scratch Data'!$O$5:$O$11,MIN(MATCH($A99,'Scratch Data'!$O$5:$O$11,1)+1,ROWS('Scratch Data'!$O$5:$O$11)))-INDEX('Scratch Data'!$O$5:$O$11,MATCH($A99,'Scratch Data'!$O$5:$O$11,1)),0.0001)),IF($A99&lt;=250,MIN((1+(INDEX('Scratch Data'!$H$5:$H$13,MATCH($A99,'Scratch Data'!$G$5:$G$13,1))+($A99-INDEX('Scratch Data'!$G$5:$G$13,MATCH($A99,'Scratch Data'!$G$5:$G$13,1)))*(INDEX('Scratch Data'!$H$5:$H$13,MIN(MATCH($A99,'Scratch Data'!$G$5:$G$13,1)+1,ROWS('Scratch Data'!$G$5:$G$13)))-INDEX('Scratch Data'!$H$5:$H$13,MATCH($A99,'Scratch Data'!$G$5:$G$13,1)))/MAX(INDEX('Scratch Data'!$G$5:$G$13,MIN(MATCH($A99,'Scratch Data'!$G$5:$G$13,1)+1,ROWS('Scratch Data'!$G$5:$G$13)))-INDEX('Scratch Data'!$G$5:$G$13,MATCH($A99,'Scratch Data'!$G$5:$G$13,1)),0.0001))*Inputs!$B$15*INDEX(Baseline!$I$3:$I$102,MIN(MAX(ROUND(Inputs!$B$11*(INDEX('Scratch Data'!$I$5:$I$13,MATCH($A99,'Scratch Data'!$G$5:$G$13,1))+($A99-INDEX('Scratch Data'!$G$5:$G$13,MATCH($A99,'Scratch Data'!$G$5:$G$13,1)))*(INDEX('Scratch Data'!$I$5:$I$13,MIN(MATCH($A99,'Scratch Data'!$G$5:$G$13,1)+1,ROWS('Scratch Data'!$G$5:$G$13)))-INDEX('Scratch Data'!$I$5:$I$13,MATCH($A99,'Scratch Data'!$G$5:$G$13,1)))/MAX(INDEX('Scratch Data'!$G$5:$G$13,MIN(MATCH($A99,'Scratch Data'!$G$5:$G$13,1)+1,ROWS('Scratch Data'!$G$5:$G$13)))-INDEX('Scratch Data'!$G$5:$G$13,MATCH($A99,'Scratch Data'!$G$5:$G$13,1)),0.0001))*Inputs!$B$16,0),1),100))+(1-(INDEX('Scratch Data'!$H$5:$H$13,MATCH($A99,'Scratch Data'!$G$5:$G$13,1))+($A99-INDEX('Scratch Data'!$G$5:$G$13,MATCH($A99,'Scratch Data'!$G$5:$G$13,1)))*(INDEX('Scratch Data'!$H$5:$H$13,MIN(MATCH($A99,'Scratch Data'!$G$5:$G$13,1)+1,ROWS('Scratch Data'!$G$5:$G$13)))-INDEX('Scratch Data'!$H$5:$H$13,MATCH($A99,'Scratch Data'!$G$5:$G$13,1)))/MAX(INDEX('Scratch Data'!$G$5:$G$13,MIN(MATCH($A99,'Scratch Data'!$G$5:$G$13,1)+1,ROWS('Scratch Data'!$G$5:$G$13)))-INDEX('Scratch Data'!$G$5:$G$13,MATCH($A99,'Scratch Data'!$G$5:$G$13,1)),0.0001))*Inputs!$B$15)*((INDEX('Scratch Data'!$J$5:$J$13,MATCH($A99,'Scratch Data'!$G$5:$G$13,1))+($A99-INDEX('Scratch Data'!$G$5:$G$13,MATCH($A99,'Scratch Data'!$G$5:$G$13,1)))*(INDEX('Scratch Data'!$J$5:$J$13,MIN(MATCH($A99,'Scratch Data'!$G$5:$G$13,1)+1,ROWS('Scratch Data'!$G$5:$G$13)))-INDEX('Scratch Data'!$J$5:$J$13,MATCH($A99,'Scratch Data'!$G$5:$G$13,1)))/MAX(INDEX('Scratch Data'!$G$5:$G$13,MIN(MATCH($A99,'Scratch Data'!$G$5:$G$13,1)+1,ROWS('Scratch Data'!$G$5:$G$13)))-INDEX('Scratch Data'!$G$5:$G$13,MATCH($A99,'Scratch Data'!$G$5:$G$13,1)),0.0001))+Inputs!$B$17)),(1+Inputs!$B$19*INDEX(Baseline!$B$3:$B$122,MATCH(MIN(MAX(ROUND((MAX($A99-Inputs!$B$22,30))/5,0)*5,5),600),Baseline!$A$3:$A$122,0))+(1-Inputs!$B$19)*INDEX(Baseline!$C$3:$C$122,MATCH(MIN(MAX(ROUND((MAX($A99-Inputs!$B$22,30))/5,0)*5,5),600),Baseline!$A$3:$A$122,0))+Inputs!$B$17)),(1+Inputs!$B$19*INDEX(Baseline!$B$3:$B$122,MATCH(MIN(MAX(ROUND((MAX($A99-Inputs!$B$22,30))/5,0)*5,5),600),Baseline!$A$3:$A$122,0))+(1-Inputs!$B$19)*INDEX(Baseline!$C$3:$C$122,MATCH(MIN(MAX(ROUND((MAX($A99-Inputs!$B$22,30))/5,0)*5,5),600),Baseline!$A$3:$A$122,0))+Inputs!$B$17)))</f>
        <v>5.32623780853333</v>
      </c>
      <c r="E99" s="10" t="n">
        <f aca="false">1+Inputs!$B$24+0.6*INDEX(Baseline!$B$3:$B$122,MATCH(MIN(MAX(ROUND((MAX($A99-Inputs!$B$23,15))/5,0)*5,5),600),Baseline!$A$3:$A$122,0))+0.4*INDEX(Baseline!$C$3:$C$122,MATCH(MIN(MAX(ROUND((MAX($A99-Inputs!$B$23,15))/5,0)*5,5),600),Baseline!$A$3:$A$122,0))</f>
        <v>5.546101184</v>
      </c>
      <c r="H99" s="7" t="n">
        <v>97</v>
      </c>
      <c r="I99" s="10" t="n">
        <f aca="false">(INDEX('Scratch Data'!$E$5:$E$22,MATCH($H99,'Scratch Data'!$A$5:$A$22,1))+($H99-INDEX('Scratch Data'!$A$5:$A$22,MATCH($H99,'Scratch Data'!$A$5:$A$22,1)))*(INDEX('Scratch Data'!$E$5:$E$22,MIN(MATCH($H99,'Scratch Data'!$A$5:$A$22,1)+1,ROWS('Scratch Data'!$A$5:$A$22)))-INDEX('Scratch Data'!$E$5:$E$22,MATCH($H99,'Scratch Data'!$A$5:$A$22,1)))/MAX(INDEX('Scratch Data'!$A$5:$A$22,MIN(MATCH($H99,'Scratch Data'!$A$5:$A$22,1)+1,ROWS('Scratch Data'!$A$5:$A$22)))-INDEX('Scratch Data'!$A$5:$A$22,MATCH($H99,'Scratch Data'!$A$5:$A$22,1)),0.0001))</f>
        <v>2.54575</v>
      </c>
    </row>
    <row r="100" customFormat="false" ht="15" hidden="false" customHeight="false" outlineLevel="0" collapsed="false">
      <c r="A100" s="7" t="n">
        <v>490</v>
      </c>
      <c r="B100" s="10" t="n">
        <f aca="false">IF($A100&lt;=50,(INDEX('Scratch Data'!$M$5:$M$12,MATCH($A100,'Scratch Data'!$L$5:$L$12,1))+($A100-INDEX('Scratch Data'!$L$5:$L$12,MATCH($A100,'Scratch Data'!$L$5:$L$12,1)))*(INDEX('Scratch Data'!$M$5:$M$12,MIN(MATCH($A100,'Scratch Data'!$L$5:$L$12,1)+1,ROWS('Scratch Data'!$L$5:$L$12)))-INDEX('Scratch Data'!$M$5:$M$12,MATCH($A100,'Scratch Data'!$L$5:$L$12,1)))/MAX(INDEX('Scratch Data'!$L$5:$L$12,MIN(MATCH($A100,'Scratch Data'!$L$5:$L$12,1)+1,ROWS('Scratch Data'!$L$5:$L$12)))-INDEX('Scratch Data'!$L$5:$L$12,MATCH($A100,'Scratch Data'!$L$5:$L$12,1)),0.0001)),IF($A100&lt;=250,MIN((1+(INDEX('Scratch Data'!$H$5:$H$13,MATCH($A100,'Scratch Data'!$G$5:$G$13,1))+($A100-INDEX('Scratch Data'!$G$5:$G$13,MATCH($A100,'Scratch Data'!$G$5:$G$13,1)))*(INDEX('Scratch Data'!$H$5:$H$13,MIN(MATCH($A100,'Scratch Data'!$G$5:$G$13,1)+1,ROWS('Scratch Data'!$G$5:$G$13)))-INDEX('Scratch Data'!$H$5:$H$13,MATCH($A100,'Scratch Data'!$G$5:$G$13,1)))/MAX(INDEX('Scratch Data'!$G$5:$G$13,MIN(MATCH($A100,'Scratch Data'!$G$5:$G$13,1)+1,ROWS('Scratch Data'!$G$5:$G$13)))-INDEX('Scratch Data'!$G$5:$G$13,MATCH($A100,'Scratch Data'!$G$5:$G$13,1)),0.0001))*INDEX(Baseline!$I$3:$I$102,MIN(MAX(ROUND(Inputs!$B$11*(INDEX('Scratch Data'!$I$5:$I$13,MATCH($A100,'Scratch Data'!$G$5:$G$13,1))+($A100-INDEX('Scratch Data'!$G$5:$G$13,MATCH($A100,'Scratch Data'!$G$5:$G$13,1)))*(INDEX('Scratch Data'!$I$5:$I$13,MIN(MATCH($A100,'Scratch Data'!$G$5:$G$13,1)+1,ROWS('Scratch Data'!$G$5:$G$13)))-INDEX('Scratch Data'!$I$5:$I$13,MATCH($A100,'Scratch Data'!$G$5:$G$13,1)))/MAX(INDEX('Scratch Data'!$G$5:$G$13,MIN(MATCH($A100,'Scratch Data'!$G$5:$G$13,1)+1,ROWS('Scratch Data'!$G$5:$G$13)))-INDEX('Scratch Data'!$G$5:$G$13,MATCH($A100,'Scratch Data'!$G$5:$G$13,1)),0.0001)),0),1),100))+(1-(INDEX('Scratch Data'!$H$5:$H$13,MATCH($A100,'Scratch Data'!$G$5:$G$13,1))+($A100-INDEX('Scratch Data'!$G$5:$G$13,MATCH($A100,'Scratch Data'!$G$5:$G$13,1)))*(INDEX('Scratch Data'!$H$5:$H$13,MIN(MATCH($A100,'Scratch Data'!$G$5:$G$13,1)+1,ROWS('Scratch Data'!$G$5:$G$13)))-INDEX('Scratch Data'!$H$5:$H$13,MATCH($A100,'Scratch Data'!$G$5:$G$13,1)))/MAX(INDEX('Scratch Data'!$G$5:$G$13,MIN(MATCH($A100,'Scratch Data'!$G$5:$G$13,1)+1,ROWS('Scratch Data'!$G$5:$G$13)))-INDEX('Scratch Data'!$G$5:$G$13,MATCH($A100,'Scratch Data'!$G$5:$G$13,1)),0.0001)))*(INDEX('Scratch Data'!$J$5:$J$13,MATCH($A100,'Scratch Data'!$G$5:$G$13,1))+($A100-INDEX('Scratch Data'!$G$5:$G$13,MATCH($A100,'Scratch Data'!$G$5:$G$13,1)))*(INDEX('Scratch Data'!$J$5:$J$13,MIN(MATCH($A100,'Scratch Data'!$G$5:$G$13,1)+1,ROWS('Scratch Data'!$G$5:$G$13)))-INDEX('Scratch Data'!$J$5:$J$13,MATCH($A100,'Scratch Data'!$G$5:$G$13,1)))/MAX(INDEX('Scratch Data'!$G$5:$G$13,MIN(MATCH($A100,'Scratch Data'!$G$5:$G$13,1)+1,ROWS('Scratch Data'!$G$5:$G$13)))-INDEX('Scratch Data'!$G$5:$G$13,MATCH($A100,'Scratch Data'!$G$5:$G$13,1)),0.0001))),(1+Inputs!$B$19*INDEX(Baseline!$B$3:$B$122,MATCH(MIN(MAX(ROUND((MAX($A100-Inputs!$B$20,30))/5,0)*5,5),600),Baseline!$A$3:$A$122,0))+(1-Inputs!$B$19)*INDEX(Baseline!$C$3:$C$122,MATCH(MIN(MAX(ROUND((MAX($A100-Inputs!$B$20,30))/5,0)*5,5),600),Baseline!$A$3:$A$122,0)))),(1+Inputs!$B$19*INDEX(Baseline!$B$3:$B$122,MATCH(MIN(MAX(ROUND((MAX($A100-Inputs!$B$20,30))/5,0)*5,5),600),Baseline!$A$3:$A$122,0))+(1-Inputs!$B$19)*INDEX(Baseline!$C$3:$C$122,MATCH(MIN(MAX(ROUND((MAX($A100-Inputs!$B$20,30))/5,0)*5,5),600),Baseline!$A$3:$A$122,0)))))</f>
        <v>4.9297693824</v>
      </c>
      <c r="C100" s="10" t="n">
        <f aca="false">IF($A100&lt;=50,$B100+Inputs!$B$18,IF($A100&lt;=250,MIN((1+(INDEX('Scratch Data'!$H$5:$H$13,MATCH($A100,'Scratch Data'!$G$5:$G$13,1))+($A100-INDEX('Scratch Data'!$G$5:$G$13,MATCH($A100,'Scratch Data'!$G$5:$G$13,1)))*(INDEX('Scratch Data'!$H$5:$H$13,MIN(MATCH($A100,'Scratch Data'!$G$5:$G$13,1)+1,ROWS('Scratch Data'!$G$5:$G$13)))-INDEX('Scratch Data'!$H$5:$H$13,MATCH($A100,'Scratch Data'!$G$5:$G$13,1)))/MAX(INDEX('Scratch Data'!$G$5:$G$13,MIN(MATCH($A100,'Scratch Data'!$G$5:$G$13,1)+1,ROWS('Scratch Data'!$G$5:$G$13)))-INDEX('Scratch Data'!$G$5:$G$13,MATCH($A100,'Scratch Data'!$G$5:$G$13,1)),0.0001))*Inputs!$B$12*INDEX(Baseline!$I$3:$I$102,MIN(MAX(ROUND(Inputs!$B$11*(INDEX('Scratch Data'!$I$5:$I$13,MATCH($A100,'Scratch Data'!$G$5:$G$13,1))+($A100-INDEX('Scratch Data'!$G$5:$G$13,MATCH($A100,'Scratch Data'!$G$5:$G$13,1)))*(INDEX('Scratch Data'!$I$5:$I$13,MIN(MATCH($A100,'Scratch Data'!$G$5:$G$13,1)+1,ROWS('Scratch Data'!$G$5:$G$13)))-INDEX('Scratch Data'!$I$5:$I$13,MATCH($A100,'Scratch Data'!$G$5:$G$13,1)))/MAX(INDEX('Scratch Data'!$G$5:$G$13,MIN(MATCH($A100,'Scratch Data'!$G$5:$G$13,1)+1,ROWS('Scratch Data'!$G$5:$G$13)))-INDEX('Scratch Data'!$G$5:$G$13,MATCH($A100,'Scratch Data'!$G$5:$G$13,1)),0.0001))*Inputs!$B$13,0),1),100))+(1-(INDEX('Scratch Data'!$H$5:$H$13,MATCH($A100,'Scratch Data'!$G$5:$G$13,1))+($A100-INDEX('Scratch Data'!$G$5:$G$13,MATCH($A100,'Scratch Data'!$G$5:$G$13,1)))*(INDEX('Scratch Data'!$H$5:$H$13,MIN(MATCH($A100,'Scratch Data'!$G$5:$G$13,1)+1,ROWS('Scratch Data'!$G$5:$G$13)))-INDEX('Scratch Data'!$H$5:$H$13,MATCH($A100,'Scratch Data'!$G$5:$G$13,1)))/MAX(INDEX('Scratch Data'!$G$5:$G$13,MIN(MATCH($A100,'Scratch Data'!$G$5:$G$13,1)+1,ROWS('Scratch Data'!$G$5:$G$13)))-INDEX('Scratch Data'!$G$5:$G$13,MATCH($A100,'Scratch Data'!$G$5:$G$13,1)),0.0001))*Inputs!$B$12)*((INDEX('Scratch Data'!$J$5:$J$13,MATCH($A100,'Scratch Data'!$G$5:$G$13,1))+($A100-INDEX('Scratch Data'!$G$5:$G$13,MATCH($A100,'Scratch Data'!$G$5:$G$13,1)))*(INDEX('Scratch Data'!$J$5:$J$13,MIN(MATCH($A100,'Scratch Data'!$G$5:$G$13,1)+1,ROWS('Scratch Data'!$G$5:$G$13)))-INDEX('Scratch Data'!$J$5:$J$13,MATCH($A100,'Scratch Data'!$G$5:$G$13,1)))/MAX(INDEX('Scratch Data'!$G$5:$G$13,MIN(MATCH($A100,'Scratch Data'!$G$5:$G$13,1)+1,ROWS('Scratch Data'!$G$5:$G$13)))-INDEX('Scratch Data'!$G$5:$G$13,MATCH($A100,'Scratch Data'!$G$5:$G$13,1)),0.0001))+Inputs!$B$14)),(1+Inputs!$B$19*INDEX(Baseline!$B$3:$B$122,MATCH(MIN(MAX(ROUND((MAX($A100-Inputs!$B$21,30))/5,0)*5,5),600),Baseline!$A$3:$A$122,0))+(1-Inputs!$B$19)*INDEX(Baseline!$C$3:$C$122,MATCH(MIN(MAX(ROUND((MAX($A100-Inputs!$B$21,30))/5,0)*5,5),600),Baseline!$A$3:$A$122,0))+Inputs!$B$14)),(1+Inputs!$B$19*INDEX(Baseline!$B$3:$B$122,MATCH(MIN(MAX(ROUND((MAX($A100-Inputs!$B$21,30))/5,0)*5,5),600),Baseline!$A$3:$A$122,0))+(1-Inputs!$B$19)*INDEX(Baseline!$C$3:$C$122,MATCH(MIN(MAX(ROUND((MAX($A100-Inputs!$B$21,30))/5,0)*5,5),600),Baseline!$A$3:$A$122,0))+Inputs!$B$14)))</f>
        <v>5.1616548096</v>
      </c>
      <c r="D100" s="10" t="n">
        <f aca="false">IF($A100&lt;=50,(INDEX('Scratch Data'!$P$5:$P$11,MATCH($A100,'Scratch Data'!$O$5:$O$11,1))+($A100-INDEX('Scratch Data'!$O$5:$O$11,MATCH($A100,'Scratch Data'!$O$5:$O$11,1)))*(INDEX('Scratch Data'!$P$5:$P$11,MIN(MATCH($A100,'Scratch Data'!$O$5:$O$11,1)+1,ROWS('Scratch Data'!$O$5:$O$11)))-INDEX('Scratch Data'!$P$5:$P$11,MATCH($A100,'Scratch Data'!$O$5:$O$11,1)))/MAX(INDEX('Scratch Data'!$O$5:$O$11,MIN(MATCH($A100,'Scratch Data'!$O$5:$O$11,1)+1,ROWS('Scratch Data'!$O$5:$O$11)))-INDEX('Scratch Data'!$O$5:$O$11,MATCH($A100,'Scratch Data'!$O$5:$O$11,1)),0.0001)),IF($A100&lt;=250,MIN((1+(INDEX('Scratch Data'!$H$5:$H$13,MATCH($A100,'Scratch Data'!$G$5:$G$13,1))+($A100-INDEX('Scratch Data'!$G$5:$G$13,MATCH($A100,'Scratch Data'!$G$5:$G$13,1)))*(INDEX('Scratch Data'!$H$5:$H$13,MIN(MATCH($A100,'Scratch Data'!$G$5:$G$13,1)+1,ROWS('Scratch Data'!$G$5:$G$13)))-INDEX('Scratch Data'!$H$5:$H$13,MATCH($A100,'Scratch Data'!$G$5:$G$13,1)))/MAX(INDEX('Scratch Data'!$G$5:$G$13,MIN(MATCH($A100,'Scratch Data'!$G$5:$G$13,1)+1,ROWS('Scratch Data'!$G$5:$G$13)))-INDEX('Scratch Data'!$G$5:$G$13,MATCH($A100,'Scratch Data'!$G$5:$G$13,1)),0.0001))*Inputs!$B$15*INDEX(Baseline!$I$3:$I$102,MIN(MAX(ROUND(Inputs!$B$11*(INDEX('Scratch Data'!$I$5:$I$13,MATCH($A100,'Scratch Data'!$G$5:$G$13,1))+($A100-INDEX('Scratch Data'!$G$5:$G$13,MATCH($A100,'Scratch Data'!$G$5:$G$13,1)))*(INDEX('Scratch Data'!$I$5:$I$13,MIN(MATCH($A100,'Scratch Data'!$G$5:$G$13,1)+1,ROWS('Scratch Data'!$G$5:$G$13)))-INDEX('Scratch Data'!$I$5:$I$13,MATCH($A100,'Scratch Data'!$G$5:$G$13,1)))/MAX(INDEX('Scratch Data'!$G$5:$G$13,MIN(MATCH($A100,'Scratch Data'!$G$5:$G$13,1)+1,ROWS('Scratch Data'!$G$5:$G$13)))-INDEX('Scratch Data'!$G$5:$G$13,MATCH($A100,'Scratch Data'!$G$5:$G$13,1)),0.0001))*Inputs!$B$16,0),1),100))+(1-(INDEX('Scratch Data'!$H$5:$H$13,MATCH($A100,'Scratch Data'!$G$5:$G$13,1))+($A100-INDEX('Scratch Data'!$G$5:$G$13,MATCH($A100,'Scratch Data'!$G$5:$G$13,1)))*(INDEX('Scratch Data'!$H$5:$H$13,MIN(MATCH($A100,'Scratch Data'!$G$5:$G$13,1)+1,ROWS('Scratch Data'!$G$5:$G$13)))-INDEX('Scratch Data'!$H$5:$H$13,MATCH($A100,'Scratch Data'!$G$5:$G$13,1)))/MAX(INDEX('Scratch Data'!$G$5:$G$13,MIN(MATCH($A100,'Scratch Data'!$G$5:$G$13,1)+1,ROWS('Scratch Data'!$G$5:$G$13)))-INDEX('Scratch Data'!$G$5:$G$13,MATCH($A100,'Scratch Data'!$G$5:$G$13,1)),0.0001))*Inputs!$B$15)*((INDEX('Scratch Data'!$J$5:$J$13,MATCH($A100,'Scratch Data'!$G$5:$G$13,1))+($A100-INDEX('Scratch Data'!$G$5:$G$13,MATCH($A100,'Scratch Data'!$G$5:$G$13,1)))*(INDEX('Scratch Data'!$J$5:$J$13,MIN(MATCH($A100,'Scratch Data'!$G$5:$G$13,1)+1,ROWS('Scratch Data'!$G$5:$G$13)))-INDEX('Scratch Data'!$J$5:$J$13,MATCH($A100,'Scratch Data'!$G$5:$G$13,1)))/MAX(INDEX('Scratch Data'!$G$5:$G$13,MIN(MATCH($A100,'Scratch Data'!$G$5:$G$13,1)+1,ROWS('Scratch Data'!$G$5:$G$13)))-INDEX('Scratch Data'!$G$5:$G$13,MATCH($A100,'Scratch Data'!$G$5:$G$13,1)),0.0001))+Inputs!$B$17)),(1+Inputs!$B$19*INDEX(Baseline!$B$3:$B$122,MATCH(MIN(MAX(ROUND((MAX($A100-Inputs!$B$22,30))/5,0)*5,5),600),Baseline!$A$3:$A$122,0))+(1-Inputs!$B$19)*INDEX(Baseline!$C$3:$C$122,MATCH(MIN(MAX(ROUND((MAX($A100-Inputs!$B$22,30))/5,0)*5,5),600),Baseline!$A$3:$A$122,0))+Inputs!$B$17)),(1+Inputs!$B$19*INDEX(Baseline!$B$3:$B$122,MATCH(MIN(MAX(ROUND((MAX($A100-Inputs!$B$22,30))/5,0)*5,5),600),Baseline!$A$3:$A$122,0))+(1-Inputs!$B$19)*INDEX(Baseline!$C$3:$C$122,MATCH(MIN(MAX(ROUND((MAX($A100-Inputs!$B$22,30))/5,0)*5,5),600),Baseline!$A$3:$A$122,0))+Inputs!$B$17)))</f>
        <v>5.3474151072</v>
      </c>
      <c r="E100" s="10" t="n">
        <f aca="false">1+Inputs!$B$24+0.6*INDEX(Baseline!$B$3:$B$122,MATCH(MIN(MAX(ROUND((MAX($A100-Inputs!$B$23,15))/5,0)*5,5),600),Baseline!$A$3:$A$122,0))+0.4*INDEX(Baseline!$C$3:$C$122,MATCH(MIN(MAX(ROUND((MAX($A100-Inputs!$B$23,15))/5,0)*5,5),600),Baseline!$A$3:$A$122,0))</f>
        <v>5.56470288</v>
      </c>
      <c r="H100" s="7" t="n">
        <v>98</v>
      </c>
      <c r="I100" s="10" t="n">
        <f aca="false">(INDEX('Scratch Data'!$E$5:$E$22,MATCH($H100,'Scratch Data'!$A$5:$A$22,1))+($H100-INDEX('Scratch Data'!$A$5:$A$22,MATCH($H100,'Scratch Data'!$A$5:$A$22,1)))*(INDEX('Scratch Data'!$E$5:$E$22,MIN(MATCH($H100,'Scratch Data'!$A$5:$A$22,1)+1,ROWS('Scratch Data'!$A$5:$A$22)))-INDEX('Scratch Data'!$E$5:$E$22,MATCH($H100,'Scratch Data'!$A$5:$A$22,1)))/MAX(INDEX('Scratch Data'!$A$5:$A$22,MIN(MATCH($H100,'Scratch Data'!$A$5:$A$22,1)+1,ROWS('Scratch Data'!$A$5:$A$22)))-INDEX('Scratch Data'!$A$5:$A$22,MATCH($H100,'Scratch Data'!$A$5:$A$22,1)),0.0001))</f>
        <v>2.5505</v>
      </c>
    </row>
    <row r="101" customFormat="false" ht="15" hidden="false" customHeight="false" outlineLevel="0" collapsed="false">
      <c r="A101" s="7" t="n">
        <v>495</v>
      </c>
      <c r="B101" s="10" t="n">
        <f aca="false">IF($A101&lt;=50,(INDEX('Scratch Data'!$M$5:$M$12,MATCH($A101,'Scratch Data'!$L$5:$L$12,1))+($A101-INDEX('Scratch Data'!$L$5:$L$12,MATCH($A101,'Scratch Data'!$L$5:$L$12,1)))*(INDEX('Scratch Data'!$M$5:$M$12,MIN(MATCH($A101,'Scratch Data'!$L$5:$L$12,1)+1,ROWS('Scratch Data'!$L$5:$L$12)))-INDEX('Scratch Data'!$M$5:$M$12,MATCH($A101,'Scratch Data'!$L$5:$L$12,1)))/MAX(INDEX('Scratch Data'!$L$5:$L$12,MIN(MATCH($A101,'Scratch Data'!$L$5:$L$12,1)+1,ROWS('Scratch Data'!$L$5:$L$12)))-INDEX('Scratch Data'!$L$5:$L$12,MATCH($A101,'Scratch Data'!$L$5:$L$12,1)),0.0001)),IF($A101&lt;=250,MIN((1+(INDEX('Scratch Data'!$H$5:$H$13,MATCH($A101,'Scratch Data'!$G$5:$G$13,1))+($A101-INDEX('Scratch Data'!$G$5:$G$13,MATCH($A101,'Scratch Data'!$G$5:$G$13,1)))*(INDEX('Scratch Data'!$H$5:$H$13,MIN(MATCH($A101,'Scratch Data'!$G$5:$G$13,1)+1,ROWS('Scratch Data'!$G$5:$G$13)))-INDEX('Scratch Data'!$H$5:$H$13,MATCH($A101,'Scratch Data'!$G$5:$G$13,1)))/MAX(INDEX('Scratch Data'!$G$5:$G$13,MIN(MATCH($A101,'Scratch Data'!$G$5:$G$13,1)+1,ROWS('Scratch Data'!$G$5:$G$13)))-INDEX('Scratch Data'!$G$5:$G$13,MATCH($A101,'Scratch Data'!$G$5:$G$13,1)),0.0001))*INDEX(Baseline!$I$3:$I$102,MIN(MAX(ROUND(Inputs!$B$11*(INDEX('Scratch Data'!$I$5:$I$13,MATCH($A101,'Scratch Data'!$G$5:$G$13,1))+($A101-INDEX('Scratch Data'!$G$5:$G$13,MATCH($A101,'Scratch Data'!$G$5:$G$13,1)))*(INDEX('Scratch Data'!$I$5:$I$13,MIN(MATCH($A101,'Scratch Data'!$G$5:$G$13,1)+1,ROWS('Scratch Data'!$G$5:$G$13)))-INDEX('Scratch Data'!$I$5:$I$13,MATCH($A101,'Scratch Data'!$G$5:$G$13,1)))/MAX(INDEX('Scratch Data'!$G$5:$G$13,MIN(MATCH($A101,'Scratch Data'!$G$5:$G$13,1)+1,ROWS('Scratch Data'!$G$5:$G$13)))-INDEX('Scratch Data'!$G$5:$G$13,MATCH($A101,'Scratch Data'!$G$5:$G$13,1)),0.0001)),0),1),100))+(1-(INDEX('Scratch Data'!$H$5:$H$13,MATCH($A101,'Scratch Data'!$G$5:$G$13,1))+($A101-INDEX('Scratch Data'!$G$5:$G$13,MATCH($A101,'Scratch Data'!$G$5:$G$13,1)))*(INDEX('Scratch Data'!$H$5:$H$13,MIN(MATCH($A101,'Scratch Data'!$G$5:$G$13,1)+1,ROWS('Scratch Data'!$G$5:$G$13)))-INDEX('Scratch Data'!$H$5:$H$13,MATCH($A101,'Scratch Data'!$G$5:$G$13,1)))/MAX(INDEX('Scratch Data'!$G$5:$G$13,MIN(MATCH($A101,'Scratch Data'!$G$5:$G$13,1)+1,ROWS('Scratch Data'!$G$5:$G$13)))-INDEX('Scratch Data'!$G$5:$G$13,MATCH($A101,'Scratch Data'!$G$5:$G$13,1)),0.0001)))*(INDEX('Scratch Data'!$J$5:$J$13,MATCH($A101,'Scratch Data'!$G$5:$G$13,1))+($A101-INDEX('Scratch Data'!$G$5:$G$13,MATCH($A101,'Scratch Data'!$G$5:$G$13,1)))*(INDEX('Scratch Data'!$J$5:$J$13,MIN(MATCH($A101,'Scratch Data'!$G$5:$G$13,1)+1,ROWS('Scratch Data'!$G$5:$G$13)))-INDEX('Scratch Data'!$J$5:$J$13,MATCH($A101,'Scratch Data'!$G$5:$G$13,1)))/MAX(INDEX('Scratch Data'!$G$5:$G$13,MIN(MATCH($A101,'Scratch Data'!$G$5:$G$13,1)+1,ROWS('Scratch Data'!$G$5:$G$13)))-INDEX('Scratch Data'!$G$5:$G$13,MATCH($A101,'Scratch Data'!$G$5:$G$13,1)),0.0001))),(1+Inputs!$B$19*INDEX(Baseline!$B$3:$B$122,MATCH(MIN(MAX(ROUND((MAX($A101-Inputs!$B$20,30))/5,0)*5,5),600),Baseline!$A$3:$A$122,0))+(1-Inputs!$B$19)*INDEX(Baseline!$C$3:$C$122,MATCH(MIN(MAX(ROUND((MAX($A101-Inputs!$B$20,30))/5,0)*5,5),600),Baseline!$A$3:$A$122,0)))),(1+Inputs!$B$19*INDEX(Baseline!$B$3:$B$122,MATCH(MIN(MAX(ROUND((MAX($A101-Inputs!$B$20,30))/5,0)*5,5),600),Baseline!$A$3:$A$122,0))+(1-Inputs!$B$19)*INDEX(Baseline!$C$3:$C$122,MATCH(MIN(MAX(ROUND((MAX($A101-Inputs!$B$20,30))/5,0)*5,5),600),Baseline!$A$3:$A$122,0)))))</f>
        <v>4.9580578288</v>
      </c>
      <c r="C101" s="10" t="n">
        <f aca="false">IF($A101&lt;=50,$B101+Inputs!$B$18,IF($A101&lt;=250,MIN((1+(INDEX('Scratch Data'!$H$5:$H$13,MATCH($A101,'Scratch Data'!$G$5:$G$13,1))+($A101-INDEX('Scratch Data'!$G$5:$G$13,MATCH($A101,'Scratch Data'!$G$5:$G$13,1)))*(INDEX('Scratch Data'!$H$5:$H$13,MIN(MATCH($A101,'Scratch Data'!$G$5:$G$13,1)+1,ROWS('Scratch Data'!$G$5:$G$13)))-INDEX('Scratch Data'!$H$5:$H$13,MATCH($A101,'Scratch Data'!$G$5:$G$13,1)))/MAX(INDEX('Scratch Data'!$G$5:$G$13,MIN(MATCH($A101,'Scratch Data'!$G$5:$G$13,1)+1,ROWS('Scratch Data'!$G$5:$G$13)))-INDEX('Scratch Data'!$G$5:$G$13,MATCH($A101,'Scratch Data'!$G$5:$G$13,1)),0.0001))*Inputs!$B$12*INDEX(Baseline!$I$3:$I$102,MIN(MAX(ROUND(Inputs!$B$11*(INDEX('Scratch Data'!$I$5:$I$13,MATCH($A101,'Scratch Data'!$G$5:$G$13,1))+($A101-INDEX('Scratch Data'!$G$5:$G$13,MATCH($A101,'Scratch Data'!$G$5:$G$13,1)))*(INDEX('Scratch Data'!$I$5:$I$13,MIN(MATCH($A101,'Scratch Data'!$G$5:$G$13,1)+1,ROWS('Scratch Data'!$G$5:$G$13)))-INDEX('Scratch Data'!$I$5:$I$13,MATCH($A101,'Scratch Data'!$G$5:$G$13,1)))/MAX(INDEX('Scratch Data'!$G$5:$G$13,MIN(MATCH($A101,'Scratch Data'!$G$5:$G$13,1)+1,ROWS('Scratch Data'!$G$5:$G$13)))-INDEX('Scratch Data'!$G$5:$G$13,MATCH($A101,'Scratch Data'!$G$5:$G$13,1)),0.0001))*Inputs!$B$13,0),1),100))+(1-(INDEX('Scratch Data'!$H$5:$H$13,MATCH($A101,'Scratch Data'!$G$5:$G$13,1))+($A101-INDEX('Scratch Data'!$G$5:$G$13,MATCH($A101,'Scratch Data'!$G$5:$G$13,1)))*(INDEX('Scratch Data'!$H$5:$H$13,MIN(MATCH($A101,'Scratch Data'!$G$5:$G$13,1)+1,ROWS('Scratch Data'!$G$5:$G$13)))-INDEX('Scratch Data'!$H$5:$H$13,MATCH($A101,'Scratch Data'!$G$5:$G$13,1)))/MAX(INDEX('Scratch Data'!$G$5:$G$13,MIN(MATCH($A101,'Scratch Data'!$G$5:$G$13,1)+1,ROWS('Scratch Data'!$G$5:$G$13)))-INDEX('Scratch Data'!$G$5:$G$13,MATCH($A101,'Scratch Data'!$G$5:$G$13,1)),0.0001))*Inputs!$B$12)*((INDEX('Scratch Data'!$J$5:$J$13,MATCH($A101,'Scratch Data'!$G$5:$G$13,1))+($A101-INDEX('Scratch Data'!$G$5:$G$13,MATCH($A101,'Scratch Data'!$G$5:$G$13,1)))*(INDEX('Scratch Data'!$J$5:$J$13,MIN(MATCH($A101,'Scratch Data'!$G$5:$G$13,1)+1,ROWS('Scratch Data'!$G$5:$G$13)))-INDEX('Scratch Data'!$J$5:$J$13,MATCH($A101,'Scratch Data'!$G$5:$G$13,1)))/MAX(INDEX('Scratch Data'!$G$5:$G$13,MIN(MATCH($A101,'Scratch Data'!$G$5:$G$13,1)+1,ROWS('Scratch Data'!$G$5:$G$13)))-INDEX('Scratch Data'!$G$5:$G$13,MATCH($A101,'Scratch Data'!$G$5:$G$13,1)),0.0001))+Inputs!$B$14)),(1+Inputs!$B$19*INDEX(Baseline!$B$3:$B$122,MATCH(MIN(MAX(ROUND((MAX($A101-Inputs!$B$21,30))/5,0)*5,5),600),Baseline!$A$3:$A$122,0))+(1-Inputs!$B$19)*INDEX(Baseline!$C$3:$C$122,MATCH(MIN(MAX(ROUND((MAX($A101-Inputs!$B$21,30))/5,0)*5,5),600),Baseline!$A$3:$A$122,0))+Inputs!$B$14)),(1+Inputs!$B$19*INDEX(Baseline!$B$3:$B$122,MATCH(MIN(MAX(ROUND((MAX($A101-Inputs!$B$21,30))/5,0)*5,5),600),Baseline!$A$3:$A$122,0))+(1-Inputs!$B$19)*INDEX(Baseline!$C$3:$C$122,MATCH(MIN(MAX(ROUND((MAX($A101-Inputs!$B$21,30))/5,0)*5,5),600),Baseline!$A$3:$A$122,0))+Inputs!$B$14)))</f>
        <v>5.18245961653333</v>
      </c>
      <c r="D101" s="10" t="n">
        <f aca="false">IF($A101&lt;=50,(INDEX('Scratch Data'!$P$5:$P$11,MATCH($A101,'Scratch Data'!$O$5:$O$11,1))+($A101-INDEX('Scratch Data'!$O$5:$O$11,MATCH($A101,'Scratch Data'!$O$5:$O$11,1)))*(INDEX('Scratch Data'!$P$5:$P$11,MIN(MATCH($A101,'Scratch Data'!$O$5:$O$11,1)+1,ROWS('Scratch Data'!$O$5:$O$11)))-INDEX('Scratch Data'!$P$5:$P$11,MATCH($A101,'Scratch Data'!$O$5:$O$11,1)))/MAX(INDEX('Scratch Data'!$O$5:$O$11,MIN(MATCH($A101,'Scratch Data'!$O$5:$O$11,1)+1,ROWS('Scratch Data'!$O$5:$O$11)))-INDEX('Scratch Data'!$O$5:$O$11,MATCH($A101,'Scratch Data'!$O$5:$O$11,1)),0.0001)),IF($A101&lt;=250,MIN((1+(INDEX('Scratch Data'!$H$5:$H$13,MATCH($A101,'Scratch Data'!$G$5:$G$13,1))+($A101-INDEX('Scratch Data'!$G$5:$G$13,MATCH($A101,'Scratch Data'!$G$5:$G$13,1)))*(INDEX('Scratch Data'!$H$5:$H$13,MIN(MATCH($A101,'Scratch Data'!$G$5:$G$13,1)+1,ROWS('Scratch Data'!$G$5:$G$13)))-INDEX('Scratch Data'!$H$5:$H$13,MATCH($A101,'Scratch Data'!$G$5:$G$13,1)))/MAX(INDEX('Scratch Data'!$G$5:$G$13,MIN(MATCH($A101,'Scratch Data'!$G$5:$G$13,1)+1,ROWS('Scratch Data'!$G$5:$G$13)))-INDEX('Scratch Data'!$G$5:$G$13,MATCH($A101,'Scratch Data'!$G$5:$G$13,1)),0.0001))*Inputs!$B$15*INDEX(Baseline!$I$3:$I$102,MIN(MAX(ROUND(Inputs!$B$11*(INDEX('Scratch Data'!$I$5:$I$13,MATCH($A101,'Scratch Data'!$G$5:$G$13,1))+($A101-INDEX('Scratch Data'!$G$5:$G$13,MATCH($A101,'Scratch Data'!$G$5:$G$13,1)))*(INDEX('Scratch Data'!$I$5:$I$13,MIN(MATCH($A101,'Scratch Data'!$G$5:$G$13,1)+1,ROWS('Scratch Data'!$G$5:$G$13)))-INDEX('Scratch Data'!$I$5:$I$13,MATCH($A101,'Scratch Data'!$G$5:$G$13,1)))/MAX(INDEX('Scratch Data'!$G$5:$G$13,MIN(MATCH($A101,'Scratch Data'!$G$5:$G$13,1)+1,ROWS('Scratch Data'!$G$5:$G$13)))-INDEX('Scratch Data'!$G$5:$G$13,MATCH($A101,'Scratch Data'!$G$5:$G$13,1)),0.0001))*Inputs!$B$16,0),1),100))+(1-(INDEX('Scratch Data'!$H$5:$H$13,MATCH($A101,'Scratch Data'!$G$5:$G$13,1))+($A101-INDEX('Scratch Data'!$G$5:$G$13,MATCH($A101,'Scratch Data'!$G$5:$G$13,1)))*(INDEX('Scratch Data'!$H$5:$H$13,MIN(MATCH($A101,'Scratch Data'!$G$5:$G$13,1)+1,ROWS('Scratch Data'!$G$5:$G$13)))-INDEX('Scratch Data'!$H$5:$H$13,MATCH($A101,'Scratch Data'!$G$5:$G$13,1)))/MAX(INDEX('Scratch Data'!$G$5:$G$13,MIN(MATCH($A101,'Scratch Data'!$G$5:$G$13,1)+1,ROWS('Scratch Data'!$G$5:$G$13)))-INDEX('Scratch Data'!$G$5:$G$13,MATCH($A101,'Scratch Data'!$G$5:$G$13,1)),0.0001))*Inputs!$B$15)*((INDEX('Scratch Data'!$J$5:$J$13,MATCH($A101,'Scratch Data'!$G$5:$G$13,1))+($A101-INDEX('Scratch Data'!$G$5:$G$13,MATCH($A101,'Scratch Data'!$G$5:$G$13,1)))*(INDEX('Scratch Data'!$J$5:$J$13,MIN(MATCH($A101,'Scratch Data'!$G$5:$G$13,1)+1,ROWS('Scratch Data'!$G$5:$G$13)))-INDEX('Scratch Data'!$J$5:$J$13,MATCH($A101,'Scratch Data'!$G$5:$G$13,1)))/MAX(INDEX('Scratch Data'!$G$5:$G$13,MIN(MATCH($A101,'Scratch Data'!$G$5:$G$13,1)+1,ROWS('Scratch Data'!$G$5:$G$13)))-INDEX('Scratch Data'!$G$5:$G$13,MATCH($A101,'Scratch Data'!$G$5:$G$13,1)),0.0001))+Inputs!$B$17)),(1+Inputs!$B$19*INDEX(Baseline!$B$3:$B$122,MATCH(MIN(MAX(ROUND((MAX($A101-Inputs!$B$22,30))/5,0)*5,5),600),Baseline!$A$3:$A$122,0))+(1-Inputs!$B$19)*INDEX(Baseline!$C$3:$C$122,MATCH(MIN(MAX(ROUND((MAX($A101-Inputs!$B$22,30))/5,0)*5,5),600),Baseline!$A$3:$A$122,0))+Inputs!$B$17)),(1+Inputs!$B$19*INDEX(Baseline!$B$3:$B$122,MATCH(MIN(MAX(ROUND((MAX($A101-Inputs!$B$22,30))/5,0)*5,5),600),Baseline!$A$3:$A$122,0))+(1-Inputs!$B$19)*INDEX(Baseline!$C$3:$C$122,MATCH(MIN(MAX(ROUND((MAX($A101-Inputs!$B$22,30))/5,0)*5,5),600),Baseline!$A$3:$A$122,0))+Inputs!$B$17)))</f>
        <v>5.3652960704</v>
      </c>
      <c r="E101" s="10" t="n">
        <f aca="false">1+Inputs!$B$24+0.6*INDEX(Baseline!$B$3:$B$122,MATCH(MIN(MAX(ROUND((MAX($A101-Inputs!$B$23,15))/5,0)*5,5),600),Baseline!$A$3:$A$122,0))+0.4*INDEX(Baseline!$C$3:$C$122,MATCH(MIN(MAX(ROUND((MAX($A101-Inputs!$B$23,15))/5,0)*5,5),600),Baseline!$A$3:$A$122,0))</f>
        <v>5.5886525904</v>
      </c>
      <c r="H101" s="7" t="n">
        <v>99</v>
      </c>
      <c r="I101" s="10" t="n">
        <f aca="false">(INDEX('Scratch Data'!$E$5:$E$22,MATCH($H101,'Scratch Data'!$A$5:$A$22,1))+($H101-INDEX('Scratch Data'!$A$5:$A$22,MATCH($H101,'Scratch Data'!$A$5:$A$22,1)))*(INDEX('Scratch Data'!$E$5:$E$22,MIN(MATCH($H101,'Scratch Data'!$A$5:$A$22,1)+1,ROWS('Scratch Data'!$A$5:$A$22)))-INDEX('Scratch Data'!$E$5:$E$22,MATCH($H101,'Scratch Data'!$A$5:$A$22,1)))/MAX(INDEX('Scratch Data'!$A$5:$A$22,MIN(MATCH($H101,'Scratch Data'!$A$5:$A$22,1)+1,ROWS('Scratch Data'!$A$5:$A$22)))-INDEX('Scratch Data'!$A$5:$A$22,MATCH($H101,'Scratch Data'!$A$5:$A$22,1)),0.0001))</f>
        <v>2.55525</v>
      </c>
    </row>
    <row r="102" customFormat="false" ht="15" hidden="false" customHeight="false" outlineLevel="0" collapsed="false">
      <c r="A102" s="7" t="n">
        <v>500</v>
      </c>
      <c r="B102" s="10" t="n">
        <f aca="false">IF($A102&lt;=50,(INDEX('Scratch Data'!$M$5:$M$12,MATCH($A102,'Scratch Data'!$L$5:$L$12,1))+($A102-INDEX('Scratch Data'!$L$5:$L$12,MATCH($A102,'Scratch Data'!$L$5:$L$12,1)))*(INDEX('Scratch Data'!$M$5:$M$12,MIN(MATCH($A102,'Scratch Data'!$L$5:$L$12,1)+1,ROWS('Scratch Data'!$L$5:$L$12)))-INDEX('Scratch Data'!$M$5:$M$12,MATCH($A102,'Scratch Data'!$L$5:$L$12,1)))/MAX(INDEX('Scratch Data'!$L$5:$L$12,MIN(MATCH($A102,'Scratch Data'!$L$5:$L$12,1)+1,ROWS('Scratch Data'!$L$5:$L$12)))-INDEX('Scratch Data'!$L$5:$L$12,MATCH($A102,'Scratch Data'!$L$5:$L$12,1)),0.0001)),IF($A102&lt;=250,MIN((1+(INDEX('Scratch Data'!$H$5:$H$13,MATCH($A102,'Scratch Data'!$G$5:$G$13,1))+($A102-INDEX('Scratch Data'!$G$5:$G$13,MATCH($A102,'Scratch Data'!$G$5:$G$13,1)))*(INDEX('Scratch Data'!$H$5:$H$13,MIN(MATCH($A102,'Scratch Data'!$G$5:$G$13,1)+1,ROWS('Scratch Data'!$G$5:$G$13)))-INDEX('Scratch Data'!$H$5:$H$13,MATCH($A102,'Scratch Data'!$G$5:$G$13,1)))/MAX(INDEX('Scratch Data'!$G$5:$G$13,MIN(MATCH($A102,'Scratch Data'!$G$5:$G$13,1)+1,ROWS('Scratch Data'!$G$5:$G$13)))-INDEX('Scratch Data'!$G$5:$G$13,MATCH($A102,'Scratch Data'!$G$5:$G$13,1)),0.0001))*INDEX(Baseline!$I$3:$I$102,MIN(MAX(ROUND(Inputs!$B$11*(INDEX('Scratch Data'!$I$5:$I$13,MATCH($A102,'Scratch Data'!$G$5:$G$13,1))+($A102-INDEX('Scratch Data'!$G$5:$G$13,MATCH($A102,'Scratch Data'!$G$5:$G$13,1)))*(INDEX('Scratch Data'!$I$5:$I$13,MIN(MATCH($A102,'Scratch Data'!$G$5:$G$13,1)+1,ROWS('Scratch Data'!$G$5:$G$13)))-INDEX('Scratch Data'!$I$5:$I$13,MATCH($A102,'Scratch Data'!$G$5:$G$13,1)))/MAX(INDEX('Scratch Data'!$G$5:$G$13,MIN(MATCH($A102,'Scratch Data'!$G$5:$G$13,1)+1,ROWS('Scratch Data'!$G$5:$G$13)))-INDEX('Scratch Data'!$G$5:$G$13,MATCH($A102,'Scratch Data'!$G$5:$G$13,1)),0.0001)),0),1),100))+(1-(INDEX('Scratch Data'!$H$5:$H$13,MATCH($A102,'Scratch Data'!$G$5:$G$13,1))+($A102-INDEX('Scratch Data'!$G$5:$G$13,MATCH($A102,'Scratch Data'!$G$5:$G$13,1)))*(INDEX('Scratch Data'!$H$5:$H$13,MIN(MATCH($A102,'Scratch Data'!$G$5:$G$13,1)+1,ROWS('Scratch Data'!$G$5:$G$13)))-INDEX('Scratch Data'!$H$5:$H$13,MATCH($A102,'Scratch Data'!$G$5:$G$13,1)))/MAX(INDEX('Scratch Data'!$G$5:$G$13,MIN(MATCH($A102,'Scratch Data'!$G$5:$G$13,1)+1,ROWS('Scratch Data'!$G$5:$G$13)))-INDEX('Scratch Data'!$G$5:$G$13,MATCH($A102,'Scratch Data'!$G$5:$G$13,1)),0.0001)))*(INDEX('Scratch Data'!$J$5:$J$13,MATCH($A102,'Scratch Data'!$G$5:$G$13,1))+($A102-INDEX('Scratch Data'!$G$5:$G$13,MATCH($A102,'Scratch Data'!$G$5:$G$13,1)))*(INDEX('Scratch Data'!$J$5:$J$13,MIN(MATCH($A102,'Scratch Data'!$G$5:$G$13,1)+1,ROWS('Scratch Data'!$G$5:$G$13)))-INDEX('Scratch Data'!$J$5:$J$13,MATCH($A102,'Scratch Data'!$G$5:$G$13,1)))/MAX(INDEX('Scratch Data'!$G$5:$G$13,MIN(MATCH($A102,'Scratch Data'!$G$5:$G$13,1)+1,ROWS('Scratch Data'!$G$5:$G$13)))-INDEX('Scratch Data'!$G$5:$G$13,MATCH($A102,'Scratch Data'!$G$5:$G$13,1)),0.0001))),(1+Inputs!$B$19*INDEX(Baseline!$B$3:$B$122,MATCH(MIN(MAX(ROUND((MAX($A102-Inputs!$B$20,30))/5,0)*5,5),600),Baseline!$A$3:$A$122,0))+(1-Inputs!$B$19)*INDEX(Baseline!$C$3:$C$122,MATCH(MIN(MAX(ROUND((MAX($A102-Inputs!$B$20,30))/5,0)*5,5),600),Baseline!$A$3:$A$122,0)))),(1+Inputs!$B$19*INDEX(Baseline!$B$3:$B$122,MATCH(MIN(MAX(ROUND((MAX($A102-Inputs!$B$20,30))/5,0)*5,5),600),Baseline!$A$3:$A$122,0))+(1-Inputs!$B$19)*INDEX(Baseline!$C$3:$C$122,MATCH(MIN(MAX(ROUND((MAX($A102-Inputs!$B$20,30))/5,0)*5,5),600),Baseline!$A$3:$A$122,0)))))</f>
        <v>4.9877265104</v>
      </c>
      <c r="C102" s="10" t="n">
        <f aca="false">IF($A102&lt;=50,$B102+Inputs!$B$18,IF($A102&lt;=250,MIN((1+(INDEX('Scratch Data'!$H$5:$H$13,MATCH($A102,'Scratch Data'!$G$5:$G$13,1))+($A102-INDEX('Scratch Data'!$G$5:$G$13,MATCH($A102,'Scratch Data'!$G$5:$G$13,1)))*(INDEX('Scratch Data'!$H$5:$H$13,MIN(MATCH($A102,'Scratch Data'!$G$5:$G$13,1)+1,ROWS('Scratch Data'!$G$5:$G$13)))-INDEX('Scratch Data'!$H$5:$H$13,MATCH($A102,'Scratch Data'!$G$5:$G$13,1)))/MAX(INDEX('Scratch Data'!$G$5:$G$13,MIN(MATCH($A102,'Scratch Data'!$G$5:$G$13,1)+1,ROWS('Scratch Data'!$G$5:$G$13)))-INDEX('Scratch Data'!$G$5:$G$13,MATCH($A102,'Scratch Data'!$G$5:$G$13,1)),0.0001))*Inputs!$B$12*INDEX(Baseline!$I$3:$I$102,MIN(MAX(ROUND(Inputs!$B$11*(INDEX('Scratch Data'!$I$5:$I$13,MATCH($A102,'Scratch Data'!$G$5:$G$13,1))+($A102-INDEX('Scratch Data'!$G$5:$G$13,MATCH($A102,'Scratch Data'!$G$5:$G$13,1)))*(INDEX('Scratch Data'!$I$5:$I$13,MIN(MATCH($A102,'Scratch Data'!$G$5:$G$13,1)+1,ROWS('Scratch Data'!$G$5:$G$13)))-INDEX('Scratch Data'!$I$5:$I$13,MATCH($A102,'Scratch Data'!$G$5:$G$13,1)))/MAX(INDEX('Scratch Data'!$G$5:$G$13,MIN(MATCH($A102,'Scratch Data'!$G$5:$G$13,1)+1,ROWS('Scratch Data'!$G$5:$G$13)))-INDEX('Scratch Data'!$G$5:$G$13,MATCH($A102,'Scratch Data'!$G$5:$G$13,1)),0.0001))*Inputs!$B$13,0),1),100))+(1-(INDEX('Scratch Data'!$H$5:$H$13,MATCH($A102,'Scratch Data'!$G$5:$G$13,1))+($A102-INDEX('Scratch Data'!$G$5:$G$13,MATCH($A102,'Scratch Data'!$G$5:$G$13,1)))*(INDEX('Scratch Data'!$H$5:$H$13,MIN(MATCH($A102,'Scratch Data'!$G$5:$G$13,1)+1,ROWS('Scratch Data'!$G$5:$G$13)))-INDEX('Scratch Data'!$H$5:$H$13,MATCH($A102,'Scratch Data'!$G$5:$G$13,1)))/MAX(INDEX('Scratch Data'!$G$5:$G$13,MIN(MATCH($A102,'Scratch Data'!$G$5:$G$13,1)+1,ROWS('Scratch Data'!$G$5:$G$13)))-INDEX('Scratch Data'!$G$5:$G$13,MATCH($A102,'Scratch Data'!$G$5:$G$13,1)),0.0001))*Inputs!$B$12)*((INDEX('Scratch Data'!$J$5:$J$13,MATCH($A102,'Scratch Data'!$G$5:$G$13,1))+($A102-INDEX('Scratch Data'!$G$5:$G$13,MATCH($A102,'Scratch Data'!$G$5:$G$13,1)))*(INDEX('Scratch Data'!$J$5:$J$13,MIN(MATCH($A102,'Scratch Data'!$G$5:$G$13,1)+1,ROWS('Scratch Data'!$G$5:$G$13)))-INDEX('Scratch Data'!$J$5:$J$13,MATCH($A102,'Scratch Data'!$G$5:$G$13,1)))/MAX(INDEX('Scratch Data'!$G$5:$G$13,MIN(MATCH($A102,'Scratch Data'!$G$5:$G$13,1)+1,ROWS('Scratch Data'!$G$5:$G$13)))-INDEX('Scratch Data'!$G$5:$G$13,MATCH($A102,'Scratch Data'!$G$5:$G$13,1)),0.0001))+Inputs!$B$14)),(1+Inputs!$B$19*INDEX(Baseline!$B$3:$B$122,MATCH(MIN(MAX(ROUND((MAX($A102-Inputs!$B$21,30))/5,0)*5,5),600),Baseline!$A$3:$A$122,0))+(1-Inputs!$B$19)*INDEX(Baseline!$C$3:$C$122,MATCH(MIN(MAX(ROUND((MAX($A102-Inputs!$B$21,30))/5,0)*5,5),600),Baseline!$A$3:$A$122,0))+Inputs!$B$14)),(1+Inputs!$B$19*INDEX(Baseline!$B$3:$B$122,MATCH(MIN(MAX(ROUND((MAX($A102-Inputs!$B$21,30))/5,0)*5,5),600),Baseline!$A$3:$A$122,0))+(1-Inputs!$B$19)*INDEX(Baseline!$C$3:$C$122,MATCH(MIN(MAX(ROUND((MAX($A102-Inputs!$B$21,30))/5,0)*5,5),600),Baseline!$A$3:$A$122,0))+Inputs!$B$14)))</f>
        <v>5.2091123744</v>
      </c>
      <c r="D102" s="10" t="n">
        <f aca="false">IF($A102&lt;=50,(INDEX('Scratch Data'!$P$5:$P$11,MATCH($A102,'Scratch Data'!$O$5:$O$11,1))+($A102-INDEX('Scratch Data'!$O$5:$O$11,MATCH($A102,'Scratch Data'!$O$5:$O$11,1)))*(INDEX('Scratch Data'!$P$5:$P$11,MIN(MATCH($A102,'Scratch Data'!$O$5:$O$11,1)+1,ROWS('Scratch Data'!$O$5:$O$11)))-INDEX('Scratch Data'!$P$5:$P$11,MATCH($A102,'Scratch Data'!$O$5:$O$11,1)))/MAX(INDEX('Scratch Data'!$O$5:$O$11,MIN(MATCH($A102,'Scratch Data'!$O$5:$O$11,1)+1,ROWS('Scratch Data'!$O$5:$O$11)))-INDEX('Scratch Data'!$O$5:$O$11,MATCH($A102,'Scratch Data'!$O$5:$O$11,1)),0.0001)),IF($A102&lt;=250,MIN((1+(INDEX('Scratch Data'!$H$5:$H$13,MATCH($A102,'Scratch Data'!$G$5:$G$13,1))+($A102-INDEX('Scratch Data'!$G$5:$G$13,MATCH($A102,'Scratch Data'!$G$5:$G$13,1)))*(INDEX('Scratch Data'!$H$5:$H$13,MIN(MATCH($A102,'Scratch Data'!$G$5:$G$13,1)+1,ROWS('Scratch Data'!$G$5:$G$13)))-INDEX('Scratch Data'!$H$5:$H$13,MATCH($A102,'Scratch Data'!$G$5:$G$13,1)))/MAX(INDEX('Scratch Data'!$G$5:$G$13,MIN(MATCH($A102,'Scratch Data'!$G$5:$G$13,1)+1,ROWS('Scratch Data'!$G$5:$G$13)))-INDEX('Scratch Data'!$G$5:$G$13,MATCH($A102,'Scratch Data'!$G$5:$G$13,1)),0.0001))*Inputs!$B$15*INDEX(Baseline!$I$3:$I$102,MIN(MAX(ROUND(Inputs!$B$11*(INDEX('Scratch Data'!$I$5:$I$13,MATCH($A102,'Scratch Data'!$G$5:$G$13,1))+($A102-INDEX('Scratch Data'!$G$5:$G$13,MATCH($A102,'Scratch Data'!$G$5:$G$13,1)))*(INDEX('Scratch Data'!$I$5:$I$13,MIN(MATCH($A102,'Scratch Data'!$G$5:$G$13,1)+1,ROWS('Scratch Data'!$G$5:$G$13)))-INDEX('Scratch Data'!$I$5:$I$13,MATCH($A102,'Scratch Data'!$G$5:$G$13,1)))/MAX(INDEX('Scratch Data'!$G$5:$G$13,MIN(MATCH($A102,'Scratch Data'!$G$5:$G$13,1)+1,ROWS('Scratch Data'!$G$5:$G$13)))-INDEX('Scratch Data'!$G$5:$G$13,MATCH($A102,'Scratch Data'!$G$5:$G$13,1)),0.0001))*Inputs!$B$16,0),1),100))+(1-(INDEX('Scratch Data'!$H$5:$H$13,MATCH($A102,'Scratch Data'!$G$5:$G$13,1))+($A102-INDEX('Scratch Data'!$G$5:$G$13,MATCH($A102,'Scratch Data'!$G$5:$G$13,1)))*(INDEX('Scratch Data'!$H$5:$H$13,MIN(MATCH($A102,'Scratch Data'!$G$5:$G$13,1)+1,ROWS('Scratch Data'!$G$5:$G$13)))-INDEX('Scratch Data'!$H$5:$H$13,MATCH($A102,'Scratch Data'!$G$5:$G$13,1)))/MAX(INDEX('Scratch Data'!$G$5:$G$13,MIN(MATCH($A102,'Scratch Data'!$G$5:$G$13,1)+1,ROWS('Scratch Data'!$G$5:$G$13)))-INDEX('Scratch Data'!$G$5:$G$13,MATCH($A102,'Scratch Data'!$G$5:$G$13,1)),0.0001))*Inputs!$B$15)*((INDEX('Scratch Data'!$J$5:$J$13,MATCH($A102,'Scratch Data'!$G$5:$G$13,1))+($A102-INDEX('Scratch Data'!$G$5:$G$13,MATCH($A102,'Scratch Data'!$G$5:$G$13,1)))*(INDEX('Scratch Data'!$J$5:$J$13,MIN(MATCH($A102,'Scratch Data'!$G$5:$G$13,1)+1,ROWS('Scratch Data'!$G$5:$G$13)))-INDEX('Scratch Data'!$J$5:$J$13,MATCH($A102,'Scratch Data'!$G$5:$G$13,1)))/MAX(INDEX('Scratch Data'!$G$5:$G$13,MIN(MATCH($A102,'Scratch Data'!$G$5:$G$13,1)+1,ROWS('Scratch Data'!$G$5:$G$13)))-INDEX('Scratch Data'!$G$5:$G$13,MATCH($A102,'Scratch Data'!$G$5:$G$13,1)),0.0001))+Inputs!$B$17)),(1+Inputs!$B$19*INDEX(Baseline!$B$3:$B$122,MATCH(MIN(MAX(ROUND((MAX($A102-Inputs!$B$22,30))/5,0)*5,5),600),Baseline!$A$3:$A$122,0))+(1-Inputs!$B$19)*INDEX(Baseline!$C$3:$C$122,MATCH(MIN(MAX(ROUND((MAX($A102-Inputs!$B$22,30))/5,0)*5,5),600),Baseline!$A$3:$A$122,0))+Inputs!$B$17)),(1+Inputs!$B$19*INDEX(Baseline!$B$3:$B$122,MATCH(MIN(MAX(ROUND((MAX($A102-Inputs!$B$22,30))/5,0)*5,5),600),Baseline!$A$3:$A$122,0))+(1-Inputs!$B$19)*INDEX(Baseline!$C$3:$C$122,MATCH(MIN(MAX(ROUND((MAX($A102-Inputs!$B$22,30))/5,0)*5,5),600),Baseline!$A$3:$A$122,0))+Inputs!$B$17)))</f>
        <v>5.3893114688</v>
      </c>
      <c r="E102" s="10" t="n">
        <f aca="false">1+Inputs!$B$24+0.6*INDEX(Baseline!$B$3:$B$122,MATCH(MIN(MAX(ROUND((MAX($A102-Inputs!$B$23,15))/5,0)*5,5),600),Baseline!$A$3:$A$122,0))+0.4*INDEX(Baseline!$C$3:$C$122,MATCH(MIN(MAX(ROUND((MAX($A102-Inputs!$B$23,15))/5,0)*5,5),600),Baseline!$A$3:$A$122,0))</f>
        <v>5.6131828032</v>
      </c>
      <c r="H102" s="7" t="n">
        <v>100</v>
      </c>
      <c r="I102" s="10" t="n">
        <f aca="false">(INDEX('Scratch Data'!$E$5:$E$22,MATCH($H102,'Scratch Data'!$A$5:$A$22,1))+($H102-INDEX('Scratch Data'!$A$5:$A$22,MATCH($H102,'Scratch Data'!$A$5:$A$22,1)))*(INDEX('Scratch Data'!$E$5:$E$22,MIN(MATCH($H102,'Scratch Data'!$A$5:$A$22,1)+1,ROWS('Scratch Data'!$A$5:$A$22)))-INDEX('Scratch Data'!$E$5:$E$22,MATCH($H102,'Scratch Data'!$A$5:$A$22,1)))/MAX(INDEX('Scratch Data'!$A$5:$A$22,MIN(MATCH($H102,'Scratch Data'!$A$5:$A$22,1)+1,ROWS('Scratch Data'!$A$5:$A$22)))-INDEX('Scratch Data'!$A$5:$A$22,MATCH($H102,'Scratch Data'!$A$5:$A$22,1)),0.0001))</f>
        <v>2.56</v>
      </c>
    </row>
    <row r="103" customFormat="false" ht="15" hidden="false" customHeight="false" outlineLevel="0" collapsed="false">
      <c r="A103" s="7" t="n">
        <v>505</v>
      </c>
      <c r="B103" s="10" t="n">
        <f aca="false">IF($A103&lt;=50,(INDEX('Scratch Data'!$M$5:$M$12,MATCH($A103,'Scratch Data'!$L$5:$L$12,1))+($A103-INDEX('Scratch Data'!$L$5:$L$12,MATCH($A103,'Scratch Data'!$L$5:$L$12,1)))*(INDEX('Scratch Data'!$M$5:$M$12,MIN(MATCH($A103,'Scratch Data'!$L$5:$L$12,1)+1,ROWS('Scratch Data'!$L$5:$L$12)))-INDEX('Scratch Data'!$M$5:$M$12,MATCH($A103,'Scratch Data'!$L$5:$L$12,1)))/MAX(INDEX('Scratch Data'!$L$5:$L$12,MIN(MATCH($A103,'Scratch Data'!$L$5:$L$12,1)+1,ROWS('Scratch Data'!$L$5:$L$12)))-INDEX('Scratch Data'!$L$5:$L$12,MATCH($A103,'Scratch Data'!$L$5:$L$12,1)),0.0001)),IF($A103&lt;=250,MIN((1+(INDEX('Scratch Data'!$H$5:$H$13,MATCH($A103,'Scratch Data'!$G$5:$G$13,1))+($A103-INDEX('Scratch Data'!$G$5:$G$13,MATCH($A103,'Scratch Data'!$G$5:$G$13,1)))*(INDEX('Scratch Data'!$H$5:$H$13,MIN(MATCH($A103,'Scratch Data'!$G$5:$G$13,1)+1,ROWS('Scratch Data'!$G$5:$G$13)))-INDEX('Scratch Data'!$H$5:$H$13,MATCH($A103,'Scratch Data'!$G$5:$G$13,1)))/MAX(INDEX('Scratch Data'!$G$5:$G$13,MIN(MATCH($A103,'Scratch Data'!$G$5:$G$13,1)+1,ROWS('Scratch Data'!$G$5:$G$13)))-INDEX('Scratch Data'!$G$5:$G$13,MATCH($A103,'Scratch Data'!$G$5:$G$13,1)),0.0001))*INDEX(Baseline!$I$3:$I$102,MIN(MAX(ROUND(Inputs!$B$11*(INDEX('Scratch Data'!$I$5:$I$13,MATCH($A103,'Scratch Data'!$G$5:$G$13,1))+($A103-INDEX('Scratch Data'!$G$5:$G$13,MATCH($A103,'Scratch Data'!$G$5:$G$13,1)))*(INDEX('Scratch Data'!$I$5:$I$13,MIN(MATCH($A103,'Scratch Data'!$G$5:$G$13,1)+1,ROWS('Scratch Data'!$G$5:$G$13)))-INDEX('Scratch Data'!$I$5:$I$13,MATCH($A103,'Scratch Data'!$G$5:$G$13,1)))/MAX(INDEX('Scratch Data'!$G$5:$G$13,MIN(MATCH($A103,'Scratch Data'!$G$5:$G$13,1)+1,ROWS('Scratch Data'!$G$5:$G$13)))-INDEX('Scratch Data'!$G$5:$G$13,MATCH($A103,'Scratch Data'!$G$5:$G$13,1)),0.0001)),0),1),100))+(1-(INDEX('Scratch Data'!$H$5:$H$13,MATCH($A103,'Scratch Data'!$G$5:$G$13,1))+($A103-INDEX('Scratch Data'!$G$5:$G$13,MATCH($A103,'Scratch Data'!$G$5:$G$13,1)))*(INDEX('Scratch Data'!$H$5:$H$13,MIN(MATCH($A103,'Scratch Data'!$G$5:$G$13,1)+1,ROWS('Scratch Data'!$G$5:$G$13)))-INDEX('Scratch Data'!$H$5:$H$13,MATCH($A103,'Scratch Data'!$G$5:$G$13,1)))/MAX(INDEX('Scratch Data'!$G$5:$G$13,MIN(MATCH($A103,'Scratch Data'!$G$5:$G$13,1)+1,ROWS('Scratch Data'!$G$5:$G$13)))-INDEX('Scratch Data'!$G$5:$G$13,MATCH($A103,'Scratch Data'!$G$5:$G$13,1)),0.0001)))*(INDEX('Scratch Data'!$J$5:$J$13,MATCH($A103,'Scratch Data'!$G$5:$G$13,1))+($A103-INDEX('Scratch Data'!$G$5:$G$13,MATCH($A103,'Scratch Data'!$G$5:$G$13,1)))*(INDEX('Scratch Data'!$J$5:$J$13,MIN(MATCH($A103,'Scratch Data'!$G$5:$G$13,1)+1,ROWS('Scratch Data'!$G$5:$G$13)))-INDEX('Scratch Data'!$J$5:$J$13,MATCH($A103,'Scratch Data'!$G$5:$G$13,1)))/MAX(INDEX('Scratch Data'!$G$5:$G$13,MIN(MATCH($A103,'Scratch Data'!$G$5:$G$13,1)+1,ROWS('Scratch Data'!$G$5:$G$13)))-INDEX('Scratch Data'!$G$5:$G$13,MATCH($A103,'Scratch Data'!$G$5:$G$13,1)),0.0001))),(1+Inputs!$B$19*INDEX(Baseline!$B$3:$B$122,MATCH(MIN(MAX(ROUND((MAX($A103-Inputs!$B$20,30))/5,0)*5,5),600),Baseline!$A$3:$A$122,0))+(1-Inputs!$B$19)*INDEX(Baseline!$C$3:$C$122,MATCH(MIN(MAX(ROUND((MAX($A103-Inputs!$B$20,30))/5,0)*5,5),600),Baseline!$A$3:$A$122,0)))),(1+Inputs!$B$19*INDEX(Baseline!$B$3:$B$122,MATCH(MIN(MAX(ROUND((MAX($A103-Inputs!$B$20,30))/5,0)*5,5),600),Baseline!$A$3:$A$122,0))+(1-Inputs!$B$19)*INDEX(Baseline!$C$3:$C$122,MATCH(MIN(MAX(ROUND((MAX($A103-Inputs!$B$20,30))/5,0)*5,5),600),Baseline!$A$3:$A$122,0)))))</f>
        <v>5.0017724968</v>
      </c>
      <c r="C103" s="10" t="n">
        <f aca="false">IF($A103&lt;=50,$B103+Inputs!$B$18,IF($A103&lt;=250,MIN((1+(INDEX('Scratch Data'!$H$5:$H$13,MATCH($A103,'Scratch Data'!$G$5:$G$13,1))+($A103-INDEX('Scratch Data'!$G$5:$G$13,MATCH($A103,'Scratch Data'!$G$5:$G$13,1)))*(INDEX('Scratch Data'!$H$5:$H$13,MIN(MATCH($A103,'Scratch Data'!$G$5:$G$13,1)+1,ROWS('Scratch Data'!$G$5:$G$13)))-INDEX('Scratch Data'!$H$5:$H$13,MATCH($A103,'Scratch Data'!$G$5:$G$13,1)))/MAX(INDEX('Scratch Data'!$G$5:$G$13,MIN(MATCH($A103,'Scratch Data'!$G$5:$G$13,1)+1,ROWS('Scratch Data'!$G$5:$G$13)))-INDEX('Scratch Data'!$G$5:$G$13,MATCH($A103,'Scratch Data'!$G$5:$G$13,1)),0.0001))*Inputs!$B$12*INDEX(Baseline!$I$3:$I$102,MIN(MAX(ROUND(Inputs!$B$11*(INDEX('Scratch Data'!$I$5:$I$13,MATCH($A103,'Scratch Data'!$G$5:$G$13,1))+($A103-INDEX('Scratch Data'!$G$5:$G$13,MATCH($A103,'Scratch Data'!$G$5:$G$13,1)))*(INDEX('Scratch Data'!$I$5:$I$13,MIN(MATCH($A103,'Scratch Data'!$G$5:$G$13,1)+1,ROWS('Scratch Data'!$G$5:$G$13)))-INDEX('Scratch Data'!$I$5:$I$13,MATCH($A103,'Scratch Data'!$G$5:$G$13,1)))/MAX(INDEX('Scratch Data'!$G$5:$G$13,MIN(MATCH($A103,'Scratch Data'!$G$5:$G$13,1)+1,ROWS('Scratch Data'!$G$5:$G$13)))-INDEX('Scratch Data'!$G$5:$G$13,MATCH($A103,'Scratch Data'!$G$5:$G$13,1)),0.0001))*Inputs!$B$13,0),1),100))+(1-(INDEX('Scratch Data'!$H$5:$H$13,MATCH($A103,'Scratch Data'!$G$5:$G$13,1))+($A103-INDEX('Scratch Data'!$G$5:$G$13,MATCH($A103,'Scratch Data'!$G$5:$G$13,1)))*(INDEX('Scratch Data'!$H$5:$H$13,MIN(MATCH($A103,'Scratch Data'!$G$5:$G$13,1)+1,ROWS('Scratch Data'!$G$5:$G$13)))-INDEX('Scratch Data'!$H$5:$H$13,MATCH($A103,'Scratch Data'!$G$5:$G$13,1)))/MAX(INDEX('Scratch Data'!$G$5:$G$13,MIN(MATCH($A103,'Scratch Data'!$G$5:$G$13,1)+1,ROWS('Scratch Data'!$G$5:$G$13)))-INDEX('Scratch Data'!$G$5:$G$13,MATCH($A103,'Scratch Data'!$G$5:$G$13,1)),0.0001))*Inputs!$B$12)*((INDEX('Scratch Data'!$J$5:$J$13,MATCH($A103,'Scratch Data'!$G$5:$G$13,1))+($A103-INDEX('Scratch Data'!$G$5:$G$13,MATCH($A103,'Scratch Data'!$G$5:$G$13,1)))*(INDEX('Scratch Data'!$J$5:$J$13,MIN(MATCH($A103,'Scratch Data'!$G$5:$G$13,1)+1,ROWS('Scratch Data'!$G$5:$G$13)))-INDEX('Scratch Data'!$J$5:$J$13,MATCH($A103,'Scratch Data'!$G$5:$G$13,1)))/MAX(INDEX('Scratch Data'!$G$5:$G$13,MIN(MATCH($A103,'Scratch Data'!$G$5:$G$13,1)+1,ROWS('Scratch Data'!$G$5:$G$13)))-INDEX('Scratch Data'!$G$5:$G$13,MATCH($A103,'Scratch Data'!$G$5:$G$13,1)),0.0001))+Inputs!$B$14)),(1+Inputs!$B$19*INDEX(Baseline!$B$3:$B$122,MATCH(MIN(MAX(ROUND((MAX($A103-Inputs!$B$21,30))/5,0)*5,5),600),Baseline!$A$3:$A$122,0))+(1-Inputs!$B$19)*INDEX(Baseline!$C$3:$C$122,MATCH(MIN(MAX(ROUND((MAX($A103-Inputs!$B$21,30))/5,0)*5,5),600),Baseline!$A$3:$A$122,0))+Inputs!$B$14)),(1+Inputs!$B$19*INDEX(Baseline!$B$3:$B$122,MATCH(MIN(MAX(ROUND((MAX($A103-Inputs!$B$21,30))/5,0)*5,5),600),Baseline!$A$3:$A$122,0))+(1-Inputs!$B$19)*INDEX(Baseline!$C$3:$C$122,MATCH(MIN(MAX(ROUND((MAX($A103-Inputs!$B$21,30))/5,0)*5,5),600),Baseline!$A$3:$A$122,0))+Inputs!$B$14)))</f>
        <v>5.22623780853333</v>
      </c>
      <c r="D103" s="10" t="n">
        <f aca="false">IF($A103&lt;=50,(INDEX('Scratch Data'!$P$5:$P$11,MATCH($A103,'Scratch Data'!$O$5:$O$11,1))+($A103-INDEX('Scratch Data'!$O$5:$O$11,MATCH($A103,'Scratch Data'!$O$5:$O$11,1)))*(INDEX('Scratch Data'!$P$5:$P$11,MIN(MATCH($A103,'Scratch Data'!$O$5:$O$11,1)+1,ROWS('Scratch Data'!$O$5:$O$11)))-INDEX('Scratch Data'!$P$5:$P$11,MATCH($A103,'Scratch Data'!$O$5:$O$11,1)))/MAX(INDEX('Scratch Data'!$O$5:$O$11,MIN(MATCH($A103,'Scratch Data'!$O$5:$O$11,1)+1,ROWS('Scratch Data'!$O$5:$O$11)))-INDEX('Scratch Data'!$O$5:$O$11,MATCH($A103,'Scratch Data'!$O$5:$O$11,1)),0.0001)),IF($A103&lt;=250,MIN((1+(INDEX('Scratch Data'!$H$5:$H$13,MATCH($A103,'Scratch Data'!$G$5:$G$13,1))+($A103-INDEX('Scratch Data'!$G$5:$G$13,MATCH($A103,'Scratch Data'!$G$5:$G$13,1)))*(INDEX('Scratch Data'!$H$5:$H$13,MIN(MATCH($A103,'Scratch Data'!$G$5:$G$13,1)+1,ROWS('Scratch Data'!$G$5:$G$13)))-INDEX('Scratch Data'!$H$5:$H$13,MATCH($A103,'Scratch Data'!$G$5:$G$13,1)))/MAX(INDEX('Scratch Data'!$G$5:$G$13,MIN(MATCH($A103,'Scratch Data'!$G$5:$G$13,1)+1,ROWS('Scratch Data'!$G$5:$G$13)))-INDEX('Scratch Data'!$G$5:$G$13,MATCH($A103,'Scratch Data'!$G$5:$G$13,1)),0.0001))*Inputs!$B$15*INDEX(Baseline!$I$3:$I$102,MIN(MAX(ROUND(Inputs!$B$11*(INDEX('Scratch Data'!$I$5:$I$13,MATCH($A103,'Scratch Data'!$G$5:$G$13,1))+($A103-INDEX('Scratch Data'!$G$5:$G$13,MATCH($A103,'Scratch Data'!$G$5:$G$13,1)))*(INDEX('Scratch Data'!$I$5:$I$13,MIN(MATCH($A103,'Scratch Data'!$G$5:$G$13,1)+1,ROWS('Scratch Data'!$G$5:$G$13)))-INDEX('Scratch Data'!$I$5:$I$13,MATCH($A103,'Scratch Data'!$G$5:$G$13,1)))/MAX(INDEX('Scratch Data'!$G$5:$G$13,MIN(MATCH($A103,'Scratch Data'!$G$5:$G$13,1)+1,ROWS('Scratch Data'!$G$5:$G$13)))-INDEX('Scratch Data'!$G$5:$G$13,MATCH($A103,'Scratch Data'!$G$5:$G$13,1)),0.0001))*Inputs!$B$16,0),1),100))+(1-(INDEX('Scratch Data'!$H$5:$H$13,MATCH($A103,'Scratch Data'!$G$5:$G$13,1))+($A103-INDEX('Scratch Data'!$G$5:$G$13,MATCH($A103,'Scratch Data'!$G$5:$G$13,1)))*(INDEX('Scratch Data'!$H$5:$H$13,MIN(MATCH($A103,'Scratch Data'!$G$5:$G$13,1)+1,ROWS('Scratch Data'!$G$5:$G$13)))-INDEX('Scratch Data'!$H$5:$H$13,MATCH($A103,'Scratch Data'!$G$5:$G$13,1)))/MAX(INDEX('Scratch Data'!$G$5:$G$13,MIN(MATCH($A103,'Scratch Data'!$G$5:$G$13,1)+1,ROWS('Scratch Data'!$G$5:$G$13)))-INDEX('Scratch Data'!$G$5:$G$13,MATCH($A103,'Scratch Data'!$G$5:$G$13,1)),0.0001))*Inputs!$B$15)*((INDEX('Scratch Data'!$J$5:$J$13,MATCH($A103,'Scratch Data'!$G$5:$G$13,1))+($A103-INDEX('Scratch Data'!$G$5:$G$13,MATCH($A103,'Scratch Data'!$G$5:$G$13,1)))*(INDEX('Scratch Data'!$J$5:$J$13,MIN(MATCH($A103,'Scratch Data'!$G$5:$G$13,1)+1,ROWS('Scratch Data'!$G$5:$G$13)))-INDEX('Scratch Data'!$J$5:$J$13,MATCH($A103,'Scratch Data'!$G$5:$G$13,1)))/MAX(INDEX('Scratch Data'!$G$5:$G$13,MIN(MATCH($A103,'Scratch Data'!$G$5:$G$13,1)+1,ROWS('Scratch Data'!$G$5:$G$13)))-INDEX('Scratch Data'!$G$5:$G$13,MATCH($A103,'Scratch Data'!$G$5:$G$13,1)),0.0001))+Inputs!$B$17)),(1+Inputs!$B$19*INDEX(Baseline!$B$3:$B$122,MATCH(MIN(MAX(ROUND((MAX($A103-Inputs!$B$22,30))/5,0)*5,5),600),Baseline!$A$3:$A$122,0))+(1-Inputs!$B$19)*INDEX(Baseline!$C$3:$C$122,MATCH(MIN(MAX(ROUND((MAX($A103-Inputs!$B$22,30))/5,0)*5,5),600),Baseline!$A$3:$A$122,0))+Inputs!$B$17)),(1+Inputs!$B$19*INDEX(Baseline!$B$3:$B$122,MATCH(MIN(MAX(ROUND((MAX($A103-Inputs!$B$22,30))/5,0)*5,5),600),Baseline!$A$3:$A$122,0))+(1-Inputs!$B$19)*INDEX(Baseline!$C$3:$C$122,MATCH(MIN(MAX(ROUND((MAX($A103-Inputs!$B$22,30))/5,0)*5,5),600),Baseline!$A$3:$A$122,0))+Inputs!$B$17)))</f>
        <v>5.40226768</v>
      </c>
      <c r="E103" s="10" t="n">
        <f aca="false">1+Inputs!$B$24+0.6*INDEX(Baseline!$B$3:$B$122,MATCH(MIN(MAX(ROUND((MAX($A103-Inputs!$B$23,15))/5,0)*5,5),600),Baseline!$A$3:$A$122,0))+0.4*INDEX(Baseline!$C$3:$C$122,MATCH(MIN(MAX(ROUND((MAX($A103-Inputs!$B$23,15))/5,0)*5,5),600),Baseline!$A$3:$A$122,0))</f>
        <v>5.6377994768</v>
      </c>
    </row>
    <row r="104" customFormat="false" ht="15" hidden="false" customHeight="false" outlineLevel="0" collapsed="false">
      <c r="A104" s="7" t="n">
        <v>510</v>
      </c>
      <c r="B104" s="10" t="n">
        <f aca="false">IF($A104&lt;=50,(INDEX('Scratch Data'!$M$5:$M$12,MATCH($A104,'Scratch Data'!$L$5:$L$12,1))+($A104-INDEX('Scratch Data'!$L$5:$L$12,MATCH($A104,'Scratch Data'!$L$5:$L$12,1)))*(INDEX('Scratch Data'!$M$5:$M$12,MIN(MATCH($A104,'Scratch Data'!$L$5:$L$12,1)+1,ROWS('Scratch Data'!$L$5:$L$12)))-INDEX('Scratch Data'!$M$5:$M$12,MATCH($A104,'Scratch Data'!$L$5:$L$12,1)))/MAX(INDEX('Scratch Data'!$L$5:$L$12,MIN(MATCH($A104,'Scratch Data'!$L$5:$L$12,1)+1,ROWS('Scratch Data'!$L$5:$L$12)))-INDEX('Scratch Data'!$L$5:$L$12,MATCH($A104,'Scratch Data'!$L$5:$L$12,1)),0.0001)),IF($A104&lt;=250,MIN((1+(INDEX('Scratch Data'!$H$5:$H$13,MATCH($A104,'Scratch Data'!$G$5:$G$13,1))+($A104-INDEX('Scratch Data'!$G$5:$G$13,MATCH($A104,'Scratch Data'!$G$5:$G$13,1)))*(INDEX('Scratch Data'!$H$5:$H$13,MIN(MATCH($A104,'Scratch Data'!$G$5:$G$13,1)+1,ROWS('Scratch Data'!$G$5:$G$13)))-INDEX('Scratch Data'!$H$5:$H$13,MATCH($A104,'Scratch Data'!$G$5:$G$13,1)))/MAX(INDEX('Scratch Data'!$G$5:$G$13,MIN(MATCH($A104,'Scratch Data'!$G$5:$G$13,1)+1,ROWS('Scratch Data'!$G$5:$G$13)))-INDEX('Scratch Data'!$G$5:$G$13,MATCH($A104,'Scratch Data'!$G$5:$G$13,1)),0.0001))*INDEX(Baseline!$I$3:$I$102,MIN(MAX(ROUND(Inputs!$B$11*(INDEX('Scratch Data'!$I$5:$I$13,MATCH($A104,'Scratch Data'!$G$5:$G$13,1))+($A104-INDEX('Scratch Data'!$G$5:$G$13,MATCH($A104,'Scratch Data'!$G$5:$G$13,1)))*(INDEX('Scratch Data'!$I$5:$I$13,MIN(MATCH($A104,'Scratch Data'!$G$5:$G$13,1)+1,ROWS('Scratch Data'!$G$5:$G$13)))-INDEX('Scratch Data'!$I$5:$I$13,MATCH($A104,'Scratch Data'!$G$5:$G$13,1)))/MAX(INDEX('Scratch Data'!$G$5:$G$13,MIN(MATCH($A104,'Scratch Data'!$G$5:$G$13,1)+1,ROWS('Scratch Data'!$G$5:$G$13)))-INDEX('Scratch Data'!$G$5:$G$13,MATCH($A104,'Scratch Data'!$G$5:$G$13,1)),0.0001)),0),1),100))+(1-(INDEX('Scratch Data'!$H$5:$H$13,MATCH($A104,'Scratch Data'!$G$5:$G$13,1))+($A104-INDEX('Scratch Data'!$G$5:$G$13,MATCH($A104,'Scratch Data'!$G$5:$G$13,1)))*(INDEX('Scratch Data'!$H$5:$H$13,MIN(MATCH($A104,'Scratch Data'!$G$5:$G$13,1)+1,ROWS('Scratch Data'!$G$5:$G$13)))-INDEX('Scratch Data'!$H$5:$H$13,MATCH($A104,'Scratch Data'!$G$5:$G$13,1)))/MAX(INDEX('Scratch Data'!$G$5:$G$13,MIN(MATCH($A104,'Scratch Data'!$G$5:$G$13,1)+1,ROWS('Scratch Data'!$G$5:$G$13)))-INDEX('Scratch Data'!$G$5:$G$13,MATCH($A104,'Scratch Data'!$G$5:$G$13,1)),0.0001)))*(INDEX('Scratch Data'!$J$5:$J$13,MATCH($A104,'Scratch Data'!$G$5:$G$13,1))+($A104-INDEX('Scratch Data'!$G$5:$G$13,MATCH($A104,'Scratch Data'!$G$5:$G$13,1)))*(INDEX('Scratch Data'!$J$5:$J$13,MIN(MATCH($A104,'Scratch Data'!$G$5:$G$13,1)+1,ROWS('Scratch Data'!$G$5:$G$13)))-INDEX('Scratch Data'!$J$5:$J$13,MATCH($A104,'Scratch Data'!$G$5:$G$13,1)))/MAX(INDEX('Scratch Data'!$G$5:$G$13,MIN(MATCH($A104,'Scratch Data'!$G$5:$G$13,1)+1,ROWS('Scratch Data'!$G$5:$G$13)))-INDEX('Scratch Data'!$G$5:$G$13,MATCH($A104,'Scratch Data'!$G$5:$G$13,1)),0.0001))),(1+Inputs!$B$19*INDEX(Baseline!$B$3:$B$122,MATCH(MIN(MAX(ROUND((MAX($A104-Inputs!$B$20,30))/5,0)*5,5),600),Baseline!$A$3:$A$122,0))+(1-Inputs!$B$19)*INDEX(Baseline!$C$3:$C$122,MATCH(MIN(MAX(ROUND((MAX($A104-Inputs!$B$20,30))/5,0)*5,5),600),Baseline!$A$3:$A$122,0)))),(1+Inputs!$B$19*INDEX(Baseline!$B$3:$B$122,MATCH(MIN(MAX(ROUND((MAX($A104-Inputs!$B$20,30))/5,0)*5,5),600),Baseline!$A$3:$A$122,0))+(1-Inputs!$B$19)*INDEX(Baseline!$C$3:$C$122,MATCH(MIN(MAX(ROUND((MAX($A104-Inputs!$B$20,30))/5,0)*5,5),600),Baseline!$A$3:$A$122,0)))))</f>
        <v>5.015161936</v>
      </c>
      <c r="C104" s="10" t="n">
        <f aca="false">IF($A104&lt;=50,$B104+Inputs!$B$18,IF($A104&lt;=250,MIN((1+(INDEX('Scratch Data'!$H$5:$H$13,MATCH($A104,'Scratch Data'!$G$5:$G$13,1))+($A104-INDEX('Scratch Data'!$G$5:$G$13,MATCH($A104,'Scratch Data'!$G$5:$G$13,1)))*(INDEX('Scratch Data'!$H$5:$H$13,MIN(MATCH($A104,'Scratch Data'!$G$5:$G$13,1)+1,ROWS('Scratch Data'!$G$5:$G$13)))-INDEX('Scratch Data'!$H$5:$H$13,MATCH($A104,'Scratch Data'!$G$5:$G$13,1)))/MAX(INDEX('Scratch Data'!$G$5:$G$13,MIN(MATCH($A104,'Scratch Data'!$G$5:$G$13,1)+1,ROWS('Scratch Data'!$G$5:$G$13)))-INDEX('Scratch Data'!$G$5:$G$13,MATCH($A104,'Scratch Data'!$G$5:$G$13,1)),0.0001))*Inputs!$B$12*INDEX(Baseline!$I$3:$I$102,MIN(MAX(ROUND(Inputs!$B$11*(INDEX('Scratch Data'!$I$5:$I$13,MATCH($A104,'Scratch Data'!$G$5:$G$13,1))+($A104-INDEX('Scratch Data'!$G$5:$G$13,MATCH($A104,'Scratch Data'!$G$5:$G$13,1)))*(INDEX('Scratch Data'!$I$5:$I$13,MIN(MATCH($A104,'Scratch Data'!$G$5:$G$13,1)+1,ROWS('Scratch Data'!$G$5:$G$13)))-INDEX('Scratch Data'!$I$5:$I$13,MATCH($A104,'Scratch Data'!$G$5:$G$13,1)))/MAX(INDEX('Scratch Data'!$G$5:$G$13,MIN(MATCH($A104,'Scratch Data'!$G$5:$G$13,1)+1,ROWS('Scratch Data'!$G$5:$G$13)))-INDEX('Scratch Data'!$G$5:$G$13,MATCH($A104,'Scratch Data'!$G$5:$G$13,1)),0.0001))*Inputs!$B$13,0),1),100))+(1-(INDEX('Scratch Data'!$H$5:$H$13,MATCH($A104,'Scratch Data'!$G$5:$G$13,1))+($A104-INDEX('Scratch Data'!$G$5:$G$13,MATCH($A104,'Scratch Data'!$G$5:$G$13,1)))*(INDEX('Scratch Data'!$H$5:$H$13,MIN(MATCH($A104,'Scratch Data'!$G$5:$G$13,1)+1,ROWS('Scratch Data'!$G$5:$G$13)))-INDEX('Scratch Data'!$H$5:$H$13,MATCH($A104,'Scratch Data'!$G$5:$G$13,1)))/MAX(INDEX('Scratch Data'!$G$5:$G$13,MIN(MATCH($A104,'Scratch Data'!$G$5:$G$13,1)+1,ROWS('Scratch Data'!$G$5:$G$13)))-INDEX('Scratch Data'!$G$5:$G$13,MATCH($A104,'Scratch Data'!$G$5:$G$13,1)),0.0001))*Inputs!$B$12)*((INDEX('Scratch Data'!$J$5:$J$13,MATCH($A104,'Scratch Data'!$G$5:$G$13,1))+($A104-INDEX('Scratch Data'!$G$5:$G$13,MATCH($A104,'Scratch Data'!$G$5:$G$13,1)))*(INDEX('Scratch Data'!$J$5:$J$13,MIN(MATCH($A104,'Scratch Data'!$G$5:$G$13,1)+1,ROWS('Scratch Data'!$G$5:$G$13)))-INDEX('Scratch Data'!$J$5:$J$13,MATCH($A104,'Scratch Data'!$G$5:$G$13,1)))/MAX(INDEX('Scratch Data'!$G$5:$G$13,MIN(MATCH($A104,'Scratch Data'!$G$5:$G$13,1)+1,ROWS('Scratch Data'!$G$5:$G$13)))-INDEX('Scratch Data'!$G$5:$G$13,MATCH($A104,'Scratch Data'!$G$5:$G$13,1)),0.0001))+Inputs!$B$14)),(1+Inputs!$B$19*INDEX(Baseline!$B$3:$B$122,MATCH(MIN(MAX(ROUND((MAX($A104-Inputs!$B$21,30))/5,0)*5,5),600),Baseline!$A$3:$A$122,0))+(1-Inputs!$B$19)*INDEX(Baseline!$C$3:$C$122,MATCH(MIN(MAX(ROUND((MAX($A104-Inputs!$B$21,30))/5,0)*5,5),600),Baseline!$A$3:$A$122,0))+Inputs!$B$14)),(1+Inputs!$B$19*INDEX(Baseline!$B$3:$B$122,MATCH(MIN(MAX(ROUND((MAX($A104-Inputs!$B$21,30))/5,0)*5,5),600),Baseline!$A$3:$A$122,0))+(1-Inputs!$B$19)*INDEX(Baseline!$C$3:$C$122,MATCH(MIN(MAX(ROUND((MAX($A104-Inputs!$B$21,30))/5,0)*5,5),600),Baseline!$A$3:$A$122,0))+Inputs!$B$14)))</f>
        <v>5.2474151072</v>
      </c>
      <c r="D104" s="10" t="n">
        <f aca="false">IF($A104&lt;=50,(INDEX('Scratch Data'!$P$5:$P$11,MATCH($A104,'Scratch Data'!$O$5:$O$11,1))+($A104-INDEX('Scratch Data'!$O$5:$O$11,MATCH($A104,'Scratch Data'!$O$5:$O$11,1)))*(INDEX('Scratch Data'!$P$5:$P$11,MIN(MATCH($A104,'Scratch Data'!$O$5:$O$11,1)+1,ROWS('Scratch Data'!$O$5:$O$11)))-INDEX('Scratch Data'!$P$5:$P$11,MATCH($A104,'Scratch Data'!$O$5:$O$11,1)))/MAX(INDEX('Scratch Data'!$O$5:$O$11,MIN(MATCH($A104,'Scratch Data'!$O$5:$O$11,1)+1,ROWS('Scratch Data'!$O$5:$O$11)))-INDEX('Scratch Data'!$O$5:$O$11,MATCH($A104,'Scratch Data'!$O$5:$O$11,1)),0.0001)),IF($A104&lt;=250,MIN((1+(INDEX('Scratch Data'!$H$5:$H$13,MATCH($A104,'Scratch Data'!$G$5:$G$13,1))+($A104-INDEX('Scratch Data'!$G$5:$G$13,MATCH($A104,'Scratch Data'!$G$5:$G$13,1)))*(INDEX('Scratch Data'!$H$5:$H$13,MIN(MATCH($A104,'Scratch Data'!$G$5:$G$13,1)+1,ROWS('Scratch Data'!$G$5:$G$13)))-INDEX('Scratch Data'!$H$5:$H$13,MATCH($A104,'Scratch Data'!$G$5:$G$13,1)))/MAX(INDEX('Scratch Data'!$G$5:$G$13,MIN(MATCH($A104,'Scratch Data'!$G$5:$G$13,1)+1,ROWS('Scratch Data'!$G$5:$G$13)))-INDEX('Scratch Data'!$G$5:$G$13,MATCH($A104,'Scratch Data'!$G$5:$G$13,1)),0.0001))*Inputs!$B$15*INDEX(Baseline!$I$3:$I$102,MIN(MAX(ROUND(Inputs!$B$11*(INDEX('Scratch Data'!$I$5:$I$13,MATCH($A104,'Scratch Data'!$G$5:$G$13,1))+($A104-INDEX('Scratch Data'!$G$5:$G$13,MATCH($A104,'Scratch Data'!$G$5:$G$13,1)))*(INDEX('Scratch Data'!$I$5:$I$13,MIN(MATCH($A104,'Scratch Data'!$G$5:$G$13,1)+1,ROWS('Scratch Data'!$G$5:$G$13)))-INDEX('Scratch Data'!$I$5:$I$13,MATCH($A104,'Scratch Data'!$G$5:$G$13,1)))/MAX(INDEX('Scratch Data'!$G$5:$G$13,MIN(MATCH($A104,'Scratch Data'!$G$5:$G$13,1)+1,ROWS('Scratch Data'!$G$5:$G$13)))-INDEX('Scratch Data'!$G$5:$G$13,MATCH($A104,'Scratch Data'!$G$5:$G$13,1)),0.0001))*Inputs!$B$16,0),1),100))+(1-(INDEX('Scratch Data'!$H$5:$H$13,MATCH($A104,'Scratch Data'!$G$5:$G$13,1))+($A104-INDEX('Scratch Data'!$G$5:$G$13,MATCH($A104,'Scratch Data'!$G$5:$G$13,1)))*(INDEX('Scratch Data'!$H$5:$H$13,MIN(MATCH($A104,'Scratch Data'!$G$5:$G$13,1)+1,ROWS('Scratch Data'!$G$5:$G$13)))-INDEX('Scratch Data'!$H$5:$H$13,MATCH($A104,'Scratch Data'!$G$5:$G$13,1)))/MAX(INDEX('Scratch Data'!$G$5:$G$13,MIN(MATCH($A104,'Scratch Data'!$G$5:$G$13,1)+1,ROWS('Scratch Data'!$G$5:$G$13)))-INDEX('Scratch Data'!$G$5:$G$13,MATCH($A104,'Scratch Data'!$G$5:$G$13,1)),0.0001))*Inputs!$B$15)*((INDEX('Scratch Data'!$J$5:$J$13,MATCH($A104,'Scratch Data'!$G$5:$G$13,1))+($A104-INDEX('Scratch Data'!$G$5:$G$13,MATCH($A104,'Scratch Data'!$G$5:$G$13,1)))*(INDEX('Scratch Data'!$J$5:$J$13,MIN(MATCH($A104,'Scratch Data'!$G$5:$G$13,1)+1,ROWS('Scratch Data'!$G$5:$G$13)))-INDEX('Scratch Data'!$J$5:$J$13,MATCH($A104,'Scratch Data'!$G$5:$G$13,1)))/MAX(INDEX('Scratch Data'!$G$5:$G$13,MIN(MATCH($A104,'Scratch Data'!$G$5:$G$13,1)+1,ROWS('Scratch Data'!$G$5:$G$13)))-INDEX('Scratch Data'!$G$5:$G$13,MATCH($A104,'Scratch Data'!$G$5:$G$13,1)),0.0001))+Inputs!$B$17)),(1+Inputs!$B$19*INDEX(Baseline!$B$3:$B$122,MATCH(MIN(MAX(ROUND((MAX($A104-Inputs!$B$22,30))/5,0)*5,5),600),Baseline!$A$3:$A$122,0))+(1-Inputs!$B$19)*INDEX(Baseline!$C$3:$C$122,MATCH(MIN(MAX(ROUND((MAX($A104-Inputs!$B$22,30))/5,0)*5,5),600),Baseline!$A$3:$A$122,0))+Inputs!$B$17)),(1+Inputs!$B$19*INDEX(Baseline!$B$3:$B$122,MATCH(MIN(MAX(ROUND((MAX($A104-Inputs!$B$22,30))/5,0)*5,5),600),Baseline!$A$3:$A$122,0))+(1-Inputs!$B$19)*INDEX(Baseline!$C$3:$C$122,MATCH(MIN(MAX(ROUND((MAX($A104-Inputs!$B$22,30))/5,0)*5,5),600),Baseline!$A$3:$A$122,0))+Inputs!$B$17)))</f>
        <v>5.4255052792</v>
      </c>
      <c r="E104" s="10" t="n">
        <f aca="false">1+Inputs!$B$24+0.6*INDEX(Baseline!$B$3:$B$122,MATCH(MIN(MAX(ROUND((MAX($A104-Inputs!$B$23,15))/5,0)*5,5),600),Baseline!$A$3:$A$122,0))+0.4*INDEX(Baseline!$C$3:$C$122,MATCH(MIN(MAX(ROUND((MAX($A104-Inputs!$B$23,15))/5,0)*5,5),600),Baseline!$A$3:$A$122,0))</f>
        <v>5.66245104</v>
      </c>
    </row>
    <row r="105" customFormat="false" ht="15" hidden="false" customHeight="false" outlineLevel="0" collapsed="false">
      <c r="A105" s="7" t="n">
        <v>515</v>
      </c>
      <c r="B105" s="10" t="n">
        <f aca="false">IF($A105&lt;=50,(INDEX('Scratch Data'!$M$5:$M$12,MATCH($A105,'Scratch Data'!$L$5:$L$12,1))+($A105-INDEX('Scratch Data'!$L$5:$L$12,MATCH($A105,'Scratch Data'!$L$5:$L$12,1)))*(INDEX('Scratch Data'!$M$5:$M$12,MIN(MATCH($A105,'Scratch Data'!$L$5:$L$12,1)+1,ROWS('Scratch Data'!$L$5:$L$12)))-INDEX('Scratch Data'!$M$5:$M$12,MATCH($A105,'Scratch Data'!$L$5:$L$12,1)))/MAX(INDEX('Scratch Data'!$L$5:$L$12,MIN(MATCH($A105,'Scratch Data'!$L$5:$L$12,1)+1,ROWS('Scratch Data'!$L$5:$L$12)))-INDEX('Scratch Data'!$L$5:$L$12,MATCH($A105,'Scratch Data'!$L$5:$L$12,1)),0.0001)),IF($A105&lt;=250,MIN((1+(INDEX('Scratch Data'!$H$5:$H$13,MATCH($A105,'Scratch Data'!$G$5:$G$13,1))+($A105-INDEX('Scratch Data'!$G$5:$G$13,MATCH($A105,'Scratch Data'!$G$5:$G$13,1)))*(INDEX('Scratch Data'!$H$5:$H$13,MIN(MATCH($A105,'Scratch Data'!$G$5:$G$13,1)+1,ROWS('Scratch Data'!$G$5:$G$13)))-INDEX('Scratch Data'!$H$5:$H$13,MATCH($A105,'Scratch Data'!$G$5:$G$13,1)))/MAX(INDEX('Scratch Data'!$G$5:$G$13,MIN(MATCH($A105,'Scratch Data'!$G$5:$G$13,1)+1,ROWS('Scratch Data'!$G$5:$G$13)))-INDEX('Scratch Data'!$G$5:$G$13,MATCH($A105,'Scratch Data'!$G$5:$G$13,1)),0.0001))*INDEX(Baseline!$I$3:$I$102,MIN(MAX(ROUND(Inputs!$B$11*(INDEX('Scratch Data'!$I$5:$I$13,MATCH($A105,'Scratch Data'!$G$5:$G$13,1))+($A105-INDEX('Scratch Data'!$G$5:$G$13,MATCH($A105,'Scratch Data'!$G$5:$G$13,1)))*(INDEX('Scratch Data'!$I$5:$I$13,MIN(MATCH($A105,'Scratch Data'!$G$5:$G$13,1)+1,ROWS('Scratch Data'!$G$5:$G$13)))-INDEX('Scratch Data'!$I$5:$I$13,MATCH($A105,'Scratch Data'!$G$5:$G$13,1)))/MAX(INDEX('Scratch Data'!$G$5:$G$13,MIN(MATCH($A105,'Scratch Data'!$G$5:$G$13,1)+1,ROWS('Scratch Data'!$G$5:$G$13)))-INDEX('Scratch Data'!$G$5:$G$13,MATCH($A105,'Scratch Data'!$G$5:$G$13,1)),0.0001)),0),1),100))+(1-(INDEX('Scratch Data'!$H$5:$H$13,MATCH($A105,'Scratch Data'!$G$5:$G$13,1))+($A105-INDEX('Scratch Data'!$G$5:$G$13,MATCH($A105,'Scratch Data'!$G$5:$G$13,1)))*(INDEX('Scratch Data'!$H$5:$H$13,MIN(MATCH($A105,'Scratch Data'!$G$5:$G$13,1)+1,ROWS('Scratch Data'!$G$5:$G$13)))-INDEX('Scratch Data'!$H$5:$H$13,MATCH($A105,'Scratch Data'!$G$5:$G$13,1)))/MAX(INDEX('Scratch Data'!$G$5:$G$13,MIN(MATCH($A105,'Scratch Data'!$G$5:$G$13,1)+1,ROWS('Scratch Data'!$G$5:$G$13)))-INDEX('Scratch Data'!$G$5:$G$13,MATCH($A105,'Scratch Data'!$G$5:$G$13,1)),0.0001)))*(INDEX('Scratch Data'!$J$5:$J$13,MATCH($A105,'Scratch Data'!$G$5:$G$13,1))+($A105-INDEX('Scratch Data'!$G$5:$G$13,MATCH($A105,'Scratch Data'!$G$5:$G$13,1)))*(INDEX('Scratch Data'!$J$5:$J$13,MIN(MATCH($A105,'Scratch Data'!$G$5:$G$13,1)+1,ROWS('Scratch Data'!$G$5:$G$13)))-INDEX('Scratch Data'!$J$5:$J$13,MATCH($A105,'Scratch Data'!$G$5:$G$13,1)))/MAX(INDEX('Scratch Data'!$G$5:$G$13,MIN(MATCH($A105,'Scratch Data'!$G$5:$G$13,1)+1,ROWS('Scratch Data'!$G$5:$G$13)))-INDEX('Scratch Data'!$G$5:$G$13,MATCH($A105,'Scratch Data'!$G$5:$G$13,1)),0.0001))),(1+Inputs!$B$19*INDEX(Baseline!$B$3:$B$122,MATCH(MIN(MAX(ROUND((MAX($A105-Inputs!$B$20,30))/5,0)*5,5),600),Baseline!$A$3:$A$122,0))+(1-Inputs!$B$19)*INDEX(Baseline!$C$3:$C$122,MATCH(MIN(MAX(ROUND((MAX($A105-Inputs!$B$20,30))/5,0)*5,5),600),Baseline!$A$3:$A$122,0)))),(1+Inputs!$B$19*INDEX(Baseline!$B$3:$B$122,MATCH(MIN(MAX(ROUND((MAX($A105-Inputs!$B$20,30))/5,0)*5,5),600),Baseline!$A$3:$A$122,0))+(1-Inputs!$B$19)*INDEX(Baseline!$C$3:$C$122,MATCH(MIN(MAX(ROUND((MAX($A105-Inputs!$B$20,30))/5,0)*5,5),600),Baseline!$A$3:$A$122,0)))))</f>
        <v>5.0437607408</v>
      </c>
      <c r="C105" s="10" t="n">
        <f aca="false">IF($A105&lt;=50,$B105+Inputs!$B$18,IF($A105&lt;=250,MIN((1+(INDEX('Scratch Data'!$H$5:$H$13,MATCH($A105,'Scratch Data'!$G$5:$G$13,1))+($A105-INDEX('Scratch Data'!$G$5:$G$13,MATCH($A105,'Scratch Data'!$G$5:$G$13,1)))*(INDEX('Scratch Data'!$H$5:$H$13,MIN(MATCH($A105,'Scratch Data'!$G$5:$G$13,1)+1,ROWS('Scratch Data'!$G$5:$G$13)))-INDEX('Scratch Data'!$H$5:$H$13,MATCH($A105,'Scratch Data'!$G$5:$G$13,1)))/MAX(INDEX('Scratch Data'!$G$5:$G$13,MIN(MATCH($A105,'Scratch Data'!$G$5:$G$13,1)+1,ROWS('Scratch Data'!$G$5:$G$13)))-INDEX('Scratch Data'!$G$5:$G$13,MATCH($A105,'Scratch Data'!$G$5:$G$13,1)),0.0001))*Inputs!$B$12*INDEX(Baseline!$I$3:$I$102,MIN(MAX(ROUND(Inputs!$B$11*(INDEX('Scratch Data'!$I$5:$I$13,MATCH($A105,'Scratch Data'!$G$5:$G$13,1))+($A105-INDEX('Scratch Data'!$G$5:$G$13,MATCH($A105,'Scratch Data'!$G$5:$G$13,1)))*(INDEX('Scratch Data'!$I$5:$I$13,MIN(MATCH($A105,'Scratch Data'!$G$5:$G$13,1)+1,ROWS('Scratch Data'!$G$5:$G$13)))-INDEX('Scratch Data'!$I$5:$I$13,MATCH($A105,'Scratch Data'!$G$5:$G$13,1)))/MAX(INDEX('Scratch Data'!$G$5:$G$13,MIN(MATCH($A105,'Scratch Data'!$G$5:$G$13,1)+1,ROWS('Scratch Data'!$G$5:$G$13)))-INDEX('Scratch Data'!$G$5:$G$13,MATCH($A105,'Scratch Data'!$G$5:$G$13,1)),0.0001))*Inputs!$B$13,0),1),100))+(1-(INDEX('Scratch Data'!$H$5:$H$13,MATCH($A105,'Scratch Data'!$G$5:$G$13,1))+($A105-INDEX('Scratch Data'!$G$5:$G$13,MATCH($A105,'Scratch Data'!$G$5:$G$13,1)))*(INDEX('Scratch Data'!$H$5:$H$13,MIN(MATCH($A105,'Scratch Data'!$G$5:$G$13,1)+1,ROWS('Scratch Data'!$G$5:$G$13)))-INDEX('Scratch Data'!$H$5:$H$13,MATCH($A105,'Scratch Data'!$G$5:$G$13,1)))/MAX(INDEX('Scratch Data'!$G$5:$G$13,MIN(MATCH($A105,'Scratch Data'!$G$5:$G$13,1)+1,ROWS('Scratch Data'!$G$5:$G$13)))-INDEX('Scratch Data'!$G$5:$G$13,MATCH($A105,'Scratch Data'!$G$5:$G$13,1)),0.0001))*Inputs!$B$12)*((INDEX('Scratch Data'!$J$5:$J$13,MATCH($A105,'Scratch Data'!$G$5:$G$13,1))+($A105-INDEX('Scratch Data'!$G$5:$G$13,MATCH($A105,'Scratch Data'!$G$5:$G$13,1)))*(INDEX('Scratch Data'!$J$5:$J$13,MIN(MATCH($A105,'Scratch Data'!$G$5:$G$13,1)+1,ROWS('Scratch Data'!$G$5:$G$13)))-INDEX('Scratch Data'!$J$5:$J$13,MATCH($A105,'Scratch Data'!$G$5:$G$13,1)))/MAX(INDEX('Scratch Data'!$G$5:$G$13,MIN(MATCH($A105,'Scratch Data'!$G$5:$G$13,1)+1,ROWS('Scratch Data'!$G$5:$G$13)))-INDEX('Scratch Data'!$G$5:$G$13,MATCH($A105,'Scratch Data'!$G$5:$G$13,1)),0.0001))+Inputs!$B$14)),(1+Inputs!$B$19*INDEX(Baseline!$B$3:$B$122,MATCH(MIN(MAX(ROUND((MAX($A105-Inputs!$B$21,30))/5,0)*5,5),600),Baseline!$A$3:$A$122,0))+(1-Inputs!$B$19)*INDEX(Baseline!$C$3:$C$122,MATCH(MIN(MAX(ROUND((MAX($A105-Inputs!$B$21,30))/5,0)*5,5),600),Baseline!$A$3:$A$122,0))+Inputs!$B$14)),(1+Inputs!$B$19*INDEX(Baseline!$B$3:$B$122,MATCH(MIN(MAX(ROUND((MAX($A105-Inputs!$B$21,30))/5,0)*5,5),600),Baseline!$A$3:$A$122,0))+(1-Inputs!$B$19)*INDEX(Baseline!$C$3:$C$122,MATCH(MIN(MAX(ROUND((MAX($A105-Inputs!$B$21,30))/5,0)*5,5),600),Baseline!$A$3:$A$122,0))+Inputs!$B$14)))</f>
        <v>5.2652960704</v>
      </c>
      <c r="D105" s="10" t="n">
        <f aca="false">IF($A105&lt;=50,(INDEX('Scratch Data'!$P$5:$P$11,MATCH($A105,'Scratch Data'!$O$5:$O$11,1))+($A105-INDEX('Scratch Data'!$O$5:$O$11,MATCH($A105,'Scratch Data'!$O$5:$O$11,1)))*(INDEX('Scratch Data'!$P$5:$P$11,MIN(MATCH($A105,'Scratch Data'!$O$5:$O$11,1)+1,ROWS('Scratch Data'!$O$5:$O$11)))-INDEX('Scratch Data'!$P$5:$P$11,MATCH($A105,'Scratch Data'!$O$5:$O$11,1)))/MAX(INDEX('Scratch Data'!$O$5:$O$11,MIN(MATCH($A105,'Scratch Data'!$O$5:$O$11,1)+1,ROWS('Scratch Data'!$O$5:$O$11)))-INDEX('Scratch Data'!$O$5:$O$11,MATCH($A105,'Scratch Data'!$O$5:$O$11,1)),0.0001)),IF($A105&lt;=250,MIN((1+(INDEX('Scratch Data'!$H$5:$H$13,MATCH($A105,'Scratch Data'!$G$5:$G$13,1))+($A105-INDEX('Scratch Data'!$G$5:$G$13,MATCH($A105,'Scratch Data'!$G$5:$G$13,1)))*(INDEX('Scratch Data'!$H$5:$H$13,MIN(MATCH($A105,'Scratch Data'!$G$5:$G$13,1)+1,ROWS('Scratch Data'!$G$5:$G$13)))-INDEX('Scratch Data'!$H$5:$H$13,MATCH($A105,'Scratch Data'!$G$5:$G$13,1)))/MAX(INDEX('Scratch Data'!$G$5:$G$13,MIN(MATCH($A105,'Scratch Data'!$G$5:$G$13,1)+1,ROWS('Scratch Data'!$G$5:$G$13)))-INDEX('Scratch Data'!$G$5:$G$13,MATCH($A105,'Scratch Data'!$G$5:$G$13,1)),0.0001))*Inputs!$B$15*INDEX(Baseline!$I$3:$I$102,MIN(MAX(ROUND(Inputs!$B$11*(INDEX('Scratch Data'!$I$5:$I$13,MATCH($A105,'Scratch Data'!$G$5:$G$13,1))+($A105-INDEX('Scratch Data'!$G$5:$G$13,MATCH($A105,'Scratch Data'!$G$5:$G$13,1)))*(INDEX('Scratch Data'!$I$5:$I$13,MIN(MATCH($A105,'Scratch Data'!$G$5:$G$13,1)+1,ROWS('Scratch Data'!$G$5:$G$13)))-INDEX('Scratch Data'!$I$5:$I$13,MATCH($A105,'Scratch Data'!$G$5:$G$13,1)))/MAX(INDEX('Scratch Data'!$G$5:$G$13,MIN(MATCH($A105,'Scratch Data'!$G$5:$G$13,1)+1,ROWS('Scratch Data'!$G$5:$G$13)))-INDEX('Scratch Data'!$G$5:$G$13,MATCH($A105,'Scratch Data'!$G$5:$G$13,1)),0.0001))*Inputs!$B$16,0),1),100))+(1-(INDEX('Scratch Data'!$H$5:$H$13,MATCH($A105,'Scratch Data'!$G$5:$G$13,1))+($A105-INDEX('Scratch Data'!$G$5:$G$13,MATCH($A105,'Scratch Data'!$G$5:$G$13,1)))*(INDEX('Scratch Data'!$H$5:$H$13,MIN(MATCH($A105,'Scratch Data'!$G$5:$G$13,1)+1,ROWS('Scratch Data'!$G$5:$G$13)))-INDEX('Scratch Data'!$H$5:$H$13,MATCH($A105,'Scratch Data'!$G$5:$G$13,1)))/MAX(INDEX('Scratch Data'!$G$5:$G$13,MIN(MATCH($A105,'Scratch Data'!$G$5:$G$13,1)+1,ROWS('Scratch Data'!$G$5:$G$13)))-INDEX('Scratch Data'!$G$5:$G$13,MATCH($A105,'Scratch Data'!$G$5:$G$13,1)),0.0001))*Inputs!$B$15)*((INDEX('Scratch Data'!$J$5:$J$13,MATCH($A105,'Scratch Data'!$G$5:$G$13,1))+($A105-INDEX('Scratch Data'!$G$5:$G$13,MATCH($A105,'Scratch Data'!$G$5:$G$13,1)))*(INDEX('Scratch Data'!$J$5:$J$13,MIN(MATCH($A105,'Scratch Data'!$G$5:$G$13,1)+1,ROWS('Scratch Data'!$G$5:$G$13)))-INDEX('Scratch Data'!$J$5:$J$13,MATCH($A105,'Scratch Data'!$G$5:$G$13,1)))/MAX(INDEX('Scratch Data'!$G$5:$G$13,MIN(MATCH($A105,'Scratch Data'!$G$5:$G$13,1)+1,ROWS('Scratch Data'!$G$5:$G$13)))-INDEX('Scratch Data'!$G$5:$G$13,MATCH($A105,'Scratch Data'!$G$5:$G$13,1)),0.0001))+Inputs!$B$17)),(1+Inputs!$B$19*INDEX(Baseline!$B$3:$B$122,MATCH(MIN(MAX(ROUND((MAX($A105-Inputs!$B$22,30))/5,0)*5,5),600),Baseline!$A$3:$A$122,0))+(1-Inputs!$B$19)*INDEX(Baseline!$C$3:$C$122,MATCH(MIN(MAX(ROUND((MAX($A105-Inputs!$B$22,30))/5,0)*5,5),600),Baseline!$A$3:$A$122,0))+Inputs!$B$17)),(1+Inputs!$B$19*INDEX(Baseline!$B$3:$B$122,MATCH(MIN(MAX(ROUND((MAX($A105-Inputs!$B$22,30))/5,0)*5,5),600),Baseline!$A$3:$A$122,0))+(1-Inputs!$B$19)*INDEX(Baseline!$C$3:$C$122,MATCH(MIN(MAX(ROUND((MAX($A105-Inputs!$B$22,30))/5,0)*5,5),600),Baseline!$A$3:$A$122,0))+Inputs!$B$17)))</f>
        <v>5.4489176992</v>
      </c>
      <c r="E105" s="10" t="n">
        <f aca="false">1+Inputs!$B$24+0.6*INDEX(Baseline!$B$3:$B$122,MATCH(MIN(MAX(ROUND((MAX($A105-Inputs!$B$23,15))/5,0)*5,5),600),Baseline!$A$3:$A$122,0))+0.4*INDEX(Baseline!$C$3:$C$122,MATCH(MIN(MAX(ROUND((MAX($A105-Inputs!$B$23,15))/5,0)*5,5),600),Baseline!$A$3:$A$122,0))</f>
        <v>5.6871942864</v>
      </c>
    </row>
    <row r="106" customFormat="false" ht="15" hidden="false" customHeight="false" outlineLevel="0" collapsed="false">
      <c r="A106" s="7" t="n">
        <v>520</v>
      </c>
      <c r="B106" s="10" t="n">
        <f aca="false">IF($A106&lt;=50,(INDEX('Scratch Data'!$M$5:$M$12,MATCH($A106,'Scratch Data'!$L$5:$L$12,1))+($A106-INDEX('Scratch Data'!$L$5:$L$12,MATCH($A106,'Scratch Data'!$L$5:$L$12,1)))*(INDEX('Scratch Data'!$M$5:$M$12,MIN(MATCH($A106,'Scratch Data'!$L$5:$L$12,1)+1,ROWS('Scratch Data'!$L$5:$L$12)))-INDEX('Scratch Data'!$M$5:$M$12,MATCH($A106,'Scratch Data'!$L$5:$L$12,1)))/MAX(INDEX('Scratch Data'!$L$5:$L$12,MIN(MATCH($A106,'Scratch Data'!$L$5:$L$12,1)+1,ROWS('Scratch Data'!$L$5:$L$12)))-INDEX('Scratch Data'!$L$5:$L$12,MATCH($A106,'Scratch Data'!$L$5:$L$12,1)),0.0001)),IF($A106&lt;=250,MIN((1+(INDEX('Scratch Data'!$H$5:$H$13,MATCH($A106,'Scratch Data'!$G$5:$G$13,1))+($A106-INDEX('Scratch Data'!$G$5:$G$13,MATCH($A106,'Scratch Data'!$G$5:$G$13,1)))*(INDEX('Scratch Data'!$H$5:$H$13,MIN(MATCH($A106,'Scratch Data'!$G$5:$G$13,1)+1,ROWS('Scratch Data'!$G$5:$G$13)))-INDEX('Scratch Data'!$H$5:$H$13,MATCH($A106,'Scratch Data'!$G$5:$G$13,1)))/MAX(INDEX('Scratch Data'!$G$5:$G$13,MIN(MATCH($A106,'Scratch Data'!$G$5:$G$13,1)+1,ROWS('Scratch Data'!$G$5:$G$13)))-INDEX('Scratch Data'!$G$5:$G$13,MATCH($A106,'Scratch Data'!$G$5:$G$13,1)),0.0001))*INDEX(Baseline!$I$3:$I$102,MIN(MAX(ROUND(Inputs!$B$11*(INDEX('Scratch Data'!$I$5:$I$13,MATCH($A106,'Scratch Data'!$G$5:$G$13,1))+($A106-INDEX('Scratch Data'!$G$5:$G$13,MATCH($A106,'Scratch Data'!$G$5:$G$13,1)))*(INDEX('Scratch Data'!$I$5:$I$13,MIN(MATCH($A106,'Scratch Data'!$G$5:$G$13,1)+1,ROWS('Scratch Data'!$G$5:$G$13)))-INDEX('Scratch Data'!$I$5:$I$13,MATCH($A106,'Scratch Data'!$G$5:$G$13,1)))/MAX(INDEX('Scratch Data'!$G$5:$G$13,MIN(MATCH($A106,'Scratch Data'!$G$5:$G$13,1)+1,ROWS('Scratch Data'!$G$5:$G$13)))-INDEX('Scratch Data'!$G$5:$G$13,MATCH($A106,'Scratch Data'!$G$5:$G$13,1)),0.0001)),0),1),100))+(1-(INDEX('Scratch Data'!$H$5:$H$13,MATCH($A106,'Scratch Data'!$G$5:$G$13,1))+($A106-INDEX('Scratch Data'!$G$5:$G$13,MATCH($A106,'Scratch Data'!$G$5:$G$13,1)))*(INDEX('Scratch Data'!$H$5:$H$13,MIN(MATCH($A106,'Scratch Data'!$G$5:$G$13,1)+1,ROWS('Scratch Data'!$G$5:$G$13)))-INDEX('Scratch Data'!$H$5:$H$13,MATCH($A106,'Scratch Data'!$G$5:$G$13,1)))/MAX(INDEX('Scratch Data'!$G$5:$G$13,MIN(MATCH($A106,'Scratch Data'!$G$5:$G$13,1)+1,ROWS('Scratch Data'!$G$5:$G$13)))-INDEX('Scratch Data'!$G$5:$G$13,MATCH($A106,'Scratch Data'!$G$5:$G$13,1)),0.0001)))*(INDEX('Scratch Data'!$J$5:$J$13,MATCH($A106,'Scratch Data'!$G$5:$G$13,1))+($A106-INDEX('Scratch Data'!$G$5:$G$13,MATCH($A106,'Scratch Data'!$G$5:$G$13,1)))*(INDEX('Scratch Data'!$J$5:$J$13,MIN(MATCH($A106,'Scratch Data'!$G$5:$G$13,1)+1,ROWS('Scratch Data'!$G$5:$G$13)))-INDEX('Scratch Data'!$J$5:$J$13,MATCH($A106,'Scratch Data'!$G$5:$G$13,1)))/MAX(INDEX('Scratch Data'!$G$5:$G$13,MIN(MATCH($A106,'Scratch Data'!$G$5:$G$13,1)+1,ROWS('Scratch Data'!$G$5:$G$13)))-INDEX('Scratch Data'!$G$5:$G$13,MATCH($A106,'Scratch Data'!$G$5:$G$13,1)),0.0001))),(1+Inputs!$B$19*INDEX(Baseline!$B$3:$B$122,MATCH(MIN(MAX(ROUND((MAX($A106-Inputs!$B$20,30))/5,0)*5,5),600),Baseline!$A$3:$A$122,0))+(1-Inputs!$B$19)*INDEX(Baseline!$C$3:$C$122,MATCH(MIN(MAX(ROUND((MAX($A106-Inputs!$B$20,30))/5,0)*5,5),600),Baseline!$A$3:$A$122,0)))),(1+Inputs!$B$19*INDEX(Baseline!$B$3:$B$122,MATCH(MIN(MAX(ROUND((MAX($A106-Inputs!$B$20,30))/5,0)*5,5),600),Baseline!$A$3:$A$122,0))+(1-Inputs!$B$19)*INDEX(Baseline!$C$3:$C$122,MATCH(MIN(MAX(ROUND((MAX($A106-Inputs!$B$20,30))/5,0)*5,5),600),Baseline!$A$3:$A$122,0)))))</f>
        <v>5.0616548096</v>
      </c>
      <c r="C106" s="10" t="n">
        <f aca="false">IF($A106&lt;=50,$B106+Inputs!$B$18,IF($A106&lt;=250,MIN((1+(INDEX('Scratch Data'!$H$5:$H$13,MATCH($A106,'Scratch Data'!$G$5:$G$13,1))+($A106-INDEX('Scratch Data'!$G$5:$G$13,MATCH($A106,'Scratch Data'!$G$5:$G$13,1)))*(INDEX('Scratch Data'!$H$5:$H$13,MIN(MATCH($A106,'Scratch Data'!$G$5:$G$13,1)+1,ROWS('Scratch Data'!$G$5:$G$13)))-INDEX('Scratch Data'!$H$5:$H$13,MATCH($A106,'Scratch Data'!$G$5:$G$13,1)))/MAX(INDEX('Scratch Data'!$G$5:$G$13,MIN(MATCH($A106,'Scratch Data'!$G$5:$G$13,1)+1,ROWS('Scratch Data'!$G$5:$G$13)))-INDEX('Scratch Data'!$G$5:$G$13,MATCH($A106,'Scratch Data'!$G$5:$G$13,1)),0.0001))*Inputs!$B$12*INDEX(Baseline!$I$3:$I$102,MIN(MAX(ROUND(Inputs!$B$11*(INDEX('Scratch Data'!$I$5:$I$13,MATCH($A106,'Scratch Data'!$G$5:$G$13,1))+($A106-INDEX('Scratch Data'!$G$5:$G$13,MATCH($A106,'Scratch Data'!$G$5:$G$13,1)))*(INDEX('Scratch Data'!$I$5:$I$13,MIN(MATCH($A106,'Scratch Data'!$G$5:$G$13,1)+1,ROWS('Scratch Data'!$G$5:$G$13)))-INDEX('Scratch Data'!$I$5:$I$13,MATCH($A106,'Scratch Data'!$G$5:$G$13,1)))/MAX(INDEX('Scratch Data'!$G$5:$G$13,MIN(MATCH($A106,'Scratch Data'!$G$5:$G$13,1)+1,ROWS('Scratch Data'!$G$5:$G$13)))-INDEX('Scratch Data'!$G$5:$G$13,MATCH($A106,'Scratch Data'!$G$5:$G$13,1)),0.0001))*Inputs!$B$13,0),1),100))+(1-(INDEX('Scratch Data'!$H$5:$H$13,MATCH($A106,'Scratch Data'!$G$5:$G$13,1))+($A106-INDEX('Scratch Data'!$G$5:$G$13,MATCH($A106,'Scratch Data'!$G$5:$G$13,1)))*(INDEX('Scratch Data'!$H$5:$H$13,MIN(MATCH($A106,'Scratch Data'!$G$5:$G$13,1)+1,ROWS('Scratch Data'!$G$5:$G$13)))-INDEX('Scratch Data'!$H$5:$H$13,MATCH($A106,'Scratch Data'!$G$5:$G$13,1)))/MAX(INDEX('Scratch Data'!$G$5:$G$13,MIN(MATCH($A106,'Scratch Data'!$G$5:$G$13,1)+1,ROWS('Scratch Data'!$G$5:$G$13)))-INDEX('Scratch Data'!$G$5:$G$13,MATCH($A106,'Scratch Data'!$G$5:$G$13,1)),0.0001))*Inputs!$B$12)*((INDEX('Scratch Data'!$J$5:$J$13,MATCH($A106,'Scratch Data'!$G$5:$G$13,1))+($A106-INDEX('Scratch Data'!$G$5:$G$13,MATCH($A106,'Scratch Data'!$G$5:$G$13,1)))*(INDEX('Scratch Data'!$J$5:$J$13,MIN(MATCH($A106,'Scratch Data'!$G$5:$G$13,1)+1,ROWS('Scratch Data'!$G$5:$G$13)))-INDEX('Scratch Data'!$J$5:$J$13,MATCH($A106,'Scratch Data'!$G$5:$G$13,1)))/MAX(INDEX('Scratch Data'!$G$5:$G$13,MIN(MATCH($A106,'Scratch Data'!$G$5:$G$13,1)+1,ROWS('Scratch Data'!$G$5:$G$13)))-INDEX('Scratch Data'!$G$5:$G$13,MATCH($A106,'Scratch Data'!$G$5:$G$13,1)),0.0001))+Inputs!$B$14)),(1+Inputs!$B$19*INDEX(Baseline!$B$3:$B$122,MATCH(MIN(MAX(ROUND((MAX($A106-Inputs!$B$21,30))/5,0)*5,5),600),Baseline!$A$3:$A$122,0))+(1-Inputs!$B$19)*INDEX(Baseline!$C$3:$C$122,MATCH(MIN(MAX(ROUND((MAX($A106-Inputs!$B$21,30))/5,0)*5,5),600),Baseline!$A$3:$A$122,0))+Inputs!$B$14)),(1+Inputs!$B$19*INDEX(Baseline!$B$3:$B$122,MATCH(MIN(MAX(ROUND((MAX($A106-Inputs!$B$21,30))/5,0)*5,5),600),Baseline!$A$3:$A$122,0))+(1-Inputs!$B$19)*INDEX(Baseline!$C$3:$C$122,MATCH(MIN(MAX(ROUND((MAX($A106-Inputs!$B$21,30))/5,0)*5,5),600),Baseline!$A$3:$A$122,0))+Inputs!$B$14)))</f>
        <v>5.2893114688</v>
      </c>
      <c r="D106" s="10" t="n">
        <f aca="false">IF($A106&lt;=50,(INDEX('Scratch Data'!$P$5:$P$11,MATCH($A106,'Scratch Data'!$O$5:$O$11,1))+($A106-INDEX('Scratch Data'!$O$5:$O$11,MATCH($A106,'Scratch Data'!$O$5:$O$11,1)))*(INDEX('Scratch Data'!$P$5:$P$11,MIN(MATCH($A106,'Scratch Data'!$O$5:$O$11,1)+1,ROWS('Scratch Data'!$O$5:$O$11)))-INDEX('Scratch Data'!$P$5:$P$11,MATCH($A106,'Scratch Data'!$O$5:$O$11,1)))/MAX(INDEX('Scratch Data'!$O$5:$O$11,MIN(MATCH($A106,'Scratch Data'!$O$5:$O$11,1)+1,ROWS('Scratch Data'!$O$5:$O$11)))-INDEX('Scratch Data'!$O$5:$O$11,MATCH($A106,'Scratch Data'!$O$5:$O$11,1)),0.0001)),IF($A106&lt;=250,MIN((1+(INDEX('Scratch Data'!$H$5:$H$13,MATCH($A106,'Scratch Data'!$G$5:$G$13,1))+($A106-INDEX('Scratch Data'!$G$5:$G$13,MATCH($A106,'Scratch Data'!$G$5:$G$13,1)))*(INDEX('Scratch Data'!$H$5:$H$13,MIN(MATCH($A106,'Scratch Data'!$G$5:$G$13,1)+1,ROWS('Scratch Data'!$G$5:$G$13)))-INDEX('Scratch Data'!$H$5:$H$13,MATCH($A106,'Scratch Data'!$G$5:$G$13,1)))/MAX(INDEX('Scratch Data'!$G$5:$G$13,MIN(MATCH($A106,'Scratch Data'!$G$5:$G$13,1)+1,ROWS('Scratch Data'!$G$5:$G$13)))-INDEX('Scratch Data'!$G$5:$G$13,MATCH($A106,'Scratch Data'!$G$5:$G$13,1)),0.0001))*Inputs!$B$15*INDEX(Baseline!$I$3:$I$102,MIN(MAX(ROUND(Inputs!$B$11*(INDEX('Scratch Data'!$I$5:$I$13,MATCH($A106,'Scratch Data'!$G$5:$G$13,1))+($A106-INDEX('Scratch Data'!$G$5:$G$13,MATCH($A106,'Scratch Data'!$G$5:$G$13,1)))*(INDEX('Scratch Data'!$I$5:$I$13,MIN(MATCH($A106,'Scratch Data'!$G$5:$G$13,1)+1,ROWS('Scratch Data'!$G$5:$G$13)))-INDEX('Scratch Data'!$I$5:$I$13,MATCH($A106,'Scratch Data'!$G$5:$G$13,1)))/MAX(INDEX('Scratch Data'!$G$5:$G$13,MIN(MATCH($A106,'Scratch Data'!$G$5:$G$13,1)+1,ROWS('Scratch Data'!$G$5:$G$13)))-INDEX('Scratch Data'!$G$5:$G$13,MATCH($A106,'Scratch Data'!$G$5:$G$13,1)),0.0001))*Inputs!$B$16,0),1),100))+(1-(INDEX('Scratch Data'!$H$5:$H$13,MATCH($A106,'Scratch Data'!$G$5:$G$13,1))+($A106-INDEX('Scratch Data'!$G$5:$G$13,MATCH($A106,'Scratch Data'!$G$5:$G$13,1)))*(INDEX('Scratch Data'!$H$5:$H$13,MIN(MATCH($A106,'Scratch Data'!$G$5:$G$13,1)+1,ROWS('Scratch Data'!$G$5:$G$13)))-INDEX('Scratch Data'!$H$5:$H$13,MATCH($A106,'Scratch Data'!$G$5:$G$13,1)))/MAX(INDEX('Scratch Data'!$G$5:$G$13,MIN(MATCH($A106,'Scratch Data'!$G$5:$G$13,1)+1,ROWS('Scratch Data'!$G$5:$G$13)))-INDEX('Scratch Data'!$G$5:$G$13,MATCH($A106,'Scratch Data'!$G$5:$G$13,1)),0.0001))*Inputs!$B$15)*((INDEX('Scratch Data'!$J$5:$J$13,MATCH($A106,'Scratch Data'!$G$5:$G$13,1))+($A106-INDEX('Scratch Data'!$G$5:$G$13,MATCH($A106,'Scratch Data'!$G$5:$G$13,1)))*(INDEX('Scratch Data'!$J$5:$J$13,MIN(MATCH($A106,'Scratch Data'!$G$5:$G$13,1)+1,ROWS('Scratch Data'!$G$5:$G$13)))-INDEX('Scratch Data'!$J$5:$J$13,MATCH($A106,'Scratch Data'!$G$5:$G$13,1)))/MAX(INDEX('Scratch Data'!$G$5:$G$13,MIN(MATCH($A106,'Scratch Data'!$G$5:$G$13,1)+1,ROWS('Scratch Data'!$G$5:$G$13)))-INDEX('Scratch Data'!$G$5:$G$13,MATCH($A106,'Scratch Data'!$G$5:$G$13,1)),0.0001))+Inputs!$B$17)),(1+Inputs!$B$19*INDEX(Baseline!$B$3:$B$122,MATCH(MIN(MAX(ROUND((MAX($A106-Inputs!$B$22,30))/5,0)*5,5),600),Baseline!$A$3:$A$122,0))+(1-Inputs!$B$19)*INDEX(Baseline!$C$3:$C$122,MATCH(MIN(MAX(ROUND((MAX($A106-Inputs!$B$22,30))/5,0)*5,5),600),Baseline!$A$3:$A$122,0))+Inputs!$B$17)),(1+Inputs!$B$19*INDEX(Baseline!$B$3:$B$122,MATCH(MIN(MAX(ROUND((MAX($A106-Inputs!$B$22,30))/5,0)*5,5),600),Baseline!$A$3:$A$122,0))+(1-Inputs!$B$19)*INDEX(Baseline!$C$3:$C$122,MATCH(MIN(MAX(ROUND((MAX($A106-Inputs!$B$22,30))/5,0)*5,5),600),Baseline!$A$3:$A$122,0))+Inputs!$B$17)))</f>
        <v>5.4667124904</v>
      </c>
      <c r="E106" s="10" t="n">
        <f aca="false">1+Inputs!$B$24+0.6*INDEX(Baseline!$B$3:$B$122,MATCH(MIN(MAX(ROUND((MAX($A106-Inputs!$B$23,15))/5,0)*5,5),600),Baseline!$A$3:$A$122,0))+0.4*INDEX(Baseline!$C$3:$C$122,MATCH(MIN(MAX(ROUND((MAX($A106-Inputs!$B$23,15))/5,0)*5,5),600),Baseline!$A$3:$A$122,0))</f>
        <v>5.71093576</v>
      </c>
    </row>
    <row r="107" customFormat="false" ht="15" hidden="false" customHeight="false" outlineLevel="0" collapsed="false">
      <c r="A107" s="7" t="n">
        <v>525</v>
      </c>
      <c r="B107" s="10" t="n">
        <f aca="false">IF($A107&lt;=50,(INDEX('Scratch Data'!$M$5:$M$12,MATCH($A107,'Scratch Data'!$L$5:$L$12,1))+($A107-INDEX('Scratch Data'!$L$5:$L$12,MATCH($A107,'Scratch Data'!$L$5:$L$12,1)))*(INDEX('Scratch Data'!$M$5:$M$12,MIN(MATCH($A107,'Scratch Data'!$L$5:$L$12,1)+1,ROWS('Scratch Data'!$L$5:$L$12)))-INDEX('Scratch Data'!$M$5:$M$12,MATCH($A107,'Scratch Data'!$L$5:$L$12,1)))/MAX(INDEX('Scratch Data'!$L$5:$L$12,MIN(MATCH($A107,'Scratch Data'!$L$5:$L$12,1)+1,ROWS('Scratch Data'!$L$5:$L$12)))-INDEX('Scratch Data'!$L$5:$L$12,MATCH($A107,'Scratch Data'!$L$5:$L$12,1)),0.0001)),IF($A107&lt;=250,MIN((1+(INDEX('Scratch Data'!$H$5:$H$13,MATCH($A107,'Scratch Data'!$G$5:$G$13,1))+($A107-INDEX('Scratch Data'!$G$5:$G$13,MATCH($A107,'Scratch Data'!$G$5:$G$13,1)))*(INDEX('Scratch Data'!$H$5:$H$13,MIN(MATCH($A107,'Scratch Data'!$G$5:$G$13,1)+1,ROWS('Scratch Data'!$G$5:$G$13)))-INDEX('Scratch Data'!$H$5:$H$13,MATCH($A107,'Scratch Data'!$G$5:$G$13,1)))/MAX(INDEX('Scratch Data'!$G$5:$G$13,MIN(MATCH($A107,'Scratch Data'!$G$5:$G$13,1)+1,ROWS('Scratch Data'!$G$5:$G$13)))-INDEX('Scratch Data'!$G$5:$G$13,MATCH($A107,'Scratch Data'!$G$5:$G$13,1)),0.0001))*INDEX(Baseline!$I$3:$I$102,MIN(MAX(ROUND(Inputs!$B$11*(INDEX('Scratch Data'!$I$5:$I$13,MATCH($A107,'Scratch Data'!$G$5:$G$13,1))+($A107-INDEX('Scratch Data'!$G$5:$G$13,MATCH($A107,'Scratch Data'!$G$5:$G$13,1)))*(INDEX('Scratch Data'!$I$5:$I$13,MIN(MATCH($A107,'Scratch Data'!$G$5:$G$13,1)+1,ROWS('Scratch Data'!$G$5:$G$13)))-INDEX('Scratch Data'!$I$5:$I$13,MATCH($A107,'Scratch Data'!$G$5:$G$13,1)))/MAX(INDEX('Scratch Data'!$G$5:$G$13,MIN(MATCH($A107,'Scratch Data'!$G$5:$G$13,1)+1,ROWS('Scratch Data'!$G$5:$G$13)))-INDEX('Scratch Data'!$G$5:$G$13,MATCH($A107,'Scratch Data'!$G$5:$G$13,1)),0.0001)),0),1),100))+(1-(INDEX('Scratch Data'!$H$5:$H$13,MATCH($A107,'Scratch Data'!$G$5:$G$13,1))+($A107-INDEX('Scratch Data'!$G$5:$G$13,MATCH($A107,'Scratch Data'!$G$5:$G$13,1)))*(INDEX('Scratch Data'!$H$5:$H$13,MIN(MATCH($A107,'Scratch Data'!$G$5:$G$13,1)+1,ROWS('Scratch Data'!$G$5:$G$13)))-INDEX('Scratch Data'!$H$5:$H$13,MATCH($A107,'Scratch Data'!$G$5:$G$13,1)))/MAX(INDEX('Scratch Data'!$G$5:$G$13,MIN(MATCH($A107,'Scratch Data'!$G$5:$G$13,1)+1,ROWS('Scratch Data'!$G$5:$G$13)))-INDEX('Scratch Data'!$G$5:$G$13,MATCH($A107,'Scratch Data'!$G$5:$G$13,1)),0.0001)))*(INDEX('Scratch Data'!$J$5:$J$13,MATCH($A107,'Scratch Data'!$G$5:$G$13,1))+($A107-INDEX('Scratch Data'!$G$5:$G$13,MATCH($A107,'Scratch Data'!$G$5:$G$13,1)))*(INDEX('Scratch Data'!$J$5:$J$13,MIN(MATCH($A107,'Scratch Data'!$G$5:$G$13,1)+1,ROWS('Scratch Data'!$G$5:$G$13)))-INDEX('Scratch Data'!$J$5:$J$13,MATCH($A107,'Scratch Data'!$G$5:$G$13,1)))/MAX(INDEX('Scratch Data'!$G$5:$G$13,MIN(MATCH($A107,'Scratch Data'!$G$5:$G$13,1)+1,ROWS('Scratch Data'!$G$5:$G$13)))-INDEX('Scratch Data'!$G$5:$G$13,MATCH($A107,'Scratch Data'!$G$5:$G$13,1)),0.0001))),(1+Inputs!$B$19*INDEX(Baseline!$B$3:$B$122,MATCH(MIN(MAX(ROUND((MAX($A107-Inputs!$B$20,30))/5,0)*5,5),600),Baseline!$A$3:$A$122,0))+(1-Inputs!$B$19)*INDEX(Baseline!$C$3:$C$122,MATCH(MIN(MAX(ROUND((MAX($A107-Inputs!$B$20,30))/5,0)*5,5),600),Baseline!$A$3:$A$122,0)))),(1+Inputs!$B$19*INDEX(Baseline!$B$3:$B$122,MATCH(MIN(MAX(ROUND((MAX($A107-Inputs!$B$20,30))/5,0)*5,5),600),Baseline!$A$3:$A$122,0))+(1-Inputs!$B$19)*INDEX(Baseline!$C$3:$C$122,MATCH(MIN(MAX(ROUND((MAX($A107-Inputs!$B$20,30))/5,0)*5,5),600),Baseline!$A$3:$A$122,0)))))</f>
        <v>5.08245961653333</v>
      </c>
      <c r="C107" s="10" t="n">
        <f aca="false">IF($A107&lt;=50,$B107+Inputs!$B$18,IF($A107&lt;=250,MIN((1+(INDEX('Scratch Data'!$H$5:$H$13,MATCH($A107,'Scratch Data'!$G$5:$G$13,1))+($A107-INDEX('Scratch Data'!$G$5:$G$13,MATCH($A107,'Scratch Data'!$G$5:$G$13,1)))*(INDEX('Scratch Data'!$H$5:$H$13,MIN(MATCH($A107,'Scratch Data'!$G$5:$G$13,1)+1,ROWS('Scratch Data'!$G$5:$G$13)))-INDEX('Scratch Data'!$H$5:$H$13,MATCH($A107,'Scratch Data'!$G$5:$G$13,1)))/MAX(INDEX('Scratch Data'!$G$5:$G$13,MIN(MATCH($A107,'Scratch Data'!$G$5:$G$13,1)+1,ROWS('Scratch Data'!$G$5:$G$13)))-INDEX('Scratch Data'!$G$5:$G$13,MATCH($A107,'Scratch Data'!$G$5:$G$13,1)),0.0001))*Inputs!$B$12*INDEX(Baseline!$I$3:$I$102,MIN(MAX(ROUND(Inputs!$B$11*(INDEX('Scratch Data'!$I$5:$I$13,MATCH($A107,'Scratch Data'!$G$5:$G$13,1))+($A107-INDEX('Scratch Data'!$G$5:$G$13,MATCH($A107,'Scratch Data'!$G$5:$G$13,1)))*(INDEX('Scratch Data'!$I$5:$I$13,MIN(MATCH($A107,'Scratch Data'!$G$5:$G$13,1)+1,ROWS('Scratch Data'!$G$5:$G$13)))-INDEX('Scratch Data'!$I$5:$I$13,MATCH($A107,'Scratch Data'!$G$5:$G$13,1)))/MAX(INDEX('Scratch Data'!$G$5:$G$13,MIN(MATCH($A107,'Scratch Data'!$G$5:$G$13,1)+1,ROWS('Scratch Data'!$G$5:$G$13)))-INDEX('Scratch Data'!$G$5:$G$13,MATCH($A107,'Scratch Data'!$G$5:$G$13,1)),0.0001))*Inputs!$B$13,0),1),100))+(1-(INDEX('Scratch Data'!$H$5:$H$13,MATCH($A107,'Scratch Data'!$G$5:$G$13,1))+($A107-INDEX('Scratch Data'!$G$5:$G$13,MATCH($A107,'Scratch Data'!$G$5:$G$13,1)))*(INDEX('Scratch Data'!$H$5:$H$13,MIN(MATCH($A107,'Scratch Data'!$G$5:$G$13,1)+1,ROWS('Scratch Data'!$G$5:$G$13)))-INDEX('Scratch Data'!$H$5:$H$13,MATCH($A107,'Scratch Data'!$G$5:$G$13,1)))/MAX(INDEX('Scratch Data'!$G$5:$G$13,MIN(MATCH($A107,'Scratch Data'!$G$5:$G$13,1)+1,ROWS('Scratch Data'!$G$5:$G$13)))-INDEX('Scratch Data'!$G$5:$G$13,MATCH($A107,'Scratch Data'!$G$5:$G$13,1)),0.0001))*Inputs!$B$12)*((INDEX('Scratch Data'!$J$5:$J$13,MATCH($A107,'Scratch Data'!$G$5:$G$13,1))+($A107-INDEX('Scratch Data'!$G$5:$G$13,MATCH($A107,'Scratch Data'!$G$5:$G$13,1)))*(INDEX('Scratch Data'!$J$5:$J$13,MIN(MATCH($A107,'Scratch Data'!$G$5:$G$13,1)+1,ROWS('Scratch Data'!$G$5:$G$13)))-INDEX('Scratch Data'!$J$5:$J$13,MATCH($A107,'Scratch Data'!$G$5:$G$13,1)))/MAX(INDEX('Scratch Data'!$G$5:$G$13,MIN(MATCH($A107,'Scratch Data'!$G$5:$G$13,1)+1,ROWS('Scratch Data'!$G$5:$G$13)))-INDEX('Scratch Data'!$G$5:$G$13,MATCH($A107,'Scratch Data'!$G$5:$G$13,1)),0.0001))+Inputs!$B$14)),(1+Inputs!$B$19*INDEX(Baseline!$B$3:$B$122,MATCH(MIN(MAX(ROUND((MAX($A107-Inputs!$B$21,30))/5,0)*5,5),600),Baseline!$A$3:$A$122,0))+(1-Inputs!$B$19)*INDEX(Baseline!$C$3:$C$122,MATCH(MIN(MAX(ROUND((MAX($A107-Inputs!$B$21,30))/5,0)*5,5),600),Baseline!$A$3:$A$122,0))+Inputs!$B$14)),(1+Inputs!$B$19*INDEX(Baseline!$B$3:$B$122,MATCH(MIN(MAX(ROUND((MAX($A107-Inputs!$B$21,30))/5,0)*5,5),600),Baseline!$A$3:$A$122,0))+(1-Inputs!$B$19)*INDEX(Baseline!$C$3:$C$122,MATCH(MIN(MAX(ROUND((MAX($A107-Inputs!$B$21,30))/5,0)*5,5),600),Baseline!$A$3:$A$122,0))+Inputs!$B$14)))</f>
        <v>5.30226768</v>
      </c>
      <c r="D107" s="10" t="n">
        <f aca="false">IF($A107&lt;=50,(INDEX('Scratch Data'!$P$5:$P$11,MATCH($A107,'Scratch Data'!$O$5:$O$11,1))+($A107-INDEX('Scratch Data'!$O$5:$O$11,MATCH($A107,'Scratch Data'!$O$5:$O$11,1)))*(INDEX('Scratch Data'!$P$5:$P$11,MIN(MATCH($A107,'Scratch Data'!$O$5:$O$11,1)+1,ROWS('Scratch Data'!$O$5:$O$11)))-INDEX('Scratch Data'!$P$5:$P$11,MATCH($A107,'Scratch Data'!$O$5:$O$11,1)))/MAX(INDEX('Scratch Data'!$O$5:$O$11,MIN(MATCH($A107,'Scratch Data'!$O$5:$O$11,1)+1,ROWS('Scratch Data'!$O$5:$O$11)))-INDEX('Scratch Data'!$O$5:$O$11,MATCH($A107,'Scratch Data'!$O$5:$O$11,1)),0.0001)),IF($A107&lt;=250,MIN((1+(INDEX('Scratch Data'!$H$5:$H$13,MATCH($A107,'Scratch Data'!$G$5:$G$13,1))+($A107-INDEX('Scratch Data'!$G$5:$G$13,MATCH($A107,'Scratch Data'!$G$5:$G$13,1)))*(INDEX('Scratch Data'!$H$5:$H$13,MIN(MATCH($A107,'Scratch Data'!$G$5:$G$13,1)+1,ROWS('Scratch Data'!$G$5:$G$13)))-INDEX('Scratch Data'!$H$5:$H$13,MATCH($A107,'Scratch Data'!$G$5:$G$13,1)))/MAX(INDEX('Scratch Data'!$G$5:$G$13,MIN(MATCH($A107,'Scratch Data'!$G$5:$G$13,1)+1,ROWS('Scratch Data'!$G$5:$G$13)))-INDEX('Scratch Data'!$G$5:$G$13,MATCH($A107,'Scratch Data'!$G$5:$G$13,1)),0.0001))*Inputs!$B$15*INDEX(Baseline!$I$3:$I$102,MIN(MAX(ROUND(Inputs!$B$11*(INDEX('Scratch Data'!$I$5:$I$13,MATCH($A107,'Scratch Data'!$G$5:$G$13,1))+($A107-INDEX('Scratch Data'!$G$5:$G$13,MATCH($A107,'Scratch Data'!$G$5:$G$13,1)))*(INDEX('Scratch Data'!$I$5:$I$13,MIN(MATCH($A107,'Scratch Data'!$G$5:$G$13,1)+1,ROWS('Scratch Data'!$G$5:$G$13)))-INDEX('Scratch Data'!$I$5:$I$13,MATCH($A107,'Scratch Data'!$G$5:$G$13,1)))/MAX(INDEX('Scratch Data'!$G$5:$G$13,MIN(MATCH($A107,'Scratch Data'!$G$5:$G$13,1)+1,ROWS('Scratch Data'!$G$5:$G$13)))-INDEX('Scratch Data'!$G$5:$G$13,MATCH($A107,'Scratch Data'!$G$5:$G$13,1)),0.0001))*Inputs!$B$16,0),1),100))+(1-(INDEX('Scratch Data'!$H$5:$H$13,MATCH($A107,'Scratch Data'!$G$5:$G$13,1))+($A107-INDEX('Scratch Data'!$G$5:$G$13,MATCH($A107,'Scratch Data'!$G$5:$G$13,1)))*(INDEX('Scratch Data'!$H$5:$H$13,MIN(MATCH($A107,'Scratch Data'!$G$5:$G$13,1)+1,ROWS('Scratch Data'!$G$5:$G$13)))-INDEX('Scratch Data'!$H$5:$H$13,MATCH($A107,'Scratch Data'!$G$5:$G$13,1)))/MAX(INDEX('Scratch Data'!$G$5:$G$13,MIN(MATCH($A107,'Scratch Data'!$G$5:$G$13,1)+1,ROWS('Scratch Data'!$G$5:$G$13)))-INDEX('Scratch Data'!$G$5:$G$13,MATCH($A107,'Scratch Data'!$G$5:$G$13,1)),0.0001))*Inputs!$B$15)*((INDEX('Scratch Data'!$J$5:$J$13,MATCH($A107,'Scratch Data'!$G$5:$G$13,1))+($A107-INDEX('Scratch Data'!$G$5:$G$13,MATCH($A107,'Scratch Data'!$G$5:$G$13,1)))*(INDEX('Scratch Data'!$J$5:$J$13,MIN(MATCH($A107,'Scratch Data'!$G$5:$G$13,1)+1,ROWS('Scratch Data'!$G$5:$G$13)))-INDEX('Scratch Data'!$J$5:$J$13,MATCH($A107,'Scratch Data'!$G$5:$G$13,1)))/MAX(INDEX('Scratch Data'!$G$5:$G$13,MIN(MATCH($A107,'Scratch Data'!$G$5:$G$13,1)+1,ROWS('Scratch Data'!$G$5:$G$13)))-INDEX('Scratch Data'!$G$5:$G$13,MATCH($A107,'Scratch Data'!$G$5:$G$13,1)),0.0001))+Inputs!$B$17)),(1+Inputs!$B$19*INDEX(Baseline!$B$3:$B$122,MATCH(MIN(MAX(ROUND((MAX($A107-Inputs!$B$22,30))/5,0)*5,5),600),Baseline!$A$3:$A$122,0))+(1-Inputs!$B$19)*INDEX(Baseline!$C$3:$C$122,MATCH(MIN(MAX(ROUND((MAX($A107-Inputs!$B$22,30))/5,0)*5,5),600),Baseline!$A$3:$A$122,0))+Inputs!$B$17)),(1+Inputs!$B$19*INDEX(Baseline!$B$3:$B$122,MATCH(MIN(MAX(ROUND((MAX($A107-Inputs!$B$22,30))/5,0)*5,5),600),Baseline!$A$3:$A$122,0))+(1-Inputs!$B$19)*INDEX(Baseline!$C$3:$C$122,MATCH(MIN(MAX(ROUND((MAX($A107-Inputs!$B$22,30))/5,0)*5,5),600),Baseline!$A$3:$A$122,0))+Inputs!$B$17)))</f>
        <v>5.490713672</v>
      </c>
      <c r="E107" s="10" t="n">
        <f aca="false">1+Inputs!$B$24+0.6*INDEX(Baseline!$B$3:$B$122,MATCH(MIN(MAX(ROUND((MAX($A107-Inputs!$B$23,15))/5,0)*5,5),600),Baseline!$A$3:$A$122,0))+0.4*INDEX(Baseline!$C$3:$C$122,MATCH(MIN(MAX(ROUND((MAX($A107-Inputs!$B$23,15))/5,0)*5,5),600),Baseline!$A$3:$A$122,0))</f>
        <v>5.7345620096</v>
      </c>
    </row>
    <row r="108" customFormat="false" ht="15" hidden="false" customHeight="false" outlineLevel="0" collapsed="false">
      <c r="A108" s="7" t="n">
        <v>530</v>
      </c>
      <c r="B108" s="10" t="n">
        <f aca="false">IF($A108&lt;=50,(INDEX('Scratch Data'!$M$5:$M$12,MATCH($A108,'Scratch Data'!$L$5:$L$12,1))+($A108-INDEX('Scratch Data'!$L$5:$L$12,MATCH($A108,'Scratch Data'!$L$5:$L$12,1)))*(INDEX('Scratch Data'!$M$5:$M$12,MIN(MATCH($A108,'Scratch Data'!$L$5:$L$12,1)+1,ROWS('Scratch Data'!$L$5:$L$12)))-INDEX('Scratch Data'!$M$5:$M$12,MATCH($A108,'Scratch Data'!$L$5:$L$12,1)))/MAX(INDEX('Scratch Data'!$L$5:$L$12,MIN(MATCH($A108,'Scratch Data'!$L$5:$L$12,1)+1,ROWS('Scratch Data'!$L$5:$L$12)))-INDEX('Scratch Data'!$L$5:$L$12,MATCH($A108,'Scratch Data'!$L$5:$L$12,1)),0.0001)),IF($A108&lt;=250,MIN((1+(INDEX('Scratch Data'!$H$5:$H$13,MATCH($A108,'Scratch Data'!$G$5:$G$13,1))+($A108-INDEX('Scratch Data'!$G$5:$G$13,MATCH($A108,'Scratch Data'!$G$5:$G$13,1)))*(INDEX('Scratch Data'!$H$5:$H$13,MIN(MATCH($A108,'Scratch Data'!$G$5:$G$13,1)+1,ROWS('Scratch Data'!$G$5:$G$13)))-INDEX('Scratch Data'!$H$5:$H$13,MATCH($A108,'Scratch Data'!$G$5:$G$13,1)))/MAX(INDEX('Scratch Data'!$G$5:$G$13,MIN(MATCH($A108,'Scratch Data'!$G$5:$G$13,1)+1,ROWS('Scratch Data'!$G$5:$G$13)))-INDEX('Scratch Data'!$G$5:$G$13,MATCH($A108,'Scratch Data'!$G$5:$G$13,1)),0.0001))*INDEX(Baseline!$I$3:$I$102,MIN(MAX(ROUND(Inputs!$B$11*(INDEX('Scratch Data'!$I$5:$I$13,MATCH($A108,'Scratch Data'!$G$5:$G$13,1))+($A108-INDEX('Scratch Data'!$G$5:$G$13,MATCH($A108,'Scratch Data'!$G$5:$G$13,1)))*(INDEX('Scratch Data'!$I$5:$I$13,MIN(MATCH($A108,'Scratch Data'!$G$5:$G$13,1)+1,ROWS('Scratch Data'!$G$5:$G$13)))-INDEX('Scratch Data'!$I$5:$I$13,MATCH($A108,'Scratch Data'!$G$5:$G$13,1)))/MAX(INDEX('Scratch Data'!$G$5:$G$13,MIN(MATCH($A108,'Scratch Data'!$G$5:$G$13,1)+1,ROWS('Scratch Data'!$G$5:$G$13)))-INDEX('Scratch Data'!$G$5:$G$13,MATCH($A108,'Scratch Data'!$G$5:$G$13,1)),0.0001)),0),1),100))+(1-(INDEX('Scratch Data'!$H$5:$H$13,MATCH($A108,'Scratch Data'!$G$5:$G$13,1))+($A108-INDEX('Scratch Data'!$G$5:$G$13,MATCH($A108,'Scratch Data'!$G$5:$G$13,1)))*(INDEX('Scratch Data'!$H$5:$H$13,MIN(MATCH($A108,'Scratch Data'!$G$5:$G$13,1)+1,ROWS('Scratch Data'!$G$5:$G$13)))-INDEX('Scratch Data'!$H$5:$H$13,MATCH($A108,'Scratch Data'!$G$5:$G$13,1)))/MAX(INDEX('Scratch Data'!$G$5:$G$13,MIN(MATCH($A108,'Scratch Data'!$G$5:$G$13,1)+1,ROWS('Scratch Data'!$G$5:$G$13)))-INDEX('Scratch Data'!$G$5:$G$13,MATCH($A108,'Scratch Data'!$G$5:$G$13,1)),0.0001)))*(INDEX('Scratch Data'!$J$5:$J$13,MATCH($A108,'Scratch Data'!$G$5:$G$13,1))+($A108-INDEX('Scratch Data'!$G$5:$G$13,MATCH($A108,'Scratch Data'!$G$5:$G$13,1)))*(INDEX('Scratch Data'!$J$5:$J$13,MIN(MATCH($A108,'Scratch Data'!$G$5:$G$13,1)+1,ROWS('Scratch Data'!$G$5:$G$13)))-INDEX('Scratch Data'!$J$5:$J$13,MATCH($A108,'Scratch Data'!$G$5:$G$13,1)))/MAX(INDEX('Scratch Data'!$G$5:$G$13,MIN(MATCH($A108,'Scratch Data'!$G$5:$G$13,1)+1,ROWS('Scratch Data'!$G$5:$G$13)))-INDEX('Scratch Data'!$G$5:$G$13,MATCH($A108,'Scratch Data'!$G$5:$G$13,1)),0.0001))),(1+Inputs!$B$19*INDEX(Baseline!$B$3:$B$122,MATCH(MIN(MAX(ROUND((MAX($A108-Inputs!$B$20,30))/5,0)*5,5),600),Baseline!$A$3:$A$122,0))+(1-Inputs!$B$19)*INDEX(Baseline!$C$3:$C$122,MATCH(MIN(MAX(ROUND((MAX($A108-Inputs!$B$20,30))/5,0)*5,5),600),Baseline!$A$3:$A$122,0)))),(1+Inputs!$B$19*INDEX(Baseline!$B$3:$B$122,MATCH(MIN(MAX(ROUND((MAX($A108-Inputs!$B$20,30))/5,0)*5,5),600),Baseline!$A$3:$A$122,0))+(1-Inputs!$B$19)*INDEX(Baseline!$C$3:$C$122,MATCH(MIN(MAX(ROUND((MAX($A108-Inputs!$B$20,30))/5,0)*5,5),600),Baseline!$A$3:$A$122,0)))))</f>
        <v>5.1091123744</v>
      </c>
      <c r="C108" s="10" t="n">
        <f aca="false">IF($A108&lt;=50,$B108+Inputs!$B$18,IF($A108&lt;=250,MIN((1+(INDEX('Scratch Data'!$H$5:$H$13,MATCH($A108,'Scratch Data'!$G$5:$G$13,1))+($A108-INDEX('Scratch Data'!$G$5:$G$13,MATCH($A108,'Scratch Data'!$G$5:$G$13,1)))*(INDEX('Scratch Data'!$H$5:$H$13,MIN(MATCH($A108,'Scratch Data'!$G$5:$G$13,1)+1,ROWS('Scratch Data'!$G$5:$G$13)))-INDEX('Scratch Data'!$H$5:$H$13,MATCH($A108,'Scratch Data'!$G$5:$G$13,1)))/MAX(INDEX('Scratch Data'!$G$5:$G$13,MIN(MATCH($A108,'Scratch Data'!$G$5:$G$13,1)+1,ROWS('Scratch Data'!$G$5:$G$13)))-INDEX('Scratch Data'!$G$5:$G$13,MATCH($A108,'Scratch Data'!$G$5:$G$13,1)),0.0001))*Inputs!$B$12*INDEX(Baseline!$I$3:$I$102,MIN(MAX(ROUND(Inputs!$B$11*(INDEX('Scratch Data'!$I$5:$I$13,MATCH($A108,'Scratch Data'!$G$5:$G$13,1))+($A108-INDEX('Scratch Data'!$G$5:$G$13,MATCH($A108,'Scratch Data'!$G$5:$G$13,1)))*(INDEX('Scratch Data'!$I$5:$I$13,MIN(MATCH($A108,'Scratch Data'!$G$5:$G$13,1)+1,ROWS('Scratch Data'!$G$5:$G$13)))-INDEX('Scratch Data'!$I$5:$I$13,MATCH($A108,'Scratch Data'!$G$5:$G$13,1)))/MAX(INDEX('Scratch Data'!$G$5:$G$13,MIN(MATCH($A108,'Scratch Data'!$G$5:$G$13,1)+1,ROWS('Scratch Data'!$G$5:$G$13)))-INDEX('Scratch Data'!$G$5:$G$13,MATCH($A108,'Scratch Data'!$G$5:$G$13,1)),0.0001))*Inputs!$B$13,0),1),100))+(1-(INDEX('Scratch Data'!$H$5:$H$13,MATCH($A108,'Scratch Data'!$G$5:$G$13,1))+($A108-INDEX('Scratch Data'!$G$5:$G$13,MATCH($A108,'Scratch Data'!$G$5:$G$13,1)))*(INDEX('Scratch Data'!$H$5:$H$13,MIN(MATCH($A108,'Scratch Data'!$G$5:$G$13,1)+1,ROWS('Scratch Data'!$G$5:$G$13)))-INDEX('Scratch Data'!$H$5:$H$13,MATCH($A108,'Scratch Data'!$G$5:$G$13,1)))/MAX(INDEX('Scratch Data'!$G$5:$G$13,MIN(MATCH($A108,'Scratch Data'!$G$5:$G$13,1)+1,ROWS('Scratch Data'!$G$5:$G$13)))-INDEX('Scratch Data'!$G$5:$G$13,MATCH($A108,'Scratch Data'!$G$5:$G$13,1)),0.0001))*Inputs!$B$12)*((INDEX('Scratch Data'!$J$5:$J$13,MATCH($A108,'Scratch Data'!$G$5:$G$13,1))+($A108-INDEX('Scratch Data'!$G$5:$G$13,MATCH($A108,'Scratch Data'!$G$5:$G$13,1)))*(INDEX('Scratch Data'!$J$5:$J$13,MIN(MATCH($A108,'Scratch Data'!$G$5:$G$13,1)+1,ROWS('Scratch Data'!$G$5:$G$13)))-INDEX('Scratch Data'!$J$5:$J$13,MATCH($A108,'Scratch Data'!$G$5:$G$13,1)))/MAX(INDEX('Scratch Data'!$G$5:$G$13,MIN(MATCH($A108,'Scratch Data'!$G$5:$G$13,1)+1,ROWS('Scratch Data'!$G$5:$G$13)))-INDEX('Scratch Data'!$G$5:$G$13,MATCH($A108,'Scratch Data'!$G$5:$G$13,1)),0.0001))+Inputs!$B$14)),(1+Inputs!$B$19*INDEX(Baseline!$B$3:$B$122,MATCH(MIN(MAX(ROUND((MAX($A108-Inputs!$B$21,30))/5,0)*5,5),600),Baseline!$A$3:$A$122,0))+(1-Inputs!$B$19)*INDEX(Baseline!$C$3:$C$122,MATCH(MIN(MAX(ROUND((MAX($A108-Inputs!$B$21,30))/5,0)*5,5),600),Baseline!$A$3:$A$122,0))+Inputs!$B$14)),(1+Inputs!$B$19*INDEX(Baseline!$B$3:$B$122,MATCH(MIN(MAX(ROUND((MAX($A108-Inputs!$B$21,30))/5,0)*5,5),600),Baseline!$A$3:$A$122,0))+(1-Inputs!$B$19)*INDEX(Baseline!$C$3:$C$122,MATCH(MIN(MAX(ROUND((MAX($A108-Inputs!$B$21,30))/5,0)*5,5),600),Baseline!$A$3:$A$122,0))+Inputs!$B$14)))</f>
        <v>5.3255052792</v>
      </c>
      <c r="D108" s="10" t="n">
        <f aca="false">IF($A108&lt;=50,(INDEX('Scratch Data'!$P$5:$P$11,MATCH($A108,'Scratch Data'!$O$5:$O$11,1))+($A108-INDEX('Scratch Data'!$O$5:$O$11,MATCH($A108,'Scratch Data'!$O$5:$O$11,1)))*(INDEX('Scratch Data'!$P$5:$P$11,MIN(MATCH($A108,'Scratch Data'!$O$5:$O$11,1)+1,ROWS('Scratch Data'!$O$5:$O$11)))-INDEX('Scratch Data'!$P$5:$P$11,MATCH($A108,'Scratch Data'!$O$5:$O$11,1)))/MAX(INDEX('Scratch Data'!$O$5:$O$11,MIN(MATCH($A108,'Scratch Data'!$O$5:$O$11,1)+1,ROWS('Scratch Data'!$O$5:$O$11)))-INDEX('Scratch Data'!$O$5:$O$11,MATCH($A108,'Scratch Data'!$O$5:$O$11,1)),0.0001)),IF($A108&lt;=250,MIN((1+(INDEX('Scratch Data'!$H$5:$H$13,MATCH($A108,'Scratch Data'!$G$5:$G$13,1))+($A108-INDEX('Scratch Data'!$G$5:$G$13,MATCH($A108,'Scratch Data'!$G$5:$G$13,1)))*(INDEX('Scratch Data'!$H$5:$H$13,MIN(MATCH($A108,'Scratch Data'!$G$5:$G$13,1)+1,ROWS('Scratch Data'!$G$5:$G$13)))-INDEX('Scratch Data'!$H$5:$H$13,MATCH($A108,'Scratch Data'!$G$5:$G$13,1)))/MAX(INDEX('Scratch Data'!$G$5:$G$13,MIN(MATCH($A108,'Scratch Data'!$G$5:$G$13,1)+1,ROWS('Scratch Data'!$G$5:$G$13)))-INDEX('Scratch Data'!$G$5:$G$13,MATCH($A108,'Scratch Data'!$G$5:$G$13,1)),0.0001))*Inputs!$B$15*INDEX(Baseline!$I$3:$I$102,MIN(MAX(ROUND(Inputs!$B$11*(INDEX('Scratch Data'!$I$5:$I$13,MATCH($A108,'Scratch Data'!$G$5:$G$13,1))+($A108-INDEX('Scratch Data'!$G$5:$G$13,MATCH($A108,'Scratch Data'!$G$5:$G$13,1)))*(INDEX('Scratch Data'!$I$5:$I$13,MIN(MATCH($A108,'Scratch Data'!$G$5:$G$13,1)+1,ROWS('Scratch Data'!$G$5:$G$13)))-INDEX('Scratch Data'!$I$5:$I$13,MATCH($A108,'Scratch Data'!$G$5:$G$13,1)))/MAX(INDEX('Scratch Data'!$G$5:$G$13,MIN(MATCH($A108,'Scratch Data'!$G$5:$G$13,1)+1,ROWS('Scratch Data'!$G$5:$G$13)))-INDEX('Scratch Data'!$G$5:$G$13,MATCH($A108,'Scratch Data'!$G$5:$G$13,1)),0.0001))*Inputs!$B$16,0),1),100))+(1-(INDEX('Scratch Data'!$H$5:$H$13,MATCH($A108,'Scratch Data'!$G$5:$G$13,1))+($A108-INDEX('Scratch Data'!$G$5:$G$13,MATCH($A108,'Scratch Data'!$G$5:$G$13,1)))*(INDEX('Scratch Data'!$H$5:$H$13,MIN(MATCH($A108,'Scratch Data'!$G$5:$G$13,1)+1,ROWS('Scratch Data'!$G$5:$G$13)))-INDEX('Scratch Data'!$H$5:$H$13,MATCH($A108,'Scratch Data'!$G$5:$G$13,1)))/MAX(INDEX('Scratch Data'!$G$5:$G$13,MIN(MATCH($A108,'Scratch Data'!$G$5:$G$13,1)+1,ROWS('Scratch Data'!$G$5:$G$13)))-INDEX('Scratch Data'!$G$5:$G$13,MATCH($A108,'Scratch Data'!$G$5:$G$13,1)),0.0001))*Inputs!$B$15)*((INDEX('Scratch Data'!$J$5:$J$13,MATCH($A108,'Scratch Data'!$G$5:$G$13,1))+($A108-INDEX('Scratch Data'!$G$5:$G$13,MATCH($A108,'Scratch Data'!$G$5:$G$13,1)))*(INDEX('Scratch Data'!$J$5:$J$13,MIN(MATCH($A108,'Scratch Data'!$G$5:$G$13,1)+1,ROWS('Scratch Data'!$G$5:$G$13)))-INDEX('Scratch Data'!$J$5:$J$13,MATCH($A108,'Scratch Data'!$G$5:$G$13,1)))/MAX(INDEX('Scratch Data'!$G$5:$G$13,MIN(MATCH($A108,'Scratch Data'!$G$5:$G$13,1)+1,ROWS('Scratch Data'!$G$5:$G$13)))-INDEX('Scratch Data'!$G$5:$G$13,MATCH($A108,'Scratch Data'!$G$5:$G$13,1)),0.0001))+Inputs!$B$17)),(1+Inputs!$B$19*INDEX(Baseline!$B$3:$B$122,MATCH(MIN(MAX(ROUND((MAX($A108-Inputs!$B$22,30))/5,0)*5,5),600),Baseline!$A$3:$A$122,0))+(1-Inputs!$B$19)*INDEX(Baseline!$C$3:$C$122,MATCH(MIN(MAX(ROUND((MAX($A108-Inputs!$B$22,30))/5,0)*5,5),600),Baseline!$A$3:$A$122,0))+Inputs!$B$17)),(1+Inputs!$B$19*INDEX(Baseline!$B$3:$B$122,MATCH(MIN(MAX(ROUND((MAX($A108-Inputs!$B$22,30))/5,0)*5,5),600),Baseline!$A$3:$A$122,0))+(1-Inputs!$B$19)*INDEX(Baseline!$C$3:$C$122,MATCH(MIN(MAX(ROUND((MAX($A108-Inputs!$B$22,30))/5,0)*5,5),600),Baseline!$A$3:$A$122,0))+Inputs!$B$17)))</f>
        <v>5.5112542272</v>
      </c>
      <c r="E108" s="10" t="n">
        <f aca="false">1+Inputs!$B$24+0.6*INDEX(Baseline!$B$3:$B$122,MATCH(MIN(MAX(ROUND((MAX($A108-Inputs!$B$23,15))/5,0)*5,5),600),Baseline!$A$3:$A$122,0))+0.4*INDEX(Baseline!$C$3:$C$122,MATCH(MIN(MAX(ROUND((MAX($A108-Inputs!$B$23,15))/5,0)*5,5),600),Baseline!$A$3:$A$122,0))</f>
        <v>5.7525519776</v>
      </c>
    </row>
    <row r="109" customFormat="false" ht="15" hidden="false" customHeight="false" outlineLevel="0" collapsed="false">
      <c r="A109" s="7" t="n">
        <v>535</v>
      </c>
      <c r="B109" s="10" t="n">
        <f aca="false">IF($A109&lt;=50,(INDEX('Scratch Data'!$M$5:$M$12,MATCH($A109,'Scratch Data'!$L$5:$L$12,1))+($A109-INDEX('Scratch Data'!$L$5:$L$12,MATCH($A109,'Scratch Data'!$L$5:$L$12,1)))*(INDEX('Scratch Data'!$M$5:$M$12,MIN(MATCH($A109,'Scratch Data'!$L$5:$L$12,1)+1,ROWS('Scratch Data'!$L$5:$L$12)))-INDEX('Scratch Data'!$M$5:$M$12,MATCH($A109,'Scratch Data'!$L$5:$L$12,1)))/MAX(INDEX('Scratch Data'!$L$5:$L$12,MIN(MATCH($A109,'Scratch Data'!$L$5:$L$12,1)+1,ROWS('Scratch Data'!$L$5:$L$12)))-INDEX('Scratch Data'!$L$5:$L$12,MATCH($A109,'Scratch Data'!$L$5:$L$12,1)),0.0001)),IF($A109&lt;=250,MIN((1+(INDEX('Scratch Data'!$H$5:$H$13,MATCH($A109,'Scratch Data'!$G$5:$G$13,1))+($A109-INDEX('Scratch Data'!$G$5:$G$13,MATCH($A109,'Scratch Data'!$G$5:$G$13,1)))*(INDEX('Scratch Data'!$H$5:$H$13,MIN(MATCH($A109,'Scratch Data'!$G$5:$G$13,1)+1,ROWS('Scratch Data'!$G$5:$G$13)))-INDEX('Scratch Data'!$H$5:$H$13,MATCH($A109,'Scratch Data'!$G$5:$G$13,1)))/MAX(INDEX('Scratch Data'!$G$5:$G$13,MIN(MATCH($A109,'Scratch Data'!$G$5:$G$13,1)+1,ROWS('Scratch Data'!$G$5:$G$13)))-INDEX('Scratch Data'!$G$5:$G$13,MATCH($A109,'Scratch Data'!$G$5:$G$13,1)),0.0001))*INDEX(Baseline!$I$3:$I$102,MIN(MAX(ROUND(Inputs!$B$11*(INDEX('Scratch Data'!$I$5:$I$13,MATCH($A109,'Scratch Data'!$G$5:$G$13,1))+($A109-INDEX('Scratch Data'!$G$5:$G$13,MATCH($A109,'Scratch Data'!$G$5:$G$13,1)))*(INDEX('Scratch Data'!$I$5:$I$13,MIN(MATCH($A109,'Scratch Data'!$G$5:$G$13,1)+1,ROWS('Scratch Data'!$G$5:$G$13)))-INDEX('Scratch Data'!$I$5:$I$13,MATCH($A109,'Scratch Data'!$G$5:$G$13,1)))/MAX(INDEX('Scratch Data'!$G$5:$G$13,MIN(MATCH($A109,'Scratch Data'!$G$5:$G$13,1)+1,ROWS('Scratch Data'!$G$5:$G$13)))-INDEX('Scratch Data'!$G$5:$G$13,MATCH($A109,'Scratch Data'!$G$5:$G$13,1)),0.0001)),0),1),100))+(1-(INDEX('Scratch Data'!$H$5:$H$13,MATCH($A109,'Scratch Data'!$G$5:$G$13,1))+($A109-INDEX('Scratch Data'!$G$5:$G$13,MATCH($A109,'Scratch Data'!$G$5:$G$13,1)))*(INDEX('Scratch Data'!$H$5:$H$13,MIN(MATCH($A109,'Scratch Data'!$G$5:$G$13,1)+1,ROWS('Scratch Data'!$G$5:$G$13)))-INDEX('Scratch Data'!$H$5:$H$13,MATCH($A109,'Scratch Data'!$G$5:$G$13,1)))/MAX(INDEX('Scratch Data'!$G$5:$G$13,MIN(MATCH($A109,'Scratch Data'!$G$5:$G$13,1)+1,ROWS('Scratch Data'!$G$5:$G$13)))-INDEX('Scratch Data'!$G$5:$G$13,MATCH($A109,'Scratch Data'!$G$5:$G$13,1)),0.0001)))*(INDEX('Scratch Data'!$J$5:$J$13,MATCH($A109,'Scratch Data'!$G$5:$G$13,1))+($A109-INDEX('Scratch Data'!$G$5:$G$13,MATCH($A109,'Scratch Data'!$G$5:$G$13,1)))*(INDEX('Scratch Data'!$J$5:$J$13,MIN(MATCH($A109,'Scratch Data'!$G$5:$G$13,1)+1,ROWS('Scratch Data'!$G$5:$G$13)))-INDEX('Scratch Data'!$J$5:$J$13,MATCH($A109,'Scratch Data'!$G$5:$G$13,1)))/MAX(INDEX('Scratch Data'!$G$5:$G$13,MIN(MATCH($A109,'Scratch Data'!$G$5:$G$13,1)+1,ROWS('Scratch Data'!$G$5:$G$13)))-INDEX('Scratch Data'!$G$5:$G$13,MATCH($A109,'Scratch Data'!$G$5:$G$13,1)),0.0001))),(1+Inputs!$B$19*INDEX(Baseline!$B$3:$B$122,MATCH(MIN(MAX(ROUND((MAX($A109-Inputs!$B$20,30))/5,0)*5,5),600),Baseline!$A$3:$A$122,0))+(1-Inputs!$B$19)*INDEX(Baseline!$C$3:$C$122,MATCH(MIN(MAX(ROUND((MAX($A109-Inputs!$B$20,30))/5,0)*5,5),600),Baseline!$A$3:$A$122,0)))),(1+Inputs!$B$19*INDEX(Baseline!$B$3:$B$122,MATCH(MIN(MAX(ROUND((MAX($A109-Inputs!$B$20,30))/5,0)*5,5),600),Baseline!$A$3:$A$122,0))+(1-Inputs!$B$19)*INDEX(Baseline!$C$3:$C$122,MATCH(MIN(MAX(ROUND((MAX($A109-Inputs!$B$20,30))/5,0)*5,5),600),Baseline!$A$3:$A$122,0)))))</f>
        <v>5.12623780853333</v>
      </c>
      <c r="C109" s="10" t="n">
        <f aca="false">IF($A109&lt;=50,$B109+Inputs!$B$18,IF($A109&lt;=250,MIN((1+(INDEX('Scratch Data'!$H$5:$H$13,MATCH($A109,'Scratch Data'!$G$5:$G$13,1))+($A109-INDEX('Scratch Data'!$G$5:$G$13,MATCH($A109,'Scratch Data'!$G$5:$G$13,1)))*(INDEX('Scratch Data'!$H$5:$H$13,MIN(MATCH($A109,'Scratch Data'!$G$5:$G$13,1)+1,ROWS('Scratch Data'!$G$5:$G$13)))-INDEX('Scratch Data'!$H$5:$H$13,MATCH($A109,'Scratch Data'!$G$5:$G$13,1)))/MAX(INDEX('Scratch Data'!$G$5:$G$13,MIN(MATCH($A109,'Scratch Data'!$G$5:$G$13,1)+1,ROWS('Scratch Data'!$G$5:$G$13)))-INDEX('Scratch Data'!$G$5:$G$13,MATCH($A109,'Scratch Data'!$G$5:$G$13,1)),0.0001))*Inputs!$B$12*INDEX(Baseline!$I$3:$I$102,MIN(MAX(ROUND(Inputs!$B$11*(INDEX('Scratch Data'!$I$5:$I$13,MATCH($A109,'Scratch Data'!$G$5:$G$13,1))+($A109-INDEX('Scratch Data'!$G$5:$G$13,MATCH($A109,'Scratch Data'!$G$5:$G$13,1)))*(INDEX('Scratch Data'!$I$5:$I$13,MIN(MATCH($A109,'Scratch Data'!$G$5:$G$13,1)+1,ROWS('Scratch Data'!$G$5:$G$13)))-INDEX('Scratch Data'!$I$5:$I$13,MATCH($A109,'Scratch Data'!$G$5:$G$13,1)))/MAX(INDEX('Scratch Data'!$G$5:$G$13,MIN(MATCH($A109,'Scratch Data'!$G$5:$G$13,1)+1,ROWS('Scratch Data'!$G$5:$G$13)))-INDEX('Scratch Data'!$G$5:$G$13,MATCH($A109,'Scratch Data'!$G$5:$G$13,1)),0.0001))*Inputs!$B$13,0),1),100))+(1-(INDEX('Scratch Data'!$H$5:$H$13,MATCH($A109,'Scratch Data'!$G$5:$G$13,1))+($A109-INDEX('Scratch Data'!$G$5:$G$13,MATCH($A109,'Scratch Data'!$G$5:$G$13,1)))*(INDEX('Scratch Data'!$H$5:$H$13,MIN(MATCH($A109,'Scratch Data'!$G$5:$G$13,1)+1,ROWS('Scratch Data'!$G$5:$G$13)))-INDEX('Scratch Data'!$H$5:$H$13,MATCH($A109,'Scratch Data'!$G$5:$G$13,1)))/MAX(INDEX('Scratch Data'!$G$5:$G$13,MIN(MATCH($A109,'Scratch Data'!$G$5:$G$13,1)+1,ROWS('Scratch Data'!$G$5:$G$13)))-INDEX('Scratch Data'!$G$5:$G$13,MATCH($A109,'Scratch Data'!$G$5:$G$13,1)),0.0001))*Inputs!$B$12)*((INDEX('Scratch Data'!$J$5:$J$13,MATCH($A109,'Scratch Data'!$G$5:$G$13,1))+($A109-INDEX('Scratch Data'!$G$5:$G$13,MATCH($A109,'Scratch Data'!$G$5:$G$13,1)))*(INDEX('Scratch Data'!$J$5:$J$13,MIN(MATCH($A109,'Scratch Data'!$G$5:$G$13,1)+1,ROWS('Scratch Data'!$G$5:$G$13)))-INDEX('Scratch Data'!$J$5:$J$13,MATCH($A109,'Scratch Data'!$G$5:$G$13,1)))/MAX(INDEX('Scratch Data'!$G$5:$G$13,MIN(MATCH($A109,'Scratch Data'!$G$5:$G$13,1)+1,ROWS('Scratch Data'!$G$5:$G$13)))-INDEX('Scratch Data'!$G$5:$G$13,MATCH($A109,'Scratch Data'!$G$5:$G$13,1)),0.0001))+Inputs!$B$14)),(1+Inputs!$B$19*INDEX(Baseline!$B$3:$B$122,MATCH(MIN(MAX(ROUND((MAX($A109-Inputs!$B$21,30))/5,0)*5,5),600),Baseline!$A$3:$A$122,0))+(1-Inputs!$B$19)*INDEX(Baseline!$C$3:$C$122,MATCH(MIN(MAX(ROUND((MAX($A109-Inputs!$B$21,30))/5,0)*5,5),600),Baseline!$A$3:$A$122,0))+Inputs!$B$14)),(1+Inputs!$B$19*INDEX(Baseline!$B$3:$B$122,MATCH(MIN(MAX(ROUND((MAX($A109-Inputs!$B$21,30))/5,0)*5,5),600),Baseline!$A$3:$A$122,0))+(1-Inputs!$B$19)*INDEX(Baseline!$C$3:$C$122,MATCH(MIN(MAX(ROUND((MAX($A109-Inputs!$B$21,30))/5,0)*5,5),600),Baseline!$A$3:$A$122,0))+Inputs!$B$14)))</f>
        <v>5.3489176992</v>
      </c>
      <c r="D109" s="10" t="n">
        <f aca="false">IF($A109&lt;=50,(INDEX('Scratch Data'!$P$5:$P$11,MATCH($A109,'Scratch Data'!$O$5:$O$11,1))+($A109-INDEX('Scratch Data'!$O$5:$O$11,MATCH($A109,'Scratch Data'!$O$5:$O$11,1)))*(INDEX('Scratch Data'!$P$5:$P$11,MIN(MATCH($A109,'Scratch Data'!$O$5:$O$11,1)+1,ROWS('Scratch Data'!$O$5:$O$11)))-INDEX('Scratch Data'!$P$5:$P$11,MATCH($A109,'Scratch Data'!$O$5:$O$11,1)))/MAX(INDEX('Scratch Data'!$O$5:$O$11,MIN(MATCH($A109,'Scratch Data'!$O$5:$O$11,1)+1,ROWS('Scratch Data'!$O$5:$O$11)))-INDEX('Scratch Data'!$O$5:$O$11,MATCH($A109,'Scratch Data'!$O$5:$O$11,1)),0.0001)),IF($A109&lt;=250,MIN((1+(INDEX('Scratch Data'!$H$5:$H$13,MATCH($A109,'Scratch Data'!$G$5:$G$13,1))+($A109-INDEX('Scratch Data'!$G$5:$G$13,MATCH($A109,'Scratch Data'!$G$5:$G$13,1)))*(INDEX('Scratch Data'!$H$5:$H$13,MIN(MATCH($A109,'Scratch Data'!$G$5:$G$13,1)+1,ROWS('Scratch Data'!$G$5:$G$13)))-INDEX('Scratch Data'!$H$5:$H$13,MATCH($A109,'Scratch Data'!$G$5:$G$13,1)))/MAX(INDEX('Scratch Data'!$G$5:$G$13,MIN(MATCH($A109,'Scratch Data'!$G$5:$G$13,1)+1,ROWS('Scratch Data'!$G$5:$G$13)))-INDEX('Scratch Data'!$G$5:$G$13,MATCH($A109,'Scratch Data'!$G$5:$G$13,1)),0.0001))*Inputs!$B$15*INDEX(Baseline!$I$3:$I$102,MIN(MAX(ROUND(Inputs!$B$11*(INDEX('Scratch Data'!$I$5:$I$13,MATCH($A109,'Scratch Data'!$G$5:$G$13,1))+($A109-INDEX('Scratch Data'!$G$5:$G$13,MATCH($A109,'Scratch Data'!$G$5:$G$13,1)))*(INDEX('Scratch Data'!$I$5:$I$13,MIN(MATCH($A109,'Scratch Data'!$G$5:$G$13,1)+1,ROWS('Scratch Data'!$G$5:$G$13)))-INDEX('Scratch Data'!$I$5:$I$13,MATCH($A109,'Scratch Data'!$G$5:$G$13,1)))/MAX(INDEX('Scratch Data'!$G$5:$G$13,MIN(MATCH($A109,'Scratch Data'!$G$5:$G$13,1)+1,ROWS('Scratch Data'!$G$5:$G$13)))-INDEX('Scratch Data'!$G$5:$G$13,MATCH($A109,'Scratch Data'!$G$5:$G$13,1)),0.0001))*Inputs!$B$16,0),1),100))+(1-(INDEX('Scratch Data'!$H$5:$H$13,MATCH($A109,'Scratch Data'!$G$5:$G$13,1))+($A109-INDEX('Scratch Data'!$G$5:$G$13,MATCH($A109,'Scratch Data'!$G$5:$G$13,1)))*(INDEX('Scratch Data'!$H$5:$H$13,MIN(MATCH($A109,'Scratch Data'!$G$5:$G$13,1)+1,ROWS('Scratch Data'!$G$5:$G$13)))-INDEX('Scratch Data'!$H$5:$H$13,MATCH($A109,'Scratch Data'!$G$5:$G$13,1)))/MAX(INDEX('Scratch Data'!$G$5:$G$13,MIN(MATCH($A109,'Scratch Data'!$G$5:$G$13,1)+1,ROWS('Scratch Data'!$G$5:$G$13)))-INDEX('Scratch Data'!$G$5:$G$13,MATCH($A109,'Scratch Data'!$G$5:$G$13,1)),0.0001))*Inputs!$B$15)*((INDEX('Scratch Data'!$J$5:$J$13,MATCH($A109,'Scratch Data'!$G$5:$G$13,1))+($A109-INDEX('Scratch Data'!$G$5:$G$13,MATCH($A109,'Scratch Data'!$G$5:$G$13,1)))*(INDEX('Scratch Data'!$J$5:$J$13,MIN(MATCH($A109,'Scratch Data'!$G$5:$G$13,1)+1,ROWS('Scratch Data'!$G$5:$G$13)))-INDEX('Scratch Data'!$J$5:$J$13,MATCH($A109,'Scratch Data'!$G$5:$G$13,1)))/MAX(INDEX('Scratch Data'!$G$5:$G$13,MIN(MATCH($A109,'Scratch Data'!$G$5:$G$13,1)+1,ROWS('Scratch Data'!$G$5:$G$13)))-INDEX('Scratch Data'!$G$5:$G$13,MATCH($A109,'Scratch Data'!$G$5:$G$13,1)),0.0001))+Inputs!$B$17)),(1+Inputs!$B$19*INDEX(Baseline!$B$3:$B$122,MATCH(MIN(MAX(ROUND((MAX($A109-Inputs!$B$22,30))/5,0)*5,5),600),Baseline!$A$3:$A$122,0))+(1-Inputs!$B$19)*INDEX(Baseline!$C$3:$C$122,MATCH(MIN(MAX(ROUND((MAX($A109-Inputs!$B$22,30))/5,0)*5,5),600),Baseline!$A$3:$A$122,0))+Inputs!$B$17)),(1+Inputs!$B$19*INDEX(Baseline!$B$3:$B$122,MATCH(MIN(MAX(ROUND((MAX($A109-Inputs!$B$22,30))/5,0)*5,5),600),Baseline!$A$3:$A$122,0))+(1-Inputs!$B$19)*INDEX(Baseline!$C$3:$C$122,MATCH(MIN(MAX(ROUND((MAX($A109-Inputs!$B$22,30))/5,0)*5,5),600),Baseline!$A$3:$A$122,0))+Inputs!$B$17)))</f>
        <v>5.52923058</v>
      </c>
      <c r="E109" s="10" t="n">
        <f aca="false">1+Inputs!$B$24+0.6*INDEX(Baseline!$B$3:$B$122,MATCH(MIN(MAX(ROUND((MAX($A109-Inputs!$B$23,15))/5,0)*5,5),600),Baseline!$A$3:$A$122,0))+0.4*INDEX(Baseline!$C$3:$C$122,MATCH(MIN(MAX(ROUND((MAX($A109-Inputs!$B$23,15))/5,0)*5,5),600),Baseline!$A$3:$A$122,0))</f>
        <v>5.770463264</v>
      </c>
    </row>
    <row r="110" customFormat="false" ht="15" hidden="false" customHeight="false" outlineLevel="0" collapsed="false">
      <c r="A110" s="7" t="n">
        <v>540</v>
      </c>
      <c r="B110" s="10" t="n">
        <f aca="false">IF($A110&lt;=50,(INDEX('Scratch Data'!$M$5:$M$12,MATCH($A110,'Scratch Data'!$L$5:$L$12,1))+($A110-INDEX('Scratch Data'!$L$5:$L$12,MATCH($A110,'Scratch Data'!$L$5:$L$12,1)))*(INDEX('Scratch Data'!$M$5:$M$12,MIN(MATCH($A110,'Scratch Data'!$L$5:$L$12,1)+1,ROWS('Scratch Data'!$L$5:$L$12)))-INDEX('Scratch Data'!$M$5:$M$12,MATCH($A110,'Scratch Data'!$L$5:$L$12,1)))/MAX(INDEX('Scratch Data'!$L$5:$L$12,MIN(MATCH($A110,'Scratch Data'!$L$5:$L$12,1)+1,ROWS('Scratch Data'!$L$5:$L$12)))-INDEX('Scratch Data'!$L$5:$L$12,MATCH($A110,'Scratch Data'!$L$5:$L$12,1)),0.0001)),IF($A110&lt;=250,MIN((1+(INDEX('Scratch Data'!$H$5:$H$13,MATCH($A110,'Scratch Data'!$G$5:$G$13,1))+($A110-INDEX('Scratch Data'!$G$5:$G$13,MATCH($A110,'Scratch Data'!$G$5:$G$13,1)))*(INDEX('Scratch Data'!$H$5:$H$13,MIN(MATCH($A110,'Scratch Data'!$G$5:$G$13,1)+1,ROWS('Scratch Data'!$G$5:$G$13)))-INDEX('Scratch Data'!$H$5:$H$13,MATCH($A110,'Scratch Data'!$G$5:$G$13,1)))/MAX(INDEX('Scratch Data'!$G$5:$G$13,MIN(MATCH($A110,'Scratch Data'!$G$5:$G$13,1)+1,ROWS('Scratch Data'!$G$5:$G$13)))-INDEX('Scratch Data'!$G$5:$G$13,MATCH($A110,'Scratch Data'!$G$5:$G$13,1)),0.0001))*INDEX(Baseline!$I$3:$I$102,MIN(MAX(ROUND(Inputs!$B$11*(INDEX('Scratch Data'!$I$5:$I$13,MATCH($A110,'Scratch Data'!$G$5:$G$13,1))+($A110-INDEX('Scratch Data'!$G$5:$G$13,MATCH($A110,'Scratch Data'!$G$5:$G$13,1)))*(INDEX('Scratch Data'!$I$5:$I$13,MIN(MATCH($A110,'Scratch Data'!$G$5:$G$13,1)+1,ROWS('Scratch Data'!$G$5:$G$13)))-INDEX('Scratch Data'!$I$5:$I$13,MATCH($A110,'Scratch Data'!$G$5:$G$13,1)))/MAX(INDEX('Scratch Data'!$G$5:$G$13,MIN(MATCH($A110,'Scratch Data'!$G$5:$G$13,1)+1,ROWS('Scratch Data'!$G$5:$G$13)))-INDEX('Scratch Data'!$G$5:$G$13,MATCH($A110,'Scratch Data'!$G$5:$G$13,1)),0.0001)),0),1),100))+(1-(INDEX('Scratch Data'!$H$5:$H$13,MATCH($A110,'Scratch Data'!$G$5:$G$13,1))+($A110-INDEX('Scratch Data'!$G$5:$G$13,MATCH($A110,'Scratch Data'!$G$5:$G$13,1)))*(INDEX('Scratch Data'!$H$5:$H$13,MIN(MATCH($A110,'Scratch Data'!$G$5:$G$13,1)+1,ROWS('Scratch Data'!$G$5:$G$13)))-INDEX('Scratch Data'!$H$5:$H$13,MATCH($A110,'Scratch Data'!$G$5:$G$13,1)))/MAX(INDEX('Scratch Data'!$G$5:$G$13,MIN(MATCH($A110,'Scratch Data'!$G$5:$G$13,1)+1,ROWS('Scratch Data'!$G$5:$G$13)))-INDEX('Scratch Data'!$G$5:$G$13,MATCH($A110,'Scratch Data'!$G$5:$G$13,1)),0.0001)))*(INDEX('Scratch Data'!$J$5:$J$13,MATCH($A110,'Scratch Data'!$G$5:$G$13,1))+($A110-INDEX('Scratch Data'!$G$5:$G$13,MATCH($A110,'Scratch Data'!$G$5:$G$13,1)))*(INDEX('Scratch Data'!$J$5:$J$13,MIN(MATCH($A110,'Scratch Data'!$G$5:$G$13,1)+1,ROWS('Scratch Data'!$G$5:$G$13)))-INDEX('Scratch Data'!$J$5:$J$13,MATCH($A110,'Scratch Data'!$G$5:$G$13,1)))/MAX(INDEX('Scratch Data'!$G$5:$G$13,MIN(MATCH($A110,'Scratch Data'!$G$5:$G$13,1)+1,ROWS('Scratch Data'!$G$5:$G$13)))-INDEX('Scratch Data'!$G$5:$G$13,MATCH($A110,'Scratch Data'!$G$5:$G$13,1)),0.0001))),(1+Inputs!$B$19*INDEX(Baseline!$B$3:$B$122,MATCH(MIN(MAX(ROUND((MAX($A110-Inputs!$B$20,30))/5,0)*5,5),600),Baseline!$A$3:$A$122,0))+(1-Inputs!$B$19)*INDEX(Baseline!$C$3:$C$122,MATCH(MIN(MAX(ROUND((MAX($A110-Inputs!$B$20,30))/5,0)*5,5),600),Baseline!$A$3:$A$122,0)))),(1+Inputs!$B$19*INDEX(Baseline!$B$3:$B$122,MATCH(MIN(MAX(ROUND((MAX($A110-Inputs!$B$20,30))/5,0)*5,5),600),Baseline!$A$3:$A$122,0))+(1-Inputs!$B$19)*INDEX(Baseline!$C$3:$C$122,MATCH(MIN(MAX(ROUND((MAX($A110-Inputs!$B$20,30))/5,0)*5,5),600),Baseline!$A$3:$A$122,0)))))</f>
        <v>5.1474151072</v>
      </c>
      <c r="C110" s="10" t="n">
        <f aca="false">IF($A110&lt;=50,$B110+Inputs!$B$18,IF($A110&lt;=250,MIN((1+(INDEX('Scratch Data'!$H$5:$H$13,MATCH($A110,'Scratch Data'!$G$5:$G$13,1))+($A110-INDEX('Scratch Data'!$G$5:$G$13,MATCH($A110,'Scratch Data'!$G$5:$G$13,1)))*(INDEX('Scratch Data'!$H$5:$H$13,MIN(MATCH($A110,'Scratch Data'!$G$5:$G$13,1)+1,ROWS('Scratch Data'!$G$5:$G$13)))-INDEX('Scratch Data'!$H$5:$H$13,MATCH($A110,'Scratch Data'!$G$5:$G$13,1)))/MAX(INDEX('Scratch Data'!$G$5:$G$13,MIN(MATCH($A110,'Scratch Data'!$G$5:$G$13,1)+1,ROWS('Scratch Data'!$G$5:$G$13)))-INDEX('Scratch Data'!$G$5:$G$13,MATCH($A110,'Scratch Data'!$G$5:$G$13,1)),0.0001))*Inputs!$B$12*INDEX(Baseline!$I$3:$I$102,MIN(MAX(ROUND(Inputs!$B$11*(INDEX('Scratch Data'!$I$5:$I$13,MATCH($A110,'Scratch Data'!$G$5:$G$13,1))+($A110-INDEX('Scratch Data'!$G$5:$G$13,MATCH($A110,'Scratch Data'!$G$5:$G$13,1)))*(INDEX('Scratch Data'!$I$5:$I$13,MIN(MATCH($A110,'Scratch Data'!$G$5:$G$13,1)+1,ROWS('Scratch Data'!$G$5:$G$13)))-INDEX('Scratch Data'!$I$5:$I$13,MATCH($A110,'Scratch Data'!$G$5:$G$13,1)))/MAX(INDEX('Scratch Data'!$G$5:$G$13,MIN(MATCH($A110,'Scratch Data'!$G$5:$G$13,1)+1,ROWS('Scratch Data'!$G$5:$G$13)))-INDEX('Scratch Data'!$G$5:$G$13,MATCH($A110,'Scratch Data'!$G$5:$G$13,1)),0.0001))*Inputs!$B$13,0),1),100))+(1-(INDEX('Scratch Data'!$H$5:$H$13,MATCH($A110,'Scratch Data'!$G$5:$G$13,1))+($A110-INDEX('Scratch Data'!$G$5:$G$13,MATCH($A110,'Scratch Data'!$G$5:$G$13,1)))*(INDEX('Scratch Data'!$H$5:$H$13,MIN(MATCH($A110,'Scratch Data'!$G$5:$G$13,1)+1,ROWS('Scratch Data'!$G$5:$G$13)))-INDEX('Scratch Data'!$H$5:$H$13,MATCH($A110,'Scratch Data'!$G$5:$G$13,1)))/MAX(INDEX('Scratch Data'!$G$5:$G$13,MIN(MATCH($A110,'Scratch Data'!$G$5:$G$13,1)+1,ROWS('Scratch Data'!$G$5:$G$13)))-INDEX('Scratch Data'!$G$5:$G$13,MATCH($A110,'Scratch Data'!$G$5:$G$13,1)),0.0001))*Inputs!$B$12)*((INDEX('Scratch Data'!$J$5:$J$13,MATCH($A110,'Scratch Data'!$G$5:$G$13,1))+($A110-INDEX('Scratch Data'!$G$5:$G$13,MATCH($A110,'Scratch Data'!$G$5:$G$13,1)))*(INDEX('Scratch Data'!$J$5:$J$13,MIN(MATCH($A110,'Scratch Data'!$G$5:$G$13,1)+1,ROWS('Scratch Data'!$G$5:$G$13)))-INDEX('Scratch Data'!$J$5:$J$13,MATCH($A110,'Scratch Data'!$G$5:$G$13,1)))/MAX(INDEX('Scratch Data'!$G$5:$G$13,MIN(MATCH($A110,'Scratch Data'!$G$5:$G$13,1)+1,ROWS('Scratch Data'!$G$5:$G$13)))-INDEX('Scratch Data'!$G$5:$G$13,MATCH($A110,'Scratch Data'!$G$5:$G$13,1)),0.0001))+Inputs!$B$14)),(1+Inputs!$B$19*INDEX(Baseline!$B$3:$B$122,MATCH(MIN(MAX(ROUND((MAX($A110-Inputs!$B$21,30))/5,0)*5,5),600),Baseline!$A$3:$A$122,0))+(1-Inputs!$B$19)*INDEX(Baseline!$C$3:$C$122,MATCH(MIN(MAX(ROUND((MAX($A110-Inputs!$B$21,30))/5,0)*5,5),600),Baseline!$A$3:$A$122,0))+Inputs!$B$14)),(1+Inputs!$B$19*INDEX(Baseline!$B$3:$B$122,MATCH(MIN(MAX(ROUND((MAX($A110-Inputs!$B$21,30))/5,0)*5,5),600),Baseline!$A$3:$A$122,0))+(1-Inputs!$B$19)*INDEX(Baseline!$C$3:$C$122,MATCH(MIN(MAX(ROUND((MAX($A110-Inputs!$B$21,30))/5,0)*5,5),600),Baseline!$A$3:$A$122,0))+Inputs!$B$14)))</f>
        <v>5.3667124904</v>
      </c>
      <c r="D110" s="10" t="n">
        <f aca="false">IF($A110&lt;=50,(INDEX('Scratch Data'!$P$5:$P$11,MATCH($A110,'Scratch Data'!$O$5:$O$11,1))+($A110-INDEX('Scratch Data'!$O$5:$O$11,MATCH($A110,'Scratch Data'!$O$5:$O$11,1)))*(INDEX('Scratch Data'!$P$5:$P$11,MIN(MATCH($A110,'Scratch Data'!$O$5:$O$11,1)+1,ROWS('Scratch Data'!$O$5:$O$11)))-INDEX('Scratch Data'!$P$5:$P$11,MATCH($A110,'Scratch Data'!$O$5:$O$11,1)))/MAX(INDEX('Scratch Data'!$O$5:$O$11,MIN(MATCH($A110,'Scratch Data'!$O$5:$O$11,1)+1,ROWS('Scratch Data'!$O$5:$O$11)))-INDEX('Scratch Data'!$O$5:$O$11,MATCH($A110,'Scratch Data'!$O$5:$O$11,1)),0.0001)),IF($A110&lt;=250,MIN((1+(INDEX('Scratch Data'!$H$5:$H$13,MATCH($A110,'Scratch Data'!$G$5:$G$13,1))+($A110-INDEX('Scratch Data'!$G$5:$G$13,MATCH($A110,'Scratch Data'!$G$5:$G$13,1)))*(INDEX('Scratch Data'!$H$5:$H$13,MIN(MATCH($A110,'Scratch Data'!$G$5:$G$13,1)+1,ROWS('Scratch Data'!$G$5:$G$13)))-INDEX('Scratch Data'!$H$5:$H$13,MATCH($A110,'Scratch Data'!$G$5:$G$13,1)))/MAX(INDEX('Scratch Data'!$G$5:$G$13,MIN(MATCH($A110,'Scratch Data'!$G$5:$G$13,1)+1,ROWS('Scratch Data'!$G$5:$G$13)))-INDEX('Scratch Data'!$G$5:$G$13,MATCH($A110,'Scratch Data'!$G$5:$G$13,1)),0.0001))*Inputs!$B$15*INDEX(Baseline!$I$3:$I$102,MIN(MAX(ROUND(Inputs!$B$11*(INDEX('Scratch Data'!$I$5:$I$13,MATCH($A110,'Scratch Data'!$G$5:$G$13,1))+($A110-INDEX('Scratch Data'!$G$5:$G$13,MATCH($A110,'Scratch Data'!$G$5:$G$13,1)))*(INDEX('Scratch Data'!$I$5:$I$13,MIN(MATCH($A110,'Scratch Data'!$G$5:$G$13,1)+1,ROWS('Scratch Data'!$G$5:$G$13)))-INDEX('Scratch Data'!$I$5:$I$13,MATCH($A110,'Scratch Data'!$G$5:$G$13,1)))/MAX(INDEX('Scratch Data'!$G$5:$G$13,MIN(MATCH($A110,'Scratch Data'!$G$5:$G$13,1)+1,ROWS('Scratch Data'!$G$5:$G$13)))-INDEX('Scratch Data'!$G$5:$G$13,MATCH($A110,'Scratch Data'!$G$5:$G$13,1)),0.0001))*Inputs!$B$16,0),1),100))+(1-(INDEX('Scratch Data'!$H$5:$H$13,MATCH($A110,'Scratch Data'!$G$5:$G$13,1))+($A110-INDEX('Scratch Data'!$G$5:$G$13,MATCH($A110,'Scratch Data'!$G$5:$G$13,1)))*(INDEX('Scratch Data'!$H$5:$H$13,MIN(MATCH($A110,'Scratch Data'!$G$5:$G$13,1)+1,ROWS('Scratch Data'!$G$5:$G$13)))-INDEX('Scratch Data'!$H$5:$H$13,MATCH($A110,'Scratch Data'!$G$5:$G$13,1)))/MAX(INDEX('Scratch Data'!$G$5:$G$13,MIN(MATCH($A110,'Scratch Data'!$G$5:$G$13,1)+1,ROWS('Scratch Data'!$G$5:$G$13)))-INDEX('Scratch Data'!$G$5:$G$13,MATCH($A110,'Scratch Data'!$G$5:$G$13,1)),0.0001))*Inputs!$B$15)*((INDEX('Scratch Data'!$J$5:$J$13,MATCH($A110,'Scratch Data'!$G$5:$G$13,1))+($A110-INDEX('Scratch Data'!$G$5:$G$13,MATCH($A110,'Scratch Data'!$G$5:$G$13,1)))*(INDEX('Scratch Data'!$J$5:$J$13,MIN(MATCH($A110,'Scratch Data'!$G$5:$G$13,1)+1,ROWS('Scratch Data'!$G$5:$G$13)))-INDEX('Scratch Data'!$J$5:$J$13,MATCH($A110,'Scratch Data'!$G$5:$G$13,1)))/MAX(INDEX('Scratch Data'!$G$5:$G$13,MIN(MATCH($A110,'Scratch Data'!$G$5:$G$13,1)+1,ROWS('Scratch Data'!$G$5:$G$13)))-INDEX('Scratch Data'!$G$5:$G$13,MATCH($A110,'Scratch Data'!$G$5:$G$13,1)),0.0001))+Inputs!$B$17)),(1+Inputs!$B$19*INDEX(Baseline!$B$3:$B$122,MATCH(MIN(MAX(ROUND((MAX($A110-Inputs!$B$22,30))/5,0)*5,5),600),Baseline!$A$3:$A$122,0))+(1-Inputs!$B$19)*INDEX(Baseline!$C$3:$C$122,MATCH(MIN(MAX(ROUND((MAX($A110-Inputs!$B$22,30))/5,0)*5,5),600),Baseline!$A$3:$A$122,0))+Inputs!$B$17)),(1+Inputs!$B$19*INDEX(Baseline!$B$3:$B$122,MATCH(MIN(MAX(ROUND((MAX($A110-Inputs!$B$22,30))/5,0)*5,5),600),Baseline!$A$3:$A$122,0))+(1-Inputs!$B$19)*INDEX(Baseline!$C$3:$C$122,MATCH(MIN(MAX(ROUND((MAX($A110-Inputs!$B$22,30))/5,0)*5,5),600),Baseline!$A$3:$A$122,0))+Inputs!$B$17)))</f>
        <v>5.5519642264</v>
      </c>
      <c r="E110" s="10" t="n">
        <f aca="false">1+Inputs!$B$24+0.6*INDEX(Baseline!$B$3:$B$122,MATCH(MIN(MAX(ROUND((MAX($A110-Inputs!$B$23,15))/5,0)*5,5),600),Baseline!$A$3:$A$122,0))+0.4*INDEX(Baseline!$C$3:$C$122,MATCH(MIN(MAX(ROUND((MAX($A110-Inputs!$B$23,15))/5,0)*5,5),600),Baseline!$A$3:$A$122,0))</f>
        <v>5.7884372</v>
      </c>
    </row>
    <row r="111" customFormat="false" ht="15" hidden="false" customHeight="false" outlineLevel="0" collapsed="false">
      <c r="A111" s="7" t="n">
        <v>545</v>
      </c>
      <c r="B111" s="10" t="n">
        <f aca="false">IF($A111&lt;=50,(INDEX('Scratch Data'!$M$5:$M$12,MATCH($A111,'Scratch Data'!$L$5:$L$12,1))+($A111-INDEX('Scratch Data'!$L$5:$L$12,MATCH($A111,'Scratch Data'!$L$5:$L$12,1)))*(INDEX('Scratch Data'!$M$5:$M$12,MIN(MATCH($A111,'Scratch Data'!$L$5:$L$12,1)+1,ROWS('Scratch Data'!$L$5:$L$12)))-INDEX('Scratch Data'!$M$5:$M$12,MATCH($A111,'Scratch Data'!$L$5:$L$12,1)))/MAX(INDEX('Scratch Data'!$L$5:$L$12,MIN(MATCH($A111,'Scratch Data'!$L$5:$L$12,1)+1,ROWS('Scratch Data'!$L$5:$L$12)))-INDEX('Scratch Data'!$L$5:$L$12,MATCH($A111,'Scratch Data'!$L$5:$L$12,1)),0.0001)),IF($A111&lt;=250,MIN((1+(INDEX('Scratch Data'!$H$5:$H$13,MATCH($A111,'Scratch Data'!$G$5:$G$13,1))+($A111-INDEX('Scratch Data'!$G$5:$G$13,MATCH($A111,'Scratch Data'!$G$5:$G$13,1)))*(INDEX('Scratch Data'!$H$5:$H$13,MIN(MATCH($A111,'Scratch Data'!$G$5:$G$13,1)+1,ROWS('Scratch Data'!$G$5:$G$13)))-INDEX('Scratch Data'!$H$5:$H$13,MATCH($A111,'Scratch Data'!$G$5:$G$13,1)))/MAX(INDEX('Scratch Data'!$G$5:$G$13,MIN(MATCH($A111,'Scratch Data'!$G$5:$G$13,1)+1,ROWS('Scratch Data'!$G$5:$G$13)))-INDEX('Scratch Data'!$G$5:$G$13,MATCH($A111,'Scratch Data'!$G$5:$G$13,1)),0.0001))*INDEX(Baseline!$I$3:$I$102,MIN(MAX(ROUND(Inputs!$B$11*(INDEX('Scratch Data'!$I$5:$I$13,MATCH($A111,'Scratch Data'!$G$5:$G$13,1))+($A111-INDEX('Scratch Data'!$G$5:$G$13,MATCH($A111,'Scratch Data'!$G$5:$G$13,1)))*(INDEX('Scratch Data'!$I$5:$I$13,MIN(MATCH($A111,'Scratch Data'!$G$5:$G$13,1)+1,ROWS('Scratch Data'!$G$5:$G$13)))-INDEX('Scratch Data'!$I$5:$I$13,MATCH($A111,'Scratch Data'!$G$5:$G$13,1)))/MAX(INDEX('Scratch Data'!$G$5:$G$13,MIN(MATCH($A111,'Scratch Data'!$G$5:$G$13,1)+1,ROWS('Scratch Data'!$G$5:$G$13)))-INDEX('Scratch Data'!$G$5:$G$13,MATCH($A111,'Scratch Data'!$G$5:$G$13,1)),0.0001)),0),1),100))+(1-(INDEX('Scratch Data'!$H$5:$H$13,MATCH($A111,'Scratch Data'!$G$5:$G$13,1))+($A111-INDEX('Scratch Data'!$G$5:$G$13,MATCH($A111,'Scratch Data'!$G$5:$G$13,1)))*(INDEX('Scratch Data'!$H$5:$H$13,MIN(MATCH($A111,'Scratch Data'!$G$5:$G$13,1)+1,ROWS('Scratch Data'!$G$5:$G$13)))-INDEX('Scratch Data'!$H$5:$H$13,MATCH($A111,'Scratch Data'!$G$5:$G$13,1)))/MAX(INDEX('Scratch Data'!$G$5:$G$13,MIN(MATCH($A111,'Scratch Data'!$G$5:$G$13,1)+1,ROWS('Scratch Data'!$G$5:$G$13)))-INDEX('Scratch Data'!$G$5:$G$13,MATCH($A111,'Scratch Data'!$G$5:$G$13,1)),0.0001)))*(INDEX('Scratch Data'!$J$5:$J$13,MATCH($A111,'Scratch Data'!$G$5:$G$13,1))+($A111-INDEX('Scratch Data'!$G$5:$G$13,MATCH($A111,'Scratch Data'!$G$5:$G$13,1)))*(INDEX('Scratch Data'!$J$5:$J$13,MIN(MATCH($A111,'Scratch Data'!$G$5:$G$13,1)+1,ROWS('Scratch Data'!$G$5:$G$13)))-INDEX('Scratch Data'!$J$5:$J$13,MATCH($A111,'Scratch Data'!$G$5:$G$13,1)))/MAX(INDEX('Scratch Data'!$G$5:$G$13,MIN(MATCH($A111,'Scratch Data'!$G$5:$G$13,1)+1,ROWS('Scratch Data'!$G$5:$G$13)))-INDEX('Scratch Data'!$G$5:$G$13,MATCH($A111,'Scratch Data'!$G$5:$G$13,1)),0.0001))),(1+Inputs!$B$19*INDEX(Baseline!$B$3:$B$122,MATCH(MIN(MAX(ROUND((MAX($A111-Inputs!$B$20,30))/5,0)*5,5),600),Baseline!$A$3:$A$122,0))+(1-Inputs!$B$19)*INDEX(Baseline!$C$3:$C$122,MATCH(MIN(MAX(ROUND((MAX($A111-Inputs!$B$20,30))/5,0)*5,5),600),Baseline!$A$3:$A$122,0)))),(1+Inputs!$B$19*INDEX(Baseline!$B$3:$B$122,MATCH(MIN(MAX(ROUND((MAX($A111-Inputs!$B$20,30))/5,0)*5,5),600),Baseline!$A$3:$A$122,0))+(1-Inputs!$B$19)*INDEX(Baseline!$C$3:$C$122,MATCH(MIN(MAX(ROUND((MAX($A111-Inputs!$B$20,30))/5,0)*5,5),600),Baseline!$A$3:$A$122,0)))))</f>
        <v>5.1652960704</v>
      </c>
      <c r="C111" s="10" t="n">
        <f aca="false">IF($A111&lt;=50,$B111+Inputs!$B$18,IF($A111&lt;=250,MIN((1+(INDEX('Scratch Data'!$H$5:$H$13,MATCH($A111,'Scratch Data'!$G$5:$G$13,1))+($A111-INDEX('Scratch Data'!$G$5:$G$13,MATCH($A111,'Scratch Data'!$G$5:$G$13,1)))*(INDEX('Scratch Data'!$H$5:$H$13,MIN(MATCH($A111,'Scratch Data'!$G$5:$G$13,1)+1,ROWS('Scratch Data'!$G$5:$G$13)))-INDEX('Scratch Data'!$H$5:$H$13,MATCH($A111,'Scratch Data'!$G$5:$G$13,1)))/MAX(INDEX('Scratch Data'!$G$5:$G$13,MIN(MATCH($A111,'Scratch Data'!$G$5:$G$13,1)+1,ROWS('Scratch Data'!$G$5:$G$13)))-INDEX('Scratch Data'!$G$5:$G$13,MATCH($A111,'Scratch Data'!$G$5:$G$13,1)),0.0001))*Inputs!$B$12*INDEX(Baseline!$I$3:$I$102,MIN(MAX(ROUND(Inputs!$B$11*(INDEX('Scratch Data'!$I$5:$I$13,MATCH($A111,'Scratch Data'!$G$5:$G$13,1))+($A111-INDEX('Scratch Data'!$G$5:$G$13,MATCH($A111,'Scratch Data'!$G$5:$G$13,1)))*(INDEX('Scratch Data'!$I$5:$I$13,MIN(MATCH($A111,'Scratch Data'!$G$5:$G$13,1)+1,ROWS('Scratch Data'!$G$5:$G$13)))-INDEX('Scratch Data'!$I$5:$I$13,MATCH($A111,'Scratch Data'!$G$5:$G$13,1)))/MAX(INDEX('Scratch Data'!$G$5:$G$13,MIN(MATCH($A111,'Scratch Data'!$G$5:$G$13,1)+1,ROWS('Scratch Data'!$G$5:$G$13)))-INDEX('Scratch Data'!$G$5:$G$13,MATCH($A111,'Scratch Data'!$G$5:$G$13,1)),0.0001))*Inputs!$B$13,0),1),100))+(1-(INDEX('Scratch Data'!$H$5:$H$13,MATCH($A111,'Scratch Data'!$G$5:$G$13,1))+($A111-INDEX('Scratch Data'!$G$5:$G$13,MATCH($A111,'Scratch Data'!$G$5:$G$13,1)))*(INDEX('Scratch Data'!$H$5:$H$13,MIN(MATCH($A111,'Scratch Data'!$G$5:$G$13,1)+1,ROWS('Scratch Data'!$G$5:$G$13)))-INDEX('Scratch Data'!$H$5:$H$13,MATCH($A111,'Scratch Data'!$G$5:$G$13,1)))/MAX(INDEX('Scratch Data'!$G$5:$G$13,MIN(MATCH($A111,'Scratch Data'!$G$5:$G$13,1)+1,ROWS('Scratch Data'!$G$5:$G$13)))-INDEX('Scratch Data'!$G$5:$G$13,MATCH($A111,'Scratch Data'!$G$5:$G$13,1)),0.0001))*Inputs!$B$12)*((INDEX('Scratch Data'!$J$5:$J$13,MATCH($A111,'Scratch Data'!$G$5:$G$13,1))+($A111-INDEX('Scratch Data'!$G$5:$G$13,MATCH($A111,'Scratch Data'!$G$5:$G$13,1)))*(INDEX('Scratch Data'!$J$5:$J$13,MIN(MATCH($A111,'Scratch Data'!$G$5:$G$13,1)+1,ROWS('Scratch Data'!$G$5:$G$13)))-INDEX('Scratch Data'!$J$5:$J$13,MATCH($A111,'Scratch Data'!$G$5:$G$13,1)))/MAX(INDEX('Scratch Data'!$G$5:$G$13,MIN(MATCH($A111,'Scratch Data'!$G$5:$G$13,1)+1,ROWS('Scratch Data'!$G$5:$G$13)))-INDEX('Scratch Data'!$G$5:$G$13,MATCH($A111,'Scratch Data'!$G$5:$G$13,1)),0.0001))+Inputs!$B$14)),(1+Inputs!$B$19*INDEX(Baseline!$B$3:$B$122,MATCH(MIN(MAX(ROUND((MAX($A111-Inputs!$B$21,30))/5,0)*5,5),600),Baseline!$A$3:$A$122,0))+(1-Inputs!$B$19)*INDEX(Baseline!$C$3:$C$122,MATCH(MIN(MAX(ROUND((MAX($A111-Inputs!$B$21,30))/5,0)*5,5),600),Baseline!$A$3:$A$122,0))+Inputs!$B$14)),(1+Inputs!$B$19*INDEX(Baseline!$B$3:$B$122,MATCH(MIN(MAX(ROUND((MAX($A111-Inputs!$B$21,30))/5,0)*5,5),600),Baseline!$A$3:$A$122,0))+(1-Inputs!$B$19)*INDEX(Baseline!$C$3:$C$122,MATCH(MIN(MAX(ROUND((MAX($A111-Inputs!$B$21,30))/5,0)*5,5),600),Baseline!$A$3:$A$122,0))+Inputs!$B$14)))</f>
        <v>5.390713672</v>
      </c>
      <c r="D111" s="10" t="n">
        <f aca="false">IF($A111&lt;=50,(INDEX('Scratch Data'!$P$5:$P$11,MATCH($A111,'Scratch Data'!$O$5:$O$11,1))+($A111-INDEX('Scratch Data'!$O$5:$O$11,MATCH($A111,'Scratch Data'!$O$5:$O$11,1)))*(INDEX('Scratch Data'!$P$5:$P$11,MIN(MATCH($A111,'Scratch Data'!$O$5:$O$11,1)+1,ROWS('Scratch Data'!$O$5:$O$11)))-INDEX('Scratch Data'!$P$5:$P$11,MATCH($A111,'Scratch Data'!$O$5:$O$11,1)))/MAX(INDEX('Scratch Data'!$O$5:$O$11,MIN(MATCH($A111,'Scratch Data'!$O$5:$O$11,1)+1,ROWS('Scratch Data'!$O$5:$O$11)))-INDEX('Scratch Data'!$O$5:$O$11,MATCH($A111,'Scratch Data'!$O$5:$O$11,1)),0.0001)),IF($A111&lt;=250,MIN((1+(INDEX('Scratch Data'!$H$5:$H$13,MATCH($A111,'Scratch Data'!$G$5:$G$13,1))+($A111-INDEX('Scratch Data'!$G$5:$G$13,MATCH($A111,'Scratch Data'!$G$5:$G$13,1)))*(INDEX('Scratch Data'!$H$5:$H$13,MIN(MATCH($A111,'Scratch Data'!$G$5:$G$13,1)+1,ROWS('Scratch Data'!$G$5:$G$13)))-INDEX('Scratch Data'!$H$5:$H$13,MATCH($A111,'Scratch Data'!$G$5:$G$13,1)))/MAX(INDEX('Scratch Data'!$G$5:$G$13,MIN(MATCH($A111,'Scratch Data'!$G$5:$G$13,1)+1,ROWS('Scratch Data'!$G$5:$G$13)))-INDEX('Scratch Data'!$G$5:$G$13,MATCH($A111,'Scratch Data'!$G$5:$G$13,1)),0.0001))*Inputs!$B$15*INDEX(Baseline!$I$3:$I$102,MIN(MAX(ROUND(Inputs!$B$11*(INDEX('Scratch Data'!$I$5:$I$13,MATCH($A111,'Scratch Data'!$G$5:$G$13,1))+($A111-INDEX('Scratch Data'!$G$5:$G$13,MATCH($A111,'Scratch Data'!$G$5:$G$13,1)))*(INDEX('Scratch Data'!$I$5:$I$13,MIN(MATCH($A111,'Scratch Data'!$G$5:$G$13,1)+1,ROWS('Scratch Data'!$G$5:$G$13)))-INDEX('Scratch Data'!$I$5:$I$13,MATCH($A111,'Scratch Data'!$G$5:$G$13,1)))/MAX(INDEX('Scratch Data'!$G$5:$G$13,MIN(MATCH($A111,'Scratch Data'!$G$5:$G$13,1)+1,ROWS('Scratch Data'!$G$5:$G$13)))-INDEX('Scratch Data'!$G$5:$G$13,MATCH($A111,'Scratch Data'!$G$5:$G$13,1)),0.0001))*Inputs!$B$16,0),1),100))+(1-(INDEX('Scratch Data'!$H$5:$H$13,MATCH($A111,'Scratch Data'!$G$5:$G$13,1))+($A111-INDEX('Scratch Data'!$G$5:$G$13,MATCH($A111,'Scratch Data'!$G$5:$G$13,1)))*(INDEX('Scratch Data'!$H$5:$H$13,MIN(MATCH($A111,'Scratch Data'!$G$5:$G$13,1)+1,ROWS('Scratch Data'!$G$5:$G$13)))-INDEX('Scratch Data'!$H$5:$H$13,MATCH($A111,'Scratch Data'!$G$5:$G$13,1)))/MAX(INDEX('Scratch Data'!$G$5:$G$13,MIN(MATCH($A111,'Scratch Data'!$G$5:$G$13,1)+1,ROWS('Scratch Data'!$G$5:$G$13)))-INDEX('Scratch Data'!$G$5:$G$13,MATCH($A111,'Scratch Data'!$G$5:$G$13,1)),0.0001))*Inputs!$B$15)*((INDEX('Scratch Data'!$J$5:$J$13,MATCH($A111,'Scratch Data'!$G$5:$G$13,1))+($A111-INDEX('Scratch Data'!$G$5:$G$13,MATCH($A111,'Scratch Data'!$G$5:$G$13,1)))*(INDEX('Scratch Data'!$J$5:$J$13,MIN(MATCH($A111,'Scratch Data'!$G$5:$G$13,1)+1,ROWS('Scratch Data'!$G$5:$G$13)))-INDEX('Scratch Data'!$J$5:$J$13,MATCH($A111,'Scratch Data'!$G$5:$G$13,1)))/MAX(INDEX('Scratch Data'!$G$5:$G$13,MIN(MATCH($A111,'Scratch Data'!$G$5:$G$13,1)+1,ROWS('Scratch Data'!$G$5:$G$13)))-INDEX('Scratch Data'!$G$5:$G$13,MATCH($A111,'Scratch Data'!$G$5:$G$13,1)),0.0001))+Inputs!$B$17)),(1+Inputs!$B$19*INDEX(Baseline!$B$3:$B$122,MATCH(MIN(MAX(ROUND((MAX($A111-Inputs!$B$22,30))/5,0)*5,5),600),Baseline!$A$3:$A$122,0))+(1-Inputs!$B$19)*INDEX(Baseline!$C$3:$C$122,MATCH(MIN(MAX(ROUND((MAX($A111-Inputs!$B$22,30))/5,0)*5,5),600),Baseline!$A$3:$A$122,0))+Inputs!$B$17)),(1+Inputs!$B$19*INDEX(Baseline!$B$3:$B$122,MATCH(MIN(MAX(ROUND((MAX($A111-Inputs!$B$22,30))/5,0)*5,5),600),Baseline!$A$3:$A$122,0))+(1-Inputs!$B$19)*INDEX(Baseline!$C$3:$C$122,MATCH(MIN(MAX(ROUND((MAX($A111-Inputs!$B$22,30))/5,0)*5,5),600),Baseline!$A$3:$A$122,0))+Inputs!$B$17)))</f>
        <v>5.5754797832</v>
      </c>
      <c r="E111" s="10" t="n">
        <f aca="false">1+Inputs!$B$24+0.6*INDEX(Baseline!$B$3:$B$122,MATCH(MIN(MAX(ROUND((MAX($A111-Inputs!$B$23,15))/5,0)*5,5),600),Baseline!$A$3:$A$122,0))+0.4*INDEX(Baseline!$C$3:$C$122,MATCH(MIN(MAX(ROUND((MAX($A111-Inputs!$B$23,15))/5,0)*5,5),600),Baseline!$A$3:$A$122,0))</f>
        <v>5.837410072</v>
      </c>
    </row>
    <row r="112" customFormat="false" ht="15" hidden="false" customHeight="false" outlineLevel="0" collapsed="false">
      <c r="A112" s="7" t="n">
        <v>550</v>
      </c>
      <c r="B112" s="10" t="n">
        <f aca="false">IF($A112&lt;=50,(INDEX('Scratch Data'!$M$5:$M$12,MATCH($A112,'Scratch Data'!$L$5:$L$12,1))+($A112-INDEX('Scratch Data'!$L$5:$L$12,MATCH($A112,'Scratch Data'!$L$5:$L$12,1)))*(INDEX('Scratch Data'!$M$5:$M$12,MIN(MATCH($A112,'Scratch Data'!$L$5:$L$12,1)+1,ROWS('Scratch Data'!$L$5:$L$12)))-INDEX('Scratch Data'!$M$5:$M$12,MATCH($A112,'Scratch Data'!$L$5:$L$12,1)))/MAX(INDEX('Scratch Data'!$L$5:$L$12,MIN(MATCH($A112,'Scratch Data'!$L$5:$L$12,1)+1,ROWS('Scratch Data'!$L$5:$L$12)))-INDEX('Scratch Data'!$L$5:$L$12,MATCH($A112,'Scratch Data'!$L$5:$L$12,1)),0.0001)),IF($A112&lt;=250,MIN((1+(INDEX('Scratch Data'!$H$5:$H$13,MATCH($A112,'Scratch Data'!$G$5:$G$13,1))+($A112-INDEX('Scratch Data'!$G$5:$G$13,MATCH($A112,'Scratch Data'!$G$5:$G$13,1)))*(INDEX('Scratch Data'!$H$5:$H$13,MIN(MATCH($A112,'Scratch Data'!$G$5:$G$13,1)+1,ROWS('Scratch Data'!$G$5:$G$13)))-INDEX('Scratch Data'!$H$5:$H$13,MATCH($A112,'Scratch Data'!$G$5:$G$13,1)))/MAX(INDEX('Scratch Data'!$G$5:$G$13,MIN(MATCH($A112,'Scratch Data'!$G$5:$G$13,1)+1,ROWS('Scratch Data'!$G$5:$G$13)))-INDEX('Scratch Data'!$G$5:$G$13,MATCH($A112,'Scratch Data'!$G$5:$G$13,1)),0.0001))*INDEX(Baseline!$I$3:$I$102,MIN(MAX(ROUND(Inputs!$B$11*(INDEX('Scratch Data'!$I$5:$I$13,MATCH($A112,'Scratch Data'!$G$5:$G$13,1))+($A112-INDEX('Scratch Data'!$G$5:$G$13,MATCH($A112,'Scratch Data'!$G$5:$G$13,1)))*(INDEX('Scratch Data'!$I$5:$I$13,MIN(MATCH($A112,'Scratch Data'!$G$5:$G$13,1)+1,ROWS('Scratch Data'!$G$5:$G$13)))-INDEX('Scratch Data'!$I$5:$I$13,MATCH($A112,'Scratch Data'!$G$5:$G$13,1)))/MAX(INDEX('Scratch Data'!$G$5:$G$13,MIN(MATCH($A112,'Scratch Data'!$G$5:$G$13,1)+1,ROWS('Scratch Data'!$G$5:$G$13)))-INDEX('Scratch Data'!$G$5:$G$13,MATCH($A112,'Scratch Data'!$G$5:$G$13,1)),0.0001)),0),1),100))+(1-(INDEX('Scratch Data'!$H$5:$H$13,MATCH($A112,'Scratch Data'!$G$5:$G$13,1))+($A112-INDEX('Scratch Data'!$G$5:$G$13,MATCH($A112,'Scratch Data'!$G$5:$G$13,1)))*(INDEX('Scratch Data'!$H$5:$H$13,MIN(MATCH($A112,'Scratch Data'!$G$5:$G$13,1)+1,ROWS('Scratch Data'!$G$5:$G$13)))-INDEX('Scratch Data'!$H$5:$H$13,MATCH($A112,'Scratch Data'!$G$5:$G$13,1)))/MAX(INDEX('Scratch Data'!$G$5:$G$13,MIN(MATCH($A112,'Scratch Data'!$G$5:$G$13,1)+1,ROWS('Scratch Data'!$G$5:$G$13)))-INDEX('Scratch Data'!$G$5:$G$13,MATCH($A112,'Scratch Data'!$G$5:$G$13,1)),0.0001)))*(INDEX('Scratch Data'!$J$5:$J$13,MATCH($A112,'Scratch Data'!$G$5:$G$13,1))+($A112-INDEX('Scratch Data'!$G$5:$G$13,MATCH($A112,'Scratch Data'!$G$5:$G$13,1)))*(INDEX('Scratch Data'!$J$5:$J$13,MIN(MATCH($A112,'Scratch Data'!$G$5:$G$13,1)+1,ROWS('Scratch Data'!$G$5:$G$13)))-INDEX('Scratch Data'!$J$5:$J$13,MATCH($A112,'Scratch Data'!$G$5:$G$13,1)))/MAX(INDEX('Scratch Data'!$G$5:$G$13,MIN(MATCH($A112,'Scratch Data'!$G$5:$G$13,1)+1,ROWS('Scratch Data'!$G$5:$G$13)))-INDEX('Scratch Data'!$G$5:$G$13,MATCH($A112,'Scratch Data'!$G$5:$G$13,1)),0.0001))),(1+Inputs!$B$19*INDEX(Baseline!$B$3:$B$122,MATCH(MIN(MAX(ROUND((MAX($A112-Inputs!$B$20,30))/5,0)*5,5),600),Baseline!$A$3:$A$122,0))+(1-Inputs!$B$19)*INDEX(Baseline!$C$3:$C$122,MATCH(MIN(MAX(ROUND((MAX($A112-Inputs!$B$20,30))/5,0)*5,5),600),Baseline!$A$3:$A$122,0)))),(1+Inputs!$B$19*INDEX(Baseline!$B$3:$B$122,MATCH(MIN(MAX(ROUND((MAX($A112-Inputs!$B$20,30))/5,0)*5,5),600),Baseline!$A$3:$A$122,0))+(1-Inputs!$B$19)*INDEX(Baseline!$C$3:$C$122,MATCH(MIN(MAX(ROUND((MAX($A112-Inputs!$B$20,30))/5,0)*5,5),600),Baseline!$A$3:$A$122,0)))))</f>
        <v>5.1893114688</v>
      </c>
      <c r="C112" s="10" t="n">
        <f aca="false">IF($A112&lt;=50,$B112+Inputs!$B$18,IF($A112&lt;=250,MIN((1+(INDEX('Scratch Data'!$H$5:$H$13,MATCH($A112,'Scratch Data'!$G$5:$G$13,1))+($A112-INDEX('Scratch Data'!$G$5:$G$13,MATCH($A112,'Scratch Data'!$G$5:$G$13,1)))*(INDEX('Scratch Data'!$H$5:$H$13,MIN(MATCH($A112,'Scratch Data'!$G$5:$G$13,1)+1,ROWS('Scratch Data'!$G$5:$G$13)))-INDEX('Scratch Data'!$H$5:$H$13,MATCH($A112,'Scratch Data'!$G$5:$G$13,1)))/MAX(INDEX('Scratch Data'!$G$5:$G$13,MIN(MATCH($A112,'Scratch Data'!$G$5:$G$13,1)+1,ROWS('Scratch Data'!$G$5:$G$13)))-INDEX('Scratch Data'!$G$5:$G$13,MATCH($A112,'Scratch Data'!$G$5:$G$13,1)),0.0001))*Inputs!$B$12*INDEX(Baseline!$I$3:$I$102,MIN(MAX(ROUND(Inputs!$B$11*(INDEX('Scratch Data'!$I$5:$I$13,MATCH($A112,'Scratch Data'!$G$5:$G$13,1))+($A112-INDEX('Scratch Data'!$G$5:$G$13,MATCH($A112,'Scratch Data'!$G$5:$G$13,1)))*(INDEX('Scratch Data'!$I$5:$I$13,MIN(MATCH($A112,'Scratch Data'!$G$5:$G$13,1)+1,ROWS('Scratch Data'!$G$5:$G$13)))-INDEX('Scratch Data'!$I$5:$I$13,MATCH($A112,'Scratch Data'!$G$5:$G$13,1)))/MAX(INDEX('Scratch Data'!$G$5:$G$13,MIN(MATCH($A112,'Scratch Data'!$G$5:$G$13,1)+1,ROWS('Scratch Data'!$G$5:$G$13)))-INDEX('Scratch Data'!$G$5:$G$13,MATCH($A112,'Scratch Data'!$G$5:$G$13,1)),0.0001))*Inputs!$B$13,0),1),100))+(1-(INDEX('Scratch Data'!$H$5:$H$13,MATCH($A112,'Scratch Data'!$G$5:$G$13,1))+($A112-INDEX('Scratch Data'!$G$5:$G$13,MATCH($A112,'Scratch Data'!$G$5:$G$13,1)))*(INDEX('Scratch Data'!$H$5:$H$13,MIN(MATCH($A112,'Scratch Data'!$G$5:$G$13,1)+1,ROWS('Scratch Data'!$G$5:$G$13)))-INDEX('Scratch Data'!$H$5:$H$13,MATCH($A112,'Scratch Data'!$G$5:$G$13,1)))/MAX(INDEX('Scratch Data'!$G$5:$G$13,MIN(MATCH($A112,'Scratch Data'!$G$5:$G$13,1)+1,ROWS('Scratch Data'!$G$5:$G$13)))-INDEX('Scratch Data'!$G$5:$G$13,MATCH($A112,'Scratch Data'!$G$5:$G$13,1)),0.0001))*Inputs!$B$12)*((INDEX('Scratch Data'!$J$5:$J$13,MATCH($A112,'Scratch Data'!$G$5:$G$13,1))+($A112-INDEX('Scratch Data'!$G$5:$G$13,MATCH($A112,'Scratch Data'!$G$5:$G$13,1)))*(INDEX('Scratch Data'!$J$5:$J$13,MIN(MATCH($A112,'Scratch Data'!$G$5:$G$13,1)+1,ROWS('Scratch Data'!$G$5:$G$13)))-INDEX('Scratch Data'!$J$5:$J$13,MATCH($A112,'Scratch Data'!$G$5:$G$13,1)))/MAX(INDEX('Scratch Data'!$G$5:$G$13,MIN(MATCH($A112,'Scratch Data'!$G$5:$G$13,1)+1,ROWS('Scratch Data'!$G$5:$G$13)))-INDEX('Scratch Data'!$G$5:$G$13,MATCH($A112,'Scratch Data'!$G$5:$G$13,1)),0.0001))+Inputs!$B$14)),(1+Inputs!$B$19*INDEX(Baseline!$B$3:$B$122,MATCH(MIN(MAX(ROUND((MAX($A112-Inputs!$B$21,30))/5,0)*5,5),600),Baseline!$A$3:$A$122,0))+(1-Inputs!$B$19)*INDEX(Baseline!$C$3:$C$122,MATCH(MIN(MAX(ROUND((MAX($A112-Inputs!$B$21,30))/5,0)*5,5),600),Baseline!$A$3:$A$122,0))+Inputs!$B$14)),(1+Inputs!$B$19*INDEX(Baseline!$B$3:$B$122,MATCH(MIN(MAX(ROUND((MAX($A112-Inputs!$B$21,30))/5,0)*5,5),600),Baseline!$A$3:$A$122,0))+(1-Inputs!$B$19)*INDEX(Baseline!$C$3:$C$122,MATCH(MIN(MAX(ROUND((MAX($A112-Inputs!$B$21,30))/5,0)*5,5),600),Baseline!$A$3:$A$122,0))+Inputs!$B$14)))</f>
        <v>5.4112542272</v>
      </c>
      <c r="D112" s="10" t="n">
        <f aca="false">IF($A112&lt;=50,(INDEX('Scratch Data'!$P$5:$P$11,MATCH($A112,'Scratch Data'!$O$5:$O$11,1))+($A112-INDEX('Scratch Data'!$O$5:$O$11,MATCH($A112,'Scratch Data'!$O$5:$O$11,1)))*(INDEX('Scratch Data'!$P$5:$P$11,MIN(MATCH($A112,'Scratch Data'!$O$5:$O$11,1)+1,ROWS('Scratch Data'!$O$5:$O$11)))-INDEX('Scratch Data'!$P$5:$P$11,MATCH($A112,'Scratch Data'!$O$5:$O$11,1)))/MAX(INDEX('Scratch Data'!$O$5:$O$11,MIN(MATCH($A112,'Scratch Data'!$O$5:$O$11,1)+1,ROWS('Scratch Data'!$O$5:$O$11)))-INDEX('Scratch Data'!$O$5:$O$11,MATCH($A112,'Scratch Data'!$O$5:$O$11,1)),0.0001)),IF($A112&lt;=250,MIN((1+(INDEX('Scratch Data'!$H$5:$H$13,MATCH($A112,'Scratch Data'!$G$5:$G$13,1))+($A112-INDEX('Scratch Data'!$G$5:$G$13,MATCH($A112,'Scratch Data'!$G$5:$G$13,1)))*(INDEX('Scratch Data'!$H$5:$H$13,MIN(MATCH($A112,'Scratch Data'!$G$5:$G$13,1)+1,ROWS('Scratch Data'!$G$5:$G$13)))-INDEX('Scratch Data'!$H$5:$H$13,MATCH($A112,'Scratch Data'!$G$5:$G$13,1)))/MAX(INDEX('Scratch Data'!$G$5:$G$13,MIN(MATCH($A112,'Scratch Data'!$G$5:$G$13,1)+1,ROWS('Scratch Data'!$G$5:$G$13)))-INDEX('Scratch Data'!$G$5:$G$13,MATCH($A112,'Scratch Data'!$G$5:$G$13,1)),0.0001))*Inputs!$B$15*INDEX(Baseline!$I$3:$I$102,MIN(MAX(ROUND(Inputs!$B$11*(INDEX('Scratch Data'!$I$5:$I$13,MATCH($A112,'Scratch Data'!$G$5:$G$13,1))+($A112-INDEX('Scratch Data'!$G$5:$G$13,MATCH($A112,'Scratch Data'!$G$5:$G$13,1)))*(INDEX('Scratch Data'!$I$5:$I$13,MIN(MATCH($A112,'Scratch Data'!$G$5:$G$13,1)+1,ROWS('Scratch Data'!$G$5:$G$13)))-INDEX('Scratch Data'!$I$5:$I$13,MATCH($A112,'Scratch Data'!$G$5:$G$13,1)))/MAX(INDEX('Scratch Data'!$G$5:$G$13,MIN(MATCH($A112,'Scratch Data'!$G$5:$G$13,1)+1,ROWS('Scratch Data'!$G$5:$G$13)))-INDEX('Scratch Data'!$G$5:$G$13,MATCH($A112,'Scratch Data'!$G$5:$G$13,1)),0.0001))*Inputs!$B$16,0),1),100))+(1-(INDEX('Scratch Data'!$H$5:$H$13,MATCH($A112,'Scratch Data'!$G$5:$G$13,1))+($A112-INDEX('Scratch Data'!$G$5:$G$13,MATCH($A112,'Scratch Data'!$G$5:$G$13,1)))*(INDEX('Scratch Data'!$H$5:$H$13,MIN(MATCH($A112,'Scratch Data'!$G$5:$G$13,1)+1,ROWS('Scratch Data'!$G$5:$G$13)))-INDEX('Scratch Data'!$H$5:$H$13,MATCH($A112,'Scratch Data'!$G$5:$G$13,1)))/MAX(INDEX('Scratch Data'!$G$5:$G$13,MIN(MATCH($A112,'Scratch Data'!$G$5:$G$13,1)+1,ROWS('Scratch Data'!$G$5:$G$13)))-INDEX('Scratch Data'!$G$5:$G$13,MATCH($A112,'Scratch Data'!$G$5:$G$13,1)),0.0001))*Inputs!$B$15)*((INDEX('Scratch Data'!$J$5:$J$13,MATCH($A112,'Scratch Data'!$G$5:$G$13,1))+($A112-INDEX('Scratch Data'!$G$5:$G$13,MATCH($A112,'Scratch Data'!$G$5:$G$13,1)))*(INDEX('Scratch Data'!$J$5:$J$13,MIN(MATCH($A112,'Scratch Data'!$G$5:$G$13,1)+1,ROWS('Scratch Data'!$G$5:$G$13)))-INDEX('Scratch Data'!$J$5:$J$13,MATCH($A112,'Scratch Data'!$G$5:$G$13,1)))/MAX(INDEX('Scratch Data'!$G$5:$G$13,MIN(MATCH($A112,'Scratch Data'!$G$5:$G$13,1)+1,ROWS('Scratch Data'!$G$5:$G$13)))-INDEX('Scratch Data'!$G$5:$G$13,MATCH($A112,'Scratch Data'!$G$5:$G$13,1)),0.0001))+Inputs!$B$17)),(1+Inputs!$B$19*INDEX(Baseline!$B$3:$B$122,MATCH(MIN(MAX(ROUND((MAX($A112-Inputs!$B$22,30))/5,0)*5,5),600),Baseline!$A$3:$A$122,0))+(1-Inputs!$B$19)*INDEX(Baseline!$C$3:$C$122,MATCH(MIN(MAX(ROUND((MAX($A112-Inputs!$B$22,30))/5,0)*5,5),600),Baseline!$A$3:$A$122,0))+Inputs!$B$17)),(1+Inputs!$B$19*INDEX(Baseline!$B$3:$B$122,MATCH(MIN(MAX(ROUND((MAX($A112-Inputs!$B$22,30))/5,0)*5,5),600),Baseline!$A$3:$A$122,0))+(1-Inputs!$B$19)*INDEX(Baseline!$C$3:$C$122,MATCH(MIN(MAX(ROUND((MAX($A112-Inputs!$B$22,30))/5,0)*5,5),600),Baseline!$A$3:$A$122,0))+Inputs!$B$17)))</f>
        <v>5.5988838824</v>
      </c>
      <c r="E112" s="10" t="n">
        <f aca="false">1+Inputs!$B$24+0.6*INDEX(Baseline!$B$3:$B$122,MATCH(MIN(MAX(ROUND((MAX($A112-Inputs!$B$23,15))/5,0)*5,5),600),Baseline!$A$3:$A$122,0))+0.4*INDEX(Baseline!$C$3:$C$122,MATCH(MIN(MAX(ROUND((MAX($A112-Inputs!$B$23,15))/5,0)*5,5),600),Baseline!$A$3:$A$122,0))</f>
        <v>5.869142736</v>
      </c>
    </row>
    <row r="113" customFormat="false" ht="15" hidden="false" customHeight="false" outlineLevel="0" collapsed="false">
      <c r="A113" s="7" t="n">
        <v>555</v>
      </c>
      <c r="B113" s="10" t="n">
        <f aca="false">IF($A113&lt;=50,(INDEX('Scratch Data'!$M$5:$M$12,MATCH($A113,'Scratch Data'!$L$5:$L$12,1))+($A113-INDEX('Scratch Data'!$L$5:$L$12,MATCH($A113,'Scratch Data'!$L$5:$L$12,1)))*(INDEX('Scratch Data'!$M$5:$M$12,MIN(MATCH($A113,'Scratch Data'!$L$5:$L$12,1)+1,ROWS('Scratch Data'!$L$5:$L$12)))-INDEX('Scratch Data'!$M$5:$M$12,MATCH($A113,'Scratch Data'!$L$5:$L$12,1)))/MAX(INDEX('Scratch Data'!$L$5:$L$12,MIN(MATCH($A113,'Scratch Data'!$L$5:$L$12,1)+1,ROWS('Scratch Data'!$L$5:$L$12)))-INDEX('Scratch Data'!$L$5:$L$12,MATCH($A113,'Scratch Data'!$L$5:$L$12,1)),0.0001)),IF($A113&lt;=250,MIN((1+(INDEX('Scratch Data'!$H$5:$H$13,MATCH($A113,'Scratch Data'!$G$5:$G$13,1))+($A113-INDEX('Scratch Data'!$G$5:$G$13,MATCH($A113,'Scratch Data'!$G$5:$G$13,1)))*(INDEX('Scratch Data'!$H$5:$H$13,MIN(MATCH($A113,'Scratch Data'!$G$5:$G$13,1)+1,ROWS('Scratch Data'!$G$5:$G$13)))-INDEX('Scratch Data'!$H$5:$H$13,MATCH($A113,'Scratch Data'!$G$5:$G$13,1)))/MAX(INDEX('Scratch Data'!$G$5:$G$13,MIN(MATCH($A113,'Scratch Data'!$G$5:$G$13,1)+1,ROWS('Scratch Data'!$G$5:$G$13)))-INDEX('Scratch Data'!$G$5:$G$13,MATCH($A113,'Scratch Data'!$G$5:$G$13,1)),0.0001))*INDEX(Baseline!$I$3:$I$102,MIN(MAX(ROUND(Inputs!$B$11*(INDEX('Scratch Data'!$I$5:$I$13,MATCH($A113,'Scratch Data'!$G$5:$G$13,1))+($A113-INDEX('Scratch Data'!$G$5:$G$13,MATCH($A113,'Scratch Data'!$G$5:$G$13,1)))*(INDEX('Scratch Data'!$I$5:$I$13,MIN(MATCH($A113,'Scratch Data'!$G$5:$G$13,1)+1,ROWS('Scratch Data'!$G$5:$G$13)))-INDEX('Scratch Data'!$I$5:$I$13,MATCH($A113,'Scratch Data'!$G$5:$G$13,1)))/MAX(INDEX('Scratch Data'!$G$5:$G$13,MIN(MATCH($A113,'Scratch Data'!$G$5:$G$13,1)+1,ROWS('Scratch Data'!$G$5:$G$13)))-INDEX('Scratch Data'!$G$5:$G$13,MATCH($A113,'Scratch Data'!$G$5:$G$13,1)),0.0001)),0),1),100))+(1-(INDEX('Scratch Data'!$H$5:$H$13,MATCH($A113,'Scratch Data'!$G$5:$G$13,1))+($A113-INDEX('Scratch Data'!$G$5:$G$13,MATCH($A113,'Scratch Data'!$G$5:$G$13,1)))*(INDEX('Scratch Data'!$H$5:$H$13,MIN(MATCH($A113,'Scratch Data'!$G$5:$G$13,1)+1,ROWS('Scratch Data'!$G$5:$G$13)))-INDEX('Scratch Data'!$H$5:$H$13,MATCH($A113,'Scratch Data'!$G$5:$G$13,1)))/MAX(INDEX('Scratch Data'!$G$5:$G$13,MIN(MATCH($A113,'Scratch Data'!$G$5:$G$13,1)+1,ROWS('Scratch Data'!$G$5:$G$13)))-INDEX('Scratch Data'!$G$5:$G$13,MATCH($A113,'Scratch Data'!$G$5:$G$13,1)),0.0001)))*(INDEX('Scratch Data'!$J$5:$J$13,MATCH($A113,'Scratch Data'!$G$5:$G$13,1))+($A113-INDEX('Scratch Data'!$G$5:$G$13,MATCH($A113,'Scratch Data'!$G$5:$G$13,1)))*(INDEX('Scratch Data'!$J$5:$J$13,MIN(MATCH($A113,'Scratch Data'!$G$5:$G$13,1)+1,ROWS('Scratch Data'!$G$5:$G$13)))-INDEX('Scratch Data'!$J$5:$J$13,MATCH($A113,'Scratch Data'!$G$5:$G$13,1)))/MAX(INDEX('Scratch Data'!$G$5:$G$13,MIN(MATCH($A113,'Scratch Data'!$G$5:$G$13,1)+1,ROWS('Scratch Data'!$G$5:$G$13)))-INDEX('Scratch Data'!$G$5:$G$13,MATCH($A113,'Scratch Data'!$G$5:$G$13,1)),0.0001))),(1+Inputs!$B$19*INDEX(Baseline!$B$3:$B$122,MATCH(MIN(MAX(ROUND((MAX($A113-Inputs!$B$20,30))/5,0)*5,5),600),Baseline!$A$3:$A$122,0))+(1-Inputs!$B$19)*INDEX(Baseline!$C$3:$C$122,MATCH(MIN(MAX(ROUND((MAX($A113-Inputs!$B$20,30))/5,0)*5,5),600),Baseline!$A$3:$A$122,0)))),(1+Inputs!$B$19*INDEX(Baseline!$B$3:$B$122,MATCH(MIN(MAX(ROUND((MAX($A113-Inputs!$B$20,30))/5,0)*5,5),600),Baseline!$A$3:$A$122,0))+(1-Inputs!$B$19)*INDEX(Baseline!$C$3:$C$122,MATCH(MIN(MAX(ROUND((MAX($A113-Inputs!$B$20,30))/5,0)*5,5),600),Baseline!$A$3:$A$122,0)))))</f>
        <v>5.20226768</v>
      </c>
      <c r="C113" s="10" t="n">
        <f aca="false">IF($A113&lt;=50,$B113+Inputs!$B$18,IF($A113&lt;=250,MIN((1+(INDEX('Scratch Data'!$H$5:$H$13,MATCH($A113,'Scratch Data'!$G$5:$G$13,1))+($A113-INDEX('Scratch Data'!$G$5:$G$13,MATCH($A113,'Scratch Data'!$G$5:$G$13,1)))*(INDEX('Scratch Data'!$H$5:$H$13,MIN(MATCH($A113,'Scratch Data'!$G$5:$G$13,1)+1,ROWS('Scratch Data'!$G$5:$G$13)))-INDEX('Scratch Data'!$H$5:$H$13,MATCH($A113,'Scratch Data'!$G$5:$G$13,1)))/MAX(INDEX('Scratch Data'!$G$5:$G$13,MIN(MATCH($A113,'Scratch Data'!$G$5:$G$13,1)+1,ROWS('Scratch Data'!$G$5:$G$13)))-INDEX('Scratch Data'!$G$5:$G$13,MATCH($A113,'Scratch Data'!$G$5:$G$13,1)),0.0001))*Inputs!$B$12*INDEX(Baseline!$I$3:$I$102,MIN(MAX(ROUND(Inputs!$B$11*(INDEX('Scratch Data'!$I$5:$I$13,MATCH($A113,'Scratch Data'!$G$5:$G$13,1))+($A113-INDEX('Scratch Data'!$G$5:$G$13,MATCH($A113,'Scratch Data'!$G$5:$G$13,1)))*(INDEX('Scratch Data'!$I$5:$I$13,MIN(MATCH($A113,'Scratch Data'!$G$5:$G$13,1)+1,ROWS('Scratch Data'!$G$5:$G$13)))-INDEX('Scratch Data'!$I$5:$I$13,MATCH($A113,'Scratch Data'!$G$5:$G$13,1)))/MAX(INDEX('Scratch Data'!$G$5:$G$13,MIN(MATCH($A113,'Scratch Data'!$G$5:$G$13,1)+1,ROWS('Scratch Data'!$G$5:$G$13)))-INDEX('Scratch Data'!$G$5:$G$13,MATCH($A113,'Scratch Data'!$G$5:$G$13,1)),0.0001))*Inputs!$B$13,0),1),100))+(1-(INDEX('Scratch Data'!$H$5:$H$13,MATCH($A113,'Scratch Data'!$G$5:$G$13,1))+($A113-INDEX('Scratch Data'!$G$5:$G$13,MATCH($A113,'Scratch Data'!$G$5:$G$13,1)))*(INDEX('Scratch Data'!$H$5:$H$13,MIN(MATCH($A113,'Scratch Data'!$G$5:$G$13,1)+1,ROWS('Scratch Data'!$G$5:$G$13)))-INDEX('Scratch Data'!$H$5:$H$13,MATCH($A113,'Scratch Data'!$G$5:$G$13,1)))/MAX(INDEX('Scratch Data'!$G$5:$G$13,MIN(MATCH($A113,'Scratch Data'!$G$5:$G$13,1)+1,ROWS('Scratch Data'!$G$5:$G$13)))-INDEX('Scratch Data'!$G$5:$G$13,MATCH($A113,'Scratch Data'!$G$5:$G$13,1)),0.0001))*Inputs!$B$12)*((INDEX('Scratch Data'!$J$5:$J$13,MATCH($A113,'Scratch Data'!$G$5:$G$13,1))+($A113-INDEX('Scratch Data'!$G$5:$G$13,MATCH($A113,'Scratch Data'!$G$5:$G$13,1)))*(INDEX('Scratch Data'!$J$5:$J$13,MIN(MATCH($A113,'Scratch Data'!$G$5:$G$13,1)+1,ROWS('Scratch Data'!$G$5:$G$13)))-INDEX('Scratch Data'!$J$5:$J$13,MATCH($A113,'Scratch Data'!$G$5:$G$13,1)))/MAX(INDEX('Scratch Data'!$G$5:$G$13,MIN(MATCH($A113,'Scratch Data'!$G$5:$G$13,1)+1,ROWS('Scratch Data'!$G$5:$G$13)))-INDEX('Scratch Data'!$G$5:$G$13,MATCH($A113,'Scratch Data'!$G$5:$G$13,1)),0.0001))+Inputs!$B$14)),(1+Inputs!$B$19*INDEX(Baseline!$B$3:$B$122,MATCH(MIN(MAX(ROUND((MAX($A113-Inputs!$B$21,30))/5,0)*5,5),600),Baseline!$A$3:$A$122,0))+(1-Inputs!$B$19)*INDEX(Baseline!$C$3:$C$122,MATCH(MIN(MAX(ROUND((MAX($A113-Inputs!$B$21,30))/5,0)*5,5),600),Baseline!$A$3:$A$122,0))+Inputs!$B$14)),(1+Inputs!$B$19*INDEX(Baseline!$B$3:$B$122,MATCH(MIN(MAX(ROUND((MAX($A113-Inputs!$B$21,30))/5,0)*5,5),600),Baseline!$A$3:$A$122,0))+(1-Inputs!$B$19)*INDEX(Baseline!$C$3:$C$122,MATCH(MIN(MAX(ROUND((MAX($A113-Inputs!$B$21,30))/5,0)*5,5),600),Baseline!$A$3:$A$122,0))+Inputs!$B$14)))</f>
        <v>5.42923058</v>
      </c>
      <c r="D113" s="10" t="n">
        <f aca="false">IF($A113&lt;=50,(INDEX('Scratch Data'!$P$5:$P$11,MATCH($A113,'Scratch Data'!$O$5:$O$11,1))+($A113-INDEX('Scratch Data'!$O$5:$O$11,MATCH($A113,'Scratch Data'!$O$5:$O$11,1)))*(INDEX('Scratch Data'!$P$5:$P$11,MIN(MATCH($A113,'Scratch Data'!$O$5:$O$11,1)+1,ROWS('Scratch Data'!$O$5:$O$11)))-INDEX('Scratch Data'!$P$5:$P$11,MATCH($A113,'Scratch Data'!$O$5:$O$11,1)))/MAX(INDEX('Scratch Data'!$O$5:$O$11,MIN(MATCH($A113,'Scratch Data'!$O$5:$O$11,1)+1,ROWS('Scratch Data'!$O$5:$O$11)))-INDEX('Scratch Data'!$O$5:$O$11,MATCH($A113,'Scratch Data'!$O$5:$O$11,1)),0.0001)),IF($A113&lt;=250,MIN((1+(INDEX('Scratch Data'!$H$5:$H$13,MATCH($A113,'Scratch Data'!$G$5:$G$13,1))+($A113-INDEX('Scratch Data'!$G$5:$G$13,MATCH($A113,'Scratch Data'!$G$5:$G$13,1)))*(INDEX('Scratch Data'!$H$5:$H$13,MIN(MATCH($A113,'Scratch Data'!$G$5:$G$13,1)+1,ROWS('Scratch Data'!$G$5:$G$13)))-INDEX('Scratch Data'!$H$5:$H$13,MATCH($A113,'Scratch Data'!$G$5:$G$13,1)))/MAX(INDEX('Scratch Data'!$G$5:$G$13,MIN(MATCH($A113,'Scratch Data'!$G$5:$G$13,1)+1,ROWS('Scratch Data'!$G$5:$G$13)))-INDEX('Scratch Data'!$G$5:$G$13,MATCH($A113,'Scratch Data'!$G$5:$G$13,1)),0.0001))*Inputs!$B$15*INDEX(Baseline!$I$3:$I$102,MIN(MAX(ROUND(Inputs!$B$11*(INDEX('Scratch Data'!$I$5:$I$13,MATCH($A113,'Scratch Data'!$G$5:$G$13,1))+($A113-INDEX('Scratch Data'!$G$5:$G$13,MATCH($A113,'Scratch Data'!$G$5:$G$13,1)))*(INDEX('Scratch Data'!$I$5:$I$13,MIN(MATCH($A113,'Scratch Data'!$G$5:$G$13,1)+1,ROWS('Scratch Data'!$G$5:$G$13)))-INDEX('Scratch Data'!$I$5:$I$13,MATCH($A113,'Scratch Data'!$G$5:$G$13,1)))/MAX(INDEX('Scratch Data'!$G$5:$G$13,MIN(MATCH($A113,'Scratch Data'!$G$5:$G$13,1)+1,ROWS('Scratch Data'!$G$5:$G$13)))-INDEX('Scratch Data'!$G$5:$G$13,MATCH($A113,'Scratch Data'!$G$5:$G$13,1)),0.0001))*Inputs!$B$16,0),1),100))+(1-(INDEX('Scratch Data'!$H$5:$H$13,MATCH($A113,'Scratch Data'!$G$5:$G$13,1))+($A113-INDEX('Scratch Data'!$G$5:$G$13,MATCH($A113,'Scratch Data'!$G$5:$G$13,1)))*(INDEX('Scratch Data'!$H$5:$H$13,MIN(MATCH($A113,'Scratch Data'!$G$5:$G$13,1)+1,ROWS('Scratch Data'!$G$5:$G$13)))-INDEX('Scratch Data'!$H$5:$H$13,MATCH($A113,'Scratch Data'!$G$5:$G$13,1)))/MAX(INDEX('Scratch Data'!$G$5:$G$13,MIN(MATCH($A113,'Scratch Data'!$G$5:$G$13,1)+1,ROWS('Scratch Data'!$G$5:$G$13)))-INDEX('Scratch Data'!$G$5:$G$13,MATCH($A113,'Scratch Data'!$G$5:$G$13,1)),0.0001))*Inputs!$B$15)*((INDEX('Scratch Data'!$J$5:$J$13,MATCH($A113,'Scratch Data'!$G$5:$G$13,1))+($A113-INDEX('Scratch Data'!$G$5:$G$13,MATCH($A113,'Scratch Data'!$G$5:$G$13,1)))*(INDEX('Scratch Data'!$J$5:$J$13,MIN(MATCH($A113,'Scratch Data'!$G$5:$G$13,1)+1,ROWS('Scratch Data'!$G$5:$G$13)))-INDEX('Scratch Data'!$J$5:$J$13,MATCH($A113,'Scratch Data'!$G$5:$G$13,1)))/MAX(INDEX('Scratch Data'!$G$5:$G$13,MIN(MATCH($A113,'Scratch Data'!$G$5:$G$13,1)+1,ROWS('Scratch Data'!$G$5:$G$13)))-INDEX('Scratch Data'!$G$5:$G$13,MATCH($A113,'Scratch Data'!$G$5:$G$13,1)),0.0001))+Inputs!$B$17)),(1+Inputs!$B$19*INDEX(Baseline!$B$3:$B$122,MATCH(MIN(MAX(ROUND((MAX($A113-Inputs!$B$22,30))/5,0)*5,5),600),Baseline!$A$3:$A$122,0))+(1-Inputs!$B$19)*INDEX(Baseline!$C$3:$C$122,MATCH(MIN(MAX(ROUND((MAX($A113-Inputs!$B$22,30))/5,0)*5,5),600),Baseline!$A$3:$A$122,0))+Inputs!$B$17)),(1+Inputs!$B$19*INDEX(Baseline!$B$3:$B$122,MATCH(MIN(MAX(ROUND((MAX($A113-Inputs!$B$22,30))/5,0)*5,5),600),Baseline!$A$3:$A$122,0))+(1-Inputs!$B$19)*INDEX(Baseline!$C$3:$C$122,MATCH(MIN(MAX(ROUND((MAX($A113-Inputs!$B$22,30))/5,0)*5,5),600),Baseline!$A$3:$A$122,0))+Inputs!$B$17)))</f>
        <v>5.622176524</v>
      </c>
      <c r="E113" s="10" t="n">
        <f aca="false">1+Inputs!$B$24+0.6*INDEX(Baseline!$B$3:$B$122,MATCH(MIN(MAX(ROUND((MAX($A113-Inputs!$B$23,15))/5,0)*5,5),600),Baseline!$A$3:$A$122,0))+0.4*INDEX(Baseline!$C$3:$C$122,MATCH(MIN(MAX(ROUND((MAX($A113-Inputs!$B$23,15))/5,0)*5,5),600),Baseline!$A$3:$A$122,0))</f>
        <v>5.902914288</v>
      </c>
    </row>
    <row r="114" customFormat="false" ht="15" hidden="false" customHeight="false" outlineLevel="0" collapsed="false">
      <c r="A114" s="7" t="n">
        <v>560</v>
      </c>
      <c r="B114" s="10" t="n">
        <f aca="false">IF($A114&lt;=50,(INDEX('Scratch Data'!$M$5:$M$12,MATCH($A114,'Scratch Data'!$L$5:$L$12,1))+($A114-INDEX('Scratch Data'!$L$5:$L$12,MATCH($A114,'Scratch Data'!$L$5:$L$12,1)))*(INDEX('Scratch Data'!$M$5:$M$12,MIN(MATCH($A114,'Scratch Data'!$L$5:$L$12,1)+1,ROWS('Scratch Data'!$L$5:$L$12)))-INDEX('Scratch Data'!$M$5:$M$12,MATCH($A114,'Scratch Data'!$L$5:$L$12,1)))/MAX(INDEX('Scratch Data'!$L$5:$L$12,MIN(MATCH($A114,'Scratch Data'!$L$5:$L$12,1)+1,ROWS('Scratch Data'!$L$5:$L$12)))-INDEX('Scratch Data'!$L$5:$L$12,MATCH($A114,'Scratch Data'!$L$5:$L$12,1)),0.0001)),IF($A114&lt;=250,MIN((1+(INDEX('Scratch Data'!$H$5:$H$13,MATCH($A114,'Scratch Data'!$G$5:$G$13,1))+($A114-INDEX('Scratch Data'!$G$5:$G$13,MATCH($A114,'Scratch Data'!$G$5:$G$13,1)))*(INDEX('Scratch Data'!$H$5:$H$13,MIN(MATCH($A114,'Scratch Data'!$G$5:$G$13,1)+1,ROWS('Scratch Data'!$G$5:$G$13)))-INDEX('Scratch Data'!$H$5:$H$13,MATCH($A114,'Scratch Data'!$G$5:$G$13,1)))/MAX(INDEX('Scratch Data'!$G$5:$G$13,MIN(MATCH($A114,'Scratch Data'!$G$5:$G$13,1)+1,ROWS('Scratch Data'!$G$5:$G$13)))-INDEX('Scratch Data'!$G$5:$G$13,MATCH($A114,'Scratch Data'!$G$5:$G$13,1)),0.0001))*INDEX(Baseline!$I$3:$I$102,MIN(MAX(ROUND(Inputs!$B$11*(INDEX('Scratch Data'!$I$5:$I$13,MATCH($A114,'Scratch Data'!$G$5:$G$13,1))+($A114-INDEX('Scratch Data'!$G$5:$G$13,MATCH($A114,'Scratch Data'!$G$5:$G$13,1)))*(INDEX('Scratch Data'!$I$5:$I$13,MIN(MATCH($A114,'Scratch Data'!$G$5:$G$13,1)+1,ROWS('Scratch Data'!$G$5:$G$13)))-INDEX('Scratch Data'!$I$5:$I$13,MATCH($A114,'Scratch Data'!$G$5:$G$13,1)))/MAX(INDEX('Scratch Data'!$G$5:$G$13,MIN(MATCH($A114,'Scratch Data'!$G$5:$G$13,1)+1,ROWS('Scratch Data'!$G$5:$G$13)))-INDEX('Scratch Data'!$G$5:$G$13,MATCH($A114,'Scratch Data'!$G$5:$G$13,1)),0.0001)),0),1),100))+(1-(INDEX('Scratch Data'!$H$5:$H$13,MATCH($A114,'Scratch Data'!$G$5:$G$13,1))+($A114-INDEX('Scratch Data'!$G$5:$G$13,MATCH($A114,'Scratch Data'!$G$5:$G$13,1)))*(INDEX('Scratch Data'!$H$5:$H$13,MIN(MATCH($A114,'Scratch Data'!$G$5:$G$13,1)+1,ROWS('Scratch Data'!$G$5:$G$13)))-INDEX('Scratch Data'!$H$5:$H$13,MATCH($A114,'Scratch Data'!$G$5:$G$13,1)))/MAX(INDEX('Scratch Data'!$G$5:$G$13,MIN(MATCH($A114,'Scratch Data'!$G$5:$G$13,1)+1,ROWS('Scratch Data'!$G$5:$G$13)))-INDEX('Scratch Data'!$G$5:$G$13,MATCH($A114,'Scratch Data'!$G$5:$G$13,1)),0.0001)))*(INDEX('Scratch Data'!$J$5:$J$13,MATCH($A114,'Scratch Data'!$G$5:$G$13,1))+($A114-INDEX('Scratch Data'!$G$5:$G$13,MATCH($A114,'Scratch Data'!$G$5:$G$13,1)))*(INDEX('Scratch Data'!$J$5:$J$13,MIN(MATCH($A114,'Scratch Data'!$G$5:$G$13,1)+1,ROWS('Scratch Data'!$G$5:$G$13)))-INDEX('Scratch Data'!$J$5:$J$13,MATCH($A114,'Scratch Data'!$G$5:$G$13,1)))/MAX(INDEX('Scratch Data'!$G$5:$G$13,MIN(MATCH($A114,'Scratch Data'!$G$5:$G$13,1)+1,ROWS('Scratch Data'!$G$5:$G$13)))-INDEX('Scratch Data'!$G$5:$G$13,MATCH($A114,'Scratch Data'!$G$5:$G$13,1)),0.0001))),(1+Inputs!$B$19*INDEX(Baseline!$B$3:$B$122,MATCH(MIN(MAX(ROUND((MAX($A114-Inputs!$B$20,30))/5,0)*5,5),600),Baseline!$A$3:$A$122,0))+(1-Inputs!$B$19)*INDEX(Baseline!$C$3:$C$122,MATCH(MIN(MAX(ROUND((MAX($A114-Inputs!$B$20,30))/5,0)*5,5),600),Baseline!$A$3:$A$122,0)))),(1+Inputs!$B$19*INDEX(Baseline!$B$3:$B$122,MATCH(MIN(MAX(ROUND((MAX($A114-Inputs!$B$20,30))/5,0)*5,5),600),Baseline!$A$3:$A$122,0))+(1-Inputs!$B$19)*INDEX(Baseline!$C$3:$C$122,MATCH(MIN(MAX(ROUND((MAX($A114-Inputs!$B$20,30))/5,0)*5,5),600),Baseline!$A$3:$A$122,0)))))</f>
        <v>5.2255052792</v>
      </c>
      <c r="C114" s="10" t="n">
        <f aca="false">IF($A114&lt;=50,$B114+Inputs!$B$18,IF($A114&lt;=250,MIN((1+(INDEX('Scratch Data'!$H$5:$H$13,MATCH($A114,'Scratch Data'!$G$5:$G$13,1))+($A114-INDEX('Scratch Data'!$G$5:$G$13,MATCH($A114,'Scratch Data'!$G$5:$G$13,1)))*(INDEX('Scratch Data'!$H$5:$H$13,MIN(MATCH($A114,'Scratch Data'!$G$5:$G$13,1)+1,ROWS('Scratch Data'!$G$5:$G$13)))-INDEX('Scratch Data'!$H$5:$H$13,MATCH($A114,'Scratch Data'!$G$5:$G$13,1)))/MAX(INDEX('Scratch Data'!$G$5:$G$13,MIN(MATCH($A114,'Scratch Data'!$G$5:$G$13,1)+1,ROWS('Scratch Data'!$G$5:$G$13)))-INDEX('Scratch Data'!$G$5:$G$13,MATCH($A114,'Scratch Data'!$G$5:$G$13,1)),0.0001))*Inputs!$B$12*INDEX(Baseline!$I$3:$I$102,MIN(MAX(ROUND(Inputs!$B$11*(INDEX('Scratch Data'!$I$5:$I$13,MATCH($A114,'Scratch Data'!$G$5:$G$13,1))+($A114-INDEX('Scratch Data'!$G$5:$G$13,MATCH($A114,'Scratch Data'!$G$5:$G$13,1)))*(INDEX('Scratch Data'!$I$5:$I$13,MIN(MATCH($A114,'Scratch Data'!$G$5:$G$13,1)+1,ROWS('Scratch Data'!$G$5:$G$13)))-INDEX('Scratch Data'!$I$5:$I$13,MATCH($A114,'Scratch Data'!$G$5:$G$13,1)))/MAX(INDEX('Scratch Data'!$G$5:$G$13,MIN(MATCH($A114,'Scratch Data'!$G$5:$G$13,1)+1,ROWS('Scratch Data'!$G$5:$G$13)))-INDEX('Scratch Data'!$G$5:$G$13,MATCH($A114,'Scratch Data'!$G$5:$G$13,1)),0.0001))*Inputs!$B$13,0),1),100))+(1-(INDEX('Scratch Data'!$H$5:$H$13,MATCH($A114,'Scratch Data'!$G$5:$G$13,1))+($A114-INDEX('Scratch Data'!$G$5:$G$13,MATCH($A114,'Scratch Data'!$G$5:$G$13,1)))*(INDEX('Scratch Data'!$H$5:$H$13,MIN(MATCH($A114,'Scratch Data'!$G$5:$G$13,1)+1,ROWS('Scratch Data'!$G$5:$G$13)))-INDEX('Scratch Data'!$H$5:$H$13,MATCH($A114,'Scratch Data'!$G$5:$G$13,1)))/MAX(INDEX('Scratch Data'!$G$5:$G$13,MIN(MATCH($A114,'Scratch Data'!$G$5:$G$13,1)+1,ROWS('Scratch Data'!$G$5:$G$13)))-INDEX('Scratch Data'!$G$5:$G$13,MATCH($A114,'Scratch Data'!$G$5:$G$13,1)),0.0001))*Inputs!$B$12)*((INDEX('Scratch Data'!$J$5:$J$13,MATCH($A114,'Scratch Data'!$G$5:$G$13,1))+($A114-INDEX('Scratch Data'!$G$5:$G$13,MATCH($A114,'Scratch Data'!$G$5:$G$13,1)))*(INDEX('Scratch Data'!$J$5:$J$13,MIN(MATCH($A114,'Scratch Data'!$G$5:$G$13,1)+1,ROWS('Scratch Data'!$G$5:$G$13)))-INDEX('Scratch Data'!$J$5:$J$13,MATCH($A114,'Scratch Data'!$G$5:$G$13,1)))/MAX(INDEX('Scratch Data'!$G$5:$G$13,MIN(MATCH($A114,'Scratch Data'!$G$5:$G$13,1)+1,ROWS('Scratch Data'!$G$5:$G$13)))-INDEX('Scratch Data'!$G$5:$G$13,MATCH($A114,'Scratch Data'!$G$5:$G$13,1)),0.0001))+Inputs!$B$14)),(1+Inputs!$B$19*INDEX(Baseline!$B$3:$B$122,MATCH(MIN(MAX(ROUND((MAX($A114-Inputs!$B$21,30))/5,0)*5,5),600),Baseline!$A$3:$A$122,0))+(1-Inputs!$B$19)*INDEX(Baseline!$C$3:$C$122,MATCH(MIN(MAX(ROUND((MAX($A114-Inputs!$B$21,30))/5,0)*5,5),600),Baseline!$A$3:$A$122,0))+Inputs!$B$14)),(1+Inputs!$B$19*INDEX(Baseline!$B$3:$B$122,MATCH(MIN(MAX(ROUND((MAX($A114-Inputs!$B$21,30))/5,0)*5,5),600),Baseline!$A$3:$A$122,0))+(1-Inputs!$B$19)*INDEX(Baseline!$C$3:$C$122,MATCH(MIN(MAX(ROUND((MAX($A114-Inputs!$B$21,30))/5,0)*5,5),600),Baseline!$A$3:$A$122,0))+Inputs!$B$14)))</f>
        <v>5.4519642264</v>
      </c>
      <c r="D114" s="10" t="n">
        <f aca="false">IF($A114&lt;=50,(INDEX('Scratch Data'!$P$5:$P$11,MATCH($A114,'Scratch Data'!$O$5:$O$11,1))+($A114-INDEX('Scratch Data'!$O$5:$O$11,MATCH($A114,'Scratch Data'!$O$5:$O$11,1)))*(INDEX('Scratch Data'!$P$5:$P$11,MIN(MATCH($A114,'Scratch Data'!$O$5:$O$11,1)+1,ROWS('Scratch Data'!$O$5:$O$11)))-INDEX('Scratch Data'!$P$5:$P$11,MATCH($A114,'Scratch Data'!$O$5:$O$11,1)))/MAX(INDEX('Scratch Data'!$O$5:$O$11,MIN(MATCH($A114,'Scratch Data'!$O$5:$O$11,1)+1,ROWS('Scratch Data'!$O$5:$O$11)))-INDEX('Scratch Data'!$O$5:$O$11,MATCH($A114,'Scratch Data'!$O$5:$O$11,1)),0.0001)),IF($A114&lt;=250,MIN((1+(INDEX('Scratch Data'!$H$5:$H$13,MATCH($A114,'Scratch Data'!$G$5:$G$13,1))+($A114-INDEX('Scratch Data'!$G$5:$G$13,MATCH($A114,'Scratch Data'!$G$5:$G$13,1)))*(INDEX('Scratch Data'!$H$5:$H$13,MIN(MATCH($A114,'Scratch Data'!$G$5:$G$13,1)+1,ROWS('Scratch Data'!$G$5:$G$13)))-INDEX('Scratch Data'!$H$5:$H$13,MATCH($A114,'Scratch Data'!$G$5:$G$13,1)))/MAX(INDEX('Scratch Data'!$G$5:$G$13,MIN(MATCH($A114,'Scratch Data'!$G$5:$G$13,1)+1,ROWS('Scratch Data'!$G$5:$G$13)))-INDEX('Scratch Data'!$G$5:$G$13,MATCH($A114,'Scratch Data'!$G$5:$G$13,1)),0.0001))*Inputs!$B$15*INDEX(Baseline!$I$3:$I$102,MIN(MAX(ROUND(Inputs!$B$11*(INDEX('Scratch Data'!$I$5:$I$13,MATCH($A114,'Scratch Data'!$G$5:$G$13,1))+($A114-INDEX('Scratch Data'!$G$5:$G$13,MATCH($A114,'Scratch Data'!$G$5:$G$13,1)))*(INDEX('Scratch Data'!$I$5:$I$13,MIN(MATCH($A114,'Scratch Data'!$G$5:$G$13,1)+1,ROWS('Scratch Data'!$G$5:$G$13)))-INDEX('Scratch Data'!$I$5:$I$13,MATCH($A114,'Scratch Data'!$G$5:$G$13,1)))/MAX(INDEX('Scratch Data'!$G$5:$G$13,MIN(MATCH($A114,'Scratch Data'!$G$5:$G$13,1)+1,ROWS('Scratch Data'!$G$5:$G$13)))-INDEX('Scratch Data'!$G$5:$G$13,MATCH($A114,'Scratch Data'!$G$5:$G$13,1)),0.0001))*Inputs!$B$16,0),1),100))+(1-(INDEX('Scratch Data'!$H$5:$H$13,MATCH($A114,'Scratch Data'!$G$5:$G$13,1))+($A114-INDEX('Scratch Data'!$G$5:$G$13,MATCH($A114,'Scratch Data'!$G$5:$G$13,1)))*(INDEX('Scratch Data'!$H$5:$H$13,MIN(MATCH($A114,'Scratch Data'!$G$5:$G$13,1)+1,ROWS('Scratch Data'!$G$5:$G$13)))-INDEX('Scratch Data'!$H$5:$H$13,MATCH($A114,'Scratch Data'!$G$5:$G$13,1)))/MAX(INDEX('Scratch Data'!$G$5:$G$13,MIN(MATCH($A114,'Scratch Data'!$G$5:$G$13,1)+1,ROWS('Scratch Data'!$G$5:$G$13)))-INDEX('Scratch Data'!$G$5:$G$13,MATCH($A114,'Scratch Data'!$G$5:$G$13,1)),0.0001))*Inputs!$B$15)*((INDEX('Scratch Data'!$J$5:$J$13,MATCH($A114,'Scratch Data'!$G$5:$G$13,1))+($A114-INDEX('Scratch Data'!$G$5:$G$13,MATCH($A114,'Scratch Data'!$G$5:$G$13,1)))*(INDEX('Scratch Data'!$J$5:$J$13,MIN(MATCH($A114,'Scratch Data'!$G$5:$G$13,1)+1,ROWS('Scratch Data'!$G$5:$G$13)))-INDEX('Scratch Data'!$J$5:$J$13,MATCH($A114,'Scratch Data'!$G$5:$G$13,1)))/MAX(INDEX('Scratch Data'!$G$5:$G$13,MIN(MATCH($A114,'Scratch Data'!$G$5:$G$13,1)+1,ROWS('Scratch Data'!$G$5:$G$13)))-INDEX('Scratch Data'!$G$5:$G$13,MATCH($A114,'Scratch Data'!$G$5:$G$13,1)),0.0001))+Inputs!$B$17)),(1+Inputs!$B$19*INDEX(Baseline!$B$3:$B$122,MATCH(MIN(MAX(ROUND((MAX($A114-Inputs!$B$22,30))/5,0)*5,5),600),Baseline!$A$3:$A$122,0))+(1-Inputs!$B$19)*INDEX(Baseline!$C$3:$C$122,MATCH(MIN(MAX(ROUND((MAX($A114-Inputs!$B$22,30))/5,0)*5,5),600),Baseline!$A$3:$A$122,0))+Inputs!$B$17)),(1+Inputs!$B$19*INDEX(Baseline!$B$3:$B$122,MATCH(MIN(MAX(ROUND((MAX($A114-Inputs!$B$22,30))/5,0)*5,5),600),Baseline!$A$3:$A$122,0))+(1-Inputs!$B$19)*INDEX(Baseline!$C$3:$C$122,MATCH(MIN(MAX(ROUND((MAX($A114-Inputs!$B$22,30))/5,0)*5,5),600),Baseline!$A$3:$A$122,0))+Inputs!$B$17)))</f>
        <v>5.64036668</v>
      </c>
      <c r="E114" s="10" t="n">
        <f aca="false">1+Inputs!$B$24+0.6*INDEX(Baseline!$B$3:$B$122,MATCH(MIN(MAX(ROUND((MAX($A114-Inputs!$B$23,15))/5,0)*5,5),600),Baseline!$A$3:$A$122,0))+0.4*INDEX(Baseline!$C$3:$C$122,MATCH(MIN(MAX(ROUND((MAX($A114-Inputs!$B$23,15))/5,0)*5,5),600),Baseline!$A$3:$A$122,0))</f>
        <v>5.92669092096</v>
      </c>
    </row>
    <row r="115" customFormat="false" ht="15" hidden="false" customHeight="false" outlineLevel="0" collapsed="false">
      <c r="A115" s="7" t="n">
        <v>565</v>
      </c>
      <c r="B115" s="10" t="n">
        <f aca="false">IF($A115&lt;=50,(INDEX('Scratch Data'!$M$5:$M$12,MATCH($A115,'Scratch Data'!$L$5:$L$12,1))+($A115-INDEX('Scratch Data'!$L$5:$L$12,MATCH($A115,'Scratch Data'!$L$5:$L$12,1)))*(INDEX('Scratch Data'!$M$5:$M$12,MIN(MATCH($A115,'Scratch Data'!$L$5:$L$12,1)+1,ROWS('Scratch Data'!$L$5:$L$12)))-INDEX('Scratch Data'!$M$5:$M$12,MATCH($A115,'Scratch Data'!$L$5:$L$12,1)))/MAX(INDEX('Scratch Data'!$L$5:$L$12,MIN(MATCH($A115,'Scratch Data'!$L$5:$L$12,1)+1,ROWS('Scratch Data'!$L$5:$L$12)))-INDEX('Scratch Data'!$L$5:$L$12,MATCH($A115,'Scratch Data'!$L$5:$L$12,1)),0.0001)),IF($A115&lt;=250,MIN((1+(INDEX('Scratch Data'!$H$5:$H$13,MATCH($A115,'Scratch Data'!$G$5:$G$13,1))+($A115-INDEX('Scratch Data'!$G$5:$G$13,MATCH($A115,'Scratch Data'!$G$5:$G$13,1)))*(INDEX('Scratch Data'!$H$5:$H$13,MIN(MATCH($A115,'Scratch Data'!$G$5:$G$13,1)+1,ROWS('Scratch Data'!$G$5:$G$13)))-INDEX('Scratch Data'!$H$5:$H$13,MATCH($A115,'Scratch Data'!$G$5:$G$13,1)))/MAX(INDEX('Scratch Data'!$G$5:$G$13,MIN(MATCH($A115,'Scratch Data'!$G$5:$G$13,1)+1,ROWS('Scratch Data'!$G$5:$G$13)))-INDEX('Scratch Data'!$G$5:$G$13,MATCH($A115,'Scratch Data'!$G$5:$G$13,1)),0.0001))*INDEX(Baseline!$I$3:$I$102,MIN(MAX(ROUND(Inputs!$B$11*(INDEX('Scratch Data'!$I$5:$I$13,MATCH($A115,'Scratch Data'!$G$5:$G$13,1))+($A115-INDEX('Scratch Data'!$G$5:$G$13,MATCH($A115,'Scratch Data'!$G$5:$G$13,1)))*(INDEX('Scratch Data'!$I$5:$I$13,MIN(MATCH($A115,'Scratch Data'!$G$5:$G$13,1)+1,ROWS('Scratch Data'!$G$5:$G$13)))-INDEX('Scratch Data'!$I$5:$I$13,MATCH($A115,'Scratch Data'!$G$5:$G$13,1)))/MAX(INDEX('Scratch Data'!$G$5:$G$13,MIN(MATCH($A115,'Scratch Data'!$G$5:$G$13,1)+1,ROWS('Scratch Data'!$G$5:$G$13)))-INDEX('Scratch Data'!$G$5:$G$13,MATCH($A115,'Scratch Data'!$G$5:$G$13,1)),0.0001)),0),1),100))+(1-(INDEX('Scratch Data'!$H$5:$H$13,MATCH($A115,'Scratch Data'!$G$5:$G$13,1))+($A115-INDEX('Scratch Data'!$G$5:$G$13,MATCH($A115,'Scratch Data'!$G$5:$G$13,1)))*(INDEX('Scratch Data'!$H$5:$H$13,MIN(MATCH($A115,'Scratch Data'!$G$5:$G$13,1)+1,ROWS('Scratch Data'!$G$5:$G$13)))-INDEX('Scratch Data'!$H$5:$H$13,MATCH($A115,'Scratch Data'!$G$5:$G$13,1)))/MAX(INDEX('Scratch Data'!$G$5:$G$13,MIN(MATCH($A115,'Scratch Data'!$G$5:$G$13,1)+1,ROWS('Scratch Data'!$G$5:$G$13)))-INDEX('Scratch Data'!$G$5:$G$13,MATCH($A115,'Scratch Data'!$G$5:$G$13,1)),0.0001)))*(INDEX('Scratch Data'!$J$5:$J$13,MATCH($A115,'Scratch Data'!$G$5:$G$13,1))+($A115-INDEX('Scratch Data'!$G$5:$G$13,MATCH($A115,'Scratch Data'!$G$5:$G$13,1)))*(INDEX('Scratch Data'!$J$5:$J$13,MIN(MATCH($A115,'Scratch Data'!$G$5:$G$13,1)+1,ROWS('Scratch Data'!$G$5:$G$13)))-INDEX('Scratch Data'!$J$5:$J$13,MATCH($A115,'Scratch Data'!$G$5:$G$13,1)))/MAX(INDEX('Scratch Data'!$G$5:$G$13,MIN(MATCH($A115,'Scratch Data'!$G$5:$G$13,1)+1,ROWS('Scratch Data'!$G$5:$G$13)))-INDEX('Scratch Data'!$G$5:$G$13,MATCH($A115,'Scratch Data'!$G$5:$G$13,1)),0.0001))),(1+Inputs!$B$19*INDEX(Baseline!$B$3:$B$122,MATCH(MIN(MAX(ROUND((MAX($A115-Inputs!$B$20,30))/5,0)*5,5),600),Baseline!$A$3:$A$122,0))+(1-Inputs!$B$19)*INDEX(Baseline!$C$3:$C$122,MATCH(MIN(MAX(ROUND((MAX($A115-Inputs!$B$20,30))/5,0)*5,5),600),Baseline!$A$3:$A$122,0)))),(1+Inputs!$B$19*INDEX(Baseline!$B$3:$B$122,MATCH(MIN(MAX(ROUND((MAX($A115-Inputs!$B$20,30))/5,0)*5,5),600),Baseline!$A$3:$A$122,0))+(1-Inputs!$B$19)*INDEX(Baseline!$C$3:$C$122,MATCH(MIN(MAX(ROUND((MAX($A115-Inputs!$B$20,30))/5,0)*5,5),600),Baseline!$A$3:$A$122,0)))))</f>
        <v>5.2489176992</v>
      </c>
      <c r="C115" s="10" t="n">
        <f aca="false">IF($A115&lt;=50,$B115+Inputs!$B$18,IF($A115&lt;=250,MIN((1+(INDEX('Scratch Data'!$H$5:$H$13,MATCH($A115,'Scratch Data'!$G$5:$G$13,1))+($A115-INDEX('Scratch Data'!$G$5:$G$13,MATCH($A115,'Scratch Data'!$G$5:$G$13,1)))*(INDEX('Scratch Data'!$H$5:$H$13,MIN(MATCH($A115,'Scratch Data'!$G$5:$G$13,1)+1,ROWS('Scratch Data'!$G$5:$G$13)))-INDEX('Scratch Data'!$H$5:$H$13,MATCH($A115,'Scratch Data'!$G$5:$G$13,1)))/MAX(INDEX('Scratch Data'!$G$5:$G$13,MIN(MATCH($A115,'Scratch Data'!$G$5:$G$13,1)+1,ROWS('Scratch Data'!$G$5:$G$13)))-INDEX('Scratch Data'!$G$5:$G$13,MATCH($A115,'Scratch Data'!$G$5:$G$13,1)),0.0001))*Inputs!$B$12*INDEX(Baseline!$I$3:$I$102,MIN(MAX(ROUND(Inputs!$B$11*(INDEX('Scratch Data'!$I$5:$I$13,MATCH($A115,'Scratch Data'!$G$5:$G$13,1))+($A115-INDEX('Scratch Data'!$G$5:$G$13,MATCH($A115,'Scratch Data'!$G$5:$G$13,1)))*(INDEX('Scratch Data'!$I$5:$I$13,MIN(MATCH($A115,'Scratch Data'!$G$5:$G$13,1)+1,ROWS('Scratch Data'!$G$5:$G$13)))-INDEX('Scratch Data'!$I$5:$I$13,MATCH($A115,'Scratch Data'!$G$5:$G$13,1)))/MAX(INDEX('Scratch Data'!$G$5:$G$13,MIN(MATCH($A115,'Scratch Data'!$G$5:$G$13,1)+1,ROWS('Scratch Data'!$G$5:$G$13)))-INDEX('Scratch Data'!$G$5:$G$13,MATCH($A115,'Scratch Data'!$G$5:$G$13,1)),0.0001))*Inputs!$B$13,0),1),100))+(1-(INDEX('Scratch Data'!$H$5:$H$13,MATCH($A115,'Scratch Data'!$G$5:$G$13,1))+($A115-INDEX('Scratch Data'!$G$5:$G$13,MATCH($A115,'Scratch Data'!$G$5:$G$13,1)))*(INDEX('Scratch Data'!$H$5:$H$13,MIN(MATCH($A115,'Scratch Data'!$G$5:$G$13,1)+1,ROWS('Scratch Data'!$G$5:$G$13)))-INDEX('Scratch Data'!$H$5:$H$13,MATCH($A115,'Scratch Data'!$G$5:$G$13,1)))/MAX(INDEX('Scratch Data'!$G$5:$G$13,MIN(MATCH($A115,'Scratch Data'!$G$5:$G$13,1)+1,ROWS('Scratch Data'!$G$5:$G$13)))-INDEX('Scratch Data'!$G$5:$G$13,MATCH($A115,'Scratch Data'!$G$5:$G$13,1)),0.0001))*Inputs!$B$12)*((INDEX('Scratch Data'!$J$5:$J$13,MATCH($A115,'Scratch Data'!$G$5:$G$13,1))+($A115-INDEX('Scratch Data'!$G$5:$G$13,MATCH($A115,'Scratch Data'!$G$5:$G$13,1)))*(INDEX('Scratch Data'!$J$5:$J$13,MIN(MATCH($A115,'Scratch Data'!$G$5:$G$13,1)+1,ROWS('Scratch Data'!$G$5:$G$13)))-INDEX('Scratch Data'!$J$5:$J$13,MATCH($A115,'Scratch Data'!$G$5:$G$13,1)))/MAX(INDEX('Scratch Data'!$G$5:$G$13,MIN(MATCH($A115,'Scratch Data'!$G$5:$G$13,1)+1,ROWS('Scratch Data'!$G$5:$G$13)))-INDEX('Scratch Data'!$G$5:$G$13,MATCH($A115,'Scratch Data'!$G$5:$G$13,1)),0.0001))+Inputs!$B$14)),(1+Inputs!$B$19*INDEX(Baseline!$B$3:$B$122,MATCH(MIN(MAX(ROUND((MAX($A115-Inputs!$B$21,30))/5,0)*5,5),600),Baseline!$A$3:$A$122,0))+(1-Inputs!$B$19)*INDEX(Baseline!$C$3:$C$122,MATCH(MIN(MAX(ROUND((MAX($A115-Inputs!$B$21,30))/5,0)*5,5),600),Baseline!$A$3:$A$122,0))+Inputs!$B$14)),(1+Inputs!$B$19*INDEX(Baseline!$B$3:$B$122,MATCH(MIN(MAX(ROUND((MAX($A115-Inputs!$B$21,30))/5,0)*5,5),600),Baseline!$A$3:$A$122,0))+(1-Inputs!$B$19)*INDEX(Baseline!$C$3:$C$122,MATCH(MIN(MAX(ROUND((MAX($A115-Inputs!$B$21,30))/5,0)*5,5),600),Baseline!$A$3:$A$122,0))+Inputs!$B$14)))</f>
        <v>5.4754797832</v>
      </c>
      <c r="D115" s="10" t="n">
        <f aca="false">IF($A115&lt;=50,(INDEX('Scratch Data'!$P$5:$P$11,MATCH($A115,'Scratch Data'!$O$5:$O$11,1))+($A115-INDEX('Scratch Data'!$O$5:$O$11,MATCH($A115,'Scratch Data'!$O$5:$O$11,1)))*(INDEX('Scratch Data'!$P$5:$P$11,MIN(MATCH($A115,'Scratch Data'!$O$5:$O$11,1)+1,ROWS('Scratch Data'!$O$5:$O$11)))-INDEX('Scratch Data'!$P$5:$P$11,MATCH($A115,'Scratch Data'!$O$5:$O$11,1)))/MAX(INDEX('Scratch Data'!$O$5:$O$11,MIN(MATCH($A115,'Scratch Data'!$O$5:$O$11,1)+1,ROWS('Scratch Data'!$O$5:$O$11)))-INDEX('Scratch Data'!$O$5:$O$11,MATCH($A115,'Scratch Data'!$O$5:$O$11,1)),0.0001)),IF($A115&lt;=250,MIN((1+(INDEX('Scratch Data'!$H$5:$H$13,MATCH($A115,'Scratch Data'!$G$5:$G$13,1))+($A115-INDEX('Scratch Data'!$G$5:$G$13,MATCH($A115,'Scratch Data'!$G$5:$G$13,1)))*(INDEX('Scratch Data'!$H$5:$H$13,MIN(MATCH($A115,'Scratch Data'!$G$5:$G$13,1)+1,ROWS('Scratch Data'!$G$5:$G$13)))-INDEX('Scratch Data'!$H$5:$H$13,MATCH($A115,'Scratch Data'!$G$5:$G$13,1)))/MAX(INDEX('Scratch Data'!$G$5:$G$13,MIN(MATCH($A115,'Scratch Data'!$G$5:$G$13,1)+1,ROWS('Scratch Data'!$G$5:$G$13)))-INDEX('Scratch Data'!$G$5:$G$13,MATCH($A115,'Scratch Data'!$G$5:$G$13,1)),0.0001))*Inputs!$B$15*INDEX(Baseline!$I$3:$I$102,MIN(MAX(ROUND(Inputs!$B$11*(INDEX('Scratch Data'!$I$5:$I$13,MATCH($A115,'Scratch Data'!$G$5:$G$13,1))+($A115-INDEX('Scratch Data'!$G$5:$G$13,MATCH($A115,'Scratch Data'!$G$5:$G$13,1)))*(INDEX('Scratch Data'!$I$5:$I$13,MIN(MATCH($A115,'Scratch Data'!$G$5:$G$13,1)+1,ROWS('Scratch Data'!$G$5:$G$13)))-INDEX('Scratch Data'!$I$5:$I$13,MATCH($A115,'Scratch Data'!$G$5:$G$13,1)))/MAX(INDEX('Scratch Data'!$G$5:$G$13,MIN(MATCH($A115,'Scratch Data'!$G$5:$G$13,1)+1,ROWS('Scratch Data'!$G$5:$G$13)))-INDEX('Scratch Data'!$G$5:$G$13,MATCH($A115,'Scratch Data'!$G$5:$G$13,1)),0.0001))*Inputs!$B$16,0),1),100))+(1-(INDEX('Scratch Data'!$H$5:$H$13,MATCH($A115,'Scratch Data'!$G$5:$G$13,1))+($A115-INDEX('Scratch Data'!$G$5:$G$13,MATCH($A115,'Scratch Data'!$G$5:$G$13,1)))*(INDEX('Scratch Data'!$H$5:$H$13,MIN(MATCH($A115,'Scratch Data'!$G$5:$G$13,1)+1,ROWS('Scratch Data'!$G$5:$G$13)))-INDEX('Scratch Data'!$H$5:$H$13,MATCH($A115,'Scratch Data'!$G$5:$G$13,1)))/MAX(INDEX('Scratch Data'!$G$5:$G$13,MIN(MATCH($A115,'Scratch Data'!$G$5:$G$13,1)+1,ROWS('Scratch Data'!$G$5:$G$13)))-INDEX('Scratch Data'!$G$5:$G$13,MATCH($A115,'Scratch Data'!$G$5:$G$13,1)),0.0001))*Inputs!$B$15)*((INDEX('Scratch Data'!$J$5:$J$13,MATCH($A115,'Scratch Data'!$G$5:$G$13,1))+($A115-INDEX('Scratch Data'!$G$5:$G$13,MATCH($A115,'Scratch Data'!$G$5:$G$13,1)))*(INDEX('Scratch Data'!$J$5:$J$13,MIN(MATCH($A115,'Scratch Data'!$G$5:$G$13,1)+1,ROWS('Scratch Data'!$G$5:$G$13)))-INDEX('Scratch Data'!$J$5:$J$13,MATCH($A115,'Scratch Data'!$G$5:$G$13,1)))/MAX(INDEX('Scratch Data'!$G$5:$G$13,MIN(MATCH($A115,'Scratch Data'!$G$5:$G$13,1)+1,ROWS('Scratch Data'!$G$5:$G$13)))-INDEX('Scratch Data'!$G$5:$G$13,MATCH($A115,'Scratch Data'!$G$5:$G$13,1)),0.0001))+Inputs!$B$17)),(1+Inputs!$B$19*INDEX(Baseline!$B$3:$B$122,MATCH(MIN(MAX(ROUND((MAX($A115-Inputs!$B$22,30))/5,0)*5,5),600),Baseline!$A$3:$A$122,0))+(1-Inputs!$B$19)*INDEX(Baseline!$C$3:$C$122,MATCH(MIN(MAX(ROUND((MAX($A115-Inputs!$B$22,30))/5,0)*5,5),600),Baseline!$A$3:$A$122,0))+Inputs!$B$17)),(1+Inputs!$B$19*INDEX(Baseline!$B$3:$B$122,MATCH(MIN(MAX(ROUND((MAX($A115-Inputs!$B$22,30))/5,0)*5,5),600),Baseline!$A$3:$A$122,0))+(1-Inputs!$B$19)*INDEX(Baseline!$C$3:$C$122,MATCH(MIN(MAX(ROUND((MAX($A115-Inputs!$B$22,30))/5,0)*5,5),600),Baseline!$A$3:$A$122,0))+Inputs!$B$17)))</f>
        <v>5.6641230728</v>
      </c>
      <c r="E115" s="10" t="n">
        <f aca="false">1+Inputs!$B$24+0.6*INDEX(Baseline!$B$3:$B$122,MATCH(MIN(MAX(ROUND((MAX($A115-Inputs!$B$23,15))/5,0)*5,5),600),Baseline!$A$3:$A$122,0))+0.4*INDEX(Baseline!$C$3:$C$122,MATCH(MIN(MAX(ROUND((MAX($A115-Inputs!$B$23,15))/5,0)*5,5),600),Baseline!$A$3:$A$122,0))</f>
        <v>5.94291813952</v>
      </c>
    </row>
    <row r="116" customFormat="false" ht="15" hidden="false" customHeight="false" outlineLevel="0" collapsed="false">
      <c r="A116" s="7" t="n">
        <v>570</v>
      </c>
      <c r="B116" s="10" t="n">
        <f aca="false">IF($A116&lt;=50,(INDEX('Scratch Data'!$M$5:$M$12,MATCH($A116,'Scratch Data'!$L$5:$L$12,1))+($A116-INDEX('Scratch Data'!$L$5:$L$12,MATCH($A116,'Scratch Data'!$L$5:$L$12,1)))*(INDEX('Scratch Data'!$M$5:$M$12,MIN(MATCH($A116,'Scratch Data'!$L$5:$L$12,1)+1,ROWS('Scratch Data'!$L$5:$L$12)))-INDEX('Scratch Data'!$M$5:$M$12,MATCH($A116,'Scratch Data'!$L$5:$L$12,1)))/MAX(INDEX('Scratch Data'!$L$5:$L$12,MIN(MATCH($A116,'Scratch Data'!$L$5:$L$12,1)+1,ROWS('Scratch Data'!$L$5:$L$12)))-INDEX('Scratch Data'!$L$5:$L$12,MATCH($A116,'Scratch Data'!$L$5:$L$12,1)),0.0001)),IF($A116&lt;=250,MIN((1+(INDEX('Scratch Data'!$H$5:$H$13,MATCH($A116,'Scratch Data'!$G$5:$G$13,1))+($A116-INDEX('Scratch Data'!$G$5:$G$13,MATCH($A116,'Scratch Data'!$G$5:$G$13,1)))*(INDEX('Scratch Data'!$H$5:$H$13,MIN(MATCH($A116,'Scratch Data'!$G$5:$G$13,1)+1,ROWS('Scratch Data'!$G$5:$G$13)))-INDEX('Scratch Data'!$H$5:$H$13,MATCH($A116,'Scratch Data'!$G$5:$G$13,1)))/MAX(INDEX('Scratch Data'!$G$5:$G$13,MIN(MATCH($A116,'Scratch Data'!$G$5:$G$13,1)+1,ROWS('Scratch Data'!$G$5:$G$13)))-INDEX('Scratch Data'!$G$5:$G$13,MATCH($A116,'Scratch Data'!$G$5:$G$13,1)),0.0001))*INDEX(Baseline!$I$3:$I$102,MIN(MAX(ROUND(Inputs!$B$11*(INDEX('Scratch Data'!$I$5:$I$13,MATCH($A116,'Scratch Data'!$G$5:$G$13,1))+($A116-INDEX('Scratch Data'!$G$5:$G$13,MATCH($A116,'Scratch Data'!$G$5:$G$13,1)))*(INDEX('Scratch Data'!$I$5:$I$13,MIN(MATCH($A116,'Scratch Data'!$G$5:$G$13,1)+1,ROWS('Scratch Data'!$G$5:$G$13)))-INDEX('Scratch Data'!$I$5:$I$13,MATCH($A116,'Scratch Data'!$G$5:$G$13,1)))/MAX(INDEX('Scratch Data'!$G$5:$G$13,MIN(MATCH($A116,'Scratch Data'!$G$5:$G$13,1)+1,ROWS('Scratch Data'!$G$5:$G$13)))-INDEX('Scratch Data'!$G$5:$G$13,MATCH($A116,'Scratch Data'!$G$5:$G$13,1)),0.0001)),0),1),100))+(1-(INDEX('Scratch Data'!$H$5:$H$13,MATCH($A116,'Scratch Data'!$G$5:$G$13,1))+($A116-INDEX('Scratch Data'!$G$5:$G$13,MATCH($A116,'Scratch Data'!$G$5:$G$13,1)))*(INDEX('Scratch Data'!$H$5:$H$13,MIN(MATCH($A116,'Scratch Data'!$G$5:$G$13,1)+1,ROWS('Scratch Data'!$G$5:$G$13)))-INDEX('Scratch Data'!$H$5:$H$13,MATCH($A116,'Scratch Data'!$G$5:$G$13,1)))/MAX(INDEX('Scratch Data'!$G$5:$G$13,MIN(MATCH($A116,'Scratch Data'!$G$5:$G$13,1)+1,ROWS('Scratch Data'!$G$5:$G$13)))-INDEX('Scratch Data'!$G$5:$G$13,MATCH($A116,'Scratch Data'!$G$5:$G$13,1)),0.0001)))*(INDEX('Scratch Data'!$J$5:$J$13,MATCH($A116,'Scratch Data'!$G$5:$G$13,1))+($A116-INDEX('Scratch Data'!$G$5:$G$13,MATCH($A116,'Scratch Data'!$G$5:$G$13,1)))*(INDEX('Scratch Data'!$J$5:$J$13,MIN(MATCH($A116,'Scratch Data'!$G$5:$G$13,1)+1,ROWS('Scratch Data'!$G$5:$G$13)))-INDEX('Scratch Data'!$J$5:$J$13,MATCH($A116,'Scratch Data'!$G$5:$G$13,1)))/MAX(INDEX('Scratch Data'!$G$5:$G$13,MIN(MATCH($A116,'Scratch Data'!$G$5:$G$13,1)+1,ROWS('Scratch Data'!$G$5:$G$13)))-INDEX('Scratch Data'!$G$5:$G$13,MATCH($A116,'Scratch Data'!$G$5:$G$13,1)),0.0001))),(1+Inputs!$B$19*INDEX(Baseline!$B$3:$B$122,MATCH(MIN(MAX(ROUND((MAX($A116-Inputs!$B$20,30))/5,0)*5,5),600),Baseline!$A$3:$A$122,0))+(1-Inputs!$B$19)*INDEX(Baseline!$C$3:$C$122,MATCH(MIN(MAX(ROUND((MAX($A116-Inputs!$B$20,30))/5,0)*5,5),600),Baseline!$A$3:$A$122,0)))),(1+Inputs!$B$19*INDEX(Baseline!$B$3:$B$122,MATCH(MIN(MAX(ROUND((MAX($A116-Inputs!$B$20,30))/5,0)*5,5),600),Baseline!$A$3:$A$122,0))+(1-Inputs!$B$19)*INDEX(Baseline!$C$3:$C$122,MATCH(MIN(MAX(ROUND((MAX($A116-Inputs!$B$20,30))/5,0)*5,5),600),Baseline!$A$3:$A$122,0)))))</f>
        <v>5.2667124904</v>
      </c>
      <c r="C116" s="10" t="n">
        <f aca="false">IF($A116&lt;=50,$B116+Inputs!$B$18,IF($A116&lt;=250,MIN((1+(INDEX('Scratch Data'!$H$5:$H$13,MATCH($A116,'Scratch Data'!$G$5:$G$13,1))+($A116-INDEX('Scratch Data'!$G$5:$G$13,MATCH($A116,'Scratch Data'!$G$5:$G$13,1)))*(INDEX('Scratch Data'!$H$5:$H$13,MIN(MATCH($A116,'Scratch Data'!$G$5:$G$13,1)+1,ROWS('Scratch Data'!$G$5:$G$13)))-INDEX('Scratch Data'!$H$5:$H$13,MATCH($A116,'Scratch Data'!$G$5:$G$13,1)))/MAX(INDEX('Scratch Data'!$G$5:$G$13,MIN(MATCH($A116,'Scratch Data'!$G$5:$G$13,1)+1,ROWS('Scratch Data'!$G$5:$G$13)))-INDEX('Scratch Data'!$G$5:$G$13,MATCH($A116,'Scratch Data'!$G$5:$G$13,1)),0.0001))*Inputs!$B$12*INDEX(Baseline!$I$3:$I$102,MIN(MAX(ROUND(Inputs!$B$11*(INDEX('Scratch Data'!$I$5:$I$13,MATCH($A116,'Scratch Data'!$G$5:$G$13,1))+($A116-INDEX('Scratch Data'!$G$5:$G$13,MATCH($A116,'Scratch Data'!$G$5:$G$13,1)))*(INDEX('Scratch Data'!$I$5:$I$13,MIN(MATCH($A116,'Scratch Data'!$G$5:$G$13,1)+1,ROWS('Scratch Data'!$G$5:$G$13)))-INDEX('Scratch Data'!$I$5:$I$13,MATCH($A116,'Scratch Data'!$G$5:$G$13,1)))/MAX(INDEX('Scratch Data'!$G$5:$G$13,MIN(MATCH($A116,'Scratch Data'!$G$5:$G$13,1)+1,ROWS('Scratch Data'!$G$5:$G$13)))-INDEX('Scratch Data'!$G$5:$G$13,MATCH($A116,'Scratch Data'!$G$5:$G$13,1)),0.0001))*Inputs!$B$13,0),1),100))+(1-(INDEX('Scratch Data'!$H$5:$H$13,MATCH($A116,'Scratch Data'!$G$5:$G$13,1))+($A116-INDEX('Scratch Data'!$G$5:$G$13,MATCH($A116,'Scratch Data'!$G$5:$G$13,1)))*(INDEX('Scratch Data'!$H$5:$H$13,MIN(MATCH($A116,'Scratch Data'!$G$5:$G$13,1)+1,ROWS('Scratch Data'!$G$5:$G$13)))-INDEX('Scratch Data'!$H$5:$H$13,MATCH($A116,'Scratch Data'!$G$5:$G$13,1)))/MAX(INDEX('Scratch Data'!$G$5:$G$13,MIN(MATCH($A116,'Scratch Data'!$G$5:$G$13,1)+1,ROWS('Scratch Data'!$G$5:$G$13)))-INDEX('Scratch Data'!$G$5:$G$13,MATCH($A116,'Scratch Data'!$G$5:$G$13,1)),0.0001))*Inputs!$B$12)*((INDEX('Scratch Data'!$J$5:$J$13,MATCH($A116,'Scratch Data'!$G$5:$G$13,1))+($A116-INDEX('Scratch Data'!$G$5:$G$13,MATCH($A116,'Scratch Data'!$G$5:$G$13,1)))*(INDEX('Scratch Data'!$J$5:$J$13,MIN(MATCH($A116,'Scratch Data'!$G$5:$G$13,1)+1,ROWS('Scratch Data'!$G$5:$G$13)))-INDEX('Scratch Data'!$J$5:$J$13,MATCH($A116,'Scratch Data'!$G$5:$G$13,1)))/MAX(INDEX('Scratch Data'!$G$5:$G$13,MIN(MATCH($A116,'Scratch Data'!$G$5:$G$13,1)+1,ROWS('Scratch Data'!$G$5:$G$13)))-INDEX('Scratch Data'!$G$5:$G$13,MATCH($A116,'Scratch Data'!$G$5:$G$13,1)),0.0001))+Inputs!$B$14)),(1+Inputs!$B$19*INDEX(Baseline!$B$3:$B$122,MATCH(MIN(MAX(ROUND((MAX($A116-Inputs!$B$21,30))/5,0)*5,5),600),Baseline!$A$3:$A$122,0))+(1-Inputs!$B$19)*INDEX(Baseline!$C$3:$C$122,MATCH(MIN(MAX(ROUND((MAX($A116-Inputs!$B$21,30))/5,0)*5,5),600),Baseline!$A$3:$A$122,0))+Inputs!$B$14)),(1+Inputs!$B$19*INDEX(Baseline!$B$3:$B$122,MATCH(MIN(MAX(ROUND((MAX($A116-Inputs!$B$21,30))/5,0)*5,5),600),Baseline!$A$3:$A$122,0))+(1-Inputs!$B$19)*INDEX(Baseline!$C$3:$C$122,MATCH(MIN(MAX(ROUND((MAX($A116-Inputs!$B$21,30))/5,0)*5,5),600),Baseline!$A$3:$A$122,0))+Inputs!$B$14)))</f>
        <v>5.4988838824</v>
      </c>
      <c r="D116" s="10" t="n">
        <f aca="false">IF($A116&lt;=50,(INDEX('Scratch Data'!$P$5:$P$11,MATCH($A116,'Scratch Data'!$O$5:$O$11,1))+($A116-INDEX('Scratch Data'!$O$5:$O$11,MATCH($A116,'Scratch Data'!$O$5:$O$11,1)))*(INDEX('Scratch Data'!$P$5:$P$11,MIN(MATCH($A116,'Scratch Data'!$O$5:$O$11,1)+1,ROWS('Scratch Data'!$O$5:$O$11)))-INDEX('Scratch Data'!$P$5:$P$11,MATCH($A116,'Scratch Data'!$O$5:$O$11,1)))/MAX(INDEX('Scratch Data'!$O$5:$O$11,MIN(MATCH($A116,'Scratch Data'!$O$5:$O$11,1)+1,ROWS('Scratch Data'!$O$5:$O$11)))-INDEX('Scratch Data'!$O$5:$O$11,MATCH($A116,'Scratch Data'!$O$5:$O$11,1)),0.0001)),IF($A116&lt;=250,MIN((1+(INDEX('Scratch Data'!$H$5:$H$13,MATCH($A116,'Scratch Data'!$G$5:$G$13,1))+($A116-INDEX('Scratch Data'!$G$5:$G$13,MATCH($A116,'Scratch Data'!$G$5:$G$13,1)))*(INDEX('Scratch Data'!$H$5:$H$13,MIN(MATCH($A116,'Scratch Data'!$G$5:$G$13,1)+1,ROWS('Scratch Data'!$G$5:$G$13)))-INDEX('Scratch Data'!$H$5:$H$13,MATCH($A116,'Scratch Data'!$G$5:$G$13,1)))/MAX(INDEX('Scratch Data'!$G$5:$G$13,MIN(MATCH($A116,'Scratch Data'!$G$5:$G$13,1)+1,ROWS('Scratch Data'!$G$5:$G$13)))-INDEX('Scratch Data'!$G$5:$G$13,MATCH($A116,'Scratch Data'!$G$5:$G$13,1)),0.0001))*Inputs!$B$15*INDEX(Baseline!$I$3:$I$102,MIN(MAX(ROUND(Inputs!$B$11*(INDEX('Scratch Data'!$I$5:$I$13,MATCH($A116,'Scratch Data'!$G$5:$G$13,1))+($A116-INDEX('Scratch Data'!$G$5:$G$13,MATCH($A116,'Scratch Data'!$G$5:$G$13,1)))*(INDEX('Scratch Data'!$I$5:$I$13,MIN(MATCH($A116,'Scratch Data'!$G$5:$G$13,1)+1,ROWS('Scratch Data'!$G$5:$G$13)))-INDEX('Scratch Data'!$I$5:$I$13,MATCH($A116,'Scratch Data'!$G$5:$G$13,1)))/MAX(INDEX('Scratch Data'!$G$5:$G$13,MIN(MATCH($A116,'Scratch Data'!$G$5:$G$13,1)+1,ROWS('Scratch Data'!$G$5:$G$13)))-INDEX('Scratch Data'!$G$5:$G$13,MATCH($A116,'Scratch Data'!$G$5:$G$13,1)),0.0001))*Inputs!$B$16,0),1),100))+(1-(INDEX('Scratch Data'!$H$5:$H$13,MATCH($A116,'Scratch Data'!$G$5:$G$13,1))+($A116-INDEX('Scratch Data'!$G$5:$G$13,MATCH($A116,'Scratch Data'!$G$5:$G$13,1)))*(INDEX('Scratch Data'!$H$5:$H$13,MIN(MATCH($A116,'Scratch Data'!$G$5:$G$13,1)+1,ROWS('Scratch Data'!$G$5:$G$13)))-INDEX('Scratch Data'!$H$5:$H$13,MATCH($A116,'Scratch Data'!$G$5:$G$13,1)))/MAX(INDEX('Scratch Data'!$G$5:$G$13,MIN(MATCH($A116,'Scratch Data'!$G$5:$G$13,1)+1,ROWS('Scratch Data'!$G$5:$G$13)))-INDEX('Scratch Data'!$G$5:$G$13,MATCH($A116,'Scratch Data'!$G$5:$G$13,1)),0.0001))*Inputs!$B$15)*((INDEX('Scratch Data'!$J$5:$J$13,MATCH($A116,'Scratch Data'!$G$5:$G$13,1))+($A116-INDEX('Scratch Data'!$G$5:$G$13,MATCH($A116,'Scratch Data'!$G$5:$G$13,1)))*(INDEX('Scratch Data'!$J$5:$J$13,MIN(MATCH($A116,'Scratch Data'!$G$5:$G$13,1)+1,ROWS('Scratch Data'!$G$5:$G$13)))-INDEX('Scratch Data'!$J$5:$J$13,MATCH($A116,'Scratch Data'!$G$5:$G$13,1)))/MAX(INDEX('Scratch Data'!$G$5:$G$13,MIN(MATCH($A116,'Scratch Data'!$G$5:$G$13,1)+1,ROWS('Scratch Data'!$G$5:$G$13)))-INDEX('Scratch Data'!$G$5:$G$13,MATCH($A116,'Scratch Data'!$G$5:$G$13,1)),0.0001))+Inputs!$B$17)),(1+Inputs!$B$19*INDEX(Baseline!$B$3:$B$122,MATCH(MIN(MAX(ROUND((MAX($A116-Inputs!$B$22,30))/5,0)*5,5),600),Baseline!$A$3:$A$122,0))+(1-Inputs!$B$19)*INDEX(Baseline!$C$3:$C$122,MATCH(MIN(MAX(ROUND((MAX($A116-Inputs!$B$22,30))/5,0)*5,5),600),Baseline!$A$3:$A$122,0))+Inputs!$B$17)),(1+Inputs!$B$19*INDEX(Baseline!$B$3:$B$122,MATCH(MIN(MAX(ROUND((MAX($A116-Inputs!$B$22,30))/5,0)*5,5),600),Baseline!$A$3:$A$122,0))+(1-Inputs!$B$19)*INDEX(Baseline!$C$3:$C$122,MATCH(MIN(MAX(ROUND((MAX($A116-Inputs!$B$22,30))/5,0)*5,5),600),Baseline!$A$3:$A$122,0))+Inputs!$B$17)))</f>
        <v>5.6887049744</v>
      </c>
      <c r="E116" s="10" t="n">
        <f aca="false">1+Inputs!$B$24+0.6*INDEX(Baseline!$B$3:$B$122,MATCH(MIN(MAX(ROUND((MAX($A116-Inputs!$B$23,15))/5,0)*5,5),600),Baseline!$A$3:$A$122,0))+0.4*INDEX(Baseline!$C$3:$C$122,MATCH(MIN(MAX(ROUND((MAX($A116-Inputs!$B$23,15))/5,0)*5,5),600),Baseline!$A$3:$A$122,0))</f>
        <v>5.95975044416</v>
      </c>
    </row>
    <row r="117" customFormat="false" ht="15" hidden="false" customHeight="false" outlineLevel="0" collapsed="false">
      <c r="A117" s="7" t="n">
        <v>575</v>
      </c>
      <c r="B117" s="10" t="n">
        <f aca="false">IF($A117&lt;=50,(INDEX('Scratch Data'!$M$5:$M$12,MATCH($A117,'Scratch Data'!$L$5:$L$12,1))+($A117-INDEX('Scratch Data'!$L$5:$L$12,MATCH($A117,'Scratch Data'!$L$5:$L$12,1)))*(INDEX('Scratch Data'!$M$5:$M$12,MIN(MATCH($A117,'Scratch Data'!$L$5:$L$12,1)+1,ROWS('Scratch Data'!$L$5:$L$12)))-INDEX('Scratch Data'!$M$5:$M$12,MATCH($A117,'Scratch Data'!$L$5:$L$12,1)))/MAX(INDEX('Scratch Data'!$L$5:$L$12,MIN(MATCH($A117,'Scratch Data'!$L$5:$L$12,1)+1,ROWS('Scratch Data'!$L$5:$L$12)))-INDEX('Scratch Data'!$L$5:$L$12,MATCH($A117,'Scratch Data'!$L$5:$L$12,1)),0.0001)),IF($A117&lt;=250,MIN((1+(INDEX('Scratch Data'!$H$5:$H$13,MATCH($A117,'Scratch Data'!$G$5:$G$13,1))+($A117-INDEX('Scratch Data'!$G$5:$G$13,MATCH($A117,'Scratch Data'!$G$5:$G$13,1)))*(INDEX('Scratch Data'!$H$5:$H$13,MIN(MATCH($A117,'Scratch Data'!$G$5:$G$13,1)+1,ROWS('Scratch Data'!$G$5:$G$13)))-INDEX('Scratch Data'!$H$5:$H$13,MATCH($A117,'Scratch Data'!$G$5:$G$13,1)))/MAX(INDEX('Scratch Data'!$G$5:$G$13,MIN(MATCH($A117,'Scratch Data'!$G$5:$G$13,1)+1,ROWS('Scratch Data'!$G$5:$G$13)))-INDEX('Scratch Data'!$G$5:$G$13,MATCH($A117,'Scratch Data'!$G$5:$G$13,1)),0.0001))*INDEX(Baseline!$I$3:$I$102,MIN(MAX(ROUND(Inputs!$B$11*(INDEX('Scratch Data'!$I$5:$I$13,MATCH($A117,'Scratch Data'!$G$5:$G$13,1))+($A117-INDEX('Scratch Data'!$G$5:$G$13,MATCH($A117,'Scratch Data'!$G$5:$G$13,1)))*(INDEX('Scratch Data'!$I$5:$I$13,MIN(MATCH($A117,'Scratch Data'!$G$5:$G$13,1)+1,ROWS('Scratch Data'!$G$5:$G$13)))-INDEX('Scratch Data'!$I$5:$I$13,MATCH($A117,'Scratch Data'!$G$5:$G$13,1)))/MAX(INDEX('Scratch Data'!$G$5:$G$13,MIN(MATCH($A117,'Scratch Data'!$G$5:$G$13,1)+1,ROWS('Scratch Data'!$G$5:$G$13)))-INDEX('Scratch Data'!$G$5:$G$13,MATCH($A117,'Scratch Data'!$G$5:$G$13,1)),0.0001)),0),1),100))+(1-(INDEX('Scratch Data'!$H$5:$H$13,MATCH($A117,'Scratch Data'!$G$5:$G$13,1))+($A117-INDEX('Scratch Data'!$G$5:$G$13,MATCH($A117,'Scratch Data'!$G$5:$G$13,1)))*(INDEX('Scratch Data'!$H$5:$H$13,MIN(MATCH($A117,'Scratch Data'!$G$5:$G$13,1)+1,ROWS('Scratch Data'!$G$5:$G$13)))-INDEX('Scratch Data'!$H$5:$H$13,MATCH($A117,'Scratch Data'!$G$5:$G$13,1)))/MAX(INDEX('Scratch Data'!$G$5:$G$13,MIN(MATCH($A117,'Scratch Data'!$G$5:$G$13,1)+1,ROWS('Scratch Data'!$G$5:$G$13)))-INDEX('Scratch Data'!$G$5:$G$13,MATCH($A117,'Scratch Data'!$G$5:$G$13,1)),0.0001)))*(INDEX('Scratch Data'!$J$5:$J$13,MATCH($A117,'Scratch Data'!$G$5:$G$13,1))+($A117-INDEX('Scratch Data'!$G$5:$G$13,MATCH($A117,'Scratch Data'!$G$5:$G$13,1)))*(INDEX('Scratch Data'!$J$5:$J$13,MIN(MATCH($A117,'Scratch Data'!$G$5:$G$13,1)+1,ROWS('Scratch Data'!$G$5:$G$13)))-INDEX('Scratch Data'!$J$5:$J$13,MATCH($A117,'Scratch Data'!$G$5:$G$13,1)))/MAX(INDEX('Scratch Data'!$G$5:$G$13,MIN(MATCH($A117,'Scratch Data'!$G$5:$G$13,1)+1,ROWS('Scratch Data'!$G$5:$G$13)))-INDEX('Scratch Data'!$G$5:$G$13,MATCH($A117,'Scratch Data'!$G$5:$G$13,1)),0.0001))),(1+Inputs!$B$19*INDEX(Baseline!$B$3:$B$122,MATCH(MIN(MAX(ROUND((MAX($A117-Inputs!$B$20,30))/5,0)*5,5),600),Baseline!$A$3:$A$122,0))+(1-Inputs!$B$19)*INDEX(Baseline!$C$3:$C$122,MATCH(MIN(MAX(ROUND((MAX($A117-Inputs!$B$20,30))/5,0)*5,5),600),Baseline!$A$3:$A$122,0)))),(1+Inputs!$B$19*INDEX(Baseline!$B$3:$B$122,MATCH(MIN(MAX(ROUND((MAX($A117-Inputs!$B$20,30))/5,0)*5,5),600),Baseline!$A$3:$A$122,0))+(1-Inputs!$B$19)*INDEX(Baseline!$C$3:$C$122,MATCH(MIN(MAX(ROUND((MAX($A117-Inputs!$B$20,30))/5,0)*5,5),600),Baseline!$A$3:$A$122,0)))))</f>
        <v>5.290713672</v>
      </c>
      <c r="C117" s="10" t="n">
        <f aca="false">IF($A117&lt;=50,$B117+Inputs!$B$18,IF($A117&lt;=250,MIN((1+(INDEX('Scratch Data'!$H$5:$H$13,MATCH($A117,'Scratch Data'!$G$5:$G$13,1))+($A117-INDEX('Scratch Data'!$G$5:$G$13,MATCH($A117,'Scratch Data'!$G$5:$G$13,1)))*(INDEX('Scratch Data'!$H$5:$H$13,MIN(MATCH($A117,'Scratch Data'!$G$5:$G$13,1)+1,ROWS('Scratch Data'!$G$5:$G$13)))-INDEX('Scratch Data'!$H$5:$H$13,MATCH($A117,'Scratch Data'!$G$5:$G$13,1)))/MAX(INDEX('Scratch Data'!$G$5:$G$13,MIN(MATCH($A117,'Scratch Data'!$G$5:$G$13,1)+1,ROWS('Scratch Data'!$G$5:$G$13)))-INDEX('Scratch Data'!$G$5:$G$13,MATCH($A117,'Scratch Data'!$G$5:$G$13,1)),0.0001))*Inputs!$B$12*INDEX(Baseline!$I$3:$I$102,MIN(MAX(ROUND(Inputs!$B$11*(INDEX('Scratch Data'!$I$5:$I$13,MATCH($A117,'Scratch Data'!$G$5:$G$13,1))+($A117-INDEX('Scratch Data'!$G$5:$G$13,MATCH($A117,'Scratch Data'!$G$5:$G$13,1)))*(INDEX('Scratch Data'!$I$5:$I$13,MIN(MATCH($A117,'Scratch Data'!$G$5:$G$13,1)+1,ROWS('Scratch Data'!$G$5:$G$13)))-INDEX('Scratch Data'!$I$5:$I$13,MATCH($A117,'Scratch Data'!$G$5:$G$13,1)))/MAX(INDEX('Scratch Data'!$G$5:$G$13,MIN(MATCH($A117,'Scratch Data'!$G$5:$G$13,1)+1,ROWS('Scratch Data'!$G$5:$G$13)))-INDEX('Scratch Data'!$G$5:$G$13,MATCH($A117,'Scratch Data'!$G$5:$G$13,1)),0.0001))*Inputs!$B$13,0),1),100))+(1-(INDEX('Scratch Data'!$H$5:$H$13,MATCH($A117,'Scratch Data'!$G$5:$G$13,1))+($A117-INDEX('Scratch Data'!$G$5:$G$13,MATCH($A117,'Scratch Data'!$G$5:$G$13,1)))*(INDEX('Scratch Data'!$H$5:$H$13,MIN(MATCH($A117,'Scratch Data'!$G$5:$G$13,1)+1,ROWS('Scratch Data'!$G$5:$G$13)))-INDEX('Scratch Data'!$H$5:$H$13,MATCH($A117,'Scratch Data'!$G$5:$G$13,1)))/MAX(INDEX('Scratch Data'!$G$5:$G$13,MIN(MATCH($A117,'Scratch Data'!$G$5:$G$13,1)+1,ROWS('Scratch Data'!$G$5:$G$13)))-INDEX('Scratch Data'!$G$5:$G$13,MATCH($A117,'Scratch Data'!$G$5:$G$13,1)),0.0001))*Inputs!$B$12)*((INDEX('Scratch Data'!$J$5:$J$13,MATCH($A117,'Scratch Data'!$G$5:$G$13,1))+($A117-INDEX('Scratch Data'!$G$5:$G$13,MATCH($A117,'Scratch Data'!$G$5:$G$13,1)))*(INDEX('Scratch Data'!$J$5:$J$13,MIN(MATCH($A117,'Scratch Data'!$G$5:$G$13,1)+1,ROWS('Scratch Data'!$G$5:$G$13)))-INDEX('Scratch Data'!$J$5:$J$13,MATCH($A117,'Scratch Data'!$G$5:$G$13,1)))/MAX(INDEX('Scratch Data'!$G$5:$G$13,MIN(MATCH($A117,'Scratch Data'!$G$5:$G$13,1)+1,ROWS('Scratch Data'!$G$5:$G$13)))-INDEX('Scratch Data'!$G$5:$G$13,MATCH($A117,'Scratch Data'!$G$5:$G$13,1)),0.0001))+Inputs!$B$14)),(1+Inputs!$B$19*INDEX(Baseline!$B$3:$B$122,MATCH(MIN(MAX(ROUND((MAX($A117-Inputs!$B$21,30))/5,0)*5,5),600),Baseline!$A$3:$A$122,0))+(1-Inputs!$B$19)*INDEX(Baseline!$C$3:$C$122,MATCH(MIN(MAX(ROUND((MAX($A117-Inputs!$B$21,30))/5,0)*5,5),600),Baseline!$A$3:$A$122,0))+Inputs!$B$14)),(1+Inputs!$B$19*INDEX(Baseline!$B$3:$B$122,MATCH(MIN(MAX(ROUND((MAX($A117-Inputs!$B$21,30))/5,0)*5,5),600),Baseline!$A$3:$A$122,0))+(1-Inputs!$B$19)*INDEX(Baseline!$C$3:$C$122,MATCH(MIN(MAX(ROUND((MAX($A117-Inputs!$B$21,30))/5,0)*5,5),600),Baseline!$A$3:$A$122,0))+Inputs!$B$14)))</f>
        <v>5.522176524</v>
      </c>
      <c r="D117" s="10" t="n">
        <f aca="false">IF($A117&lt;=50,(INDEX('Scratch Data'!$P$5:$P$11,MATCH($A117,'Scratch Data'!$O$5:$O$11,1))+($A117-INDEX('Scratch Data'!$O$5:$O$11,MATCH($A117,'Scratch Data'!$O$5:$O$11,1)))*(INDEX('Scratch Data'!$P$5:$P$11,MIN(MATCH($A117,'Scratch Data'!$O$5:$O$11,1)+1,ROWS('Scratch Data'!$O$5:$O$11)))-INDEX('Scratch Data'!$P$5:$P$11,MATCH($A117,'Scratch Data'!$O$5:$O$11,1)))/MAX(INDEX('Scratch Data'!$O$5:$O$11,MIN(MATCH($A117,'Scratch Data'!$O$5:$O$11,1)+1,ROWS('Scratch Data'!$O$5:$O$11)))-INDEX('Scratch Data'!$O$5:$O$11,MATCH($A117,'Scratch Data'!$O$5:$O$11,1)),0.0001)),IF($A117&lt;=250,MIN((1+(INDEX('Scratch Data'!$H$5:$H$13,MATCH($A117,'Scratch Data'!$G$5:$G$13,1))+($A117-INDEX('Scratch Data'!$G$5:$G$13,MATCH($A117,'Scratch Data'!$G$5:$G$13,1)))*(INDEX('Scratch Data'!$H$5:$H$13,MIN(MATCH($A117,'Scratch Data'!$G$5:$G$13,1)+1,ROWS('Scratch Data'!$G$5:$G$13)))-INDEX('Scratch Data'!$H$5:$H$13,MATCH($A117,'Scratch Data'!$G$5:$G$13,1)))/MAX(INDEX('Scratch Data'!$G$5:$G$13,MIN(MATCH($A117,'Scratch Data'!$G$5:$G$13,1)+1,ROWS('Scratch Data'!$G$5:$G$13)))-INDEX('Scratch Data'!$G$5:$G$13,MATCH($A117,'Scratch Data'!$G$5:$G$13,1)),0.0001))*Inputs!$B$15*INDEX(Baseline!$I$3:$I$102,MIN(MAX(ROUND(Inputs!$B$11*(INDEX('Scratch Data'!$I$5:$I$13,MATCH($A117,'Scratch Data'!$G$5:$G$13,1))+($A117-INDEX('Scratch Data'!$G$5:$G$13,MATCH($A117,'Scratch Data'!$G$5:$G$13,1)))*(INDEX('Scratch Data'!$I$5:$I$13,MIN(MATCH($A117,'Scratch Data'!$G$5:$G$13,1)+1,ROWS('Scratch Data'!$G$5:$G$13)))-INDEX('Scratch Data'!$I$5:$I$13,MATCH($A117,'Scratch Data'!$G$5:$G$13,1)))/MAX(INDEX('Scratch Data'!$G$5:$G$13,MIN(MATCH($A117,'Scratch Data'!$G$5:$G$13,1)+1,ROWS('Scratch Data'!$G$5:$G$13)))-INDEX('Scratch Data'!$G$5:$G$13,MATCH($A117,'Scratch Data'!$G$5:$G$13,1)),0.0001))*Inputs!$B$16,0),1),100))+(1-(INDEX('Scratch Data'!$H$5:$H$13,MATCH($A117,'Scratch Data'!$G$5:$G$13,1))+($A117-INDEX('Scratch Data'!$G$5:$G$13,MATCH($A117,'Scratch Data'!$G$5:$G$13,1)))*(INDEX('Scratch Data'!$H$5:$H$13,MIN(MATCH($A117,'Scratch Data'!$G$5:$G$13,1)+1,ROWS('Scratch Data'!$G$5:$G$13)))-INDEX('Scratch Data'!$H$5:$H$13,MATCH($A117,'Scratch Data'!$G$5:$G$13,1)))/MAX(INDEX('Scratch Data'!$G$5:$G$13,MIN(MATCH($A117,'Scratch Data'!$G$5:$G$13,1)+1,ROWS('Scratch Data'!$G$5:$G$13)))-INDEX('Scratch Data'!$G$5:$G$13,MATCH($A117,'Scratch Data'!$G$5:$G$13,1)),0.0001))*Inputs!$B$15)*((INDEX('Scratch Data'!$J$5:$J$13,MATCH($A117,'Scratch Data'!$G$5:$G$13,1))+($A117-INDEX('Scratch Data'!$G$5:$G$13,MATCH($A117,'Scratch Data'!$G$5:$G$13,1)))*(INDEX('Scratch Data'!$J$5:$J$13,MIN(MATCH($A117,'Scratch Data'!$G$5:$G$13,1)+1,ROWS('Scratch Data'!$G$5:$G$13)))-INDEX('Scratch Data'!$J$5:$J$13,MATCH($A117,'Scratch Data'!$G$5:$G$13,1)))/MAX(INDEX('Scratch Data'!$G$5:$G$13,MIN(MATCH($A117,'Scratch Data'!$G$5:$G$13,1)+1,ROWS('Scratch Data'!$G$5:$G$13)))-INDEX('Scratch Data'!$G$5:$G$13,MATCH($A117,'Scratch Data'!$G$5:$G$13,1)),0.0001))+Inputs!$B$17)),(1+Inputs!$B$19*INDEX(Baseline!$B$3:$B$122,MATCH(MIN(MAX(ROUND((MAX($A117-Inputs!$B$22,30))/5,0)*5,5),600),Baseline!$A$3:$A$122,0))+(1-Inputs!$B$19)*INDEX(Baseline!$C$3:$C$122,MATCH(MIN(MAX(ROUND((MAX($A117-Inputs!$B$22,30))/5,0)*5,5),600),Baseline!$A$3:$A$122,0))+Inputs!$B$17)),(1+Inputs!$B$19*INDEX(Baseline!$B$3:$B$122,MATCH(MIN(MAX(ROUND((MAX($A117-Inputs!$B$22,30))/5,0)*5,5),600),Baseline!$A$3:$A$122,0))+(1-Inputs!$B$19)*INDEX(Baseline!$C$3:$C$122,MATCH(MIN(MAX(ROUND((MAX($A117-Inputs!$B$22,30))/5,0)*5,5),600),Baseline!$A$3:$A$122,0))+Inputs!$B$17)))</f>
        <v>5.7133586696</v>
      </c>
      <c r="E117" s="10" t="n">
        <f aca="false">1+Inputs!$B$24+0.6*INDEX(Baseline!$B$3:$B$122,MATCH(MIN(MAX(ROUND((MAX($A117-Inputs!$B$23,15))/5,0)*5,5),600),Baseline!$A$3:$A$122,0))+0.4*INDEX(Baseline!$C$3:$C$122,MATCH(MIN(MAX(ROUND((MAX($A117-Inputs!$B$23,15))/5,0)*5,5),600),Baseline!$A$3:$A$122,0))</f>
        <v>6.01666330672</v>
      </c>
    </row>
    <row r="118" customFormat="false" ht="15" hidden="false" customHeight="false" outlineLevel="0" collapsed="false">
      <c r="A118" s="7" t="n">
        <v>580</v>
      </c>
      <c r="B118" s="10" t="n">
        <f aca="false">IF($A118&lt;=50,(INDEX('Scratch Data'!$M$5:$M$12,MATCH($A118,'Scratch Data'!$L$5:$L$12,1))+($A118-INDEX('Scratch Data'!$L$5:$L$12,MATCH($A118,'Scratch Data'!$L$5:$L$12,1)))*(INDEX('Scratch Data'!$M$5:$M$12,MIN(MATCH($A118,'Scratch Data'!$L$5:$L$12,1)+1,ROWS('Scratch Data'!$L$5:$L$12)))-INDEX('Scratch Data'!$M$5:$M$12,MATCH($A118,'Scratch Data'!$L$5:$L$12,1)))/MAX(INDEX('Scratch Data'!$L$5:$L$12,MIN(MATCH($A118,'Scratch Data'!$L$5:$L$12,1)+1,ROWS('Scratch Data'!$L$5:$L$12)))-INDEX('Scratch Data'!$L$5:$L$12,MATCH($A118,'Scratch Data'!$L$5:$L$12,1)),0.0001)),IF($A118&lt;=250,MIN((1+(INDEX('Scratch Data'!$H$5:$H$13,MATCH($A118,'Scratch Data'!$G$5:$G$13,1))+($A118-INDEX('Scratch Data'!$G$5:$G$13,MATCH($A118,'Scratch Data'!$G$5:$G$13,1)))*(INDEX('Scratch Data'!$H$5:$H$13,MIN(MATCH($A118,'Scratch Data'!$G$5:$G$13,1)+1,ROWS('Scratch Data'!$G$5:$G$13)))-INDEX('Scratch Data'!$H$5:$H$13,MATCH($A118,'Scratch Data'!$G$5:$G$13,1)))/MAX(INDEX('Scratch Data'!$G$5:$G$13,MIN(MATCH($A118,'Scratch Data'!$G$5:$G$13,1)+1,ROWS('Scratch Data'!$G$5:$G$13)))-INDEX('Scratch Data'!$G$5:$G$13,MATCH($A118,'Scratch Data'!$G$5:$G$13,1)),0.0001))*INDEX(Baseline!$I$3:$I$102,MIN(MAX(ROUND(Inputs!$B$11*(INDEX('Scratch Data'!$I$5:$I$13,MATCH($A118,'Scratch Data'!$G$5:$G$13,1))+($A118-INDEX('Scratch Data'!$G$5:$G$13,MATCH($A118,'Scratch Data'!$G$5:$G$13,1)))*(INDEX('Scratch Data'!$I$5:$I$13,MIN(MATCH($A118,'Scratch Data'!$G$5:$G$13,1)+1,ROWS('Scratch Data'!$G$5:$G$13)))-INDEX('Scratch Data'!$I$5:$I$13,MATCH($A118,'Scratch Data'!$G$5:$G$13,1)))/MAX(INDEX('Scratch Data'!$G$5:$G$13,MIN(MATCH($A118,'Scratch Data'!$G$5:$G$13,1)+1,ROWS('Scratch Data'!$G$5:$G$13)))-INDEX('Scratch Data'!$G$5:$G$13,MATCH($A118,'Scratch Data'!$G$5:$G$13,1)),0.0001)),0),1),100))+(1-(INDEX('Scratch Data'!$H$5:$H$13,MATCH($A118,'Scratch Data'!$G$5:$G$13,1))+($A118-INDEX('Scratch Data'!$G$5:$G$13,MATCH($A118,'Scratch Data'!$G$5:$G$13,1)))*(INDEX('Scratch Data'!$H$5:$H$13,MIN(MATCH($A118,'Scratch Data'!$G$5:$G$13,1)+1,ROWS('Scratch Data'!$G$5:$G$13)))-INDEX('Scratch Data'!$H$5:$H$13,MATCH($A118,'Scratch Data'!$G$5:$G$13,1)))/MAX(INDEX('Scratch Data'!$G$5:$G$13,MIN(MATCH($A118,'Scratch Data'!$G$5:$G$13,1)+1,ROWS('Scratch Data'!$G$5:$G$13)))-INDEX('Scratch Data'!$G$5:$G$13,MATCH($A118,'Scratch Data'!$G$5:$G$13,1)),0.0001)))*(INDEX('Scratch Data'!$J$5:$J$13,MATCH($A118,'Scratch Data'!$G$5:$G$13,1))+($A118-INDEX('Scratch Data'!$G$5:$G$13,MATCH($A118,'Scratch Data'!$G$5:$G$13,1)))*(INDEX('Scratch Data'!$J$5:$J$13,MIN(MATCH($A118,'Scratch Data'!$G$5:$G$13,1)+1,ROWS('Scratch Data'!$G$5:$G$13)))-INDEX('Scratch Data'!$J$5:$J$13,MATCH($A118,'Scratch Data'!$G$5:$G$13,1)))/MAX(INDEX('Scratch Data'!$G$5:$G$13,MIN(MATCH($A118,'Scratch Data'!$G$5:$G$13,1)+1,ROWS('Scratch Data'!$G$5:$G$13)))-INDEX('Scratch Data'!$G$5:$G$13,MATCH($A118,'Scratch Data'!$G$5:$G$13,1)),0.0001))),(1+Inputs!$B$19*INDEX(Baseline!$B$3:$B$122,MATCH(MIN(MAX(ROUND((MAX($A118-Inputs!$B$20,30))/5,0)*5,5),600),Baseline!$A$3:$A$122,0))+(1-Inputs!$B$19)*INDEX(Baseline!$C$3:$C$122,MATCH(MIN(MAX(ROUND((MAX($A118-Inputs!$B$20,30))/5,0)*5,5),600),Baseline!$A$3:$A$122,0)))),(1+Inputs!$B$19*INDEX(Baseline!$B$3:$B$122,MATCH(MIN(MAX(ROUND((MAX($A118-Inputs!$B$20,30))/5,0)*5,5),600),Baseline!$A$3:$A$122,0))+(1-Inputs!$B$19)*INDEX(Baseline!$C$3:$C$122,MATCH(MIN(MAX(ROUND((MAX($A118-Inputs!$B$20,30))/5,0)*5,5),600),Baseline!$A$3:$A$122,0)))))</f>
        <v>5.3112542272</v>
      </c>
      <c r="C118" s="10" t="n">
        <f aca="false">IF($A118&lt;=50,$B118+Inputs!$B$18,IF($A118&lt;=250,MIN((1+(INDEX('Scratch Data'!$H$5:$H$13,MATCH($A118,'Scratch Data'!$G$5:$G$13,1))+($A118-INDEX('Scratch Data'!$G$5:$G$13,MATCH($A118,'Scratch Data'!$G$5:$G$13,1)))*(INDEX('Scratch Data'!$H$5:$H$13,MIN(MATCH($A118,'Scratch Data'!$G$5:$G$13,1)+1,ROWS('Scratch Data'!$G$5:$G$13)))-INDEX('Scratch Data'!$H$5:$H$13,MATCH($A118,'Scratch Data'!$G$5:$G$13,1)))/MAX(INDEX('Scratch Data'!$G$5:$G$13,MIN(MATCH($A118,'Scratch Data'!$G$5:$G$13,1)+1,ROWS('Scratch Data'!$G$5:$G$13)))-INDEX('Scratch Data'!$G$5:$G$13,MATCH($A118,'Scratch Data'!$G$5:$G$13,1)),0.0001))*Inputs!$B$12*INDEX(Baseline!$I$3:$I$102,MIN(MAX(ROUND(Inputs!$B$11*(INDEX('Scratch Data'!$I$5:$I$13,MATCH($A118,'Scratch Data'!$G$5:$G$13,1))+($A118-INDEX('Scratch Data'!$G$5:$G$13,MATCH($A118,'Scratch Data'!$G$5:$G$13,1)))*(INDEX('Scratch Data'!$I$5:$I$13,MIN(MATCH($A118,'Scratch Data'!$G$5:$G$13,1)+1,ROWS('Scratch Data'!$G$5:$G$13)))-INDEX('Scratch Data'!$I$5:$I$13,MATCH($A118,'Scratch Data'!$G$5:$G$13,1)))/MAX(INDEX('Scratch Data'!$G$5:$G$13,MIN(MATCH($A118,'Scratch Data'!$G$5:$G$13,1)+1,ROWS('Scratch Data'!$G$5:$G$13)))-INDEX('Scratch Data'!$G$5:$G$13,MATCH($A118,'Scratch Data'!$G$5:$G$13,1)),0.0001))*Inputs!$B$13,0),1),100))+(1-(INDEX('Scratch Data'!$H$5:$H$13,MATCH($A118,'Scratch Data'!$G$5:$G$13,1))+($A118-INDEX('Scratch Data'!$G$5:$G$13,MATCH($A118,'Scratch Data'!$G$5:$G$13,1)))*(INDEX('Scratch Data'!$H$5:$H$13,MIN(MATCH($A118,'Scratch Data'!$G$5:$G$13,1)+1,ROWS('Scratch Data'!$G$5:$G$13)))-INDEX('Scratch Data'!$H$5:$H$13,MATCH($A118,'Scratch Data'!$G$5:$G$13,1)))/MAX(INDEX('Scratch Data'!$G$5:$G$13,MIN(MATCH($A118,'Scratch Data'!$G$5:$G$13,1)+1,ROWS('Scratch Data'!$G$5:$G$13)))-INDEX('Scratch Data'!$G$5:$G$13,MATCH($A118,'Scratch Data'!$G$5:$G$13,1)),0.0001))*Inputs!$B$12)*((INDEX('Scratch Data'!$J$5:$J$13,MATCH($A118,'Scratch Data'!$G$5:$G$13,1))+($A118-INDEX('Scratch Data'!$G$5:$G$13,MATCH($A118,'Scratch Data'!$G$5:$G$13,1)))*(INDEX('Scratch Data'!$J$5:$J$13,MIN(MATCH($A118,'Scratch Data'!$G$5:$G$13,1)+1,ROWS('Scratch Data'!$G$5:$G$13)))-INDEX('Scratch Data'!$J$5:$J$13,MATCH($A118,'Scratch Data'!$G$5:$G$13,1)))/MAX(INDEX('Scratch Data'!$G$5:$G$13,MIN(MATCH($A118,'Scratch Data'!$G$5:$G$13,1)+1,ROWS('Scratch Data'!$G$5:$G$13)))-INDEX('Scratch Data'!$G$5:$G$13,MATCH($A118,'Scratch Data'!$G$5:$G$13,1)),0.0001))+Inputs!$B$14)),(1+Inputs!$B$19*INDEX(Baseline!$B$3:$B$122,MATCH(MIN(MAX(ROUND((MAX($A118-Inputs!$B$21,30))/5,0)*5,5),600),Baseline!$A$3:$A$122,0))+(1-Inputs!$B$19)*INDEX(Baseline!$C$3:$C$122,MATCH(MIN(MAX(ROUND((MAX($A118-Inputs!$B$21,30))/5,0)*5,5),600),Baseline!$A$3:$A$122,0))+Inputs!$B$14)),(1+Inputs!$B$19*INDEX(Baseline!$B$3:$B$122,MATCH(MIN(MAX(ROUND((MAX($A118-Inputs!$B$21,30))/5,0)*5,5),600),Baseline!$A$3:$A$122,0))+(1-Inputs!$B$19)*INDEX(Baseline!$C$3:$C$122,MATCH(MIN(MAX(ROUND((MAX($A118-Inputs!$B$21,30))/5,0)*5,5),600),Baseline!$A$3:$A$122,0))+Inputs!$B$14)))</f>
        <v>5.54036668</v>
      </c>
      <c r="D118" s="10" t="n">
        <f aca="false">IF($A118&lt;=50,(INDEX('Scratch Data'!$P$5:$P$11,MATCH($A118,'Scratch Data'!$O$5:$O$11,1))+($A118-INDEX('Scratch Data'!$O$5:$O$11,MATCH($A118,'Scratch Data'!$O$5:$O$11,1)))*(INDEX('Scratch Data'!$P$5:$P$11,MIN(MATCH($A118,'Scratch Data'!$O$5:$O$11,1)+1,ROWS('Scratch Data'!$O$5:$O$11)))-INDEX('Scratch Data'!$P$5:$P$11,MATCH($A118,'Scratch Data'!$O$5:$O$11,1)))/MAX(INDEX('Scratch Data'!$O$5:$O$11,MIN(MATCH($A118,'Scratch Data'!$O$5:$O$11,1)+1,ROWS('Scratch Data'!$O$5:$O$11)))-INDEX('Scratch Data'!$O$5:$O$11,MATCH($A118,'Scratch Data'!$O$5:$O$11,1)),0.0001)),IF($A118&lt;=250,MIN((1+(INDEX('Scratch Data'!$H$5:$H$13,MATCH($A118,'Scratch Data'!$G$5:$G$13,1))+($A118-INDEX('Scratch Data'!$G$5:$G$13,MATCH($A118,'Scratch Data'!$G$5:$G$13,1)))*(INDEX('Scratch Data'!$H$5:$H$13,MIN(MATCH($A118,'Scratch Data'!$G$5:$G$13,1)+1,ROWS('Scratch Data'!$G$5:$G$13)))-INDEX('Scratch Data'!$H$5:$H$13,MATCH($A118,'Scratch Data'!$G$5:$G$13,1)))/MAX(INDEX('Scratch Data'!$G$5:$G$13,MIN(MATCH($A118,'Scratch Data'!$G$5:$G$13,1)+1,ROWS('Scratch Data'!$G$5:$G$13)))-INDEX('Scratch Data'!$G$5:$G$13,MATCH($A118,'Scratch Data'!$G$5:$G$13,1)),0.0001))*Inputs!$B$15*INDEX(Baseline!$I$3:$I$102,MIN(MAX(ROUND(Inputs!$B$11*(INDEX('Scratch Data'!$I$5:$I$13,MATCH($A118,'Scratch Data'!$G$5:$G$13,1))+($A118-INDEX('Scratch Data'!$G$5:$G$13,MATCH($A118,'Scratch Data'!$G$5:$G$13,1)))*(INDEX('Scratch Data'!$I$5:$I$13,MIN(MATCH($A118,'Scratch Data'!$G$5:$G$13,1)+1,ROWS('Scratch Data'!$G$5:$G$13)))-INDEX('Scratch Data'!$I$5:$I$13,MATCH($A118,'Scratch Data'!$G$5:$G$13,1)))/MAX(INDEX('Scratch Data'!$G$5:$G$13,MIN(MATCH($A118,'Scratch Data'!$G$5:$G$13,1)+1,ROWS('Scratch Data'!$G$5:$G$13)))-INDEX('Scratch Data'!$G$5:$G$13,MATCH($A118,'Scratch Data'!$G$5:$G$13,1)),0.0001))*Inputs!$B$16,0),1),100))+(1-(INDEX('Scratch Data'!$H$5:$H$13,MATCH($A118,'Scratch Data'!$G$5:$G$13,1))+($A118-INDEX('Scratch Data'!$G$5:$G$13,MATCH($A118,'Scratch Data'!$G$5:$G$13,1)))*(INDEX('Scratch Data'!$H$5:$H$13,MIN(MATCH($A118,'Scratch Data'!$G$5:$G$13,1)+1,ROWS('Scratch Data'!$G$5:$G$13)))-INDEX('Scratch Data'!$H$5:$H$13,MATCH($A118,'Scratch Data'!$G$5:$G$13,1)))/MAX(INDEX('Scratch Data'!$G$5:$G$13,MIN(MATCH($A118,'Scratch Data'!$G$5:$G$13,1)+1,ROWS('Scratch Data'!$G$5:$G$13)))-INDEX('Scratch Data'!$G$5:$G$13,MATCH($A118,'Scratch Data'!$G$5:$G$13,1)),0.0001))*Inputs!$B$15)*((INDEX('Scratch Data'!$J$5:$J$13,MATCH($A118,'Scratch Data'!$G$5:$G$13,1))+($A118-INDEX('Scratch Data'!$G$5:$G$13,MATCH($A118,'Scratch Data'!$G$5:$G$13,1)))*(INDEX('Scratch Data'!$J$5:$J$13,MIN(MATCH($A118,'Scratch Data'!$G$5:$G$13,1)+1,ROWS('Scratch Data'!$G$5:$G$13)))-INDEX('Scratch Data'!$J$5:$J$13,MATCH($A118,'Scratch Data'!$G$5:$G$13,1)))/MAX(INDEX('Scratch Data'!$G$5:$G$13,MIN(MATCH($A118,'Scratch Data'!$G$5:$G$13,1)+1,ROWS('Scratch Data'!$G$5:$G$13)))-INDEX('Scratch Data'!$G$5:$G$13,MATCH($A118,'Scratch Data'!$G$5:$G$13,1)),0.0001))+Inputs!$B$17)),(1+Inputs!$B$19*INDEX(Baseline!$B$3:$B$122,MATCH(MIN(MAX(ROUND((MAX($A118-Inputs!$B$22,30))/5,0)*5,5),600),Baseline!$A$3:$A$122,0))+(1-Inputs!$B$19)*INDEX(Baseline!$C$3:$C$122,MATCH(MIN(MAX(ROUND((MAX($A118-Inputs!$B$22,30))/5,0)*5,5),600),Baseline!$A$3:$A$122,0))+Inputs!$B$17)),(1+Inputs!$B$19*INDEX(Baseline!$B$3:$B$122,MATCH(MIN(MAX(ROUND((MAX($A118-Inputs!$B$22,30))/5,0)*5,5),600),Baseline!$A$3:$A$122,0))+(1-Inputs!$B$19)*INDEX(Baseline!$C$3:$C$122,MATCH(MIN(MAX(ROUND((MAX($A118-Inputs!$B$22,30))/5,0)*5,5),600),Baseline!$A$3:$A$122,0))+Inputs!$B$17)))</f>
        <v>5.73804548</v>
      </c>
      <c r="E118" s="10" t="n">
        <f aca="false">1+Inputs!$B$24+0.6*INDEX(Baseline!$B$3:$B$122,MATCH(MIN(MAX(ROUND((MAX($A118-Inputs!$B$23,15))/5,0)*5,5),600),Baseline!$A$3:$A$122,0))+0.4*INDEX(Baseline!$C$3:$C$122,MATCH(MIN(MAX(ROUND((MAX($A118-Inputs!$B$23,15))/5,0)*5,5),600),Baseline!$A$3:$A$122,0))</f>
        <v>6.0446455264</v>
      </c>
    </row>
    <row r="119" customFormat="false" ht="15" hidden="false" customHeight="false" outlineLevel="0" collapsed="false">
      <c r="A119" s="7" t="n">
        <v>585</v>
      </c>
      <c r="B119" s="10" t="n">
        <f aca="false">IF($A119&lt;=50,(INDEX('Scratch Data'!$M$5:$M$12,MATCH($A119,'Scratch Data'!$L$5:$L$12,1))+($A119-INDEX('Scratch Data'!$L$5:$L$12,MATCH($A119,'Scratch Data'!$L$5:$L$12,1)))*(INDEX('Scratch Data'!$M$5:$M$12,MIN(MATCH($A119,'Scratch Data'!$L$5:$L$12,1)+1,ROWS('Scratch Data'!$L$5:$L$12)))-INDEX('Scratch Data'!$M$5:$M$12,MATCH($A119,'Scratch Data'!$L$5:$L$12,1)))/MAX(INDEX('Scratch Data'!$L$5:$L$12,MIN(MATCH($A119,'Scratch Data'!$L$5:$L$12,1)+1,ROWS('Scratch Data'!$L$5:$L$12)))-INDEX('Scratch Data'!$L$5:$L$12,MATCH($A119,'Scratch Data'!$L$5:$L$12,1)),0.0001)),IF($A119&lt;=250,MIN((1+(INDEX('Scratch Data'!$H$5:$H$13,MATCH($A119,'Scratch Data'!$G$5:$G$13,1))+($A119-INDEX('Scratch Data'!$G$5:$G$13,MATCH($A119,'Scratch Data'!$G$5:$G$13,1)))*(INDEX('Scratch Data'!$H$5:$H$13,MIN(MATCH($A119,'Scratch Data'!$G$5:$G$13,1)+1,ROWS('Scratch Data'!$G$5:$G$13)))-INDEX('Scratch Data'!$H$5:$H$13,MATCH($A119,'Scratch Data'!$G$5:$G$13,1)))/MAX(INDEX('Scratch Data'!$G$5:$G$13,MIN(MATCH($A119,'Scratch Data'!$G$5:$G$13,1)+1,ROWS('Scratch Data'!$G$5:$G$13)))-INDEX('Scratch Data'!$G$5:$G$13,MATCH($A119,'Scratch Data'!$G$5:$G$13,1)),0.0001))*INDEX(Baseline!$I$3:$I$102,MIN(MAX(ROUND(Inputs!$B$11*(INDEX('Scratch Data'!$I$5:$I$13,MATCH($A119,'Scratch Data'!$G$5:$G$13,1))+($A119-INDEX('Scratch Data'!$G$5:$G$13,MATCH($A119,'Scratch Data'!$G$5:$G$13,1)))*(INDEX('Scratch Data'!$I$5:$I$13,MIN(MATCH($A119,'Scratch Data'!$G$5:$G$13,1)+1,ROWS('Scratch Data'!$G$5:$G$13)))-INDEX('Scratch Data'!$I$5:$I$13,MATCH($A119,'Scratch Data'!$G$5:$G$13,1)))/MAX(INDEX('Scratch Data'!$G$5:$G$13,MIN(MATCH($A119,'Scratch Data'!$G$5:$G$13,1)+1,ROWS('Scratch Data'!$G$5:$G$13)))-INDEX('Scratch Data'!$G$5:$G$13,MATCH($A119,'Scratch Data'!$G$5:$G$13,1)),0.0001)),0),1),100))+(1-(INDEX('Scratch Data'!$H$5:$H$13,MATCH($A119,'Scratch Data'!$G$5:$G$13,1))+($A119-INDEX('Scratch Data'!$G$5:$G$13,MATCH($A119,'Scratch Data'!$G$5:$G$13,1)))*(INDEX('Scratch Data'!$H$5:$H$13,MIN(MATCH($A119,'Scratch Data'!$G$5:$G$13,1)+1,ROWS('Scratch Data'!$G$5:$G$13)))-INDEX('Scratch Data'!$H$5:$H$13,MATCH($A119,'Scratch Data'!$G$5:$G$13,1)))/MAX(INDEX('Scratch Data'!$G$5:$G$13,MIN(MATCH($A119,'Scratch Data'!$G$5:$G$13,1)+1,ROWS('Scratch Data'!$G$5:$G$13)))-INDEX('Scratch Data'!$G$5:$G$13,MATCH($A119,'Scratch Data'!$G$5:$G$13,1)),0.0001)))*(INDEX('Scratch Data'!$J$5:$J$13,MATCH($A119,'Scratch Data'!$G$5:$G$13,1))+($A119-INDEX('Scratch Data'!$G$5:$G$13,MATCH($A119,'Scratch Data'!$G$5:$G$13,1)))*(INDEX('Scratch Data'!$J$5:$J$13,MIN(MATCH($A119,'Scratch Data'!$G$5:$G$13,1)+1,ROWS('Scratch Data'!$G$5:$G$13)))-INDEX('Scratch Data'!$J$5:$J$13,MATCH($A119,'Scratch Data'!$G$5:$G$13,1)))/MAX(INDEX('Scratch Data'!$G$5:$G$13,MIN(MATCH($A119,'Scratch Data'!$G$5:$G$13,1)+1,ROWS('Scratch Data'!$G$5:$G$13)))-INDEX('Scratch Data'!$G$5:$G$13,MATCH($A119,'Scratch Data'!$G$5:$G$13,1)),0.0001))),(1+Inputs!$B$19*INDEX(Baseline!$B$3:$B$122,MATCH(MIN(MAX(ROUND((MAX($A119-Inputs!$B$20,30))/5,0)*5,5),600),Baseline!$A$3:$A$122,0))+(1-Inputs!$B$19)*INDEX(Baseline!$C$3:$C$122,MATCH(MIN(MAX(ROUND((MAX($A119-Inputs!$B$20,30))/5,0)*5,5),600),Baseline!$A$3:$A$122,0)))),(1+Inputs!$B$19*INDEX(Baseline!$B$3:$B$122,MATCH(MIN(MAX(ROUND((MAX($A119-Inputs!$B$20,30))/5,0)*5,5),600),Baseline!$A$3:$A$122,0))+(1-Inputs!$B$19)*INDEX(Baseline!$C$3:$C$122,MATCH(MIN(MAX(ROUND((MAX($A119-Inputs!$B$20,30))/5,0)*5,5),600),Baseline!$A$3:$A$122,0)))))</f>
        <v>5.32923058</v>
      </c>
      <c r="C119" s="10" t="n">
        <f aca="false">IF($A119&lt;=50,$B119+Inputs!$B$18,IF($A119&lt;=250,MIN((1+(INDEX('Scratch Data'!$H$5:$H$13,MATCH($A119,'Scratch Data'!$G$5:$G$13,1))+($A119-INDEX('Scratch Data'!$G$5:$G$13,MATCH($A119,'Scratch Data'!$G$5:$G$13,1)))*(INDEX('Scratch Data'!$H$5:$H$13,MIN(MATCH($A119,'Scratch Data'!$G$5:$G$13,1)+1,ROWS('Scratch Data'!$G$5:$G$13)))-INDEX('Scratch Data'!$H$5:$H$13,MATCH($A119,'Scratch Data'!$G$5:$G$13,1)))/MAX(INDEX('Scratch Data'!$G$5:$G$13,MIN(MATCH($A119,'Scratch Data'!$G$5:$G$13,1)+1,ROWS('Scratch Data'!$G$5:$G$13)))-INDEX('Scratch Data'!$G$5:$G$13,MATCH($A119,'Scratch Data'!$G$5:$G$13,1)),0.0001))*Inputs!$B$12*INDEX(Baseline!$I$3:$I$102,MIN(MAX(ROUND(Inputs!$B$11*(INDEX('Scratch Data'!$I$5:$I$13,MATCH($A119,'Scratch Data'!$G$5:$G$13,1))+($A119-INDEX('Scratch Data'!$G$5:$G$13,MATCH($A119,'Scratch Data'!$G$5:$G$13,1)))*(INDEX('Scratch Data'!$I$5:$I$13,MIN(MATCH($A119,'Scratch Data'!$G$5:$G$13,1)+1,ROWS('Scratch Data'!$G$5:$G$13)))-INDEX('Scratch Data'!$I$5:$I$13,MATCH($A119,'Scratch Data'!$G$5:$G$13,1)))/MAX(INDEX('Scratch Data'!$G$5:$G$13,MIN(MATCH($A119,'Scratch Data'!$G$5:$G$13,1)+1,ROWS('Scratch Data'!$G$5:$G$13)))-INDEX('Scratch Data'!$G$5:$G$13,MATCH($A119,'Scratch Data'!$G$5:$G$13,1)),0.0001))*Inputs!$B$13,0),1),100))+(1-(INDEX('Scratch Data'!$H$5:$H$13,MATCH($A119,'Scratch Data'!$G$5:$G$13,1))+($A119-INDEX('Scratch Data'!$G$5:$G$13,MATCH($A119,'Scratch Data'!$G$5:$G$13,1)))*(INDEX('Scratch Data'!$H$5:$H$13,MIN(MATCH($A119,'Scratch Data'!$G$5:$G$13,1)+1,ROWS('Scratch Data'!$G$5:$G$13)))-INDEX('Scratch Data'!$H$5:$H$13,MATCH($A119,'Scratch Data'!$G$5:$G$13,1)))/MAX(INDEX('Scratch Data'!$G$5:$G$13,MIN(MATCH($A119,'Scratch Data'!$G$5:$G$13,1)+1,ROWS('Scratch Data'!$G$5:$G$13)))-INDEX('Scratch Data'!$G$5:$G$13,MATCH($A119,'Scratch Data'!$G$5:$G$13,1)),0.0001))*Inputs!$B$12)*((INDEX('Scratch Data'!$J$5:$J$13,MATCH($A119,'Scratch Data'!$G$5:$G$13,1))+($A119-INDEX('Scratch Data'!$G$5:$G$13,MATCH($A119,'Scratch Data'!$G$5:$G$13,1)))*(INDEX('Scratch Data'!$J$5:$J$13,MIN(MATCH($A119,'Scratch Data'!$G$5:$G$13,1)+1,ROWS('Scratch Data'!$G$5:$G$13)))-INDEX('Scratch Data'!$J$5:$J$13,MATCH($A119,'Scratch Data'!$G$5:$G$13,1)))/MAX(INDEX('Scratch Data'!$G$5:$G$13,MIN(MATCH($A119,'Scratch Data'!$G$5:$G$13,1)+1,ROWS('Scratch Data'!$G$5:$G$13)))-INDEX('Scratch Data'!$G$5:$G$13,MATCH($A119,'Scratch Data'!$G$5:$G$13,1)),0.0001))+Inputs!$B$14)),(1+Inputs!$B$19*INDEX(Baseline!$B$3:$B$122,MATCH(MIN(MAX(ROUND((MAX($A119-Inputs!$B$21,30))/5,0)*5,5),600),Baseline!$A$3:$A$122,0))+(1-Inputs!$B$19)*INDEX(Baseline!$C$3:$C$122,MATCH(MIN(MAX(ROUND((MAX($A119-Inputs!$B$21,30))/5,0)*5,5),600),Baseline!$A$3:$A$122,0))+Inputs!$B$14)),(1+Inputs!$B$19*INDEX(Baseline!$B$3:$B$122,MATCH(MIN(MAX(ROUND((MAX($A119-Inputs!$B$21,30))/5,0)*5,5),600),Baseline!$A$3:$A$122,0))+(1-Inputs!$B$19)*INDEX(Baseline!$C$3:$C$122,MATCH(MIN(MAX(ROUND((MAX($A119-Inputs!$B$21,30))/5,0)*5,5),600),Baseline!$A$3:$A$122,0))+Inputs!$B$14)))</f>
        <v>5.5641230728</v>
      </c>
      <c r="D119" s="10" t="n">
        <f aca="false">IF($A119&lt;=50,(INDEX('Scratch Data'!$P$5:$P$11,MATCH($A119,'Scratch Data'!$O$5:$O$11,1))+($A119-INDEX('Scratch Data'!$O$5:$O$11,MATCH($A119,'Scratch Data'!$O$5:$O$11,1)))*(INDEX('Scratch Data'!$P$5:$P$11,MIN(MATCH($A119,'Scratch Data'!$O$5:$O$11,1)+1,ROWS('Scratch Data'!$O$5:$O$11)))-INDEX('Scratch Data'!$P$5:$P$11,MATCH($A119,'Scratch Data'!$O$5:$O$11,1)))/MAX(INDEX('Scratch Data'!$O$5:$O$11,MIN(MATCH($A119,'Scratch Data'!$O$5:$O$11,1)+1,ROWS('Scratch Data'!$O$5:$O$11)))-INDEX('Scratch Data'!$O$5:$O$11,MATCH($A119,'Scratch Data'!$O$5:$O$11,1)),0.0001)),IF($A119&lt;=250,MIN((1+(INDEX('Scratch Data'!$H$5:$H$13,MATCH($A119,'Scratch Data'!$G$5:$G$13,1))+($A119-INDEX('Scratch Data'!$G$5:$G$13,MATCH($A119,'Scratch Data'!$G$5:$G$13,1)))*(INDEX('Scratch Data'!$H$5:$H$13,MIN(MATCH($A119,'Scratch Data'!$G$5:$G$13,1)+1,ROWS('Scratch Data'!$G$5:$G$13)))-INDEX('Scratch Data'!$H$5:$H$13,MATCH($A119,'Scratch Data'!$G$5:$G$13,1)))/MAX(INDEX('Scratch Data'!$G$5:$G$13,MIN(MATCH($A119,'Scratch Data'!$G$5:$G$13,1)+1,ROWS('Scratch Data'!$G$5:$G$13)))-INDEX('Scratch Data'!$G$5:$G$13,MATCH($A119,'Scratch Data'!$G$5:$G$13,1)),0.0001))*Inputs!$B$15*INDEX(Baseline!$I$3:$I$102,MIN(MAX(ROUND(Inputs!$B$11*(INDEX('Scratch Data'!$I$5:$I$13,MATCH($A119,'Scratch Data'!$G$5:$G$13,1))+($A119-INDEX('Scratch Data'!$G$5:$G$13,MATCH($A119,'Scratch Data'!$G$5:$G$13,1)))*(INDEX('Scratch Data'!$I$5:$I$13,MIN(MATCH($A119,'Scratch Data'!$G$5:$G$13,1)+1,ROWS('Scratch Data'!$G$5:$G$13)))-INDEX('Scratch Data'!$I$5:$I$13,MATCH($A119,'Scratch Data'!$G$5:$G$13,1)))/MAX(INDEX('Scratch Data'!$G$5:$G$13,MIN(MATCH($A119,'Scratch Data'!$G$5:$G$13,1)+1,ROWS('Scratch Data'!$G$5:$G$13)))-INDEX('Scratch Data'!$G$5:$G$13,MATCH($A119,'Scratch Data'!$G$5:$G$13,1)),0.0001))*Inputs!$B$16,0),1),100))+(1-(INDEX('Scratch Data'!$H$5:$H$13,MATCH($A119,'Scratch Data'!$G$5:$G$13,1))+($A119-INDEX('Scratch Data'!$G$5:$G$13,MATCH($A119,'Scratch Data'!$G$5:$G$13,1)))*(INDEX('Scratch Data'!$H$5:$H$13,MIN(MATCH($A119,'Scratch Data'!$G$5:$G$13,1)+1,ROWS('Scratch Data'!$G$5:$G$13)))-INDEX('Scratch Data'!$H$5:$H$13,MATCH($A119,'Scratch Data'!$G$5:$G$13,1)))/MAX(INDEX('Scratch Data'!$G$5:$G$13,MIN(MATCH($A119,'Scratch Data'!$G$5:$G$13,1)+1,ROWS('Scratch Data'!$G$5:$G$13)))-INDEX('Scratch Data'!$G$5:$G$13,MATCH($A119,'Scratch Data'!$G$5:$G$13,1)),0.0001))*Inputs!$B$15)*((INDEX('Scratch Data'!$J$5:$J$13,MATCH($A119,'Scratch Data'!$G$5:$G$13,1))+($A119-INDEX('Scratch Data'!$G$5:$G$13,MATCH($A119,'Scratch Data'!$G$5:$G$13,1)))*(INDEX('Scratch Data'!$J$5:$J$13,MIN(MATCH($A119,'Scratch Data'!$G$5:$G$13,1)+1,ROWS('Scratch Data'!$G$5:$G$13)))-INDEX('Scratch Data'!$J$5:$J$13,MATCH($A119,'Scratch Data'!$G$5:$G$13,1)))/MAX(INDEX('Scratch Data'!$G$5:$G$13,MIN(MATCH($A119,'Scratch Data'!$G$5:$G$13,1)+1,ROWS('Scratch Data'!$G$5:$G$13)))-INDEX('Scratch Data'!$G$5:$G$13,MATCH($A119,'Scratch Data'!$G$5:$G$13,1)),0.0001))+Inputs!$B$17)),(1+Inputs!$B$19*INDEX(Baseline!$B$3:$B$122,MATCH(MIN(MAX(ROUND((MAX($A119-Inputs!$B$22,30))/5,0)*5,5),600),Baseline!$A$3:$A$122,0))+(1-Inputs!$B$19)*INDEX(Baseline!$C$3:$C$122,MATCH(MIN(MAX(ROUND((MAX($A119-Inputs!$B$22,30))/5,0)*5,5),600),Baseline!$A$3:$A$122,0))+Inputs!$B$17)),(1+Inputs!$B$19*INDEX(Baseline!$B$3:$B$122,MATCH(MIN(MAX(ROUND((MAX($A119-Inputs!$B$22,30))/5,0)*5,5),600),Baseline!$A$3:$A$122,0))+(1-Inputs!$B$19)*INDEX(Baseline!$C$3:$C$122,MATCH(MIN(MAX(ROUND((MAX($A119-Inputs!$B$22,30))/5,0)*5,5),600),Baseline!$A$3:$A$122,0))+Inputs!$B$17)))</f>
        <v>5.7628080008</v>
      </c>
      <c r="E119" s="10" t="n">
        <f aca="false">1+Inputs!$B$24+0.6*INDEX(Baseline!$B$3:$B$122,MATCH(MIN(MAX(ROUND((MAX($A119-Inputs!$B$23,15))/5,0)*5,5),600),Baseline!$A$3:$A$122,0))+0.4*INDEX(Baseline!$C$3:$C$122,MATCH(MIN(MAX(ROUND((MAX($A119-Inputs!$B$23,15))/5,0)*5,5),600),Baseline!$A$3:$A$122,0))</f>
        <v>6.08748129632</v>
      </c>
    </row>
    <row r="120" customFormat="false" ht="15" hidden="false" customHeight="false" outlineLevel="0" collapsed="false">
      <c r="A120" s="7" t="n">
        <v>590</v>
      </c>
      <c r="B120" s="10" t="n">
        <f aca="false">IF($A120&lt;=50,(INDEX('Scratch Data'!$M$5:$M$12,MATCH($A120,'Scratch Data'!$L$5:$L$12,1))+($A120-INDEX('Scratch Data'!$L$5:$L$12,MATCH($A120,'Scratch Data'!$L$5:$L$12,1)))*(INDEX('Scratch Data'!$M$5:$M$12,MIN(MATCH($A120,'Scratch Data'!$L$5:$L$12,1)+1,ROWS('Scratch Data'!$L$5:$L$12)))-INDEX('Scratch Data'!$M$5:$M$12,MATCH($A120,'Scratch Data'!$L$5:$L$12,1)))/MAX(INDEX('Scratch Data'!$L$5:$L$12,MIN(MATCH($A120,'Scratch Data'!$L$5:$L$12,1)+1,ROWS('Scratch Data'!$L$5:$L$12)))-INDEX('Scratch Data'!$L$5:$L$12,MATCH($A120,'Scratch Data'!$L$5:$L$12,1)),0.0001)),IF($A120&lt;=250,MIN((1+(INDEX('Scratch Data'!$H$5:$H$13,MATCH($A120,'Scratch Data'!$G$5:$G$13,1))+($A120-INDEX('Scratch Data'!$G$5:$G$13,MATCH($A120,'Scratch Data'!$G$5:$G$13,1)))*(INDEX('Scratch Data'!$H$5:$H$13,MIN(MATCH($A120,'Scratch Data'!$G$5:$G$13,1)+1,ROWS('Scratch Data'!$G$5:$G$13)))-INDEX('Scratch Data'!$H$5:$H$13,MATCH($A120,'Scratch Data'!$G$5:$G$13,1)))/MAX(INDEX('Scratch Data'!$G$5:$G$13,MIN(MATCH($A120,'Scratch Data'!$G$5:$G$13,1)+1,ROWS('Scratch Data'!$G$5:$G$13)))-INDEX('Scratch Data'!$G$5:$G$13,MATCH($A120,'Scratch Data'!$G$5:$G$13,1)),0.0001))*INDEX(Baseline!$I$3:$I$102,MIN(MAX(ROUND(Inputs!$B$11*(INDEX('Scratch Data'!$I$5:$I$13,MATCH($A120,'Scratch Data'!$G$5:$G$13,1))+($A120-INDEX('Scratch Data'!$G$5:$G$13,MATCH($A120,'Scratch Data'!$G$5:$G$13,1)))*(INDEX('Scratch Data'!$I$5:$I$13,MIN(MATCH($A120,'Scratch Data'!$G$5:$G$13,1)+1,ROWS('Scratch Data'!$G$5:$G$13)))-INDEX('Scratch Data'!$I$5:$I$13,MATCH($A120,'Scratch Data'!$G$5:$G$13,1)))/MAX(INDEX('Scratch Data'!$G$5:$G$13,MIN(MATCH($A120,'Scratch Data'!$G$5:$G$13,1)+1,ROWS('Scratch Data'!$G$5:$G$13)))-INDEX('Scratch Data'!$G$5:$G$13,MATCH($A120,'Scratch Data'!$G$5:$G$13,1)),0.0001)),0),1),100))+(1-(INDEX('Scratch Data'!$H$5:$H$13,MATCH($A120,'Scratch Data'!$G$5:$G$13,1))+($A120-INDEX('Scratch Data'!$G$5:$G$13,MATCH($A120,'Scratch Data'!$G$5:$G$13,1)))*(INDEX('Scratch Data'!$H$5:$H$13,MIN(MATCH($A120,'Scratch Data'!$G$5:$G$13,1)+1,ROWS('Scratch Data'!$G$5:$G$13)))-INDEX('Scratch Data'!$H$5:$H$13,MATCH($A120,'Scratch Data'!$G$5:$G$13,1)))/MAX(INDEX('Scratch Data'!$G$5:$G$13,MIN(MATCH($A120,'Scratch Data'!$G$5:$G$13,1)+1,ROWS('Scratch Data'!$G$5:$G$13)))-INDEX('Scratch Data'!$G$5:$G$13,MATCH($A120,'Scratch Data'!$G$5:$G$13,1)),0.0001)))*(INDEX('Scratch Data'!$J$5:$J$13,MATCH($A120,'Scratch Data'!$G$5:$G$13,1))+($A120-INDEX('Scratch Data'!$G$5:$G$13,MATCH($A120,'Scratch Data'!$G$5:$G$13,1)))*(INDEX('Scratch Data'!$J$5:$J$13,MIN(MATCH($A120,'Scratch Data'!$G$5:$G$13,1)+1,ROWS('Scratch Data'!$G$5:$G$13)))-INDEX('Scratch Data'!$J$5:$J$13,MATCH($A120,'Scratch Data'!$G$5:$G$13,1)))/MAX(INDEX('Scratch Data'!$G$5:$G$13,MIN(MATCH($A120,'Scratch Data'!$G$5:$G$13,1)+1,ROWS('Scratch Data'!$G$5:$G$13)))-INDEX('Scratch Data'!$G$5:$G$13,MATCH($A120,'Scratch Data'!$G$5:$G$13,1)),0.0001))),(1+Inputs!$B$19*INDEX(Baseline!$B$3:$B$122,MATCH(MIN(MAX(ROUND((MAX($A120-Inputs!$B$20,30))/5,0)*5,5),600),Baseline!$A$3:$A$122,0))+(1-Inputs!$B$19)*INDEX(Baseline!$C$3:$C$122,MATCH(MIN(MAX(ROUND((MAX($A120-Inputs!$B$20,30))/5,0)*5,5),600),Baseline!$A$3:$A$122,0)))),(1+Inputs!$B$19*INDEX(Baseline!$B$3:$B$122,MATCH(MIN(MAX(ROUND((MAX($A120-Inputs!$B$20,30))/5,0)*5,5),600),Baseline!$A$3:$A$122,0))+(1-Inputs!$B$19)*INDEX(Baseline!$C$3:$C$122,MATCH(MIN(MAX(ROUND((MAX($A120-Inputs!$B$20,30))/5,0)*5,5),600),Baseline!$A$3:$A$122,0)))))</f>
        <v>5.3519642264</v>
      </c>
      <c r="C120" s="10" t="n">
        <f aca="false">IF($A120&lt;=50,$B120+Inputs!$B$18,IF($A120&lt;=250,MIN((1+(INDEX('Scratch Data'!$H$5:$H$13,MATCH($A120,'Scratch Data'!$G$5:$G$13,1))+($A120-INDEX('Scratch Data'!$G$5:$G$13,MATCH($A120,'Scratch Data'!$G$5:$G$13,1)))*(INDEX('Scratch Data'!$H$5:$H$13,MIN(MATCH($A120,'Scratch Data'!$G$5:$G$13,1)+1,ROWS('Scratch Data'!$G$5:$G$13)))-INDEX('Scratch Data'!$H$5:$H$13,MATCH($A120,'Scratch Data'!$G$5:$G$13,1)))/MAX(INDEX('Scratch Data'!$G$5:$G$13,MIN(MATCH($A120,'Scratch Data'!$G$5:$G$13,1)+1,ROWS('Scratch Data'!$G$5:$G$13)))-INDEX('Scratch Data'!$G$5:$G$13,MATCH($A120,'Scratch Data'!$G$5:$G$13,1)),0.0001))*Inputs!$B$12*INDEX(Baseline!$I$3:$I$102,MIN(MAX(ROUND(Inputs!$B$11*(INDEX('Scratch Data'!$I$5:$I$13,MATCH($A120,'Scratch Data'!$G$5:$G$13,1))+($A120-INDEX('Scratch Data'!$G$5:$G$13,MATCH($A120,'Scratch Data'!$G$5:$G$13,1)))*(INDEX('Scratch Data'!$I$5:$I$13,MIN(MATCH($A120,'Scratch Data'!$G$5:$G$13,1)+1,ROWS('Scratch Data'!$G$5:$G$13)))-INDEX('Scratch Data'!$I$5:$I$13,MATCH($A120,'Scratch Data'!$G$5:$G$13,1)))/MAX(INDEX('Scratch Data'!$G$5:$G$13,MIN(MATCH($A120,'Scratch Data'!$G$5:$G$13,1)+1,ROWS('Scratch Data'!$G$5:$G$13)))-INDEX('Scratch Data'!$G$5:$G$13,MATCH($A120,'Scratch Data'!$G$5:$G$13,1)),0.0001))*Inputs!$B$13,0),1),100))+(1-(INDEX('Scratch Data'!$H$5:$H$13,MATCH($A120,'Scratch Data'!$G$5:$G$13,1))+($A120-INDEX('Scratch Data'!$G$5:$G$13,MATCH($A120,'Scratch Data'!$G$5:$G$13,1)))*(INDEX('Scratch Data'!$H$5:$H$13,MIN(MATCH($A120,'Scratch Data'!$G$5:$G$13,1)+1,ROWS('Scratch Data'!$G$5:$G$13)))-INDEX('Scratch Data'!$H$5:$H$13,MATCH($A120,'Scratch Data'!$G$5:$G$13,1)))/MAX(INDEX('Scratch Data'!$G$5:$G$13,MIN(MATCH($A120,'Scratch Data'!$G$5:$G$13,1)+1,ROWS('Scratch Data'!$G$5:$G$13)))-INDEX('Scratch Data'!$G$5:$G$13,MATCH($A120,'Scratch Data'!$G$5:$G$13,1)),0.0001))*Inputs!$B$12)*((INDEX('Scratch Data'!$J$5:$J$13,MATCH($A120,'Scratch Data'!$G$5:$G$13,1))+($A120-INDEX('Scratch Data'!$G$5:$G$13,MATCH($A120,'Scratch Data'!$G$5:$G$13,1)))*(INDEX('Scratch Data'!$J$5:$J$13,MIN(MATCH($A120,'Scratch Data'!$G$5:$G$13,1)+1,ROWS('Scratch Data'!$G$5:$G$13)))-INDEX('Scratch Data'!$J$5:$J$13,MATCH($A120,'Scratch Data'!$G$5:$G$13,1)))/MAX(INDEX('Scratch Data'!$G$5:$G$13,MIN(MATCH($A120,'Scratch Data'!$G$5:$G$13,1)+1,ROWS('Scratch Data'!$G$5:$G$13)))-INDEX('Scratch Data'!$G$5:$G$13,MATCH($A120,'Scratch Data'!$G$5:$G$13,1)),0.0001))+Inputs!$B$14)),(1+Inputs!$B$19*INDEX(Baseline!$B$3:$B$122,MATCH(MIN(MAX(ROUND((MAX($A120-Inputs!$B$21,30))/5,0)*5,5),600),Baseline!$A$3:$A$122,0))+(1-Inputs!$B$19)*INDEX(Baseline!$C$3:$C$122,MATCH(MIN(MAX(ROUND((MAX($A120-Inputs!$B$21,30))/5,0)*5,5),600),Baseline!$A$3:$A$122,0))+Inputs!$B$14)),(1+Inputs!$B$19*INDEX(Baseline!$B$3:$B$122,MATCH(MIN(MAX(ROUND((MAX($A120-Inputs!$B$21,30))/5,0)*5,5),600),Baseline!$A$3:$A$122,0))+(1-Inputs!$B$19)*INDEX(Baseline!$C$3:$C$122,MATCH(MIN(MAX(ROUND((MAX($A120-Inputs!$B$21,30))/5,0)*5,5),600),Baseline!$A$3:$A$122,0))+Inputs!$B$14)))</f>
        <v>5.5887049744</v>
      </c>
      <c r="D120" s="10" t="n">
        <f aca="false">IF($A120&lt;=50,(INDEX('Scratch Data'!$P$5:$P$11,MATCH($A120,'Scratch Data'!$O$5:$O$11,1))+($A120-INDEX('Scratch Data'!$O$5:$O$11,MATCH($A120,'Scratch Data'!$O$5:$O$11,1)))*(INDEX('Scratch Data'!$P$5:$P$11,MIN(MATCH($A120,'Scratch Data'!$O$5:$O$11,1)+1,ROWS('Scratch Data'!$O$5:$O$11)))-INDEX('Scratch Data'!$P$5:$P$11,MATCH($A120,'Scratch Data'!$O$5:$O$11,1)))/MAX(INDEX('Scratch Data'!$O$5:$O$11,MIN(MATCH($A120,'Scratch Data'!$O$5:$O$11,1)+1,ROWS('Scratch Data'!$O$5:$O$11)))-INDEX('Scratch Data'!$O$5:$O$11,MATCH($A120,'Scratch Data'!$O$5:$O$11,1)),0.0001)),IF($A120&lt;=250,MIN((1+(INDEX('Scratch Data'!$H$5:$H$13,MATCH($A120,'Scratch Data'!$G$5:$G$13,1))+($A120-INDEX('Scratch Data'!$G$5:$G$13,MATCH($A120,'Scratch Data'!$G$5:$G$13,1)))*(INDEX('Scratch Data'!$H$5:$H$13,MIN(MATCH($A120,'Scratch Data'!$G$5:$G$13,1)+1,ROWS('Scratch Data'!$G$5:$G$13)))-INDEX('Scratch Data'!$H$5:$H$13,MATCH($A120,'Scratch Data'!$G$5:$G$13,1)))/MAX(INDEX('Scratch Data'!$G$5:$G$13,MIN(MATCH($A120,'Scratch Data'!$G$5:$G$13,1)+1,ROWS('Scratch Data'!$G$5:$G$13)))-INDEX('Scratch Data'!$G$5:$G$13,MATCH($A120,'Scratch Data'!$G$5:$G$13,1)),0.0001))*Inputs!$B$15*INDEX(Baseline!$I$3:$I$102,MIN(MAX(ROUND(Inputs!$B$11*(INDEX('Scratch Data'!$I$5:$I$13,MATCH($A120,'Scratch Data'!$G$5:$G$13,1))+($A120-INDEX('Scratch Data'!$G$5:$G$13,MATCH($A120,'Scratch Data'!$G$5:$G$13,1)))*(INDEX('Scratch Data'!$I$5:$I$13,MIN(MATCH($A120,'Scratch Data'!$G$5:$G$13,1)+1,ROWS('Scratch Data'!$G$5:$G$13)))-INDEX('Scratch Data'!$I$5:$I$13,MATCH($A120,'Scratch Data'!$G$5:$G$13,1)))/MAX(INDEX('Scratch Data'!$G$5:$G$13,MIN(MATCH($A120,'Scratch Data'!$G$5:$G$13,1)+1,ROWS('Scratch Data'!$G$5:$G$13)))-INDEX('Scratch Data'!$G$5:$G$13,MATCH($A120,'Scratch Data'!$G$5:$G$13,1)),0.0001))*Inputs!$B$16,0),1),100))+(1-(INDEX('Scratch Data'!$H$5:$H$13,MATCH($A120,'Scratch Data'!$G$5:$G$13,1))+($A120-INDEX('Scratch Data'!$G$5:$G$13,MATCH($A120,'Scratch Data'!$G$5:$G$13,1)))*(INDEX('Scratch Data'!$H$5:$H$13,MIN(MATCH($A120,'Scratch Data'!$G$5:$G$13,1)+1,ROWS('Scratch Data'!$G$5:$G$13)))-INDEX('Scratch Data'!$H$5:$H$13,MATCH($A120,'Scratch Data'!$G$5:$G$13,1)))/MAX(INDEX('Scratch Data'!$G$5:$G$13,MIN(MATCH($A120,'Scratch Data'!$G$5:$G$13,1)+1,ROWS('Scratch Data'!$G$5:$G$13)))-INDEX('Scratch Data'!$G$5:$G$13,MATCH($A120,'Scratch Data'!$G$5:$G$13,1)),0.0001))*Inputs!$B$15)*((INDEX('Scratch Data'!$J$5:$J$13,MATCH($A120,'Scratch Data'!$G$5:$G$13,1))+($A120-INDEX('Scratch Data'!$G$5:$G$13,MATCH($A120,'Scratch Data'!$G$5:$G$13,1)))*(INDEX('Scratch Data'!$J$5:$J$13,MIN(MATCH($A120,'Scratch Data'!$G$5:$G$13,1)+1,ROWS('Scratch Data'!$G$5:$G$13)))-INDEX('Scratch Data'!$J$5:$J$13,MATCH($A120,'Scratch Data'!$G$5:$G$13,1)))/MAX(INDEX('Scratch Data'!$G$5:$G$13,MIN(MATCH($A120,'Scratch Data'!$G$5:$G$13,1)+1,ROWS('Scratch Data'!$G$5:$G$13)))-INDEX('Scratch Data'!$G$5:$G$13,MATCH($A120,'Scratch Data'!$G$5:$G$13,1)),0.0001))+Inputs!$B$17)),(1+Inputs!$B$19*INDEX(Baseline!$B$3:$B$122,MATCH(MIN(MAX(ROUND((MAX($A120-Inputs!$B$22,30))/5,0)*5,5),600),Baseline!$A$3:$A$122,0))+(1-Inputs!$B$19)*INDEX(Baseline!$C$3:$C$122,MATCH(MIN(MAX(ROUND((MAX($A120-Inputs!$B$22,30))/5,0)*5,5),600),Baseline!$A$3:$A$122,0))+Inputs!$B$17)),(1+Inputs!$B$19*INDEX(Baseline!$B$3:$B$122,MATCH(MIN(MAX(ROUND((MAX($A120-Inputs!$B$22,30))/5,0)*5,5),600),Baseline!$A$3:$A$122,0))+(1-Inputs!$B$19)*INDEX(Baseline!$C$3:$C$122,MATCH(MIN(MAX(ROUND((MAX($A120-Inputs!$B$22,30))/5,0)*5,5),600),Baseline!$A$3:$A$122,0))+Inputs!$B$17)))</f>
        <v>5.78588184</v>
      </c>
      <c r="E120" s="10" t="n">
        <f aca="false">1+Inputs!$B$24+0.6*INDEX(Baseline!$B$3:$B$122,MATCH(MIN(MAX(ROUND((MAX($A120-Inputs!$B$23,15))/5,0)*5,5),600),Baseline!$A$3:$A$122,0))+0.4*INDEX(Baseline!$C$3:$C$122,MATCH(MIN(MAX(ROUND((MAX($A120-Inputs!$B$23,15))/5,0)*5,5),600),Baseline!$A$3:$A$122,0))</f>
        <v>6.12252355328</v>
      </c>
    </row>
    <row r="121" customFormat="false" ht="15" hidden="false" customHeight="false" outlineLevel="0" collapsed="false">
      <c r="A121" s="7" t="n">
        <v>595</v>
      </c>
      <c r="B121" s="10" t="n">
        <f aca="false">IF($A121&lt;=50,(INDEX('Scratch Data'!$M$5:$M$12,MATCH($A121,'Scratch Data'!$L$5:$L$12,1))+($A121-INDEX('Scratch Data'!$L$5:$L$12,MATCH($A121,'Scratch Data'!$L$5:$L$12,1)))*(INDEX('Scratch Data'!$M$5:$M$12,MIN(MATCH($A121,'Scratch Data'!$L$5:$L$12,1)+1,ROWS('Scratch Data'!$L$5:$L$12)))-INDEX('Scratch Data'!$M$5:$M$12,MATCH($A121,'Scratch Data'!$L$5:$L$12,1)))/MAX(INDEX('Scratch Data'!$L$5:$L$12,MIN(MATCH($A121,'Scratch Data'!$L$5:$L$12,1)+1,ROWS('Scratch Data'!$L$5:$L$12)))-INDEX('Scratch Data'!$L$5:$L$12,MATCH($A121,'Scratch Data'!$L$5:$L$12,1)),0.0001)),IF($A121&lt;=250,MIN((1+(INDEX('Scratch Data'!$H$5:$H$13,MATCH($A121,'Scratch Data'!$G$5:$G$13,1))+($A121-INDEX('Scratch Data'!$G$5:$G$13,MATCH($A121,'Scratch Data'!$G$5:$G$13,1)))*(INDEX('Scratch Data'!$H$5:$H$13,MIN(MATCH($A121,'Scratch Data'!$G$5:$G$13,1)+1,ROWS('Scratch Data'!$G$5:$G$13)))-INDEX('Scratch Data'!$H$5:$H$13,MATCH($A121,'Scratch Data'!$G$5:$G$13,1)))/MAX(INDEX('Scratch Data'!$G$5:$G$13,MIN(MATCH($A121,'Scratch Data'!$G$5:$G$13,1)+1,ROWS('Scratch Data'!$G$5:$G$13)))-INDEX('Scratch Data'!$G$5:$G$13,MATCH($A121,'Scratch Data'!$G$5:$G$13,1)),0.0001))*INDEX(Baseline!$I$3:$I$102,MIN(MAX(ROUND(Inputs!$B$11*(INDEX('Scratch Data'!$I$5:$I$13,MATCH($A121,'Scratch Data'!$G$5:$G$13,1))+($A121-INDEX('Scratch Data'!$G$5:$G$13,MATCH($A121,'Scratch Data'!$G$5:$G$13,1)))*(INDEX('Scratch Data'!$I$5:$I$13,MIN(MATCH($A121,'Scratch Data'!$G$5:$G$13,1)+1,ROWS('Scratch Data'!$G$5:$G$13)))-INDEX('Scratch Data'!$I$5:$I$13,MATCH($A121,'Scratch Data'!$G$5:$G$13,1)))/MAX(INDEX('Scratch Data'!$G$5:$G$13,MIN(MATCH($A121,'Scratch Data'!$G$5:$G$13,1)+1,ROWS('Scratch Data'!$G$5:$G$13)))-INDEX('Scratch Data'!$G$5:$G$13,MATCH($A121,'Scratch Data'!$G$5:$G$13,1)),0.0001)),0),1),100))+(1-(INDEX('Scratch Data'!$H$5:$H$13,MATCH($A121,'Scratch Data'!$G$5:$G$13,1))+($A121-INDEX('Scratch Data'!$G$5:$G$13,MATCH($A121,'Scratch Data'!$G$5:$G$13,1)))*(INDEX('Scratch Data'!$H$5:$H$13,MIN(MATCH($A121,'Scratch Data'!$G$5:$G$13,1)+1,ROWS('Scratch Data'!$G$5:$G$13)))-INDEX('Scratch Data'!$H$5:$H$13,MATCH($A121,'Scratch Data'!$G$5:$G$13,1)))/MAX(INDEX('Scratch Data'!$G$5:$G$13,MIN(MATCH($A121,'Scratch Data'!$G$5:$G$13,1)+1,ROWS('Scratch Data'!$G$5:$G$13)))-INDEX('Scratch Data'!$G$5:$G$13,MATCH($A121,'Scratch Data'!$G$5:$G$13,1)),0.0001)))*(INDEX('Scratch Data'!$J$5:$J$13,MATCH($A121,'Scratch Data'!$G$5:$G$13,1))+($A121-INDEX('Scratch Data'!$G$5:$G$13,MATCH($A121,'Scratch Data'!$G$5:$G$13,1)))*(INDEX('Scratch Data'!$J$5:$J$13,MIN(MATCH($A121,'Scratch Data'!$G$5:$G$13,1)+1,ROWS('Scratch Data'!$G$5:$G$13)))-INDEX('Scratch Data'!$J$5:$J$13,MATCH($A121,'Scratch Data'!$G$5:$G$13,1)))/MAX(INDEX('Scratch Data'!$G$5:$G$13,MIN(MATCH($A121,'Scratch Data'!$G$5:$G$13,1)+1,ROWS('Scratch Data'!$G$5:$G$13)))-INDEX('Scratch Data'!$G$5:$G$13,MATCH($A121,'Scratch Data'!$G$5:$G$13,1)),0.0001))),(1+Inputs!$B$19*INDEX(Baseline!$B$3:$B$122,MATCH(MIN(MAX(ROUND((MAX($A121-Inputs!$B$20,30))/5,0)*5,5),600),Baseline!$A$3:$A$122,0))+(1-Inputs!$B$19)*INDEX(Baseline!$C$3:$C$122,MATCH(MIN(MAX(ROUND((MAX($A121-Inputs!$B$20,30))/5,0)*5,5),600),Baseline!$A$3:$A$122,0)))),(1+Inputs!$B$19*INDEX(Baseline!$B$3:$B$122,MATCH(MIN(MAX(ROUND((MAX($A121-Inputs!$B$20,30))/5,0)*5,5),600),Baseline!$A$3:$A$122,0))+(1-Inputs!$B$19)*INDEX(Baseline!$C$3:$C$122,MATCH(MIN(MAX(ROUND((MAX($A121-Inputs!$B$20,30))/5,0)*5,5),600),Baseline!$A$3:$A$122,0)))))</f>
        <v>5.3754797832</v>
      </c>
      <c r="C121" s="10" t="n">
        <f aca="false">IF($A121&lt;=50,$B121+Inputs!$B$18,IF($A121&lt;=250,MIN((1+(INDEX('Scratch Data'!$H$5:$H$13,MATCH($A121,'Scratch Data'!$G$5:$G$13,1))+($A121-INDEX('Scratch Data'!$G$5:$G$13,MATCH($A121,'Scratch Data'!$G$5:$G$13,1)))*(INDEX('Scratch Data'!$H$5:$H$13,MIN(MATCH($A121,'Scratch Data'!$G$5:$G$13,1)+1,ROWS('Scratch Data'!$G$5:$G$13)))-INDEX('Scratch Data'!$H$5:$H$13,MATCH($A121,'Scratch Data'!$G$5:$G$13,1)))/MAX(INDEX('Scratch Data'!$G$5:$G$13,MIN(MATCH($A121,'Scratch Data'!$G$5:$G$13,1)+1,ROWS('Scratch Data'!$G$5:$G$13)))-INDEX('Scratch Data'!$G$5:$G$13,MATCH($A121,'Scratch Data'!$G$5:$G$13,1)),0.0001))*Inputs!$B$12*INDEX(Baseline!$I$3:$I$102,MIN(MAX(ROUND(Inputs!$B$11*(INDEX('Scratch Data'!$I$5:$I$13,MATCH($A121,'Scratch Data'!$G$5:$G$13,1))+($A121-INDEX('Scratch Data'!$G$5:$G$13,MATCH($A121,'Scratch Data'!$G$5:$G$13,1)))*(INDEX('Scratch Data'!$I$5:$I$13,MIN(MATCH($A121,'Scratch Data'!$G$5:$G$13,1)+1,ROWS('Scratch Data'!$G$5:$G$13)))-INDEX('Scratch Data'!$I$5:$I$13,MATCH($A121,'Scratch Data'!$G$5:$G$13,1)))/MAX(INDEX('Scratch Data'!$G$5:$G$13,MIN(MATCH($A121,'Scratch Data'!$G$5:$G$13,1)+1,ROWS('Scratch Data'!$G$5:$G$13)))-INDEX('Scratch Data'!$G$5:$G$13,MATCH($A121,'Scratch Data'!$G$5:$G$13,1)),0.0001))*Inputs!$B$13,0),1),100))+(1-(INDEX('Scratch Data'!$H$5:$H$13,MATCH($A121,'Scratch Data'!$G$5:$G$13,1))+($A121-INDEX('Scratch Data'!$G$5:$G$13,MATCH($A121,'Scratch Data'!$G$5:$G$13,1)))*(INDEX('Scratch Data'!$H$5:$H$13,MIN(MATCH($A121,'Scratch Data'!$G$5:$G$13,1)+1,ROWS('Scratch Data'!$G$5:$G$13)))-INDEX('Scratch Data'!$H$5:$H$13,MATCH($A121,'Scratch Data'!$G$5:$G$13,1)))/MAX(INDEX('Scratch Data'!$G$5:$G$13,MIN(MATCH($A121,'Scratch Data'!$G$5:$G$13,1)+1,ROWS('Scratch Data'!$G$5:$G$13)))-INDEX('Scratch Data'!$G$5:$G$13,MATCH($A121,'Scratch Data'!$G$5:$G$13,1)),0.0001))*Inputs!$B$12)*((INDEX('Scratch Data'!$J$5:$J$13,MATCH($A121,'Scratch Data'!$G$5:$G$13,1))+($A121-INDEX('Scratch Data'!$G$5:$G$13,MATCH($A121,'Scratch Data'!$G$5:$G$13,1)))*(INDEX('Scratch Data'!$J$5:$J$13,MIN(MATCH($A121,'Scratch Data'!$G$5:$G$13,1)+1,ROWS('Scratch Data'!$G$5:$G$13)))-INDEX('Scratch Data'!$J$5:$J$13,MATCH($A121,'Scratch Data'!$G$5:$G$13,1)))/MAX(INDEX('Scratch Data'!$G$5:$G$13,MIN(MATCH($A121,'Scratch Data'!$G$5:$G$13,1)+1,ROWS('Scratch Data'!$G$5:$G$13)))-INDEX('Scratch Data'!$G$5:$G$13,MATCH($A121,'Scratch Data'!$G$5:$G$13,1)),0.0001))+Inputs!$B$14)),(1+Inputs!$B$19*INDEX(Baseline!$B$3:$B$122,MATCH(MIN(MAX(ROUND((MAX($A121-Inputs!$B$21,30))/5,0)*5,5),600),Baseline!$A$3:$A$122,0))+(1-Inputs!$B$19)*INDEX(Baseline!$C$3:$C$122,MATCH(MIN(MAX(ROUND((MAX($A121-Inputs!$B$21,30))/5,0)*5,5),600),Baseline!$A$3:$A$122,0))+Inputs!$B$14)),(1+Inputs!$B$19*INDEX(Baseline!$B$3:$B$122,MATCH(MIN(MAX(ROUND((MAX($A121-Inputs!$B$21,30))/5,0)*5,5),600),Baseline!$A$3:$A$122,0))+(1-Inputs!$B$19)*INDEX(Baseline!$C$3:$C$122,MATCH(MIN(MAX(ROUND((MAX($A121-Inputs!$B$21,30))/5,0)*5,5),600),Baseline!$A$3:$A$122,0))+Inputs!$B$14)))</f>
        <v>5.6133586696</v>
      </c>
      <c r="D121" s="10" t="n">
        <f aca="false">IF($A121&lt;=50,(INDEX('Scratch Data'!$P$5:$P$11,MATCH($A121,'Scratch Data'!$O$5:$O$11,1))+($A121-INDEX('Scratch Data'!$O$5:$O$11,MATCH($A121,'Scratch Data'!$O$5:$O$11,1)))*(INDEX('Scratch Data'!$P$5:$P$11,MIN(MATCH($A121,'Scratch Data'!$O$5:$O$11,1)+1,ROWS('Scratch Data'!$O$5:$O$11)))-INDEX('Scratch Data'!$P$5:$P$11,MATCH($A121,'Scratch Data'!$O$5:$O$11,1)))/MAX(INDEX('Scratch Data'!$O$5:$O$11,MIN(MATCH($A121,'Scratch Data'!$O$5:$O$11,1)+1,ROWS('Scratch Data'!$O$5:$O$11)))-INDEX('Scratch Data'!$O$5:$O$11,MATCH($A121,'Scratch Data'!$O$5:$O$11,1)),0.0001)),IF($A121&lt;=250,MIN((1+(INDEX('Scratch Data'!$H$5:$H$13,MATCH($A121,'Scratch Data'!$G$5:$G$13,1))+($A121-INDEX('Scratch Data'!$G$5:$G$13,MATCH($A121,'Scratch Data'!$G$5:$G$13,1)))*(INDEX('Scratch Data'!$H$5:$H$13,MIN(MATCH($A121,'Scratch Data'!$G$5:$G$13,1)+1,ROWS('Scratch Data'!$G$5:$G$13)))-INDEX('Scratch Data'!$H$5:$H$13,MATCH($A121,'Scratch Data'!$G$5:$G$13,1)))/MAX(INDEX('Scratch Data'!$G$5:$G$13,MIN(MATCH($A121,'Scratch Data'!$G$5:$G$13,1)+1,ROWS('Scratch Data'!$G$5:$G$13)))-INDEX('Scratch Data'!$G$5:$G$13,MATCH($A121,'Scratch Data'!$G$5:$G$13,1)),0.0001))*Inputs!$B$15*INDEX(Baseline!$I$3:$I$102,MIN(MAX(ROUND(Inputs!$B$11*(INDEX('Scratch Data'!$I$5:$I$13,MATCH($A121,'Scratch Data'!$G$5:$G$13,1))+($A121-INDEX('Scratch Data'!$G$5:$G$13,MATCH($A121,'Scratch Data'!$G$5:$G$13,1)))*(INDEX('Scratch Data'!$I$5:$I$13,MIN(MATCH($A121,'Scratch Data'!$G$5:$G$13,1)+1,ROWS('Scratch Data'!$G$5:$G$13)))-INDEX('Scratch Data'!$I$5:$I$13,MATCH($A121,'Scratch Data'!$G$5:$G$13,1)))/MAX(INDEX('Scratch Data'!$G$5:$G$13,MIN(MATCH($A121,'Scratch Data'!$G$5:$G$13,1)+1,ROWS('Scratch Data'!$G$5:$G$13)))-INDEX('Scratch Data'!$G$5:$G$13,MATCH($A121,'Scratch Data'!$G$5:$G$13,1)),0.0001))*Inputs!$B$16,0),1),100))+(1-(INDEX('Scratch Data'!$H$5:$H$13,MATCH($A121,'Scratch Data'!$G$5:$G$13,1))+($A121-INDEX('Scratch Data'!$G$5:$G$13,MATCH($A121,'Scratch Data'!$G$5:$G$13,1)))*(INDEX('Scratch Data'!$H$5:$H$13,MIN(MATCH($A121,'Scratch Data'!$G$5:$G$13,1)+1,ROWS('Scratch Data'!$G$5:$G$13)))-INDEX('Scratch Data'!$H$5:$H$13,MATCH($A121,'Scratch Data'!$G$5:$G$13,1)))/MAX(INDEX('Scratch Data'!$G$5:$G$13,MIN(MATCH($A121,'Scratch Data'!$G$5:$G$13,1)+1,ROWS('Scratch Data'!$G$5:$G$13)))-INDEX('Scratch Data'!$G$5:$G$13,MATCH($A121,'Scratch Data'!$G$5:$G$13,1)),0.0001))*Inputs!$B$15)*((INDEX('Scratch Data'!$J$5:$J$13,MATCH($A121,'Scratch Data'!$G$5:$G$13,1))+($A121-INDEX('Scratch Data'!$G$5:$G$13,MATCH($A121,'Scratch Data'!$G$5:$G$13,1)))*(INDEX('Scratch Data'!$J$5:$J$13,MIN(MATCH($A121,'Scratch Data'!$G$5:$G$13,1)+1,ROWS('Scratch Data'!$G$5:$G$13)))-INDEX('Scratch Data'!$J$5:$J$13,MATCH($A121,'Scratch Data'!$G$5:$G$13,1)))/MAX(INDEX('Scratch Data'!$G$5:$G$13,MIN(MATCH($A121,'Scratch Data'!$G$5:$G$13,1)+1,ROWS('Scratch Data'!$G$5:$G$13)))-INDEX('Scratch Data'!$G$5:$G$13,MATCH($A121,'Scratch Data'!$G$5:$G$13,1)),0.0001))+Inputs!$B$17)),(1+Inputs!$B$19*INDEX(Baseline!$B$3:$B$122,MATCH(MIN(MAX(ROUND((MAX($A121-Inputs!$B$22,30))/5,0)*5,5),600),Baseline!$A$3:$A$122,0))+(1-Inputs!$B$19)*INDEX(Baseline!$C$3:$C$122,MATCH(MIN(MAX(ROUND((MAX($A121-Inputs!$B$22,30))/5,0)*5,5),600),Baseline!$A$3:$A$122,0))+Inputs!$B$17)),(1+Inputs!$B$19*INDEX(Baseline!$B$3:$B$122,MATCH(MIN(MAX(ROUND((MAX($A121-Inputs!$B$22,30))/5,0)*5,5),600),Baseline!$A$3:$A$122,0))+(1-Inputs!$B$19)*INDEX(Baseline!$C$3:$C$122,MATCH(MIN(MAX(ROUND((MAX($A121-Inputs!$B$22,30))/5,0)*5,5),600),Baseline!$A$3:$A$122,0))+Inputs!$B$17)))</f>
        <v>5.8098789312</v>
      </c>
      <c r="E121" s="10" t="n">
        <f aca="false">1+Inputs!$B$24+0.6*INDEX(Baseline!$B$3:$B$122,MATCH(MIN(MAX(ROUND((MAX($A121-Inputs!$B$23,15))/5,0)*5,5),600),Baseline!$A$3:$A$122,0))+0.4*INDEX(Baseline!$C$3:$C$122,MATCH(MIN(MAX(ROUND((MAX($A121-Inputs!$B$23,15))/5,0)*5,5),600),Baseline!$A$3:$A$122,0))</f>
        <v>6.14781854389333</v>
      </c>
    </row>
    <row r="122" customFormat="false" ht="15" hidden="false" customHeight="false" outlineLevel="0" collapsed="false">
      <c r="A122" s="7" t="n">
        <v>600</v>
      </c>
      <c r="B122" s="10" t="n">
        <f aca="false">IF($A122&lt;=50,(INDEX('Scratch Data'!$M$5:$M$12,MATCH($A122,'Scratch Data'!$L$5:$L$12,1))+($A122-INDEX('Scratch Data'!$L$5:$L$12,MATCH($A122,'Scratch Data'!$L$5:$L$12,1)))*(INDEX('Scratch Data'!$M$5:$M$12,MIN(MATCH($A122,'Scratch Data'!$L$5:$L$12,1)+1,ROWS('Scratch Data'!$L$5:$L$12)))-INDEX('Scratch Data'!$M$5:$M$12,MATCH($A122,'Scratch Data'!$L$5:$L$12,1)))/MAX(INDEX('Scratch Data'!$L$5:$L$12,MIN(MATCH($A122,'Scratch Data'!$L$5:$L$12,1)+1,ROWS('Scratch Data'!$L$5:$L$12)))-INDEX('Scratch Data'!$L$5:$L$12,MATCH($A122,'Scratch Data'!$L$5:$L$12,1)),0.0001)),IF($A122&lt;=250,MIN((1+(INDEX('Scratch Data'!$H$5:$H$13,MATCH($A122,'Scratch Data'!$G$5:$G$13,1))+($A122-INDEX('Scratch Data'!$G$5:$G$13,MATCH($A122,'Scratch Data'!$G$5:$G$13,1)))*(INDEX('Scratch Data'!$H$5:$H$13,MIN(MATCH($A122,'Scratch Data'!$G$5:$G$13,1)+1,ROWS('Scratch Data'!$G$5:$G$13)))-INDEX('Scratch Data'!$H$5:$H$13,MATCH($A122,'Scratch Data'!$G$5:$G$13,1)))/MAX(INDEX('Scratch Data'!$G$5:$G$13,MIN(MATCH($A122,'Scratch Data'!$G$5:$G$13,1)+1,ROWS('Scratch Data'!$G$5:$G$13)))-INDEX('Scratch Data'!$G$5:$G$13,MATCH($A122,'Scratch Data'!$G$5:$G$13,1)),0.0001))*INDEX(Baseline!$I$3:$I$102,MIN(MAX(ROUND(Inputs!$B$11*(INDEX('Scratch Data'!$I$5:$I$13,MATCH($A122,'Scratch Data'!$G$5:$G$13,1))+($A122-INDEX('Scratch Data'!$G$5:$G$13,MATCH($A122,'Scratch Data'!$G$5:$G$13,1)))*(INDEX('Scratch Data'!$I$5:$I$13,MIN(MATCH($A122,'Scratch Data'!$G$5:$G$13,1)+1,ROWS('Scratch Data'!$G$5:$G$13)))-INDEX('Scratch Data'!$I$5:$I$13,MATCH($A122,'Scratch Data'!$G$5:$G$13,1)))/MAX(INDEX('Scratch Data'!$G$5:$G$13,MIN(MATCH($A122,'Scratch Data'!$G$5:$G$13,1)+1,ROWS('Scratch Data'!$G$5:$G$13)))-INDEX('Scratch Data'!$G$5:$G$13,MATCH($A122,'Scratch Data'!$G$5:$G$13,1)),0.0001)),0),1),100))+(1-(INDEX('Scratch Data'!$H$5:$H$13,MATCH($A122,'Scratch Data'!$G$5:$G$13,1))+($A122-INDEX('Scratch Data'!$G$5:$G$13,MATCH($A122,'Scratch Data'!$G$5:$G$13,1)))*(INDEX('Scratch Data'!$H$5:$H$13,MIN(MATCH($A122,'Scratch Data'!$G$5:$G$13,1)+1,ROWS('Scratch Data'!$G$5:$G$13)))-INDEX('Scratch Data'!$H$5:$H$13,MATCH($A122,'Scratch Data'!$G$5:$G$13,1)))/MAX(INDEX('Scratch Data'!$G$5:$G$13,MIN(MATCH($A122,'Scratch Data'!$G$5:$G$13,1)+1,ROWS('Scratch Data'!$G$5:$G$13)))-INDEX('Scratch Data'!$G$5:$G$13,MATCH($A122,'Scratch Data'!$G$5:$G$13,1)),0.0001)))*(INDEX('Scratch Data'!$J$5:$J$13,MATCH($A122,'Scratch Data'!$G$5:$G$13,1))+($A122-INDEX('Scratch Data'!$G$5:$G$13,MATCH($A122,'Scratch Data'!$G$5:$G$13,1)))*(INDEX('Scratch Data'!$J$5:$J$13,MIN(MATCH($A122,'Scratch Data'!$G$5:$G$13,1)+1,ROWS('Scratch Data'!$G$5:$G$13)))-INDEX('Scratch Data'!$J$5:$J$13,MATCH($A122,'Scratch Data'!$G$5:$G$13,1)))/MAX(INDEX('Scratch Data'!$G$5:$G$13,MIN(MATCH($A122,'Scratch Data'!$G$5:$G$13,1)+1,ROWS('Scratch Data'!$G$5:$G$13)))-INDEX('Scratch Data'!$G$5:$G$13,MATCH($A122,'Scratch Data'!$G$5:$G$13,1)),0.0001))),(1+Inputs!$B$19*INDEX(Baseline!$B$3:$B$122,MATCH(MIN(MAX(ROUND((MAX($A122-Inputs!$B$20,30))/5,0)*5,5),600),Baseline!$A$3:$A$122,0))+(1-Inputs!$B$19)*INDEX(Baseline!$C$3:$C$122,MATCH(MIN(MAX(ROUND((MAX($A122-Inputs!$B$20,30))/5,0)*5,5),600),Baseline!$A$3:$A$122,0)))),(1+Inputs!$B$19*INDEX(Baseline!$B$3:$B$122,MATCH(MIN(MAX(ROUND((MAX($A122-Inputs!$B$20,30))/5,0)*5,5),600),Baseline!$A$3:$A$122,0))+(1-Inputs!$B$19)*INDEX(Baseline!$C$3:$C$122,MATCH(MIN(MAX(ROUND((MAX($A122-Inputs!$B$20,30))/5,0)*5,5),600),Baseline!$A$3:$A$122,0)))))</f>
        <v>5.3988838824</v>
      </c>
      <c r="C122" s="10" t="n">
        <f aca="false">IF($A122&lt;=50,$B122+Inputs!$B$18,IF($A122&lt;=250,MIN((1+(INDEX('Scratch Data'!$H$5:$H$13,MATCH($A122,'Scratch Data'!$G$5:$G$13,1))+($A122-INDEX('Scratch Data'!$G$5:$G$13,MATCH($A122,'Scratch Data'!$G$5:$G$13,1)))*(INDEX('Scratch Data'!$H$5:$H$13,MIN(MATCH($A122,'Scratch Data'!$G$5:$G$13,1)+1,ROWS('Scratch Data'!$G$5:$G$13)))-INDEX('Scratch Data'!$H$5:$H$13,MATCH($A122,'Scratch Data'!$G$5:$G$13,1)))/MAX(INDEX('Scratch Data'!$G$5:$G$13,MIN(MATCH($A122,'Scratch Data'!$G$5:$G$13,1)+1,ROWS('Scratch Data'!$G$5:$G$13)))-INDEX('Scratch Data'!$G$5:$G$13,MATCH($A122,'Scratch Data'!$G$5:$G$13,1)),0.0001))*Inputs!$B$12*INDEX(Baseline!$I$3:$I$102,MIN(MAX(ROUND(Inputs!$B$11*(INDEX('Scratch Data'!$I$5:$I$13,MATCH($A122,'Scratch Data'!$G$5:$G$13,1))+($A122-INDEX('Scratch Data'!$G$5:$G$13,MATCH($A122,'Scratch Data'!$G$5:$G$13,1)))*(INDEX('Scratch Data'!$I$5:$I$13,MIN(MATCH($A122,'Scratch Data'!$G$5:$G$13,1)+1,ROWS('Scratch Data'!$G$5:$G$13)))-INDEX('Scratch Data'!$I$5:$I$13,MATCH($A122,'Scratch Data'!$G$5:$G$13,1)))/MAX(INDEX('Scratch Data'!$G$5:$G$13,MIN(MATCH($A122,'Scratch Data'!$G$5:$G$13,1)+1,ROWS('Scratch Data'!$G$5:$G$13)))-INDEX('Scratch Data'!$G$5:$G$13,MATCH($A122,'Scratch Data'!$G$5:$G$13,1)),0.0001))*Inputs!$B$13,0),1),100))+(1-(INDEX('Scratch Data'!$H$5:$H$13,MATCH($A122,'Scratch Data'!$G$5:$G$13,1))+($A122-INDEX('Scratch Data'!$G$5:$G$13,MATCH($A122,'Scratch Data'!$G$5:$G$13,1)))*(INDEX('Scratch Data'!$H$5:$H$13,MIN(MATCH($A122,'Scratch Data'!$G$5:$G$13,1)+1,ROWS('Scratch Data'!$G$5:$G$13)))-INDEX('Scratch Data'!$H$5:$H$13,MATCH($A122,'Scratch Data'!$G$5:$G$13,1)))/MAX(INDEX('Scratch Data'!$G$5:$G$13,MIN(MATCH($A122,'Scratch Data'!$G$5:$G$13,1)+1,ROWS('Scratch Data'!$G$5:$G$13)))-INDEX('Scratch Data'!$G$5:$G$13,MATCH($A122,'Scratch Data'!$G$5:$G$13,1)),0.0001))*Inputs!$B$12)*((INDEX('Scratch Data'!$J$5:$J$13,MATCH($A122,'Scratch Data'!$G$5:$G$13,1))+($A122-INDEX('Scratch Data'!$G$5:$G$13,MATCH($A122,'Scratch Data'!$G$5:$G$13,1)))*(INDEX('Scratch Data'!$J$5:$J$13,MIN(MATCH($A122,'Scratch Data'!$G$5:$G$13,1)+1,ROWS('Scratch Data'!$G$5:$G$13)))-INDEX('Scratch Data'!$J$5:$J$13,MATCH($A122,'Scratch Data'!$G$5:$G$13,1)))/MAX(INDEX('Scratch Data'!$G$5:$G$13,MIN(MATCH($A122,'Scratch Data'!$G$5:$G$13,1)+1,ROWS('Scratch Data'!$G$5:$G$13)))-INDEX('Scratch Data'!$G$5:$G$13,MATCH($A122,'Scratch Data'!$G$5:$G$13,1)),0.0001))+Inputs!$B$14)),(1+Inputs!$B$19*INDEX(Baseline!$B$3:$B$122,MATCH(MIN(MAX(ROUND((MAX($A122-Inputs!$B$21,30))/5,0)*5,5),600),Baseline!$A$3:$A$122,0))+(1-Inputs!$B$19)*INDEX(Baseline!$C$3:$C$122,MATCH(MIN(MAX(ROUND((MAX($A122-Inputs!$B$21,30))/5,0)*5,5),600),Baseline!$A$3:$A$122,0))+Inputs!$B$14)),(1+Inputs!$B$19*INDEX(Baseline!$B$3:$B$122,MATCH(MIN(MAX(ROUND((MAX($A122-Inputs!$B$21,30))/5,0)*5,5),600),Baseline!$A$3:$A$122,0))+(1-Inputs!$B$19)*INDEX(Baseline!$C$3:$C$122,MATCH(MIN(MAX(ROUND((MAX($A122-Inputs!$B$21,30))/5,0)*5,5),600),Baseline!$A$3:$A$122,0))+Inputs!$B$14)))</f>
        <v>5.63804548</v>
      </c>
      <c r="D122" s="10" t="n">
        <f aca="false">IF($A122&lt;=50,(INDEX('Scratch Data'!$P$5:$P$11,MATCH($A122,'Scratch Data'!$O$5:$O$11,1))+($A122-INDEX('Scratch Data'!$O$5:$O$11,MATCH($A122,'Scratch Data'!$O$5:$O$11,1)))*(INDEX('Scratch Data'!$P$5:$P$11,MIN(MATCH($A122,'Scratch Data'!$O$5:$O$11,1)+1,ROWS('Scratch Data'!$O$5:$O$11)))-INDEX('Scratch Data'!$P$5:$P$11,MATCH($A122,'Scratch Data'!$O$5:$O$11,1)))/MAX(INDEX('Scratch Data'!$O$5:$O$11,MIN(MATCH($A122,'Scratch Data'!$O$5:$O$11,1)+1,ROWS('Scratch Data'!$O$5:$O$11)))-INDEX('Scratch Data'!$O$5:$O$11,MATCH($A122,'Scratch Data'!$O$5:$O$11,1)),0.0001)),IF($A122&lt;=250,MIN((1+(INDEX('Scratch Data'!$H$5:$H$13,MATCH($A122,'Scratch Data'!$G$5:$G$13,1))+($A122-INDEX('Scratch Data'!$G$5:$G$13,MATCH($A122,'Scratch Data'!$G$5:$G$13,1)))*(INDEX('Scratch Data'!$H$5:$H$13,MIN(MATCH($A122,'Scratch Data'!$G$5:$G$13,1)+1,ROWS('Scratch Data'!$G$5:$G$13)))-INDEX('Scratch Data'!$H$5:$H$13,MATCH($A122,'Scratch Data'!$G$5:$G$13,1)))/MAX(INDEX('Scratch Data'!$G$5:$G$13,MIN(MATCH($A122,'Scratch Data'!$G$5:$G$13,1)+1,ROWS('Scratch Data'!$G$5:$G$13)))-INDEX('Scratch Data'!$G$5:$G$13,MATCH($A122,'Scratch Data'!$G$5:$G$13,1)),0.0001))*Inputs!$B$15*INDEX(Baseline!$I$3:$I$102,MIN(MAX(ROUND(Inputs!$B$11*(INDEX('Scratch Data'!$I$5:$I$13,MATCH($A122,'Scratch Data'!$G$5:$G$13,1))+($A122-INDEX('Scratch Data'!$G$5:$G$13,MATCH($A122,'Scratch Data'!$G$5:$G$13,1)))*(INDEX('Scratch Data'!$I$5:$I$13,MIN(MATCH($A122,'Scratch Data'!$G$5:$G$13,1)+1,ROWS('Scratch Data'!$G$5:$G$13)))-INDEX('Scratch Data'!$I$5:$I$13,MATCH($A122,'Scratch Data'!$G$5:$G$13,1)))/MAX(INDEX('Scratch Data'!$G$5:$G$13,MIN(MATCH($A122,'Scratch Data'!$G$5:$G$13,1)+1,ROWS('Scratch Data'!$G$5:$G$13)))-INDEX('Scratch Data'!$G$5:$G$13,MATCH($A122,'Scratch Data'!$G$5:$G$13,1)),0.0001))*Inputs!$B$16,0),1),100))+(1-(INDEX('Scratch Data'!$H$5:$H$13,MATCH($A122,'Scratch Data'!$G$5:$G$13,1))+($A122-INDEX('Scratch Data'!$G$5:$G$13,MATCH($A122,'Scratch Data'!$G$5:$G$13,1)))*(INDEX('Scratch Data'!$H$5:$H$13,MIN(MATCH($A122,'Scratch Data'!$G$5:$G$13,1)+1,ROWS('Scratch Data'!$G$5:$G$13)))-INDEX('Scratch Data'!$H$5:$H$13,MATCH($A122,'Scratch Data'!$G$5:$G$13,1)))/MAX(INDEX('Scratch Data'!$G$5:$G$13,MIN(MATCH($A122,'Scratch Data'!$G$5:$G$13,1)+1,ROWS('Scratch Data'!$G$5:$G$13)))-INDEX('Scratch Data'!$G$5:$G$13,MATCH($A122,'Scratch Data'!$G$5:$G$13,1)),0.0001))*Inputs!$B$15)*((INDEX('Scratch Data'!$J$5:$J$13,MATCH($A122,'Scratch Data'!$G$5:$G$13,1))+($A122-INDEX('Scratch Data'!$G$5:$G$13,MATCH($A122,'Scratch Data'!$G$5:$G$13,1)))*(INDEX('Scratch Data'!$J$5:$J$13,MIN(MATCH($A122,'Scratch Data'!$G$5:$G$13,1)+1,ROWS('Scratch Data'!$G$5:$G$13)))-INDEX('Scratch Data'!$J$5:$J$13,MATCH($A122,'Scratch Data'!$G$5:$G$13,1)))/MAX(INDEX('Scratch Data'!$G$5:$G$13,MIN(MATCH($A122,'Scratch Data'!$G$5:$G$13,1)+1,ROWS('Scratch Data'!$G$5:$G$13)))-INDEX('Scratch Data'!$G$5:$G$13,MATCH($A122,'Scratch Data'!$G$5:$G$13,1)),0.0001))+Inputs!$B$17)),(1+Inputs!$B$19*INDEX(Baseline!$B$3:$B$122,MATCH(MIN(MAX(ROUND((MAX($A122-Inputs!$B$22,30))/5,0)*5,5),600),Baseline!$A$3:$A$122,0))+(1-Inputs!$B$19)*INDEX(Baseline!$C$3:$C$122,MATCH(MIN(MAX(ROUND((MAX($A122-Inputs!$B$22,30))/5,0)*5,5),600),Baseline!$A$3:$A$122,0))+Inputs!$B$17)),(1+Inputs!$B$19*INDEX(Baseline!$B$3:$B$122,MATCH(MIN(MAX(ROUND((MAX($A122-Inputs!$B$22,30))/5,0)*5,5),600),Baseline!$A$3:$A$122,0))+(1-Inputs!$B$19)*INDEX(Baseline!$C$3:$C$122,MATCH(MIN(MAX(ROUND((MAX($A122-Inputs!$B$22,30))/5,0)*5,5),600),Baseline!$A$3:$A$122,0))+Inputs!$B$17)))</f>
        <v>5.8294264272</v>
      </c>
      <c r="E122" s="10" t="n">
        <f aca="false">1+Inputs!$B$24+0.6*INDEX(Baseline!$B$3:$B$122,MATCH(MIN(MAX(ROUND((MAX($A122-Inputs!$B$23,15))/5,0)*5,5),600),Baseline!$A$3:$A$122,0))+0.4*INDEX(Baseline!$C$3:$C$122,MATCH(MIN(MAX(ROUND((MAX($A122-Inputs!$B$23,15))/5,0)*5,5),600),Baseline!$A$3:$A$122,0))</f>
        <v>6.176280856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2" min="1" style="0" width="10"/>
  </cols>
  <sheetData>
    <row r="1" customFormat="false" ht="45" hidden="false" customHeight="true" outlineLevel="0" collapsed="false">
      <c r="A1" s="5" t="s">
        <v>130</v>
      </c>
      <c r="B1" s="5" t="s">
        <v>131</v>
      </c>
      <c r="C1" s="5" t="s">
        <v>124</v>
      </c>
      <c r="D1" s="5" t="s">
        <v>132</v>
      </c>
      <c r="E1" s="5" t="s">
        <v>133</v>
      </c>
      <c r="F1" s="5" t="s">
        <v>134</v>
      </c>
      <c r="G1" s="5" t="s">
        <v>135</v>
      </c>
      <c r="H1" s="5" t="s">
        <v>136</v>
      </c>
      <c r="I1" s="5" t="s">
        <v>137</v>
      </c>
      <c r="J1" s="5" t="s">
        <v>138</v>
      </c>
      <c r="K1" s="5" t="s">
        <v>139</v>
      </c>
      <c r="L1" s="5" t="s">
        <v>140</v>
      </c>
      <c r="M1" s="5" t="s">
        <v>141</v>
      </c>
      <c r="N1" s="5" t="s">
        <v>142</v>
      </c>
      <c r="O1" s="5" t="s">
        <v>143</v>
      </c>
      <c r="P1" s="5" t="s">
        <v>144</v>
      </c>
      <c r="Q1" s="5" t="s">
        <v>145</v>
      </c>
      <c r="R1" s="5" t="s">
        <v>146</v>
      </c>
      <c r="S1" s="5" t="s">
        <v>147</v>
      </c>
      <c r="T1" s="5" t="s">
        <v>148</v>
      </c>
      <c r="U1" s="5" t="s">
        <v>149</v>
      </c>
      <c r="V1" s="5" t="s">
        <v>150</v>
      </c>
    </row>
    <row r="2" customFormat="false" ht="15" hidden="false" customHeight="false" outlineLevel="0" collapsed="false">
      <c r="A2" s="14" t="n">
        <v>1</v>
      </c>
      <c r="B2" s="15" t="n">
        <v>4</v>
      </c>
      <c r="C2" s="15" t="n">
        <v>356</v>
      </c>
      <c r="D2" s="15" t="n">
        <v>1</v>
      </c>
      <c r="E2" s="16" t="n">
        <f aca="false">Inputs!$B$27</f>
        <v>45</v>
      </c>
      <c r="F2" s="8" t="s">
        <v>151</v>
      </c>
      <c r="G2" s="17" t="n">
        <f aca="false">INDEX(Baseline!$B$3:$B$122,MATCH(MIN(MAX(ROUND(($C2)/5,0)*5,5),600),Baseline!$A$3:$A$122,0))-Inputs!$B$9</f>
        <v>4.222275584</v>
      </c>
      <c r="H2" s="17" t="n">
        <f aca="false">IF($B2=3,"",(1+(2*NORMSDIST($E2/2/(Inputs!$B$29*Inputs!$B$28))-1)*(Inputs!$B$26*INDEX(Baseline!$B$3:$B$122,MATCH(MIN(MAX(ROUND((MAX($C2-Inputs!$B$28,15))/5,0)*5,5),600),Baseline!$A$3:$A$122,0))+(1-Inputs!$B$26)*INDEX(Baseline!$C$3:$C$122,MATCH(MIN(MAX(ROUND((MAX($C2-Inputs!$B$28,15))/5,0)*5,5),600),Baseline!$A$3:$A$122,0)))+(1-(2*NORMSDIST($E2/2/(Inputs!$B$29*Inputs!$B$28))-1)-IF($F2="OB",1-(2*NORMSDIST($E2/2/(Inputs!$B$29*Inputs!$B$28))-1),IF(OR($F2="OBR",$F2="OBL"),(1-(2*NORMSDIST($E2/2/(Inputs!$B$29*Inputs!$B$28))-1))/2,0)))*INDEX(Baseline!$E$3:$E$122,MATCH(MIN(MAX(ROUND((MAX($C2-Inputs!$B$28,15))/5,0)*5,5),600),Baseline!$A$3:$A$122,0))+IF($F2="OB",1-(2*NORMSDIST($E2/2/(Inputs!$B$29*Inputs!$B$28))-1),IF(OR($F2="OBR",$F2="OBL"),(1-(2*NORMSDIST($E2/2/(Inputs!$B$29*Inputs!$B$28))-1))/2,0)))/(1-IF($F2="OB",1-(2*NORMSDIST($E2/2/(Inputs!$B$29*Inputs!$B$28))-1),IF(OR($F2="OBR",$F2="OBL"),(1-(2*NORMSDIST($E2/2/(Inputs!$B$29*Inputs!$B$28))-1))/2,0))))</f>
        <v>4.73395169641042</v>
      </c>
      <c r="I2" s="17" t="n">
        <f aca="false">IF($B2=3,"",(1+(2*NORMSDIST($E2/2/(Inputs!$B$31*Inputs!$B$30))-1)*(Inputs!$B$26*INDEX(Baseline!$B$3:$B$122,MATCH(MIN(MAX(ROUND((MAX($C2-Inputs!$B$30,15))/5,0)*5,5),600),Baseline!$A$3:$A$122,0))+(1-Inputs!$B$26)*INDEX(Baseline!$C$3:$C$122,MATCH(MIN(MAX(ROUND((MAX($C2-Inputs!$B$30,15))/5,0)*5,5),600),Baseline!$A$3:$A$122,0)))+(1-(2*NORMSDIST($E2/2/(Inputs!$B$31*Inputs!$B$30))-1)-IF($F2="OB",1-(2*NORMSDIST($E2/2/(Inputs!$B$31*Inputs!$B$30))-1),IF(OR($F2="OBR",$F2="OBL"),(1-(2*NORMSDIST($E2/2/(Inputs!$B$31*Inputs!$B$30))-1))/2,0)))*INDEX(Baseline!$E$3:$E$122,MATCH(MIN(MAX(ROUND((MAX($C2-Inputs!$B$30,15))/5,0)*5,5),600),Baseline!$A$3:$A$122,0))+IF($F2="OB",1-(2*NORMSDIST($E2/2/(Inputs!$B$31*Inputs!$B$30))-1),IF(OR($F2="OBR",$F2="OBL"),(1-(2*NORMSDIST($E2/2/(Inputs!$B$31*Inputs!$B$30))-1))/2,0)))/(1-IF($F2="OB",1-(2*NORMSDIST($E2/2/(Inputs!$B$31*Inputs!$B$30))-1),IF(OR($F2="OBR",$F2="OBL"),(1-(2*NORMSDIST($E2/2/(Inputs!$B$31*Inputs!$B$30))-1))/2,0))))</f>
        <v>4.79304025049653</v>
      </c>
      <c r="J2" s="17" t="n">
        <f aca="false">IF($B2=3,"",(1+(2*NORMSDIST($E2/2/(Inputs!$B$33*Inputs!$B$32))-1)*(Inputs!$B$26*INDEX(Baseline!$B$3:$B$122,MATCH(MIN(MAX(ROUND((MAX($C2-Inputs!$B$32,15))/5,0)*5,5),600),Baseline!$A$3:$A$122,0))+(1-Inputs!$B$26)*INDEX(Baseline!$C$3:$C$122,MATCH(MIN(MAX(ROUND((MAX($C2-Inputs!$B$32,15))/5,0)*5,5),600),Baseline!$A$3:$A$122,0)))+(1-(2*NORMSDIST($E2/2/(Inputs!$B$33*Inputs!$B$32))-1)-IF($F2="OB",1-(2*NORMSDIST($E2/2/(Inputs!$B$33*Inputs!$B$32))-1),IF(OR($F2="OBR",$F2="OBL"),(1-(2*NORMSDIST($E2/2/(Inputs!$B$33*Inputs!$B$32))-1))/2,0)))*INDEX(Baseline!$E$3:$E$122,MATCH(MIN(MAX(ROUND((MAX($C2-Inputs!$B$32,15))/5,0)*5,5),600),Baseline!$A$3:$A$122,0))+IF($F2="OB",1-(2*NORMSDIST($E2/2/(Inputs!$B$33*Inputs!$B$32))-1),IF(OR($F2="OBR",$F2="OBL"),(1-(2*NORMSDIST($E2/2/(Inputs!$B$33*Inputs!$B$32))-1))/2,0)))/(1-IF($F2="OB",1-(2*NORMSDIST($E2/2/(Inputs!$B$33*Inputs!$B$32))-1),IF(OR($F2="OBR",$F2="OBL"),(1-(2*NORMSDIST($E2/2/(Inputs!$B$33*Inputs!$B$32))-1))/2,0))))</f>
        <v>4.6290576984686</v>
      </c>
      <c r="K2" s="17" t="n">
        <f aca="false">IF($B2=3,"",(1+(2*NORMSDIST($E2/2/(Inputs!$B$35*Inputs!$B$34))-1)*(Inputs!$B$26*INDEX(Baseline!$B$3:$B$122,MATCH(MIN(MAX(ROUND((MAX($C2-Inputs!$B$34,15))/5,0)*5,5),600),Baseline!$A$3:$A$122,0))+(1-Inputs!$B$26)*INDEX(Baseline!$C$3:$C$122,MATCH(MIN(MAX(ROUND((MAX($C2-Inputs!$B$34,15))/5,0)*5,5),600),Baseline!$A$3:$A$122,0)))+(1-(2*NORMSDIST($E2/2/(Inputs!$B$35*Inputs!$B$34))-1)-IF($F2="OB",1-(2*NORMSDIST($E2/2/(Inputs!$B$35*Inputs!$B$34))-1),IF(OR($F2="OBR",$F2="OBL"),(1-(2*NORMSDIST($E2/2/(Inputs!$B$35*Inputs!$B$34))-1))/2,0)))*INDEX(Baseline!$E$3:$E$122,MATCH(MIN(MAX(ROUND((MAX($C2-Inputs!$B$34,15))/5,0)*5,5),600),Baseline!$A$3:$A$122,0))+IF($F2="OB",1-(2*NORMSDIST($E2/2/(Inputs!$B$35*Inputs!$B$34))-1),IF(OR($F2="OBR",$F2="OBL"),(1-(2*NORMSDIST($E2/2/(Inputs!$B$35*Inputs!$B$34))-1))/2,0)))/(1-IF($F2="OB",1-(2*NORMSDIST($E2/2/(Inputs!$B$35*Inputs!$B$34))-1),IF(OR($F2="OBR",$F2="OBL"),(1-(2*NORMSDIST($E2/2/(Inputs!$B$35*Inputs!$B$34))-1))/2,0))))</f>
        <v>4.54673725712825</v>
      </c>
      <c r="L2" s="17" t="n">
        <f aca="false">IF($B2=3,"",MIN(H2:K2))</f>
        <v>4.54673725712825</v>
      </c>
      <c r="M2" s="7" t="str">
        <f aca="false">IF($B2=3,"",INDEX({"driver","3-wood","3-hybrid","5-iron"},MATCH(L2,H2:K2,0)))</f>
        <v>5-iron</v>
      </c>
      <c r="N2" s="17" t="n">
        <f aca="false">IF($B2=3,G2,L2)</f>
        <v>4.54673725712825</v>
      </c>
      <c r="O2" s="17" t="n">
        <f aca="false">(1-Inputs!$B$7)/18+Inputs!$B$7*(19-D2)/171</f>
        <v>0.0555555555555556</v>
      </c>
      <c r="P2" s="17" t="n">
        <f aca="false">($B$23-$N$20)*O2</f>
        <v>-0.102512253450242</v>
      </c>
      <c r="Q2" s="17" t="n">
        <f aca="false">N2+P2</f>
        <v>4.44422500367801</v>
      </c>
      <c r="R2" s="17" t="n">
        <f aca="false">IF($B2=3,"",(1+(2*NORMSDIST($E2/2/(Inputs!$B$37*Inputs!$B$36))-1)*(Inputs!$B$26*INDEX(Baseline!$B$3:$B$122,MATCH(MIN(MAX(ROUND((MAX($C2-Inputs!$B$36,15))/5,0)*5,5),600),Baseline!$A$3:$A$122,0))+(1-Inputs!$B$26)*INDEX(Baseline!$C$3:$C$122,MATCH(MIN(MAX(ROUND((MAX($C2-Inputs!$B$36,15))/5,0)*5,5),600),Baseline!$A$3:$A$122,0)))+(1-(2*NORMSDIST($E2/2/(Inputs!$B$37*Inputs!$B$36))-1)-IF($F2="OB",1-(2*NORMSDIST($E2/2/(Inputs!$B$37*Inputs!$B$36))-1),IF(OR($F2="OBR",$F2="OBL"),(1-(2*NORMSDIST($E2/2/(Inputs!$B$37*Inputs!$B$36))-1))/2,0)))*INDEX(Baseline!$E$3:$E$122,MATCH(MIN(MAX(ROUND((MAX($C2-Inputs!$B$36,15))/5,0)*5,5),600),Baseline!$A$3:$A$122,0))+IF($F2="OB",1-(2*NORMSDIST($E2/2/(Inputs!$B$37*Inputs!$B$36))-1),IF(OR($F2="OBR",$F2="OBL"),(1-(2*NORMSDIST($E2/2/(Inputs!$B$37*Inputs!$B$36))-1))/2,0)))/(1-IF($F2="OB",1-(2*NORMSDIST($E2/2/(Inputs!$B$37*Inputs!$B$36))-1),IF(OR($F2="OBR",$F2="OBL"),(1-(2*NORMSDIST($E2/2/(Inputs!$B$37*Inputs!$B$36))-1))/2,0))))</f>
        <v>5.49183603265675</v>
      </c>
      <c r="S2" s="17" t="n">
        <f aca="false">IF($B2=3,"",(1+(2*NORMSDIST($E2/2/(Inputs!$B$39*Inputs!$B$38))-1)*(Inputs!$B$26*INDEX(Baseline!$B$3:$B$122,MATCH(MIN(MAX(ROUND((MAX($C2-Inputs!$B$38,15))/5,0)*5,5),600),Baseline!$A$3:$A$122,0))+(1-Inputs!$B$26)*INDEX(Baseline!$C$3:$C$122,MATCH(MIN(MAX(ROUND((MAX($C2-Inputs!$B$38,15))/5,0)*5,5),600),Baseline!$A$3:$A$122,0)))+(1-(2*NORMSDIST($E2/2/(Inputs!$B$39*Inputs!$B$38))-1)-IF($F2="OB",1-(2*NORMSDIST($E2/2/(Inputs!$B$39*Inputs!$B$38))-1),IF(OR($F2="OBR",$F2="OBL"),(1-(2*NORMSDIST($E2/2/(Inputs!$B$39*Inputs!$B$38))-1))/2,0)))*INDEX(Baseline!$E$3:$E$122,MATCH(MIN(MAX(ROUND((MAX($C2-Inputs!$B$38,15))/5,0)*5,5),600),Baseline!$A$3:$A$122,0))+IF($F2="OB",1-(2*NORMSDIST($E2/2/(Inputs!$B$39*Inputs!$B$38))-1),IF(OR($F2="OBR",$F2="OBL"),(1-(2*NORMSDIST($E2/2/(Inputs!$B$39*Inputs!$B$38))-1))/2,0)))/(1-IF($F2="OB",1-(2*NORMSDIST($E2/2/(Inputs!$B$39*Inputs!$B$38))-1),IF(OR($F2="OBR",$F2="OBL"),(1-(2*NORMSDIST($E2/2/(Inputs!$B$39*Inputs!$B$38))-1))/2,0))))</f>
        <v>4.80272096526001</v>
      </c>
      <c r="T2" s="17" t="n">
        <f aca="false">IF($B2=3,"",(1+(2*NORMSDIST($E2/2/(Inputs!$B$41*Inputs!$B$40))-1)*(Inputs!$B$26*INDEX(Baseline!$B$3:$B$122,MATCH(MIN(MAX(ROUND((MAX($C2-Inputs!$B$40,15))/5,0)*5,5),600),Baseline!$A$3:$A$122,0))+(1-Inputs!$B$26)*INDEX(Baseline!$C$3:$C$122,MATCH(MIN(MAX(ROUND((MAX($C2-Inputs!$B$40,15))/5,0)*5,5),600),Baseline!$A$3:$A$122,0)))+(1-(2*NORMSDIST($E2/2/(Inputs!$B$41*Inputs!$B$40))-1)-IF($F2="OB",1-(2*NORMSDIST($E2/2/(Inputs!$B$41*Inputs!$B$40))-1),IF(OR($F2="OBR",$F2="OBL"),(1-(2*NORMSDIST($E2/2/(Inputs!$B$41*Inputs!$B$40))-1))/2,0)))*INDEX(Baseline!$E$3:$E$122,MATCH(MIN(MAX(ROUND((MAX($C2-Inputs!$B$40,15))/5,0)*5,5),600),Baseline!$A$3:$A$122,0))+IF($F2="OB",1-(2*NORMSDIST($E2/2/(Inputs!$B$41*Inputs!$B$40))-1),IF(OR($F2="OBR",$F2="OBL"),(1-(2*NORMSDIST($E2/2/(Inputs!$B$41*Inputs!$B$40))-1))/2,0)))/(1-IF($F2="OB",1-(2*NORMSDIST($E2/2/(Inputs!$B$41*Inputs!$B$40))-1),IF(OR($F2="OBR",$F2="OBL"),(1-(2*NORMSDIST($E2/2/(Inputs!$B$41*Inputs!$B$40))-1))/2,0))))</f>
        <v>4.98186871463152</v>
      </c>
      <c r="U2" s="17" t="n">
        <f aca="false">IF($B2=3,"",(1+(2*NORMSDIST($E2/2/(Inputs!$B$43*Inputs!$B$42))-1)*(Inputs!$B$26*INDEX(Baseline!$B$3:$B$122,MATCH(MIN(MAX(ROUND((MAX($C2-Inputs!$B$42,15))/5,0)*5,5),600),Baseline!$A$3:$A$122,0))+(1-Inputs!$B$26)*INDEX(Baseline!$C$3:$C$122,MATCH(MIN(MAX(ROUND((MAX($C2-Inputs!$B$42,15))/5,0)*5,5),600),Baseline!$A$3:$A$122,0)))+(1-(2*NORMSDIST($E2/2/(Inputs!$B$43*Inputs!$B$42))-1)-IF($F2="OB",1-(2*NORMSDIST($E2/2/(Inputs!$B$43*Inputs!$B$42))-1),IF(OR($F2="OBR",$F2="OBL"),(1-(2*NORMSDIST($E2/2/(Inputs!$B$43*Inputs!$B$42))-1))/2,0)))*INDEX(Baseline!$E$3:$E$122,MATCH(MIN(MAX(ROUND((MAX($C2-Inputs!$B$42,15))/5,0)*5,5),600),Baseline!$A$3:$A$122,0))+IF($F2="OB",1-(2*NORMSDIST($E2/2/(Inputs!$B$43*Inputs!$B$42))-1),IF(OR($F2="OBR",$F2="OBL"),(1-(2*NORMSDIST($E2/2/(Inputs!$B$43*Inputs!$B$42))-1))/2,0)))/(1-IF($F2="OB",1-(2*NORMSDIST($E2/2/(Inputs!$B$43*Inputs!$B$42))-1),IF(OR($F2="OBR",$F2="OBL"),(1-(2*NORMSDIST($E2/2/(Inputs!$B$43*Inputs!$B$42))-1))/2,0))))</f>
        <v>4.60641185224914</v>
      </c>
      <c r="V2" s="7" t="str">
        <f aca="false">IF($B2=3,"",INDEX({"driver","7-wood","2-iron","5-iron"},MATCH(MIN(R2:U2),R2:U2,0)))</f>
        <v>5-iron</v>
      </c>
    </row>
    <row r="3" customFormat="false" ht="15" hidden="false" customHeight="false" outlineLevel="0" collapsed="false">
      <c r="A3" s="14" t="n">
        <v>2</v>
      </c>
      <c r="B3" s="15" t="n">
        <v>3</v>
      </c>
      <c r="C3" s="15" t="n">
        <v>150</v>
      </c>
      <c r="D3" s="15" t="n">
        <v>9</v>
      </c>
      <c r="G3" s="17" t="n">
        <f aca="false">INDEX(Baseline!$B$3:$B$122,MATCH(MIN(MAX(ROUND(($C3)/5,0)*5,5),600),Baseline!$A$3:$A$122,0))-Inputs!$B$9</f>
        <v>3.23271</v>
      </c>
      <c r="H3" s="17" t="str">
        <f aca="false">IF($B3=3,"",(1+(2*NORMSDIST($E3/2/(Inputs!$B$29*Inputs!$B$28))-1)*(Inputs!$B$26*INDEX(Baseline!$B$3:$B$122,MATCH(MIN(MAX(ROUND((MAX($C3-Inputs!$B$28,15))/5,0)*5,5),600),Baseline!$A$3:$A$122,0))+(1-Inputs!$B$26)*INDEX(Baseline!$C$3:$C$122,MATCH(MIN(MAX(ROUND((MAX($C3-Inputs!$B$28,15))/5,0)*5,5),600),Baseline!$A$3:$A$122,0)))+(1-(2*NORMSDIST($E3/2/(Inputs!$B$29*Inputs!$B$28))-1)-IF($F3="OB",1-(2*NORMSDIST($E3/2/(Inputs!$B$29*Inputs!$B$28))-1),IF(OR($F3="OBR",$F3="OBL"),(1-(2*NORMSDIST($E3/2/(Inputs!$B$29*Inputs!$B$28))-1))/2,0)))*INDEX(Baseline!$E$3:$E$122,MATCH(MIN(MAX(ROUND((MAX($C3-Inputs!$B$28,15))/5,0)*5,5),600),Baseline!$A$3:$A$122,0))+IF($F3="OB",1-(2*NORMSDIST($E3/2/(Inputs!$B$29*Inputs!$B$28))-1),IF(OR($F3="OBR",$F3="OBL"),(1-(2*NORMSDIST($E3/2/(Inputs!$B$29*Inputs!$B$28))-1))/2,0)))/(1-IF($F3="OB",1-(2*NORMSDIST($E3/2/(Inputs!$B$29*Inputs!$B$28))-1),IF(OR($F3="OBR",$F3="OBL"),(1-(2*NORMSDIST($E3/2/(Inputs!$B$29*Inputs!$B$28))-1))/2,0))))</f>
        <v/>
      </c>
      <c r="I3" s="17" t="str">
        <f aca="false">IF($B3=3,"",(1+(2*NORMSDIST($E3/2/(Inputs!$B$31*Inputs!$B$30))-1)*(Inputs!$B$26*INDEX(Baseline!$B$3:$B$122,MATCH(MIN(MAX(ROUND((MAX($C3-Inputs!$B$30,15))/5,0)*5,5),600),Baseline!$A$3:$A$122,0))+(1-Inputs!$B$26)*INDEX(Baseline!$C$3:$C$122,MATCH(MIN(MAX(ROUND((MAX($C3-Inputs!$B$30,15))/5,0)*5,5),600),Baseline!$A$3:$A$122,0)))+(1-(2*NORMSDIST($E3/2/(Inputs!$B$31*Inputs!$B$30))-1)-IF($F3="OB",1-(2*NORMSDIST($E3/2/(Inputs!$B$31*Inputs!$B$30))-1),IF(OR($F3="OBR",$F3="OBL"),(1-(2*NORMSDIST($E3/2/(Inputs!$B$31*Inputs!$B$30))-1))/2,0)))*INDEX(Baseline!$E$3:$E$122,MATCH(MIN(MAX(ROUND((MAX($C3-Inputs!$B$30,15))/5,0)*5,5),600),Baseline!$A$3:$A$122,0))+IF($F3="OB",1-(2*NORMSDIST($E3/2/(Inputs!$B$31*Inputs!$B$30))-1),IF(OR($F3="OBR",$F3="OBL"),(1-(2*NORMSDIST($E3/2/(Inputs!$B$31*Inputs!$B$30))-1))/2,0)))/(1-IF($F3="OB",1-(2*NORMSDIST($E3/2/(Inputs!$B$31*Inputs!$B$30))-1),IF(OR($F3="OBR",$F3="OBL"),(1-(2*NORMSDIST($E3/2/(Inputs!$B$31*Inputs!$B$30))-1))/2,0))))</f>
        <v/>
      </c>
      <c r="J3" s="17" t="str">
        <f aca="false">IF($B3=3,"",(1+(2*NORMSDIST($E3/2/(Inputs!$B$33*Inputs!$B$32))-1)*(Inputs!$B$26*INDEX(Baseline!$B$3:$B$122,MATCH(MIN(MAX(ROUND((MAX($C3-Inputs!$B$32,15))/5,0)*5,5),600),Baseline!$A$3:$A$122,0))+(1-Inputs!$B$26)*INDEX(Baseline!$C$3:$C$122,MATCH(MIN(MAX(ROUND((MAX($C3-Inputs!$B$32,15))/5,0)*5,5),600),Baseline!$A$3:$A$122,0)))+(1-(2*NORMSDIST($E3/2/(Inputs!$B$33*Inputs!$B$32))-1)-IF($F3="OB",1-(2*NORMSDIST($E3/2/(Inputs!$B$33*Inputs!$B$32))-1),IF(OR($F3="OBR",$F3="OBL"),(1-(2*NORMSDIST($E3/2/(Inputs!$B$33*Inputs!$B$32))-1))/2,0)))*INDEX(Baseline!$E$3:$E$122,MATCH(MIN(MAX(ROUND((MAX($C3-Inputs!$B$32,15))/5,0)*5,5),600),Baseline!$A$3:$A$122,0))+IF($F3="OB",1-(2*NORMSDIST($E3/2/(Inputs!$B$33*Inputs!$B$32))-1),IF(OR($F3="OBR",$F3="OBL"),(1-(2*NORMSDIST($E3/2/(Inputs!$B$33*Inputs!$B$32))-1))/2,0)))/(1-IF($F3="OB",1-(2*NORMSDIST($E3/2/(Inputs!$B$33*Inputs!$B$32))-1),IF(OR($F3="OBR",$F3="OBL"),(1-(2*NORMSDIST($E3/2/(Inputs!$B$33*Inputs!$B$32))-1))/2,0))))</f>
        <v/>
      </c>
      <c r="K3" s="17" t="str">
        <f aca="false">IF($B3=3,"",(1+(2*NORMSDIST($E3/2/(Inputs!$B$35*Inputs!$B$34))-1)*(Inputs!$B$26*INDEX(Baseline!$B$3:$B$122,MATCH(MIN(MAX(ROUND((MAX($C3-Inputs!$B$34,15))/5,0)*5,5),600),Baseline!$A$3:$A$122,0))+(1-Inputs!$B$26)*INDEX(Baseline!$C$3:$C$122,MATCH(MIN(MAX(ROUND((MAX($C3-Inputs!$B$34,15))/5,0)*5,5),600),Baseline!$A$3:$A$122,0)))+(1-(2*NORMSDIST($E3/2/(Inputs!$B$35*Inputs!$B$34))-1)-IF($F3="OB",1-(2*NORMSDIST($E3/2/(Inputs!$B$35*Inputs!$B$34))-1),IF(OR($F3="OBR",$F3="OBL"),(1-(2*NORMSDIST($E3/2/(Inputs!$B$35*Inputs!$B$34))-1))/2,0)))*INDEX(Baseline!$E$3:$E$122,MATCH(MIN(MAX(ROUND((MAX($C3-Inputs!$B$34,15))/5,0)*5,5),600),Baseline!$A$3:$A$122,0))+IF($F3="OB",1-(2*NORMSDIST($E3/2/(Inputs!$B$35*Inputs!$B$34))-1),IF(OR($F3="OBR",$F3="OBL"),(1-(2*NORMSDIST($E3/2/(Inputs!$B$35*Inputs!$B$34))-1))/2,0)))/(1-IF($F3="OB",1-(2*NORMSDIST($E3/2/(Inputs!$B$35*Inputs!$B$34))-1),IF(OR($F3="OBR",$F3="OBL"),(1-(2*NORMSDIST($E3/2/(Inputs!$B$35*Inputs!$B$34))-1))/2,0))))</f>
        <v/>
      </c>
      <c r="L3" s="17" t="str">
        <f aca="false">IF($B3=3,"",MIN(H3:K3))</f>
        <v/>
      </c>
      <c r="M3" s="7" t="str">
        <f aca="false">IF($B3=3,"",INDEX({"driver","3-wood","3-hybrid","5-iron"},MATCH(L3,H3:K3,0)))</f>
        <v/>
      </c>
      <c r="N3" s="17" t="n">
        <f aca="false">IF($B3=3,G3,L3)</f>
        <v>3.23271</v>
      </c>
      <c r="O3" s="17" t="n">
        <f aca="false">(1-Inputs!$B$7)/18+Inputs!$B$7*(19-D3)/171</f>
        <v>0.0555555555555556</v>
      </c>
      <c r="P3" s="17" t="n">
        <f aca="false">($B$23-$N$20)*O3</f>
        <v>-0.102512253450242</v>
      </c>
      <c r="Q3" s="17" t="n">
        <f aca="false">N3+P3</f>
        <v>3.13019774654976</v>
      </c>
      <c r="R3" s="17" t="str">
        <f aca="false">IF($B3=3,"",(1+(2*NORMSDIST($E3/2/(Inputs!$B$37*Inputs!$B$36))-1)*(Inputs!$B$26*INDEX(Baseline!$B$3:$B$122,MATCH(MIN(MAX(ROUND((MAX($C3-Inputs!$B$36,15))/5,0)*5,5),600),Baseline!$A$3:$A$122,0))+(1-Inputs!$B$26)*INDEX(Baseline!$C$3:$C$122,MATCH(MIN(MAX(ROUND((MAX($C3-Inputs!$B$36,15))/5,0)*5,5),600),Baseline!$A$3:$A$122,0)))+(1-(2*NORMSDIST($E3/2/(Inputs!$B$37*Inputs!$B$36))-1)-IF($F3="OB",1-(2*NORMSDIST($E3/2/(Inputs!$B$37*Inputs!$B$36))-1),IF(OR($F3="OBR",$F3="OBL"),(1-(2*NORMSDIST($E3/2/(Inputs!$B$37*Inputs!$B$36))-1))/2,0)))*INDEX(Baseline!$E$3:$E$122,MATCH(MIN(MAX(ROUND((MAX($C3-Inputs!$B$36,15))/5,0)*5,5),600),Baseline!$A$3:$A$122,0))+IF($F3="OB",1-(2*NORMSDIST($E3/2/(Inputs!$B$37*Inputs!$B$36))-1),IF(OR($F3="OBR",$F3="OBL"),(1-(2*NORMSDIST($E3/2/(Inputs!$B$37*Inputs!$B$36))-1))/2,0)))/(1-IF($F3="OB",1-(2*NORMSDIST($E3/2/(Inputs!$B$37*Inputs!$B$36))-1),IF(OR($F3="OBR",$F3="OBL"),(1-(2*NORMSDIST($E3/2/(Inputs!$B$37*Inputs!$B$36))-1))/2,0))))</f>
        <v/>
      </c>
      <c r="S3" s="17" t="str">
        <f aca="false">IF($B3=3,"",(1+(2*NORMSDIST($E3/2/(Inputs!$B$39*Inputs!$B$38))-1)*(Inputs!$B$26*INDEX(Baseline!$B$3:$B$122,MATCH(MIN(MAX(ROUND((MAX($C3-Inputs!$B$38,15))/5,0)*5,5),600),Baseline!$A$3:$A$122,0))+(1-Inputs!$B$26)*INDEX(Baseline!$C$3:$C$122,MATCH(MIN(MAX(ROUND((MAX($C3-Inputs!$B$38,15))/5,0)*5,5),600),Baseline!$A$3:$A$122,0)))+(1-(2*NORMSDIST($E3/2/(Inputs!$B$39*Inputs!$B$38))-1)-IF($F3="OB",1-(2*NORMSDIST($E3/2/(Inputs!$B$39*Inputs!$B$38))-1),IF(OR($F3="OBR",$F3="OBL"),(1-(2*NORMSDIST($E3/2/(Inputs!$B$39*Inputs!$B$38))-1))/2,0)))*INDEX(Baseline!$E$3:$E$122,MATCH(MIN(MAX(ROUND((MAX($C3-Inputs!$B$38,15))/5,0)*5,5),600),Baseline!$A$3:$A$122,0))+IF($F3="OB",1-(2*NORMSDIST($E3/2/(Inputs!$B$39*Inputs!$B$38))-1),IF(OR($F3="OBR",$F3="OBL"),(1-(2*NORMSDIST($E3/2/(Inputs!$B$39*Inputs!$B$38))-1))/2,0)))/(1-IF($F3="OB",1-(2*NORMSDIST($E3/2/(Inputs!$B$39*Inputs!$B$38))-1),IF(OR($F3="OBR",$F3="OBL"),(1-(2*NORMSDIST($E3/2/(Inputs!$B$39*Inputs!$B$38))-1))/2,0))))</f>
        <v/>
      </c>
      <c r="T3" s="17" t="str">
        <f aca="false">IF($B3=3,"",(1+(2*NORMSDIST($E3/2/(Inputs!$B$41*Inputs!$B$40))-1)*(Inputs!$B$26*INDEX(Baseline!$B$3:$B$122,MATCH(MIN(MAX(ROUND((MAX($C3-Inputs!$B$40,15))/5,0)*5,5),600),Baseline!$A$3:$A$122,0))+(1-Inputs!$B$26)*INDEX(Baseline!$C$3:$C$122,MATCH(MIN(MAX(ROUND((MAX($C3-Inputs!$B$40,15))/5,0)*5,5),600),Baseline!$A$3:$A$122,0)))+(1-(2*NORMSDIST($E3/2/(Inputs!$B$41*Inputs!$B$40))-1)-IF($F3="OB",1-(2*NORMSDIST($E3/2/(Inputs!$B$41*Inputs!$B$40))-1),IF(OR($F3="OBR",$F3="OBL"),(1-(2*NORMSDIST($E3/2/(Inputs!$B$41*Inputs!$B$40))-1))/2,0)))*INDEX(Baseline!$E$3:$E$122,MATCH(MIN(MAX(ROUND((MAX($C3-Inputs!$B$40,15))/5,0)*5,5),600),Baseline!$A$3:$A$122,0))+IF($F3="OB",1-(2*NORMSDIST($E3/2/(Inputs!$B$41*Inputs!$B$40))-1),IF(OR($F3="OBR",$F3="OBL"),(1-(2*NORMSDIST($E3/2/(Inputs!$B$41*Inputs!$B$40))-1))/2,0)))/(1-IF($F3="OB",1-(2*NORMSDIST($E3/2/(Inputs!$B$41*Inputs!$B$40))-1),IF(OR($F3="OBR",$F3="OBL"),(1-(2*NORMSDIST($E3/2/(Inputs!$B$41*Inputs!$B$40))-1))/2,0))))</f>
        <v/>
      </c>
      <c r="U3" s="17" t="str">
        <f aca="false">IF($B3=3,"",(1+(2*NORMSDIST($E3/2/(Inputs!$B$43*Inputs!$B$42))-1)*(Inputs!$B$26*INDEX(Baseline!$B$3:$B$122,MATCH(MIN(MAX(ROUND((MAX($C3-Inputs!$B$42,15))/5,0)*5,5),600),Baseline!$A$3:$A$122,0))+(1-Inputs!$B$26)*INDEX(Baseline!$C$3:$C$122,MATCH(MIN(MAX(ROUND((MAX($C3-Inputs!$B$42,15))/5,0)*5,5),600),Baseline!$A$3:$A$122,0)))+(1-(2*NORMSDIST($E3/2/(Inputs!$B$43*Inputs!$B$42))-1)-IF($F3="OB",1-(2*NORMSDIST($E3/2/(Inputs!$B$43*Inputs!$B$42))-1),IF(OR($F3="OBR",$F3="OBL"),(1-(2*NORMSDIST($E3/2/(Inputs!$B$43*Inputs!$B$42))-1))/2,0)))*INDEX(Baseline!$E$3:$E$122,MATCH(MIN(MAX(ROUND((MAX($C3-Inputs!$B$42,15))/5,0)*5,5),600),Baseline!$A$3:$A$122,0))+IF($F3="OB",1-(2*NORMSDIST($E3/2/(Inputs!$B$43*Inputs!$B$42))-1),IF(OR($F3="OBR",$F3="OBL"),(1-(2*NORMSDIST($E3/2/(Inputs!$B$43*Inputs!$B$42))-1))/2,0)))/(1-IF($F3="OB",1-(2*NORMSDIST($E3/2/(Inputs!$B$43*Inputs!$B$42))-1),IF(OR($F3="OBR",$F3="OBL"),(1-(2*NORMSDIST($E3/2/(Inputs!$B$43*Inputs!$B$42))-1))/2,0))))</f>
        <v/>
      </c>
      <c r="V3" s="7" t="str">
        <f aca="false">IF($B3=3,"",INDEX({"driver","7-wood","2-iron","5-iron"},MATCH(MIN(R3:U3),R3:U3,0)))</f>
        <v/>
      </c>
    </row>
    <row r="4" customFormat="false" ht="15" hidden="false" customHeight="false" outlineLevel="0" collapsed="false">
      <c r="A4" s="14" t="n">
        <v>3</v>
      </c>
      <c r="B4" s="15" t="n">
        <v>4</v>
      </c>
      <c r="C4" s="15" t="n">
        <v>262</v>
      </c>
      <c r="D4" s="15" t="n">
        <v>15</v>
      </c>
      <c r="E4" s="16" t="n">
        <f aca="false">Inputs!$B$27</f>
        <v>45</v>
      </c>
      <c r="F4" s="8" t="s">
        <v>152</v>
      </c>
      <c r="G4" s="17" t="n">
        <f aca="false">INDEX(Baseline!$B$3:$B$122,MATCH(MIN(MAX(ROUND(($C4)/5,0)*5,5),600),Baseline!$A$3:$A$122,0))-Inputs!$B$9</f>
        <v>3.74</v>
      </c>
      <c r="H4" s="17" t="n">
        <f aca="false">IF($B4=3,"",(1+(2*NORMSDIST($E4/2/(Inputs!$B$29*Inputs!$B$28))-1)*(Inputs!$B$26*INDEX(Baseline!$B$3:$B$122,MATCH(MIN(MAX(ROUND((MAX($C4-Inputs!$B$28,15))/5,0)*5,5),600),Baseline!$A$3:$A$122,0))+(1-Inputs!$B$26)*INDEX(Baseline!$C$3:$C$122,MATCH(MIN(MAX(ROUND((MAX($C4-Inputs!$B$28,15))/5,0)*5,5),600),Baseline!$A$3:$A$122,0)))+(1-(2*NORMSDIST($E4/2/(Inputs!$B$29*Inputs!$B$28))-1)-IF($F4="OB",1-(2*NORMSDIST($E4/2/(Inputs!$B$29*Inputs!$B$28))-1),IF(OR($F4="OBR",$F4="OBL"),(1-(2*NORMSDIST($E4/2/(Inputs!$B$29*Inputs!$B$28))-1))/2,0)))*INDEX(Baseline!$E$3:$E$122,MATCH(MIN(MAX(ROUND((MAX($C4-Inputs!$B$28,15))/5,0)*5,5),600),Baseline!$A$3:$A$122,0))+IF($F4="OB",1-(2*NORMSDIST($E4/2/(Inputs!$B$29*Inputs!$B$28))-1),IF(OR($F4="OBR",$F4="OBL"),(1-(2*NORMSDIST($E4/2/(Inputs!$B$29*Inputs!$B$28))-1))/2,0)))/(1-IF($F4="OB",1-(2*NORMSDIST($E4/2/(Inputs!$B$29*Inputs!$B$28))-1),IF(OR($F4="OBR",$F4="OBL"),(1-(2*NORMSDIST($E4/2/(Inputs!$B$29*Inputs!$B$28))-1))/2,0))))</f>
        <v>3.89018895029265</v>
      </c>
      <c r="I4" s="17" t="n">
        <f aca="false">IF($B4=3,"",(1+(2*NORMSDIST($E4/2/(Inputs!$B$31*Inputs!$B$30))-1)*(Inputs!$B$26*INDEX(Baseline!$B$3:$B$122,MATCH(MIN(MAX(ROUND((MAX($C4-Inputs!$B$30,15))/5,0)*5,5),600),Baseline!$A$3:$A$122,0))+(1-Inputs!$B$26)*INDEX(Baseline!$C$3:$C$122,MATCH(MIN(MAX(ROUND((MAX($C4-Inputs!$B$30,15))/5,0)*5,5),600),Baseline!$A$3:$A$122,0)))+(1-(2*NORMSDIST($E4/2/(Inputs!$B$31*Inputs!$B$30))-1)-IF($F4="OB",1-(2*NORMSDIST($E4/2/(Inputs!$B$31*Inputs!$B$30))-1),IF(OR($F4="OBR",$F4="OBL"),(1-(2*NORMSDIST($E4/2/(Inputs!$B$31*Inputs!$B$30))-1))/2,0)))*INDEX(Baseline!$E$3:$E$122,MATCH(MIN(MAX(ROUND((MAX($C4-Inputs!$B$30,15))/5,0)*5,5),600),Baseline!$A$3:$A$122,0))+IF($F4="OB",1-(2*NORMSDIST($E4/2/(Inputs!$B$31*Inputs!$B$30))-1),IF(OR($F4="OBR",$F4="OBL"),(1-(2*NORMSDIST($E4/2/(Inputs!$B$31*Inputs!$B$30))-1))/2,0)))/(1-IF($F4="OB",1-(2*NORMSDIST($E4/2/(Inputs!$B$31*Inputs!$B$30))-1),IF(OR($F4="OBR",$F4="OBL"),(1-(2*NORMSDIST($E4/2/(Inputs!$B$31*Inputs!$B$30))-1))/2,0))))</f>
        <v>3.88772324830623</v>
      </c>
      <c r="J4" s="17" t="n">
        <f aca="false">IF($B4=3,"",(1+(2*NORMSDIST($E4/2/(Inputs!$B$33*Inputs!$B$32))-1)*(Inputs!$B$26*INDEX(Baseline!$B$3:$B$122,MATCH(MIN(MAX(ROUND((MAX($C4-Inputs!$B$32,15))/5,0)*5,5),600),Baseline!$A$3:$A$122,0))+(1-Inputs!$B$26)*INDEX(Baseline!$C$3:$C$122,MATCH(MIN(MAX(ROUND((MAX($C4-Inputs!$B$32,15))/5,0)*5,5),600),Baseline!$A$3:$A$122,0)))+(1-(2*NORMSDIST($E4/2/(Inputs!$B$33*Inputs!$B$32))-1)-IF($F4="OB",1-(2*NORMSDIST($E4/2/(Inputs!$B$33*Inputs!$B$32))-1),IF(OR($F4="OBR",$F4="OBL"),(1-(2*NORMSDIST($E4/2/(Inputs!$B$33*Inputs!$B$32))-1))/2,0)))*INDEX(Baseline!$E$3:$E$122,MATCH(MIN(MAX(ROUND((MAX($C4-Inputs!$B$32,15))/5,0)*5,5),600),Baseline!$A$3:$A$122,0))+IF($F4="OB",1-(2*NORMSDIST($E4/2/(Inputs!$B$33*Inputs!$B$32))-1),IF(OR($F4="OBR",$F4="OBL"),(1-(2*NORMSDIST($E4/2/(Inputs!$B$33*Inputs!$B$32))-1))/2,0)))/(1-IF($F4="OB",1-(2*NORMSDIST($E4/2/(Inputs!$B$33*Inputs!$B$32))-1),IF(OR($F4="OBR",$F4="OBL"),(1-(2*NORMSDIST($E4/2/(Inputs!$B$33*Inputs!$B$32))-1))/2,0))))</f>
        <v>4.11812945196887</v>
      </c>
      <c r="K4" s="17" t="n">
        <f aca="false">IF($B4=3,"",(1+(2*NORMSDIST($E4/2/(Inputs!$B$35*Inputs!$B$34))-1)*(Inputs!$B$26*INDEX(Baseline!$B$3:$B$122,MATCH(MIN(MAX(ROUND((MAX($C4-Inputs!$B$34,15))/5,0)*5,5),600),Baseline!$A$3:$A$122,0))+(1-Inputs!$B$26)*INDEX(Baseline!$C$3:$C$122,MATCH(MIN(MAX(ROUND((MAX($C4-Inputs!$B$34,15))/5,0)*5,5),600),Baseline!$A$3:$A$122,0)))+(1-(2*NORMSDIST($E4/2/(Inputs!$B$35*Inputs!$B$34))-1)-IF($F4="OB",1-(2*NORMSDIST($E4/2/(Inputs!$B$35*Inputs!$B$34))-1),IF(OR($F4="OBR",$F4="OBL"),(1-(2*NORMSDIST($E4/2/(Inputs!$B$35*Inputs!$B$34))-1))/2,0)))*INDEX(Baseline!$E$3:$E$122,MATCH(MIN(MAX(ROUND((MAX($C4-Inputs!$B$34,15))/5,0)*5,5),600),Baseline!$A$3:$A$122,0))+IF($F4="OB",1-(2*NORMSDIST($E4/2/(Inputs!$B$35*Inputs!$B$34))-1),IF(OR($F4="OBR",$F4="OBL"),(1-(2*NORMSDIST($E4/2/(Inputs!$B$35*Inputs!$B$34))-1))/2,0)))/(1-IF($F4="OB",1-(2*NORMSDIST($E4/2/(Inputs!$B$35*Inputs!$B$34))-1),IF(OR($F4="OBR",$F4="OBL"),(1-(2*NORMSDIST($E4/2/(Inputs!$B$35*Inputs!$B$34))-1))/2,0))))</f>
        <v>4.08848459969177</v>
      </c>
      <c r="L4" s="17" t="n">
        <f aca="false">IF($B4=3,"",MIN(H4:K4))</f>
        <v>3.88772324830623</v>
      </c>
      <c r="M4" s="7" t="str">
        <f aca="false">IF($B4=3,"",INDEX({"driver","3-wood","3-hybrid","5-iron"},MATCH(L4,H4:K4,0)))</f>
        <v>3-wood</v>
      </c>
      <c r="N4" s="17" t="n">
        <f aca="false">IF($B4=3,G4,L4)</f>
        <v>3.88772324830623</v>
      </c>
      <c r="O4" s="17" t="n">
        <f aca="false">(1-Inputs!$B$7)/18+Inputs!$B$7*(19-D4)/171</f>
        <v>0.0555555555555556</v>
      </c>
      <c r="P4" s="17" t="n">
        <f aca="false">($B$23-$N$20)*O4</f>
        <v>-0.102512253450242</v>
      </c>
      <c r="Q4" s="17" t="n">
        <f aca="false">N4+P4</f>
        <v>3.78521099485599</v>
      </c>
      <c r="R4" s="17" t="n">
        <f aca="false">IF($B4=3,"",(1+(2*NORMSDIST($E4/2/(Inputs!$B$37*Inputs!$B$36))-1)*(Inputs!$B$26*INDEX(Baseline!$B$3:$B$122,MATCH(MIN(MAX(ROUND((MAX($C4-Inputs!$B$36,15))/5,0)*5,5),600),Baseline!$A$3:$A$122,0))+(1-Inputs!$B$26)*INDEX(Baseline!$C$3:$C$122,MATCH(MIN(MAX(ROUND((MAX($C4-Inputs!$B$36,15))/5,0)*5,5),600),Baseline!$A$3:$A$122,0)))+(1-(2*NORMSDIST($E4/2/(Inputs!$B$37*Inputs!$B$36))-1)-IF($F4="OB",1-(2*NORMSDIST($E4/2/(Inputs!$B$37*Inputs!$B$36))-1),IF(OR($F4="OBR",$F4="OBL"),(1-(2*NORMSDIST($E4/2/(Inputs!$B$37*Inputs!$B$36))-1))/2,0)))*INDEX(Baseline!$E$3:$E$122,MATCH(MIN(MAX(ROUND((MAX($C4-Inputs!$B$36,15))/5,0)*5,5),600),Baseline!$A$3:$A$122,0))+IF($F4="OB",1-(2*NORMSDIST($E4/2/(Inputs!$B$37*Inputs!$B$36))-1),IF(OR($F4="OBR",$F4="OBL"),(1-(2*NORMSDIST($E4/2/(Inputs!$B$37*Inputs!$B$36))-1))/2,0)))/(1-IF($F4="OB",1-(2*NORMSDIST($E4/2/(Inputs!$B$37*Inputs!$B$36))-1),IF(OR($F4="OBR",$F4="OBL"),(1-(2*NORMSDIST($E4/2/(Inputs!$B$37*Inputs!$B$36))-1))/2,0))))</f>
        <v>4.31444472821756</v>
      </c>
      <c r="S4" s="17" t="n">
        <f aca="false">IF($B4=3,"",(1+(2*NORMSDIST($E4/2/(Inputs!$B$39*Inputs!$B$38))-1)*(Inputs!$B$26*INDEX(Baseline!$B$3:$B$122,MATCH(MIN(MAX(ROUND((MAX($C4-Inputs!$B$38,15))/5,0)*5,5),600),Baseline!$A$3:$A$122,0))+(1-Inputs!$B$26)*INDEX(Baseline!$C$3:$C$122,MATCH(MIN(MAX(ROUND((MAX($C4-Inputs!$B$38,15))/5,0)*5,5),600),Baseline!$A$3:$A$122,0)))+(1-(2*NORMSDIST($E4/2/(Inputs!$B$39*Inputs!$B$38))-1)-IF($F4="OB",1-(2*NORMSDIST($E4/2/(Inputs!$B$39*Inputs!$B$38))-1),IF(OR($F4="OBR",$F4="OBL"),(1-(2*NORMSDIST($E4/2/(Inputs!$B$39*Inputs!$B$38))-1))/2,0)))*INDEX(Baseline!$E$3:$E$122,MATCH(MIN(MAX(ROUND((MAX($C4-Inputs!$B$38,15))/5,0)*5,5),600),Baseline!$A$3:$A$122,0))+IF($F4="OB",1-(2*NORMSDIST($E4/2/(Inputs!$B$39*Inputs!$B$38))-1),IF(OR($F4="OBR",$F4="OBL"),(1-(2*NORMSDIST($E4/2/(Inputs!$B$39*Inputs!$B$38))-1))/2,0)))/(1-IF($F4="OB",1-(2*NORMSDIST($E4/2/(Inputs!$B$39*Inputs!$B$38))-1),IF(OR($F4="OBR",$F4="OBL"),(1-(2*NORMSDIST($E4/2/(Inputs!$B$39*Inputs!$B$38))-1))/2,0))))</f>
        <v>4.13808078302504</v>
      </c>
      <c r="T4" s="17" t="n">
        <f aca="false">IF($B4=3,"",(1+(2*NORMSDIST($E4/2/(Inputs!$B$41*Inputs!$B$40))-1)*(Inputs!$B$26*INDEX(Baseline!$B$3:$B$122,MATCH(MIN(MAX(ROUND((MAX($C4-Inputs!$B$40,15))/5,0)*5,5),600),Baseline!$A$3:$A$122,0))+(1-Inputs!$B$26)*INDEX(Baseline!$C$3:$C$122,MATCH(MIN(MAX(ROUND((MAX($C4-Inputs!$B$40,15))/5,0)*5,5),600),Baseline!$A$3:$A$122,0)))+(1-(2*NORMSDIST($E4/2/(Inputs!$B$41*Inputs!$B$40))-1)-IF($F4="OB",1-(2*NORMSDIST($E4/2/(Inputs!$B$41*Inputs!$B$40))-1),IF(OR($F4="OBR",$F4="OBL"),(1-(2*NORMSDIST($E4/2/(Inputs!$B$41*Inputs!$B$40))-1))/2,0)))*INDEX(Baseline!$E$3:$E$122,MATCH(MIN(MAX(ROUND((MAX($C4-Inputs!$B$40,15))/5,0)*5,5),600),Baseline!$A$3:$A$122,0))+IF($F4="OB",1-(2*NORMSDIST($E4/2/(Inputs!$B$41*Inputs!$B$40))-1),IF(OR($F4="OBR",$F4="OBL"),(1-(2*NORMSDIST($E4/2/(Inputs!$B$41*Inputs!$B$40))-1))/2,0)))/(1-IF($F4="OB",1-(2*NORMSDIST($E4/2/(Inputs!$B$41*Inputs!$B$40))-1),IF(OR($F4="OBR",$F4="OBL"),(1-(2*NORMSDIST($E4/2/(Inputs!$B$41*Inputs!$B$40))-1))/2,0))))</f>
        <v>4.03485354077187</v>
      </c>
      <c r="U4" s="17" t="n">
        <f aca="false">IF($B4=3,"",(1+(2*NORMSDIST($E4/2/(Inputs!$B$43*Inputs!$B$42))-1)*(Inputs!$B$26*INDEX(Baseline!$B$3:$B$122,MATCH(MIN(MAX(ROUND((MAX($C4-Inputs!$B$42,15))/5,0)*5,5),600),Baseline!$A$3:$A$122,0))+(1-Inputs!$B$26)*INDEX(Baseline!$C$3:$C$122,MATCH(MIN(MAX(ROUND((MAX($C4-Inputs!$B$42,15))/5,0)*5,5),600),Baseline!$A$3:$A$122,0)))+(1-(2*NORMSDIST($E4/2/(Inputs!$B$43*Inputs!$B$42))-1)-IF($F4="OB",1-(2*NORMSDIST($E4/2/(Inputs!$B$43*Inputs!$B$42))-1),IF(OR($F4="OBR",$F4="OBL"),(1-(2*NORMSDIST($E4/2/(Inputs!$B$43*Inputs!$B$42))-1))/2,0)))*INDEX(Baseline!$E$3:$E$122,MATCH(MIN(MAX(ROUND((MAX($C4-Inputs!$B$42,15))/5,0)*5,5),600),Baseline!$A$3:$A$122,0))+IF($F4="OB",1-(2*NORMSDIST($E4/2/(Inputs!$B$43*Inputs!$B$42))-1),IF(OR($F4="OBR",$F4="OBL"),(1-(2*NORMSDIST($E4/2/(Inputs!$B$43*Inputs!$B$42))-1))/2,0)))/(1-IF($F4="OB",1-(2*NORMSDIST($E4/2/(Inputs!$B$43*Inputs!$B$42))-1),IF(OR($F4="OBR",$F4="OBL"),(1-(2*NORMSDIST($E4/2/(Inputs!$B$43*Inputs!$B$42))-1))/2,0))))</f>
        <v>4.12327695873519</v>
      </c>
      <c r="V4" s="7" t="str">
        <f aca="false">IF($B4=3,"",INDEX({"driver","7-wood","2-iron","5-iron"},MATCH(MIN(R4:U4),R4:U4,0)))</f>
        <v>2-iron</v>
      </c>
    </row>
    <row r="5" customFormat="false" ht="15" hidden="false" customHeight="false" outlineLevel="0" collapsed="false">
      <c r="A5" s="14" t="n">
        <v>4</v>
      </c>
      <c r="B5" s="15" t="n">
        <v>3</v>
      </c>
      <c r="C5" s="15" t="n">
        <v>156</v>
      </c>
      <c r="D5" s="15" t="n">
        <v>7</v>
      </c>
      <c r="G5" s="17" t="n">
        <f aca="false">INDEX(Baseline!$B$3:$B$122,MATCH(MIN(MAX(ROUND(($C5)/5,0)*5,5),600),Baseline!$A$3:$A$122,0))-Inputs!$B$9</f>
        <v>3.2567056</v>
      </c>
      <c r="H5" s="17" t="str">
        <f aca="false">IF($B5=3,"",(1+(2*NORMSDIST($E5/2/(Inputs!$B$29*Inputs!$B$28))-1)*(Inputs!$B$26*INDEX(Baseline!$B$3:$B$122,MATCH(MIN(MAX(ROUND((MAX($C5-Inputs!$B$28,15))/5,0)*5,5),600),Baseline!$A$3:$A$122,0))+(1-Inputs!$B$26)*INDEX(Baseline!$C$3:$C$122,MATCH(MIN(MAX(ROUND((MAX($C5-Inputs!$B$28,15))/5,0)*5,5),600),Baseline!$A$3:$A$122,0)))+(1-(2*NORMSDIST($E5/2/(Inputs!$B$29*Inputs!$B$28))-1)-IF($F5="OB",1-(2*NORMSDIST($E5/2/(Inputs!$B$29*Inputs!$B$28))-1),IF(OR($F5="OBR",$F5="OBL"),(1-(2*NORMSDIST($E5/2/(Inputs!$B$29*Inputs!$B$28))-1))/2,0)))*INDEX(Baseline!$E$3:$E$122,MATCH(MIN(MAX(ROUND((MAX($C5-Inputs!$B$28,15))/5,0)*5,5),600),Baseline!$A$3:$A$122,0))+IF($F5="OB",1-(2*NORMSDIST($E5/2/(Inputs!$B$29*Inputs!$B$28))-1),IF(OR($F5="OBR",$F5="OBL"),(1-(2*NORMSDIST($E5/2/(Inputs!$B$29*Inputs!$B$28))-1))/2,0)))/(1-IF($F5="OB",1-(2*NORMSDIST($E5/2/(Inputs!$B$29*Inputs!$B$28))-1),IF(OR($F5="OBR",$F5="OBL"),(1-(2*NORMSDIST($E5/2/(Inputs!$B$29*Inputs!$B$28))-1))/2,0))))</f>
        <v/>
      </c>
      <c r="I5" s="17" t="str">
        <f aca="false">IF($B5=3,"",(1+(2*NORMSDIST($E5/2/(Inputs!$B$31*Inputs!$B$30))-1)*(Inputs!$B$26*INDEX(Baseline!$B$3:$B$122,MATCH(MIN(MAX(ROUND((MAX($C5-Inputs!$B$30,15))/5,0)*5,5),600),Baseline!$A$3:$A$122,0))+(1-Inputs!$B$26)*INDEX(Baseline!$C$3:$C$122,MATCH(MIN(MAX(ROUND((MAX($C5-Inputs!$B$30,15))/5,0)*5,5),600),Baseline!$A$3:$A$122,0)))+(1-(2*NORMSDIST($E5/2/(Inputs!$B$31*Inputs!$B$30))-1)-IF($F5="OB",1-(2*NORMSDIST($E5/2/(Inputs!$B$31*Inputs!$B$30))-1),IF(OR($F5="OBR",$F5="OBL"),(1-(2*NORMSDIST($E5/2/(Inputs!$B$31*Inputs!$B$30))-1))/2,0)))*INDEX(Baseline!$E$3:$E$122,MATCH(MIN(MAX(ROUND((MAX($C5-Inputs!$B$30,15))/5,0)*5,5),600),Baseline!$A$3:$A$122,0))+IF($F5="OB",1-(2*NORMSDIST($E5/2/(Inputs!$B$31*Inputs!$B$30))-1),IF(OR($F5="OBR",$F5="OBL"),(1-(2*NORMSDIST($E5/2/(Inputs!$B$31*Inputs!$B$30))-1))/2,0)))/(1-IF($F5="OB",1-(2*NORMSDIST($E5/2/(Inputs!$B$31*Inputs!$B$30))-1),IF(OR($F5="OBR",$F5="OBL"),(1-(2*NORMSDIST($E5/2/(Inputs!$B$31*Inputs!$B$30))-1))/2,0))))</f>
        <v/>
      </c>
      <c r="J5" s="17" t="str">
        <f aca="false">IF($B5=3,"",(1+(2*NORMSDIST($E5/2/(Inputs!$B$33*Inputs!$B$32))-1)*(Inputs!$B$26*INDEX(Baseline!$B$3:$B$122,MATCH(MIN(MAX(ROUND((MAX($C5-Inputs!$B$32,15))/5,0)*5,5),600),Baseline!$A$3:$A$122,0))+(1-Inputs!$B$26)*INDEX(Baseline!$C$3:$C$122,MATCH(MIN(MAX(ROUND((MAX($C5-Inputs!$B$32,15))/5,0)*5,5),600),Baseline!$A$3:$A$122,0)))+(1-(2*NORMSDIST($E5/2/(Inputs!$B$33*Inputs!$B$32))-1)-IF($F5="OB",1-(2*NORMSDIST($E5/2/(Inputs!$B$33*Inputs!$B$32))-1),IF(OR($F5="OBR",$F5="OBL"),(1-(2*NORMSDIST($E5/2/(Inputs!$B$33*Inputs!$B$32))-1))/2,0)))*INDEX(Baseline!$E$3:$E$122,MATCH(MIN(MAX(ROUND((MAX($C5-Inputs!$B$32,15))/5,0)*5,5),600),Baseline!$A$3:$A$122,0))+IF($F5="OB",1-(2*NORMSDIST($E5/2/(Inputs!$B$33*Inputs!$B$32))-1),IF(OR($F5="OBR",$F5="OBL"),(1-(2*NORMSDIST($E5/2/(Inputs!$B$33*Inputs!$B$32))-1))/2,0)))/(1-IF($F5="OB",1-(2*NORMSDIST($E5/2/(Inputs!$B$33*Inputs!$B$32))-1),IF(OR($F5="OBR",$F5="OBL"),(1-(2*NORMSDIST($E5/2/(Inputs!$B$33*Inputs!$B$32))-1))/2,0))))</f>
        <v/>
      </c>
      <c r="K5" s="17" t="str">
        <f aca="false">IF($B5=3,"",(1+(2*NORMSDIST($E5/2/(Inputs!$B$35*Inputs!$B$34))-1)*(Inputs!$B$26*INDEX(Baseline!$B$3:$B$122,MATCH(MIN(MAX(ROUND((MAX($C5-Inputs!$B$34,15))/5,0)*5,5),600),Baseline!$A$3:$A$122,0))+(1-Inputs!$B$26)*INDEX(Baseline!$C$3:$C$122,MATCH(MIN(MAX(ROUND((MAX($C5-Inputs!$B$34,15))/5,0)*5,5),600),Baseline!$A$3:$A$122,0)))+(1-(2*NORMSDIST($E5/2/(Inputs!$B$35*Inputs!$B$34))-1)-IF($F5="OB",1-(2*NORMSDIST($E5/2/(Inputs!$B$35*Inputs!$B$34))-1),IF(OR($F5="OBR",$F5="OBL"),(1-(2*NORMSDIST($E5/2/(Inputs!$B$35*Inputs!$B$34))-1))/2,0)))*INDEX(Baseline!$E$3:$E$122,MATCH(MIN(MAX(ROUND((MAX($C5-Inputs!$B$34,15))/5,0)*5,5),600),Baseline!$A$3:$A$122,0))+IF($F5="OB",1-(2*NORMSDIST($E5/2/(Inputs!$B$35*Inputs!$B$34))-1),IF(OR($F5="OBR",$F5="OBL"),(1-(2*NORMSDIST($E5/2/(Inputs!$B$35*Inputs!$B$34))-1))/2,0)))/(1-IF($F5="OB",1-(2*NORMSDIST($E5/2/(Inputs!$B$35*Inputs!$B$34))-1),IF(OR($F5="OBR",$F5="OBL"),(1-(2*NORMSDIST($E5/2/(Inputs!$B$35*Inputs!$B$34))-1))/2,0))))</f>
        <v/>
      </c>
      <c r="L5" s="17" t="str">
        <f aca="false">IF($B5=3,"",MIN(H5:K5))</f>
        <v/>
      </c>
      <c r="M5" s="7" t="str">
        <f aca="false">IF($B5=3,"",INDEX({"driver","3-wood","3-hybrid","5-iron"},MATCH(L5,H5:K5,0)))</f>
        <v/>
      </c>
      <c r="N5" s="17" t="n">
        <f aca="false">IF($B5=3,G5,L5)</f>
        <v>3.2567056</v>
      </c>
      <c r="O5" s="17" t="n">
        <f aca="false">(1-Inputs!$B$7)/18+Inputs!$B$7*(19-D5)/171</f>
        <v>0.0555555555555556</v>
      </c>
      <c r="P5" s="17" t="n">
        <f aca="false">($B$23-$N$20)*O5</f>
        <v>-0.102512253450242</v>
      </c>
      <c r="Q5" s="17" t="n">
        <f aca="false">N5+P5</f>
        <v>3.15419334654976</v>
      </c>
      <c r="R5" s="17" t="str">
        <f aca="false">IF($B5=3,"",(1+(2*NORMSDIST($E5/2/(Inputs!$B$37*Inputs!$B$36))-1)*(Inputs!$B$26*INDEX(Baseline!$B$3:$B$122,MATCH(MIN(MAX(ROUND((MAX($C5-Inputs!$B$36,15))/5,0)*5,5),600),Baseline!$A$3:$A$122,0))+(1-Inputs!$B$26)*INDEX(Baseline!$C$3:$C$122,MATCH(MIN(MAX(ROUND((MAX($C5-Inputs!$B$36,15))/5,0)*5,5),600),Baseline!$A$3:$A$122,0)))+(1-(2*NORMSDIST($E5/2/(Inputs!$B$37*Inputs!$B$36))-1)-IF($F5="OB",1-(2*NORMSDIST($E5/2/(Inputs!$B$37*Inputs!$B$36))-1),IF(OR($F5="OBR",$F5="OBL"),(1-(2*NORMSDIST($E5/2/(Inputs!$B$37*Inputs!$B$36))-1))/2,0)))*INDEX(Baseline!$E$3:$E$122,MATCH(MIN(MAX(ROUND((MAX($C5-Inputs!$B$36,15))/5,0)*5,5),600),Baseline!$A$3:$A$122,0))+IF($F5="OB",1-(2*NORMSDIST($E5/2/(Inputs!$B$37*Inputs!$B$36))-1),IF(OR($F5="OBR",$F5="OBL"),(1-(2*NORMSDIST($E5/2/(Inputs!$B$37*Inputs!$B$36))-1))/2,0)))/(1-IF($F5="OB",1-(2*NORMSDIST($E5/2/(Inputs!$B$37*Inputs!$B$36))-1),IF(OR($F5="OBR",$F5="OBL"),(1-(2*NORMSDIST($E5/2/(Inputs!$B$37*Inputs!$B$36))-1))/2,0))))</f>
        <v/>
      </c>
      <c r="S5" s="17" t="str">
        <f aca="false">IF($B5=3,"",(1+(2*NORMSDIST($E5/2/(Inputs!$B$39*Inputs!$B$38))-1)*(Inputs!$B$26*INDEX(Baseline!$B$3:$B$122,MATCH(MIN(MAX(ROUND((MAX($C5-Inputs!$B$38,15))/5,0)*5,5),600),Baseline!$A$3:$A$122,0))+(1-Inputs!$B$26)*INDEX(Baseline!$C$3:$C$122,MATCH(MIN(MAX(ROUND((MAX($C5-Inputs!$B$38,15))/5,0)*5,5),600),Baseline!$A$3:$A$122,0)))+(1-(2*NORMSDIST($E5/2/(Inputs!$B$39*Inputs!$B$38))-1)-IF($F5="OB",1-(2*NORMSDIST($E5/2/(Inputs!$B$39*Inputs!$B$38))-1),IF(OR($F5="OBR",$F5="OBL"),(1-(2*NORMSDIST($E5/2/(Inputs!$B$39*Inputs!$B$38))-1))/2,0)))*INDEX(Baseline!$E$3:$E$122,MATCH(MIN(MAX(ROUND((MAX($C5-Inputs!$B$38,15))/5,0)*5,5),600),Baseline!$A$3:$A$122,0))+IF($F5="OB",1-(2*NORMSDIST($E5/2/(Inputs!$B$39*Inputs!$B$38))-1),IF(OR($F5="OBR",$F5="OBL"),(1-(2*NORMSDIST($E5/2/(Inputs!$B$39*Inputs!$B$38))-1))/2,0)))/(1-IF($F5="OB",1-(2*NORMSDIST($E5/2/(Inputs!$B$39*Inputs!$B$38))-1),IF(OR($F5="OBR",$F5="OBL"),(1-(2*NORMSDIST($E5/2/(Inputs!$B$39*Inputs!$B$38))-1))/2,0))))</f>
        <v/>
      </c>
      <c r="T5" s="17" t="str">
        <f aca="false">IF($B5=3,"",(1+(2*NORMSDIST($E5/2/(Inputs!$B$41*Inputs!$B$40))-1)*(Inputs!$B$26*INDEX(Baseline!$B$3:$B$122,MATCH(MIN(MAX(ROUND((MAX($C5-Inputs!$B$40,15))/5,0)*5,5),600),Baseline!$A$3:$A$122,0))+(1-Inputs!$B$26)*INDEX(Baseline!$C$3:$C$122,MATCH(MIN(MAX(ROUND((MAX($C5-Inputs!$B$40,15))/5,0)*5,5),600),Baseline!$A$3:$A$122,0)))+(1-(2*NORMSDIST($E5/2/(Inputs!$B$41*Inputs!$B$40))-1)-IF($F5="OB",1-(2*NORMSDIST($E5/2/(Inputs!$B$41*Inputs!$B$40))-1),IF(OR($F5="OBR",$F5="OBL"),(1-(2*NORMSDIST($E5/2/(Inputs!$B$41*Inputs!$B$40))-1))/2,0)))*INDEX(Baseline!$E$3:$E$122,MATCH(MIN(MAX(ROUND((MAX($C5-Inputs!$B$40,15))/5,0)*5,5),600),Baseline!$A$3:$A$122,0))+IF($F5="OB",1-(2*NORMSDIST($E5/2/(Inputs!$B$41*Inputs!$B$40))-1),IF(OR($F5="OBR",$F5="OBL"),(1-(2*NORMSDIST($E5/2/(Inputs!$B$41*Inputs!$B$40))-1))/2,0)))/(1-IF($F5="OB",1-(2*NORMSDIST($E5/2/(Inputs!$B$41*Inputs!$B$40))-1),IF(OR($F5="OBR",$F5="OBL"),(1-(2*NORMSDIST($E5/2/(Inputs!$B$41*Inputs!$B$40))-1))/2,0))))</f>
        <v/>
      </c>
      <c r="U5" s="17" t="str">
        <f aca="false">IF($B5=3,"",(1+(2*NORMSDIST($E5/2/(Inputs!$B$43*Inputs!$B$42))-1)*(Inputs!$B$26*INDEX(Baseline!$B$3:$B$122,MATCH(MIN(MAX(ROUND((MAX($C5-Inputs!$B$42,15))/5,0)*5,5),600),Baseline!$A$3:$A$122,0))+(1-Inputs!$B$26)*INDEX(Baseline!$C$3:$C$122,MATCH(MIN(MAX(ROUND((MAX($C5-Inputs!$B$42,15))/5,0)*5,5),600),Baseline!$A$3:$A$122,0)))+(1-(2*NORMSDIST($E5/2/(Inputs!$B$43*Inputs!$B$42))-1)-IF($F5="OB",1-(2*NORMSDIST($E5/2/(Inputs!$B$43*Inputs!$B$42))-1),IF(OR($F5="OBR",$F5="OBL"),(1-(2*NORMSDIST($E5/2/(Inputs!$B$43*Inputs!$B$42))-1))/2,0)))*INDEX(Baseline!$E$3:$E$122,MATCH(MIN(MAX(ROUND((MAX($C5-Inputs!$B$42,15))/5,0)*5,5),600),Baseline!$A$3:$A$122,0))+IF($F5="OB",1-(2*NORMSDIST($E5/2/(Inputs!$B$43*Inputs!$B$42))-1),IF(OR($F5="OBR",$F5="OBL"),(1-(2*NORMSDIST($E5/2/(Inputs!$B$43*Inputs!$B$42))-1))/2,0)))/(1-IF($F5="OB",1-(2*NORMSDIST($E5/2/(Inputs!$B$43*Inputs!$B$42))-1),IF(OR($F5="OBR",$F5="OBL"),(1-(2*NORMSDIST($E5/2/(Inputs!$B$43*Inputs!$B$42))-1))/2,0))))</f>
        <v/>
      </c>
      <c r="V5" s="7" t="str">
        <f aca="false">IF($B5=3,"",INDEX({"driver","7-wood","2-iron","5-iron"},MATCH(MIN(R5:U5),R5:U5,0)))</f>
        <v/>
      </c>
    </row>
    <row r="6" customFormat="false" ht="15" hidden="false" customHeight="false" outlineLevel="0" collapsed="false">
      <c r="A6" s="14" t="n">
        <v>5</v>
      </c>
      <c r="B6" s="15" t="n">
        <v>3</v>
      </c>
      <c r="C6" s="15" t="n">
        <v>158</v>
      </c>
      <c r="D6" s="15" t="n">
        <v>13</v>
      </c>
      <c r="G6" s="17" t="n">
        <f aca="false">INDEX(Baseline!$B$3:$B$122,MATCH(MIN(MAX(ROUND(($C6)/5,0)*5,5),600),Baseline!$A$3:$A$122,0))-Inputs!$B$9</f>
        <v>3.2805028</v>
      </c>
      <c r="H6" s="17" t="str">
        <f aca="false">IF($B6=3,"",(1+(2*NORMSDIST($E6/2/(Inputs!$B$29*Inputs!$B$28))-1)*(Inputs!$B$26*INDEX(Baseline!$B$3:$B$122,MATCH(MIN(MAX(ROUND((MAX($C6-Inputs!$B$28,15))/5,0)*5,5),600),Baseline!$A$3:$A$122,0))+(1-Inputs!$B$26)*INDEX(Baseline!$C$3:$C$122,MATCH(MIN(MAX(ROUND((MAX($C6-Inputs!$B$28,15))/5,0)*5,5),600),Baseline!$A$3:$A$122,0)))+(1-(2*NORMSDIST($E6/2/(Inputs!$B$29*Inputs!$B$28))-1)-IF($F6="OB",1-(2*NORMSDIST($E6/2/(Inputs!$B$29*Inputs!$B$28))-1),IF(OR($F6="OBR",$F6="OBL"),(1-(2*NORMSDIST($E6/2/(Inputs!$B$29*Inputs!$B$28))-1))/2,0)))*INDEX(Baseline!$E$3:$E$122,MATCH(MIN(MAX(ROUND((MAX($C6-Inputs!$B$28,15))/5,0)*5,5),600),Baseline!$A$3:$A$122,0))+IF($F6="OB",1-(2*NORMSDIST($E6/2/(Inputs!$B$29*Inputs!$B$28))-1),IF(OR($F6="OBR",$F6="OBL"),(1-(2*NORMSDIST($E6/2/(Inputs!$B$29*Inputs!$B$28))-1))/2,0)))/(1-IF($F6="OB",1-(2*NORMSDIST($E6/2/(Inputs!$B$29*Inputs!$B$28))-1),IF(OR($F6="OBR",$F6="OBL"),(1-(2*NORMSDIST($E6/2/(Inputs!$B$29*Inputs!$B$28))-1))/2,0))))</f>
        <v/>
      </c>
      <c r="I6" s="17" t="str">
        <f aca="false">IF($B6=3,"",(1+(2*NORMSDIST($E6/2/(Inputs!$B$31*Inputs!$B$30))-1)*(Inputs!$B$26*INDEX(Baseline!$B$3:$B$122,MATCH(MIN(MAX(ROUND((MAX($C6-Inputs!$B$30,15))/5,0)*5,5),600),Baseline!$A$3:$A$122,0))+(1-Inputs!$B$26)*INDEX(Baseline!$C$3:$C$122,MATCH(MIN(MAX(ROUND((MAX($C6-Inputs!$B$30,15))/5,0)*5,5),600),Baseline!$A$3:$A$122,0)))+(1-(2*NORMSDIST($E6/2/(Inputs!$B$31*Inputs!$B$30))-1)-IF($F6="OB",1-(2*NORMSDIST($E6/2/(Inputs!$B$31*Inputs!$B$30))-1),IF(OR($F6="OBR",$F6="OBL"),(1-(2*NORMSDIST($E6/2/(Inputs!$B$31*Inputs!$B$30))-1))/2,0)))*INDEX(Baseline!$E$3:$E$122,MATCH(MIN(MAX(ROUND((MAX($C6-Inputs!$B$30,15))/5,0)*5,5),600),Baseline!$A$3:$A$122,0))+IF($F6="OB",1-(2*NORMSDIST($E6/2/(Inputs!$B$31*Inputs!$B$30))-1),IF(OR($F6="OBR",$F6="OBL"),(1-(2*NORMSDIST($E6/2/(Inputs!$B$31*Inputs!$B$30))-1))/2,0)))/(1-IF($F6="OB",1-(2*NORMSDIST($E6/2/(Inputs!$B$31*Inputs!$B$30))-1),IF(OR($F6="OBR",$F6="OBL"),(1-(2*NORMSDIST($E6/2/(Inputs!$B$31*Inputs!$B$30))-1))/2,0))))</f>
        <v/>
      </c>
      <c r="J6" s="17" t="str">
        <f aca="false">IF($B6=3,"",(1+(2*NORMSDIST($E6/2/(Inputs!$B$33*Inputs!$B$32))-1)*(Inputs!$B$26*INDEX(Baseline!$B$3:$B$122,MATCH(MIN(MAX(ROUND((MAX($C6-Inputs!$B$32,15))/5,0)*5,5),600),Baseline!$A$3:$A$122,0))+(1-Inputs!$B$26)*INDEX(Baseline!$C$3:$C$122,MATCH(MIN(MAX(ROUND((MAX($C6-Inputs!$B$32,15))/5,0)*5,5),600),Baseline!$A$3:$A$122,0)))+(1-(2*NORMSDIST($E6/2/(Inputs!$B$33*Inputs!$B$32))-1)-IF($F6="OB",1-(2*NORMSDIST($E6/2/(Inputs!$B$33*Inputs!$B$32))-1),IF(OR($F6="OBR",$F6="OBL"),(1-(2*NORMSDIST($E6/2/(Inputs!$B$33*Inputs!$B$32))-1))/2,0)))*INDEX(Baseline!$E$3:$E$122,MATCH(MIN(MAX(ROUND((MAX($C6-Inputs!$B$32,15))/5,0)*5,5),600),Baseline!$A$3:$A$122,0))+IF($F6="OB",1-(2*NORMSDIST($E6/2/(Inputs!$B$33*Inputs!$B$32))-1),IF(OR($F6="OBR",$F6="OBL"),(1-(2*NORMSDIST($E6/2/(Inputs!$B$33*Inputs!$B$32))-1))/2,0)))/(1-IF($F6="OB",1-(2*NORMSDIST($E6/2/(Inputs!$B$33*Inputs!$B$32))-1),IF(OR($F6="OBR",$F6="OBL"),(1-(2*NORMSDIST($E6/2/(Inputs!$B$33*Inputs!$B$32))-1))/2,0))))</f>
        <v/>
      </c>
      <c r="K6" s="17" t="str">
        <f aca="false">IF($B6=3,"",(1+(2*NORMSDIST($E6/2/(Inputs!$B$35*Inputs!$B$34))-1)*(Inputs!$B$26*INDEX(Baseline!$B$3:$B$122,MATCH(MIN(MAX(ROUND((MAX($C6-Inputs!$B$34,15))/5,0)*5,5),600),Baseline!$A$3:$A$122,0))+(1-Inputs!$B$26)*INDEX(Baseline!$C$3:$C$122,MATCH(MIN(MAX(ROUND((MAX($C6-Inputs!$B$34,15))/5,0)*5,5),600),Baseline!$A$3:$A$122,0)))+(1-(2*NORMSDIST($E6/2/(Inputs!$B$35*Inputs!$B$34))-1)-IF($F6="OB",1-(2*NORMSDIST($E6/2/(Inputs!$B$35*Inputs!$B$34))-1),IF(OR($F6="OBR",$F6="OBL"),(1-(2*NORMSDIST($E6/2/(Inputs!$B$35*Inputs!$B$34))-1))/2,0)))*INDEX(Baseline!$E$3:$E$122,MATCH(MIN(MAX(ROUND((MAX($C6-Inputs!$B$34,15))/5,0)*5,5),600),Baseline!$A$3:$A$122,0))+IF($F6="OB",1-(2*NORMSDIST($E6/2/(Inputs!$B$35*Inputs!$B$34))-1),IF(OR($F6="OBR",$F6="OBL"),(1-(2*NORMSDIST($E6/2/(Inputs!$B$35*Inputs!$B$34))-1))/2,0)))/(1-IF($F6="OB",1-(2*NORMSDIST($E6/2/(Inputs!$B$35*Inputs!$B$34))-1),IF(OR($F6="OBR",$F6="OBL"),(1-(2*NORMSDIST($E6/2/(Inputs!$B$35*Inputs!$B$34))-1))/2,0))))</f>
        <v/>
      </c>
      <c r="L6" s="17" t="str">
        <f aca="false">IF($B6=3,"",MIN(H6:K6))</f>
        <v/>
      </c>
      <c r="M6" s="7" t="str">
        <f aca="false">IF($B6=3,"",INDEX({"driver","3-wood","3-hybrid","5-iron"},MATCH(L6,H6:K6,0)))</f>
        <v/>
      </c>
      <c r="N6" s="17" t="n">
        <f aca="false">IF($B6=3,G6,L6)</f>
        <v>3.2805028</v>
      </c>
      <c r="O6" s="17" t="n">
        <f aca="false">(1-Inputs!$B$7)/18+Inputs!$B$7*(19-D6)/171</f>
        <v>0.0555555555555556</v>
      </c>
      <c r="P6" s="17" t="n">
        <f aca="false">($B$23-$N$20)*O6</f>
        <v>-0.102512253450242</v>
      </c>
      <c r="Q6" s="17" t="n">
        <f aca="false">N6+P6</f>
        <v>3.17799054654976</v>
      </c>
      <c r="R6" s="17" t="str">
        <f aca="false">IF($B6=3,"",(1+(2*NORMSDIST($E6/2/(Inputs!$B$37*Inputs!$B$36))-1)*(Inputs!$B$26*INDEX(Baseline!$B$3:$B$122,MATCH(MIN(MAX(ROUND((MAX($C6-Inputs!$B$36,15))/5,0)*5,5),600),Baseline!$A$3:$A$122,0))+(1-Inputs!$B$26)*INDEX(Baseline!$C$3:$C$122,MATCH(MIN(MAX(ROUND((MAX($C6-Inputs!$B$36,15))/5,0)*5,5),600),Baseline!$A$3:$A$122,0)))+(1-(2*NORMSDIST($E6/2/(Inputs!$B$37*Inputs!$B$36))-1)-IF($F6="OB",1-(2*NORMSDIST($E6/2/(Inputs!$B$37*Inputs!$B$36))-1),IF(OR($F6="OBR",$F6="OBL"),(1-(2*NORMSDIST($E6/2/(Inputs!$B$37*Inputs!$B$36))-1))/2,0)))*INDEX(Baseline!$E$3:$E$122,MATCH(MIN(MAX(ROUND((MAX($C6-Inputs!$B$36,15))/5,0)*5,5),600),Baseline!$A$3:$A$122,0))+IF($F6="OB",1-(2*NORMSDIST($E6/2/(Inputs!$B$37*Inputs!$B$36))-1),IF(OR($F6="OBR",$F6="OBL"),(1-(2*NORMSDIST($E6/2/(Inputs!$B$37*Inputs!$B$36))-1))/2,0)))/(1-IF($F6="OB",1-(2*NORMSDIST($E6/2/(Inputs!$B$37*Inputs!$B$36))-1),IF(OR($F6="OBR",$F6="OBL"),(1-(2*NORMSDIST($E6/2/(Inputs!$B$37*Inputs!$B$36))-1))/2,0))))</f>
        <v/>
      </c>
      <c r="S6" s="17" t="str">
        <f aca="false">IF($B6=3,"",(1+(2*NORMSDIST($E6/2/(Inputs!$B$39*Inputs!$B$38))-1)*(Inputs!$B$26*INDEX(Baseline!$B$3:$B$122,MATCH(MIN(MAX(ROUND((MAX($C6-Inputs!$B$38,15))/5,0)*5,5),600),Baseline!$A$3:$A$122,0))+(1-Inputs!$B$26)*INDEX(Baseline!$C$3:$C$122,MATCH(MIN(MAX(ROUND((MAX($C6-Inputs!$B$38,15))/5,0)*5,5),600),Baseline!$A$3:$A$122,0)))+(1-(2*NORMSDIST($E6/2/(Inputs!$B$39*Inputs!$B$38))-1)-IF($F6="OB",1-(2*NORMSDIST($E6/2/(Inputs!$B$39*Inputs!$B$38))-1),IF(OR($F6="OBR",$F6="OBL"),(1-(2*NORMSDIST($E6/2/(Inputs!$B$39*Inputs!$B$38))-1))/2,0)))*INDEX(Baseline!$E$3:$E$122,MATCH(MIN(MAX(ROUND((MAX($C6-Inputs!$B$38,15))/5,0)*5,5),600),Baseline!$A$3:$A$122,0))+IF($F6="OB",1-(2*NORMSDIST($E6/2/(Inputs!$B$39*Inputs!$B$38))-1),IF(OR($F6="OBR",$F6="OBL"),(1-(2*NORMSDIST($E6/2/(Inputs!$B$39*Inputs!$B$38))-1))/2,0)))/(1-IF($F6="OB",1-(2*NORMSDIST($E6/2/(Inputs!$B$39*Inputs!$B$38))-1),IF(OR($F6="OBR",$F6="OBL"),(1-(2*NORMSDIST($E6/2/(Inputs!$B$39*Inputs!$B$38))-1))/2,0))))</f>
        <v/>
      </c>
      <c r="T6" s="17" t="str">
        <f aca="false">IF($B6=3,"",(1+(2*NORMSDIST($E6/2/(Inputs!$B$41*Inputs!$B$40))-1)*(Inputs!$B$26*INDEX(Baseline!$B$3:$B$122,MATCH(MIN(MAX(ROUND((MAX($C6-Inputs!$B$40,15))/5,0)*5,5),600),Baseline!$A$3:$A$122,0))+(1-Inputs!$B$26)*INDEX(Baseline!$C$3:$C$122,MATCH(MIN(MAX(ROUND((MAX($C6-Inputs!$B$40,15))/5,0)*5,5),600),Baseline!$A$3:$A$122,0)))+(1-(2*NORMSDIST($E6/2/(Inputs!$B$41*Inputs!$B$40))-1)-IF($F6="OB",1-(2*NORMSDIST($E6/2/(Inputs!$B$41*Inputs!$B$40))-1),IF(OR($F6="OBR",$F6="OBL"),(1-(2*NORMSDIST($E6/2/(Inputs!$B$41*Inputs!$B$40))-1))/2,0)))*INDEX(Baseline!$E$3:$E$122,MATCH(MIN(MAX(ROUND((MAX($C6-Inputs!$B$40,15))/5,0)*5,5),600),Baseline!$A$3:$A$122,0))+IF($F6="OB",1-(2*NORMSDIST($E6/2/(Inputs!$B$41*Inputs!$B$40))-1),IF(OR($F6="OBR",$F6="OBL"),(1-(2*NORMSDIST($E6/2/(Inputs!$B$41*Inputs!$B$40))-1))/2,0)))/(1-IF($F6="OB",1-(2*NORMSDIST($E6/2/(Inputs!$B$41*Inputs!$B$40))-1),IF(OR($F6="OBR",$F6="OBL"),(1-(2*NORMSDIST($E6/2/(Inputs!$B$41*Inputs!$B$40))-1))/2,0))))</f>
        <v/>
      </c>
      <c r="U6" s="17" t="str">
        <f aca="false">IF($B6=3,"",(1+(2*NORMSDIST($E6/2/(Inputs!$B$43*Inputs!$B$42))-1)*(Inputs!$B$26*INDEX(Baseline!$B$3:$B$122,MATCH(MIN(MAX(ROUND((MAX($C6-Inputs!$B$42,15))/5,0)*5,5),600),Baseline!$A$3:$A$122,0))+(1-Inputs!$B$26)*INDEX(Baseline!$C$3:$C$122,MATCH(MIN(MAX(ROUND((MAX($C6-Inputs!$B$42,15))/5,0)*5,5),600),Baseline!$A$3:$A$122,0)))+(1-(2*NORMSDIST($E6/2/(Inputs!$B$43*Inputs!$B$42))-1)-IF($F6="OB",1-(2*NORMSDIST($E6/2/(Inputs!$B$43*Inputs!$B$42))-1),IF(OR($F6="OBR",$F6="OBL"),(1-(2*NORMSDIST($E6/2/(Inputs!$B$43*Inputs!$B$42))-1))/2,0)))*INDEX(Baseline!$E$3:$E$122,MATCH(MIN(MAX(ROUND((MAX($C6-Inputs!$B$42,15))/5,0)*5,5),600),Baseline!$A$3:$A$122,0))+IF($F6="OB",1-(2*NORMSDIST($E6/2/(Inputs!$B$43*Inputs!$B$42))-1),IF(OR($F6="OBR",$F6="OBL"),(1-(2*NORMSDIST($E6/2/(Inputs!$B$43*Inputs!$B$42))-1))/2,0)))/(1-IF($F6="OB",1-(2*NORMSDIST($E6/2/(Inputs!$B$43*Inputs!$B$42))-1),IF(OR($F6="OBR",$F6="OBL"),(1-(2*NORMSDIST($E6/2/(Inputs!$B$43*Inputs!$B$42))-1))/2,0))))</f>
        <v/>
      </c>
      <c r="V6" s="7" t="str">
        <f aca="false">IF($B6=3,"",INDEX({"driver","7-wood","2-iron","5-iron"},MATCH(MIN(R6:U6),R6:U6,0)))</f>
        <v/>
      </c>
    </row>
    <row r="7" customFormat="false" ht="15" hidden="false" customHeight="false" outlineLevel="0" collapsed="false">
      <c r="A7" s="14" t="n">
        <v>6</v>
      </c>
      <c r="B7" s="15" t="n">
        <v>5</v>
      </c>
      <c r="C7" s="15" t="n">
        <v>397</v>
      </c>
      <c r="D7" s="15" t="n">
        <v>17</v>
      </c>
      <c r="E7" s="16" t="n">
        <f aca="false">Inputs!$B$27</f>
        <v>45</v>
      </c>
      <c r="F7" s="8" t="s">
        <v>128</v>
      </c>
      <c r="G7" s="17" t="n">
        <f aca="false">INDEX(Baseline!$B$3:$B$122,MATCH(MIN(MAX(ROUND(($C7)/5,0)*5,5),600),Baseline!$A$3:$A$122,0))-Inputs!$B$9</f>
        <v>4.39053452</v>
      </c>
      <c r="H7" s="17" t="n">
        <f aca="false">IF($B7=3,"",(1+(2*NORMSDIST($E7/2/(Inputs!$B$29*Inputs!$B$28))-1)*(Inputs!$B$26*INDEX(Baseline!$B$3:$B$122,MATCH(MIN(MAX(ROUND((MAX($C7-Inputs!$B$28,15))/5,0)*5,5),600),Baseline!$A$3:$A$122,0))+(1-Inputs!$B$26)*INDEX(Baseline!$C$3:$C$122,MATCH(MIN(MAX(ROUND((MAX($C7-Inputs!$B$28,15))/5,0)*5,5),600),Baseline!$A$3:$A$122,0)))+(1-(2*NORMSDIST($E7/2/(Inputs!$B$29*Inputs!$B$28))-1)-IF($F7="OB",1-(2*NORMSDIST($E7/2/(Inputs!$B$29*Inputs!$B$28))-1),IF(OR($F7="OBR",$F7="OBL"),(1-(2*NORMSDIST($E7/2/(Inputs!$B$29*Inputs!$B$28))-1))/2,0)))*INDEX(Baseline!$E$3:$E$122,MATCH(MIN(MAX(ROUND((MAX($C7-Inputs!$B$28,15))/5,0)*5,5),600),Baseline!$A$3:$A$122,0))+IF($F7="OB",1-(2*NORMSDIST($E7/2/(Inputs!$B$29*Inputs!$B$28))-1),IF(OR($F7="OBR",$F7="OBL"),(1-(2*NORMSDIST($E7/2/(Inputs!$B$29*Inputs!$B$28))-1))/2,0)))/(1-IF($F7="OB",1-(2*NORMSDIST($E7/2/(Inputs!$B$29*Inputs!$B$28))-1),IF(OR($F7="OBR",$F7="OBL"),(1-(2*NORMSDIST($E7/2/(Inputs!$B$29*Inputs!$B$28))-1))/2,0))))</f>
        <v>4.37049577154986</v>
      </c>
      <c r="I7" s="17" t="n">
        <f aca="false">IF($B7=3,"",(1+(2*NORMSDIST($E7/2/(Inputs!$B$31*Inputs!$B$30))-1)*(Inputs!$B$26*INDEX(Baseline!$B$3:$B$122,MATCH(MIN(MAX(ROUND((MAX($C7-Inputs!$B$30,15))/5,0)*5,5),600),Baseline!$A$3:$A$122,0))+(1-Inputs!$B$26)*INDEX(Baseline!$C$3:$C$122,MATCH(MIN(MAX(ROUND((MAX($C7-Inputs!$B$30,15))/5,0)*5,5),600),Baseline!$A$3:$A$122,0)))+(1-(2*NORMSDIST($E7/2/(Inputs!$B$31*Inputs!$B$30))-1)-IF($F7="OB",1-(2*NORMSDIST($E7/2/(Inputs!$B$31*Inputs!$B$30))-1),IF(OR($F7="OBR",$F7="OBL"),(1-(2*NORMSDIST($E7/2/(Inputs!$B$31*Inputs!$B$30))-1))/2,0)))*INDEX(Baseline!$E$3:$E$122,MATCH(MIN(MAX(ROUND((MAX($C7-Inputs!$B$30,15))/5,0)*5,5),600),Baseline!$A$3:$A$122,0))+IF($F7="OB",1-(2*NORMSDIST($E7/2/(Inputs!$B$31*Inputs!$B$30))-1),IF(OR($F7="OBR",$F7="OBL"),(1-(2*NORMSDIST($E7/2/(Inputs!$B$31*Inputs!$B$30))-1))/2,0)))/(1-IF($F7="OB",1-(2*NORMSDIST($E7/2/(Inputs!$B$31*Inputs!$B$30))-1),IF(OR($F7="OBR",$F7="OBL"),(1-(2*NORMSDIST($E7/2/(Inputs!$B$31*Inputs!$B$30))-1))/2,0))))</f>
        <v>4.45716939323254</v>
      </c>
      <c r="J7" s="17" t="n">
        <f aca="false">IF($B7=3,"",(1+(2*NORMSDIST($E7/2/(Inputs!$B$33*Inputs!$B$32))-1)*(Inputs!$B$26*INDEX(Baseline!$B$3:$B$122,MATCH(MIN(MAX(ROUND((MAX($C7-Inputs!$B$32,15))/5,0)*5,5),600),Baseline!$A$3:$A$122,0))+(1-Inputs!$B$26)*INDEX(Baseline!$C$3:$C$122,MATCH(MIN(MAX(ROUND((MAX($C7-Inputs!$B$32,15))/5,0)*5,5),600),Baseline!$A$3:$A$122,0)))+(1-(2*NORMSDIST($E7/2/(Inputs!$B$33*Inputs!$B$32))-1)-IF($F7="OB",1-(2*NORMSDIST($E7/2/(Inputs!$B$33*Inputs!$B$32))-1),IF(OR($F7="OBR",$F7="OBL"),(1-(2*NORMSDIST($E7/2/(Inputs!$B$33*Inputs!$B$32))-1))/2,0)))*INDEX(Baseline!$E$3:$E$122,MATCH(MIN(MAX(ROUND((MAX($C7-Inputs!$B$32,15))/5,0)*5,5),600),Baseline!$A$3:$A$122,0))+IF($F7="OB",1-(2*NORMSDIST($E7/2/(Inputs!$B$33*Inputs!$B$32))-1),IF(OR($F7="OBR",$F7="OBL"),(1-(2*NORMSDIST($E7/2/(Inputs!$B$33*Inputs!$B$32))-1))/2,0)))/(1-IF($F7="OB",1-(2*NORMSDIST($E7/2/(Inputs!$B$33*Inputs!$B$32))-1),IF(OR($F7="OBR",$F7="OBL"),(1-(2*NORMSDIST($E7/2/(Inputs!$B$33*Inputs!$B$32))-1))/2,0))))</f>
        <v>4.58575512503735</v>
      </c>
      <c r="K7" s="17" t="n">
        <f aca="false">IF($B7=3,"",(1+(2*NORMSDIST($E7/2/(Inputs!$B$35*Inputs!$B$34))-1)*(Inputs!$B$26*INDEX(Baseline!$B$3:$B$122,MATCH(MIN(MAX(ROUND((MAX($C7-Inputs!$B$34,15))/5,0)*5,5),600),Baseline!$A$3:$A$122,0))+(1-Inputs!$B$26)*INDEX(Baseline!$C$3:$C$122,MATCH(MIN(MAX(ROUND((MAX($C7-Inputs!$B$34,15))/5,0)*5,5),600),Baseline!$A$3:$A$122,0)))+(1-(2*NORMSDIST($E7/2/(Inputs!$B$35*Inputs!$B$34))-1)-IF($F7="OB",1-(2*NORMSDIST($E7/2/(Inputs!$B$35*Inputs!$B$34))-1),IF(OR($F7="OBR",$F7="OBL"),(1-(2*NORMSDIST($E7/2/(Inputs!$B$35*Inputs!$B$34))-1))/2,0)))*INDEX(Baseline!$E$3:$E$122,MATCH(MIN(MAX(ROUND((MAX($C7-Inputs!$B$34,15))/5,0)*5,5),600),Baseline!$A$3:$A$122,0))+IF($F7="OB",1-(2*NORMSDIST($E7/2/(Inputs!$B$35*Inputs!$B$34))-1),IF(OR($F7="OBR",$F7="OBL"),(1-(2*NORMSDIST($E7/2/(Inputs!$B$35*Inputs!$B$34))-1))/2,0)))/(1-IF($F7="OB",1-(2*NORMSDIST($E7/2/(Inputs!$B$35*Inputs!$B$34))-1),IF(OR($F7="OBR",$F7="OBL"),(1-(2*NORMSDIST($E7/2/(Inputs!$B$35*Inputs!$B$34))-1))/2,0))))</f>
        <v>4.61610567593958</v>
      </c>
      <c r="L7" s="17" t="n">
        <f aca="false">IF($B7=3,"",MIN(H7:K7))</f>
        <v>4.37049577154986</v>
      </c>
      <c r="M7" s="7" t="str">
        <f aca="false">IF($B7=3,"",INDEX({"driver","3-wood","3-hybrid","5-iron"},MATCH(L7,H7:K7,0)))</f>
        <v>driver</v>
      </c>
      <c r="N7" s="17" t="n">
        <f aca="false">IF($B7=3,G7,L7)</f>
        <v>4.37049577154986</v>
      </c>
      <c r="O7" s="17" t="n">
        <f aca="false">(1-Inputs!$B$7)/18+Inputs!$B$7*(19-D7)/171</f>
        <v>0.0555555555555556</v>
      </c>
      <c r="P7" s="17" t="n">
        <f aca="false">($B$23-$N$20)*O7</f>
        <v>-0.102512253450242</v>
      </c>
      <c r="Q7" s="17" t="n">
        <f aca="false">N7+P7</f>
        <v>4.26798351809962</v>
      </c>
      <c r="R7" s="17" t="n">
        <f aca="false">IF($B7=3,"",(1+(2*NORMSDIST($E7/2/(Inputs!$B$37*Inputs!$B$36))-1)*(Inputs!$B$26*INDEX(Baseline!$B$3:$B$122,MATCH(MIN(MAX(ROUND((MAX($C7-Inputs!$B$36,15))/5,0)*5,5),600),Baseline!$A$3:$A$122,0))+(1-Inputs!$B$26)*INDEX(Baseline!$C$3:$C$122,MATCH(MIN(MAX(ROUND((MAX($C7-Inputs!$B$36,15))/5,0)*5,5),600),Baseline!$A$3:$A$122,0)))+(1-(2*NORMSDIST($E7/2/(Inputs!$B$37*Inputs!$B$36))-1)-IF($F7="OB",1-(2*NORMSDIST($E7/2/(Inputs!$B$37*Inputs!$B$36))-1),IF(OR($F7="OBR",$F7="OBL"),(1-(2*NORMSDIST($E7/2/(Inputs!$B$37*Inputs!$B$36))-1))/2,0)))*INDEX(Baseline!$E$3:$E$122,MATCH(MIN(MAX(ROUND((MAX($C7-Inputs!$B$36,15))/5,0)*5,5),600),Baseline!$A$3:$A$122,0))+IF($F7="OB",1-(2*NORMSDIST($E7/2/(Inputs!$B$37*Inputs!$B$36))-1),IF(OR($F7="OBR",$F7="OBL"),(1-(2*NORMSDIST($E7/2/(Inputs!$B$37*Inputs!$B$36))-1))/2,0)))/(1-IF($F7="OB",1-(2*NORMSDIST($E7/2/(Inputs!$B$37*Inputs!$B$36))-1),IF(OR($F7="OBR",$F7="OBL"),(1-(2*NORMSDIST($E7/2/(Inputs!$B$37*Inputs!$B$36))-1))/2,0))))</f>
        <v>4.30028841673803</v>
      </c>
      <c r="S7" s="17" t="n">
        <f aca="false">IF($B7=3,"",(1+(2*NORMSDIST($E7/2/(Inputs!$B$39*Inputs!$B$38))-1)*(Inputs!$B$26*INDEX(Baseline!$B$3:$B$122,MATCH(MIN(MAX(ROUND((MAX($C7-Inputs!$B$38,15))/5,0)*5,5),600),Baseline!$A$3:$A$122,0))+(1-Inputs!$B$26)*INDEX(Baseline!$C$3:$C$122,MATCH(MIN(MAX(ROUND((MAX($C7-Inputs!$B$38,15))/5,0)*5,5),600),Baseline!$A$3:$A$122,0)))+(1-(2*NORMSDIST($E7/2/(Inputs!$B$39*Inputs!$B$38))-1)-IF($F7="OB",1-(2*NORMSDIST($E7/2/(Inputs!$B$39*Inputs!$B$38))-1),IF(OR($F7="OBR",$F7="OBL"),(1-(2*NORMSDIST($E7/2/(Inputs!$B$39*Inputs!$B$38))-1))/2,0)))*INDEX(Baseline!$E$3:$E$122,MATCH(MIN(MAX(ROUND((MAX($C7-Inputs!$B$38,15))/5,0)*5,5),600),Baseline!$A$3:$A$122,0))+IF($F7="OB",1-(2*NORMSDIST($E7/2/(Inputs!$B$39*Inputs!$B$38))-1),IF(OR($F7="OBR",$F7="OBL"),(1-(2*NORMSDIST($E7/2/(Inputs!$B$39*Inputs!$B$38))-1))/2,0)))/(1-IF($F7="OB",1-(2*NORMSDIST($E7/2/(Inputs!$B$39*Inputs!$B$38))-1),IF(OR($F7="OBR",$F7="OBL"),(1-(2*NORMSDIST($E7/2/(Inputs!$B$39*Inputs!$B$38))-1))/2,0))))</f>
        <v>4.56771218802827</v>
      </c>
      <c r="T7" s="17" t="n">
        <f aca="false">IF($B7=3,"",(1+(2*NORMSDIST($E7/2/(Inputs!$B$41*Inputs!$B$40))-1)*(Inputs!$B$26*INDEX(Baseline!$B$3:$B$122,MATCH(MIN(MAX(ROUND((MAX($C7-Inputs!$B$40,15))/5,0)*5,5),600),Baseline!$A$3:$A$122,0))+(1-Inputs!$B$26)*INDEX(Baseline!$C$3:$C$122,MATCH(MIN(MAX(ROUND((MAX($C7-Inputs!$B$40,15))/5,0)*5,5),600),Baseline!$A$3:$A$122,0)))+(1-(2*NORMSDIST($E7/2/(Inputs!$B$41*Inputs!$B$40))-1)-IF($F7="OB",1-(2*NORMSDIST($E7/2/(Inputs!$B$41*Inputs!$B$40))-1),IF(OR($F7="OBR",$F7="OBL"),(1-(2*NORMSDIST($E7/2/(Inputs!$B$41*Inputs!$B$40))-1))/2,0)))*INDEX(Baseline!$E$3:$E$122,MATCH(MIN(MAX(ROUND((MAX($C7-Inputs!$B$40,15))/5,0)*5,5),600),Baseline!$A$3:$A$122,0))+IF($F7="OB",1-(2*NORMSDIST($E7/2/(Inputs!$B$41*Inputs!$B$40))-1),IF(OR($F7="OBR",$F7="OBL"),(1-(2*NORMSDIST($E7/2/(Inputs!$B$41*Inputs!$B$40))-1))/2,0)))/(1-IF($F7="OB",1-(2*NORMSDIST($E7/2/(Inputs!$B$41*Inputs!$B$40))-1),IF(OR($F7="OBR",$F7="OBL"),(1-(2*NORMSDIST($E7/2/(Inputs!$B$41*Inputs!$B$40))-1))/2,0))))</f>
        <v>4.51559587211612</v>
      </c>
      <c r="U7" s="17" t="n">
        <f aca="false">IF($B7=3,"",(1+(2*NORMSDIST($E7/2/(Inputs!$B$43*Inputs!$B$42))-1)*(Inputs!$B$26*INDEX(Baseline!$B$3:$B$122,MATCH(MIN(MAX(ROUND((MAX($C7-Inputs!$B$42,15))/5,0)*5,5),600),Baseline!$A$3:$A$122,0))+(1-Inputs!$B$26)*INDEX(Baseline!$C$3:$C$122,MATCH(MIN(MAX(ROUND((MAX($C7-Inputs!$B$42,15))/5,0)*5,5),600),Baseline!$A$3:$A$122,0)))+(1-(2*NORMSDIST($E7/2/(Inputs!$B$43*Inputs!$B$42))-1)-IF($F7="OB",1-(2*NORMSDIST($E7/2/(Inputs!$B$43*Inputs!$B$42))-1),IF(OR($F7="OBR",$F7="OBL"),(1-(2*NORMSDIST($E7/2/(Inputs!$B$43*Inputs!$B$42))-1))/2,0)))*INDEX(Baseline!$E$3:$E$122,MATCH(MIN(MAX(ROUND((MAX($C7-Inputs!$B$42,15))/5,0)*5,5),600),Baseline!$A$3:$A$122,0))+IF($F7="OB",1-(2*NORMSDIST($E7/2/(Inputs!$B$43*Inputs!$B$42))-1),IF(OR($F7="OBR",$F7="OBL"),(1-(2*NORMSDIST($E7/2/(Inputs!$B$43*Inputs!$B$42))-1))/2,0)))/(1-IF($F7="OB",1-(2*NORMSDIST($E7/2/(Inputs!$B$43*Inputs!$B$42))-1),IF(OR($F7="OBR",$F7="OBL"),(1-(2*NORMSDIST($E7/2/(Inputs!$B$43*Inputs!$B$42))-1))/2,0))))</f>
        <v>4.63276296242084</v>
      </c>
      <c r="V7" s="7" t="str">
        <f aca="false">IF($B7=3,"",INDEX({"driver","7-wood","2-iron","5-iron"},MATCH(MIN(R7:U7),R7:U7,0)))</f>
        <v>driver</v>
      </c>
    </row>
    <row r="8" customFormat="false" ht="15" hidden="false" customHeight="false" outlineLevel="0" collapsed="false">
      <c r="A8" s="14" t="n">
        <v>7</v>
      </c>
      <c r="B8" s="15" t="n">
        <v>3</v>
      </c>
      <c r="C8" s="15" t="n">
        <v>150</v>
      </c>
      <c r="D8" s="15" t="n">
        <v>11</v>
      </c>
      <c r="G8" s="17" t="n">
        <f aca="false">INDEX(Baseline!$B$3:$B$122,MATCH(MIN(MAX(ROUND(($C8)/5,0)*5,5),600),Baseline!$A$3:$A$122,0))-Inputs!$B$9</f>
        <v>3.23271</v>
      </c>
      <c r="H8" s="17" t="str">
        <f aca="false">IF($B8=3,"",(1+(2*NORMSDIST($E8/2/(Inputs!$B$29*Inputs!$B$28))-1)*(Inputs!$B$26*INDEX(Baseline!$B$3:$B$122,MATCH(MIN(MAX(ROUND((MAX($C8-Inputs!$B$28,15))/5,0)*5,5),600),Baseline!$A$3:$A$122,0))+(1-Inputs!$B$26)*INDEX(Baseline!$C$3:$C$122,MATCH(MIN(MAX(ROUND((MAX($C8-Inputs!$B$28,15))/5,0)*5,5),600),Baseline!$A$3:$A$122,0)))+(1-(2*NORMSDIST($E8/2/(Inputs!$B$29*Inputs!$B$28))-1)-IF($F8="OB",1-(2*NORMSDIST($E8/2/(Inputs!$B$29*Inputs!$B$28))-1),IF(OR($F8="OBR",$F8="OBL"),(1-(2*NORMSDIST($E8/2/(Inputs!$B$29*Inputs!$B$28))-1))/2,0)))*INDEX(Baseline!$E$3:$E$122,MATCH(MIN(MAX(ROUND((MAX($C8-Inputs!$B$28,15))/5,0)*5,5),600),Baseline!$A$3:$A$122,0))+IF($F8="OB",1-(2*NORMSDIST($E8/2/(Inputs!$B$29*Inputs!$B$28))-1),IF(OR($F8="OBR",$F8="OBL"),(1-(2*NORMSDIST($E8/2/(Inputs!$B$29*Inputs!$B$28))-1))/2,0)))/(1-IF($F8="OB",1-(2*NORMSDIST($E8/2/(Inputs!$B$29*Inputs!$B$28))-1),IF(OR($F8="OBR",$F8="OBL"),(1-(2*NORMSDIST($E8/2/(Inputs!$B$29*Inputs!$B$28))-1))/2,0))))</f>
        <v/>
      </c>
      <c r="I8" s="17" t="str">
        <f aca="false">IF($B8=3,"",(1+(2*NORMSDIST($E8/2/(Inputs!$B$31*Inputs!$B$30))-1)*(Inputs!$B$26*INDEX(Baseline!$B$3:$B$122,MATCH(MIN(MAX(ROUND((MAX($C8-Inputs!$B$30,15))/5,0)*5,5),600),Baseline!$A$3:$A$122,0))+(1-Inputs!$B$26)*INDEX(Baseline!$C$3:$C$122,MATCH(MIN(MAX(ROUND((MAX($C8-Inputs!$B$30,15))/5,0)*5,5),600),Baseline!$A$3:$A$122,0)))+(1-(2*NORMSDIST($E8/2/(Inputs!$B$31*Inputs!$B$30))-1)-IF($F8="OB",1-(2*NORMSDIST($E8/2/(Inputs!$B$31*Inputs!$B$30))-1),IF(OR($F8="OBR",$F8="OBL"),(1-(2*NORMSDIST($E8/2/(Inputs!$B$31*Inputs!$B$30))-1))/2,0)))*INDEX(Baseline!$E$3:$E$122,MATCH(MIN(MAX(ROUND((MAX($C8-Inputs!$B$30,15))/5,0)*5,5),600),Baseline!$A$3:$A$122,0))+IF($F8="OB",1-(2*NORMSDIST($E8/2/(Inputs!$B$31*Inputs!$B$30))-1),IF(OR($F8="OBR",$F8="OBL"),(1-(2*NORMSDIST($E8/2/(Inputs!$B$31*Inputs!$B$30))-1))/2,0)))/(1-IF($F8="OB",1-(2*NORMSDIST($E8/2/(Inputs!$B$31*Inputs!$B$30))-1),IF(OR($F8="OBR",$F8="OBL"),(1-(2*NORMSDIST($E8/2/(Inputs!$B$31*Inputs!$B$30))-1))/2,0))))</f>
        <v/>
      </c>
      <c r="J8" s="17" t="str">
        <f aca="false">IF($B8=3,"",(1+(2*NORMSDIST($E8/2/(Inputs!$B$33*Inputs!$B$32))-1)*(Inputs!$B$26*INDEX(Baseline!$B$3:$B$122,MATCH(MIN(MAX(ROUND((MAX($C8-Inputs!$B$32,15))/5,0)*5,5),600),Baseline!$A$3:$A$122,0))+(1-Inputs!$B$26)*INDEX(Baseline!$C$3:$C$122,MATCH(MIN(MAX(ROUND((MAX($C8-Inputs!$B$32,15))/5,0)*5,5),600),Baseline!$A$3:$A$122,0)))+(1-(2*NORMSDIST($E8/2/(Inputs!$B$33*Inputs!$B$32))-1)-IF($F8="OB",1-(2*NORMSDIST($E8/2/(Inputs!$B$33*Inputs!$B$32))-1),IF(OR($F8="OBR",$F8="OBL"),(1-(2*NORMSDIST($E8/2/(Inputs!$B$33*Inputs!$B$32))-1))/2,0)))*INDEX(Baseline!$E$3:$E$122,MATCH(MIN(MAX(ROUND((MAX($C8-Inputs!$B$32,15))/5,0)*5,5),600),Baseline!$A$3:$A$122,0))+IF($F8="OB",1-(2*NORMSDIST($E8/2/(Inputs!$B$33*Inputs!$B$32))-1),IF(OR($F8="OBR",$F8="OBL"),(1-(2*NORMSDIST($E8/2/(Inputs!$B$33*Inputs!$B$32))-1))/2,0)))/(1-IF($F8="OB",1-(2*NORMSDIST($E8/2/(Inputs!$B$33*Inputs!$B$32))-1),IF(OR($F8="OBR",$F8="OBL"),(1-(2*NORMSDIST($E8/2/(Inputs!$B$33*Inputs!$B$32))-1))/2,0))))</f>
        <v/>
      </c>
      <c r="K8" s="17" t="str">
        <f aca="false">IF($B8=3,"",(1+(2*NORMSDIST($E8/2/(Inputs!$B$35*Inputs!$B$34))-1)*(Inputs!$B$26*INDEX(Baseline!$B$3:$B$122,MATCH(MIN(MAX(ROUND((MAX($C8-Inputs!$B$34,15))/5,0)*5,5),600),Baseline!$A$3:$A$122,0))+(1-Inputs!$B$26)*INDEX(Baseline!$C$3:$C$122,MATCH(MIN(MAX(ROUND((MAX($C8-Inputs!$B$34,15))/5,0)*5,5),600),Baseline!$A$3:$A$122,0)))+(1-(2*NORMSDIST($E8/2/(Inputs!$B$35*Inputs!$B$34))-1)-IF($F8="OB",1-(2*NORMSDIST($E8/2/(Inputs!$B$35*Inputs!$B$34))-1),IF(OR($F8="OBR",$F8="OBL"),(1-(2*NORMSDIST($E8/2/(Inputs!$B$35*Inputs!$B$34))-1))/2,0)))*INDEX(Baseline!$E$3:$E$122,MATCH(MIN(MAX(ROUND((MAX($C8-Inputs!$B$34,15))/5,0)*5,5),600),Baseline!$A$3:$A$122,0))+IF($F8="OB",1-(2*NORMSDIST($E8/2/(Inputs!$B$35*Inputs!$B$34))-1),IF(OR($F8="OBR",$F8="OBL"),(1-(2*NORMSDIST($E8/2/(Inputs!$B$35*Inputs!$B$34))-1))/2,0)))/(1-IF($F8="OB",1-(2*NORMSDIST($E8/2/(Inputs!$B$35*Inputs!$B$34))-1),IF(OR($F8="OBR",$F8="OBL"),(1-(2*NORMSDIST($E8/2/(Inputs!$B$35*Inputs!$B$34))-1))/2,0))))</f>
        <v/>
      </c>
      <c r="L8" s="17" t="str">
        <f aca="false">IF($B8=3,"",MIN(H8:K8))</f>
        <v/>
      </c>
      <c r="M8" s="7" t="str">
        <f aca="false">IF($B8=3,"",INDEX({"driver","3-wood","3-hybrid","5-iron"},MATCH(L8,H8:K8,0)))</f>
        <v/>
      </c>
      <c r="N8" s="17" t="n">
        <f aca="false">IF($B8=3,G8,L8)</f>
        <v>3.23271</v>
      </c>
      <c r="O8" s="17" t="n">
        <f aca="false">(1-Inputs!$B$7)/18+Inputs!$B$7*(19-D8)/171</f>
        <v>0.0555555555555556</v>
      </c>
      <c r="P8" s="17" t="n">
        <f aca="false">($B$23-$N$20)*O8</f>
        <v>-0.102512253450242</v>
      </c>
      <c r="Q8" s="17" t="n">
        <f aca="false">N8+P8</f>
        <v>3.13019774654976</v>
      </c>
      <c r="R8" s="17" t="str">
        <f aca="false">IF($B8=3,"",(1+(2*NORMSDIST($E8/2/(Inputs!$B$37*Inputs!$B$36))-1)*(Inputs!$B$26*INDEX(Baseline!$B$3:$B$122,MATCH(MIN(MAX(ROUND((MAX($C8-Inputs!$B$36,15))/5,0)*5,5),600),Baseline!$A$3:$A$122,0))+(1-Inputs!$B$26)*INDEX(Baseline!$C$3:$C$122,MATCH(MIN(MAX(ROUND((MAX($C8-Inputs!$B$36,15))/5,0)*5,5),600),Baseline!$A$3:$A$122,0)))+(1-(2*NORMSDIST($E8/2/(Inputs!$B$37*Inputs!$B$36))-1)-IF($F8="OB",1-(2*NORMSDIST($E8/2/(Inputs!$B$37*Inputs!$B$36))-1),IF(OR($F8="OBR",$F8="OBL"),(1-(2*NORMSDIST($E8/2/(Inputs!$B$37*Inputs!$B$36))-1))/2,0)))*INDEX(Baseline!$E$3:$E$122,MATCH(MIN(MAX(ROUND((MAX($C8-Inputs!$B$36,15))/5,0)*5,5),600),Baseline!$A$3:$A$122,0))+IF($F8="OB",1-(2*NORMSDIST($E8/2/(Inputs!$B$37*Inputs!$B$36))-1),IF(OR($F8="OBR",$F8="OBL"),(1-(2*NORMSDIST($E8/2/(Inputs!$B$37*Inputs!$B$36))-1))/2,0)))/(1-IF($F8="OB",1-(2*NORMSDIST($E8/2/(Inputs!$B$37*Inputs!$B$36))-1),IF(OR($F8="OBR",$F8="OBL"),(1-(2*NORMSDIST($E8/2/(Inputs!$B$37*Inputs!$B$36))-1))/2,0))))</f>
        <v/>
      </c>
      <c r="S8" s="17" t="str">
        <f aca="false">IF($B8=3,"",(1+(2*NORMSDIST($E8/2/(Inputs!$B$39*Inputs!$B$38))-1)*(Inputs!$B$26*INDEX(Baseline!$B$3:$B$122,MATCH(MIN(MAX(ROUND((MAX($C8-Inputs!$B$38,15))/5,0)*5,5),600),Baseline!$A$3:$A$122,0))+(1-Inputs!$B$26)*INDEX(Baseline!$C$3:$C$122,MATCH(MIN(MAX(ROUND((MAX($C8-Inputs!$B$38,15))/5,0)*5,5),600),Baseline!$A$3:$A$122,0)))+(1-(2*NORMSDIST($E8/2/(Inputs!$B$39*Inputs!$B$38))-1)-IF($F8="OB",1-(2*NORMSDIST($E8/2/(Inputs!$B$39*Inputs!$B$38))-1),IF(OR($F8="OBR",$F8="OBL"),(1-(2*NORMSDIST($E8/2/(Inputs!$B$39*Inputs!$B$38))-1))/2,0)))*INDEX(Baseline!$E$3:$E$122,MATCH(MIN(MAX(ROUND((MAX($C8-Inputs!$B$38,15))/5,0)*5,5),600),Baseline!$A$3:$A$122,0))+IF($F8="OB",1-(2*NORMSDIST($E8/2/(Inputs!$B$39*Inputs!$B$38))-1),IF(OR($F8="OBR",$F8="OBL"),(1-(2*NORMSDIST($E8/2/(Inputs!$B$39*Inputs!$B$38))-1))/2,0)))/(1-IF($F8="OB",1-(2*NORMSDIST($E8/2/(Inputs!$B$39*Inputs!$B$38))-1),IF(OR($F8="OBR",$F8="OBL"),(1-(2*NORMSDIST($E8/2/(Inputs!$B$39*Inputs!$B$38))-1))/2,0))))</f>
        <v/>
      </c>
      <c r="T8" s="17" t="str">
        <f aca="false">IF($B8=3,"",(1+(2*NORMSDIST($E8/2/(Inputs!$B$41*Inputs!$B$40))-1)*(Inputs!$B$26*INDEX(Baseline!$B$3:$B$122,MATCH(MIN(MAX(ROUND((MAX($C8-Inputs!$B$40,15))/5,0)*5,5),600),Baseline!$A$3:$A$122,0))+(1-Inputs!$B$26)*INDEX(Baseline!$C$3:$C$122,MATCH(MIN(MAX(ROUND((MAX($C8-Inputs!$B$40,15))/5,0)*5,5),600),Baseline!$A$3:$A$122,0)))+(1-(2*NORMSDIST($E8/2/(Inputs!$B$41*Inputs!$B$40))-1)-IF($F8="OB",1-(2*NORMSDIST($E8/2/(Inputs!$B$41*Inputs!$B$40))-1),IF(OR($F8="OBR",$F8="OBL"),(1-(2*NORMSDIST($E8/2/(Inputs!$B$41*Inputs!$B$40))-1))/2,0)))*INDEX(Baseline!$E$3:$E$122,MATCH(MIN(MAX(ROUND((MAX($C8-Inputs!$B$40,15))/5,0)*5,5),600),Baseline!$A$3:$A$122,0))+IF($F8="OB",1-(2*NORMSDIST($E8/2/(Inputs!$B$41*Inputs!$B$40))-1),IF(OR($F8="OBR",$F8="OBL"),(1-(2*NORMSDIST($E8/2/(Inputs!$B$41*Inputs!$B$40))-1))/2,0)))/(1-IF($F8="OB",1-(2*NORMSDIST($E8/2/(Inputs!$B$41*Inputs!$B$40))-1),IF(OR($F8="OBR",$F8="OBL"),(1-(2*NORMSDIST($E8/2/(Inputs!$B$41*Inputs!$B$40))-1))/2,0))))</f>
        <v/>
      </c>
      <c r="U8" s="17" t="str">
        <f aca="false">IF($B8=3,"",(1+(2*NORMSDIST($E8/2/(Inputs!$B$43*Inputs!$B$42))-1)*(Inputs!$B$26*INDEX(Baseline!$B$3:$B$122,MATCH(MIN(MAX(ROUND((MAX($C8-Inputs!$B$42,15))/5,0)*5,5),600),Baseline!$A$3:$A$122,0))+(1-Inputs!$B$26)*INDEX(Baseline!$C$3:$C$122,MATCH(MIN(MAX(ROUND((MAX($C8-Inputs!$B$42,15))/5,0)*5,5),600),Baseline!$A$3:$A$122,0)))+(1-(2*NORMSDIST($E8/2/(Inputs!$B$43*Inputs!$B$42))-1)-IF($F8="OB",1-(2*NORMSDIST($E8/2/(Inputs!$B$43*Inputs!$B$42))-1),IF(OR($F8="OBR",$F8="OBL"),(1-(2*NORMSDIST($E8/2/(Inputs!$B$43*Inputs!$B$42))-1))/2,0)))*INDEX(Baseline!$E$3:$E$122,MATCH(MIN(MAX(ROUND((MAX($C8-Inputs!$B$42,15))/5,0)*5,5),600),Baseline!$A$3:$A$122,0))+IF($F8="OB",1-(2*NORMSDIST($E8/2/(Inputs!$B$43*Inputs!$B$42))-1),IF(OR($F8="OBR",$F8="OBL"),(1-(2*NORMSDIST($E8/2/(Inputs!$B$43*Inputs!$B$42))-1))/2,0)))/(1-IF($F8="OB",1-(2*NORMSDIST($E8/2/(Inputs!$B$43*Inputs!$B$42))-1),IF(OR($F8="OBR",$F8="OBL"),(1-(2*NORMSDIST($E8/2/(Inputs!$B$43*Inputs!$B$42))-1))/2,0))))</f>
        <v/>
      </c>
      <c r="V8" s="7" t="str">
        <f aca="false">IF($B8=3,"",INDEX({"driver","7-wood","2-iron","5-iron"},MATCH(MIN(R8:U8),R8:U8,0)))</f>
        <v/>
      </c>
    </row>
    <row r="9" customFormat="false" ht="15" hidden="false" customHeight="false" outlineLevel="0" collapsed="false">
      <c r="A9" s="14" t="n">
        <v>8</v>
      </c>
      <c r="B9" s="15" t="n">
        <v>3</v>
      </c>
      <c r="C9" s="15" t="n">
        <v>168</v>
      </c>
      <c r="D9" s="15" t="n">
        <v>3</v>
      </c>
      <c r="G9" s="17" t="n">
        <f aca="false">INDEX(Baseline!$B$3:$B$122,MATCH(MIN(MAX(ROUND(($C9)/5,0)*5,5),600),Baseline!$A$3:$A$122,0))-Inputs!$B$9</f>
        <v>3.3196288</v>
      </c>
      <c r="H9" s="17" t="str">
        <f aca="false">IF($B9=3,"",(1+(2*NORMSDIST($E9/2/(Inputs!$B$29*Inputs!$B$28))-1)*(Inputs!$B$26*INDEX(Baseline!$B$3:$B$122,MATCH(MIN(MAX(ROUND((MAX($C9-Inputs!$B$28,15))/5,0)*5,5),600),Baseline!$A$3:$A$122,0))+(1-Inputs!$B$26)*INDEX(Baseline!$C$3:$C$122,MATCH(MIN(MAX(ROUND((MAX($C9-Inputs!$B$28,15))/5,0)*5,5),600),Baseline!$A$3:$A$122,0)))+(1-(2*NORMSDIST($E9/2/(Inputs!$B$29*Inputs!$B$28))-1)-IF($F9="OB",1-(2*NORMSDIST($E9/2/(Inputs!$B$29*Inputs!$B$28))-1),IF(OR($F9="OBR",$F9="OBL"),(1-(2*NORMSDIST($E9/2/(Inputs!$B$29*Inputs!$B$28))-1))/2,0)))*INDEX(Baseline!$E$3:$E$122,MATCH(MIN(MAX(ROUND((MAX($C9-Inputs!$B$28,15))/5,0)*5,5),600),Baseline!$A$3:$A$122,0))+IF($F9="OB",1-(2*NORMSDIST($E9/2/(Inputs!$B$29*Inputs!$B$28))-1),IF(OR($F9="OBR",$F9="OBL"),(1-(2*NORMSDIST($E9/2/(Inputs!$B$29*Inputs!$B$28))-1))/2,0)))/(1-IF($F9="OB",1-(2*NORMSDIST($E9/2/(Inputs!$B$29*Inputs!$B$28))-1),IF(OR($F9="OBR",$F9="OBL"),(1-(2*NORMSDIST($E9/2/(Inputs!$B$29*Inputs!$B$28))-1))/2,0))))</f>
        <v/>
      </c>
      <c r="I9" s="17" t="str">
        <f aca="false">IF($B9=3,"",(1+(2*NORMSDIST($E9/2/(Inputs!$B$31*Inputs!$B$30))-1)*(Inputs!$B$26*INDEX(Baseline!$B$3:$B$122,MATCH(MIN(MAX(ROUND((MAX($C9-Inputs!$B$30,15))/5,0)*5,5),600),Baseline!$A$3:$A$122,0))+(1-Inputs!$B$26)*INDEX(Baseline!$C$3:$C$122,MATCH(MIN(MAX(ROUND((MAX($C9-Inputs!$B$30,15))/5,0)*5,5),600),Baseline!$A$3:$A$122,0)))+(1-(2*NORMSDIST($E9/2/(Inputs!$B$31*Inputs!$B$30))-1)-IF($F9="OB",1-(2*NORMSDIST($E9/2/(Inputs!$B$31*Inputs!$B$30))-1),IF(OR($F9="OBR",$F9="OBL"),(1-(2*NORMSDIST($E9/2/(Inputs!$B$31*Inputs!$B$30))-1))/2,0)))*INDEX(Baseline!$E$3:$E$122,MATCH(MIN(MAX(ROUND((MAX($C9-Inputs!$B$30,15))/5,0)*5,5),600),Baseline!$A$3:$A$122,0))+IF($F9="OB",1-(2*NORMSDIST($E9/2/(Inputs!$B$31*Inputs!$B$30))-1),IF(OR($F9="OBR",$F9="OBL"),(1-(2*NORMSDIST($E9/2/(Inputs!$B$31*Inputs!$B$30))-1))/2,0)))/(1-IF($F9="OB",1-(2*NORMSDIST($E9/2/(Inputs!$B$31*Inputs!$B$30))-1),IF(OR($F9="OBR",$F9="OBL"),(1-(2*NORMSDIST($E9/2/(Inputs!$B$31*Inputs!$B$30))-1))/2,0))))</f>
        <v/>
      </c>
      <c r="J9" s="17" t="str">
        <f aca="false">IF($B9=3,"",(1+(2*NORMSDIST($E9/2/(Inputs!$B$33*Inputs!$B$32))-1)*(Inputs!$B$26*INDEX(Baseline!$B$3:$B$122,MATCH(MIN(MAX(ROUND((MAX($C9-Inputs!$B$32,15))/5,0)*5,5),600),Baseline!$A$3:$A$122,0))+(1-Inputs!$B$26)*INDEX(Baseline!$C$3:$C$122,MATCH(MIN(MAX(ROUND((MAX($C9-Inputs!$B$32,15))/5,0)*5,5),600),Baseline!$A$3:$A$122,0)))+(1-(2*NORMSDIST($E9/2/(Inputs!$B$33*Inputs!$B$32))-1)-IF($F9="OB",1-(2*NORMSDIST($E9/2/(Inputs!$B$33*Inputs!$B$32))-1),IF(OR($F9="OBR",$F9="OBL"),(1-(2*NORMSDIST($E9/2/(Inputs!$B$33*Inputs!$B$32))-1))/2,0)))*INDEX(Baseline!$E$3:$E$122,MATCH(MIN(MAX(ROUND((MAX($C9-Inputs!$B$32,15))/5,0)*5,5),600),Baseline!$A$3:$A$122,0))+IF($F9="OB",1-(2*NORMSDIST($E9/2/(Inputs!$B$33*Inputs!$B$32))-1),IF(OR($F9="OBR",$F9="OBL"),(1-(2*NORMSDIST($E9/2/(Inputs!$B$33*Inputs!$B$32))-1))/2,0)))/(1-IF($F9="OB",1-(2*NORMSDIST($E9/2/(Inputs!$B$33*Inputs!$B$32))-1),IF(OR($F9="OBR",$F9="OBL"),(1-(2*NORMSDIST($E9/2/(Inputs!$B$33*Inputs!$B$32))-1))/2,0))))</f>
        <v/>
      </c>
      <c r="K9" s="17" t="str">
        <f aca="false">IF($B9=3,"",(1+(2*NORMSDIST($E9/2/(Inputs!$B$35*Inputs!$B$34))-1)*(Inputs!$B$26*INDEX(Baseline!$B$3:$B$122,MATCH(MIN(MAX(ROUND((MAX($C9-Inputs!$B$34,15))/5,0)*5,5),600),Baseline!$A$3:$A$122,0))+(1-Inputs!$B$26)*INDEX(Baseline!$C$3:$C$122,MATCH(MIN(MAX(ROUND((MAX($C9-Inputs!$B$34,15))/5,0)*5,5),600),Baseline!$A$3:$A$122,0)))+(1-(2*NORMSDIST($E9/2/(Inputs!$B$35*Inputs!$B$34))-1)-IF($F9="OB",1-(2*NORMSDIST($E9/2/(Inputs!$B$35*Inputs!$B$34))-1),IF(OR($F9="OBR",$F9="OBL"),(1-(2*NORMSDIST($E9/2/(Inputs!$B$35*Inputs!$B$34))-1))/2,0)))*INDEX(Baseline!$E$3:$E$122,MATCH(MIN(MAX(ROUND((MAX($C9-Inputs!$B$34,15))/5,0)*5,5),600),Baseline!$A$3:$A$122,0))+IF($F9="OB",1-(2*NORMSDIST($E9/2/(Inputs!$B$35*Inputs!$B$34))-1),IF(OR($F9="OBR",$F9="OBL"),(1-(2*NORMSDIST($E9/2/(Inputs!$B$35*Inputs!$B$34))-1))/2,0)))/(1-IF($F9="OB",1-(2*NORMSDIST($E9/2/(Inputs!$B$35*Inputs!$B$34))-1),IF(OR($F9="OBR",$F9="OBL"),(1-(2*NORMSDIST($E9/2/(Inputs!$B$35*Inputs!$B$34))-1))/2,0))))</f>
        <v/>
      </c>
      <c r="L9" s="17" t="str">
        <f aca="false">IF($B9=3,"",MIN(H9:K9))</f>
        <v/>
      </c>
      <c r="M9" s="7" t="str">
        <f aca="false">IF($B9=3,"",INDEX({"driver","3-wood","3-hybrid","5-iron"},MATCH(L9,H9:K9,0)))</f>
        <v/>
      </c>
      <c r="N9" s="17" t="n">
        <f aca="false">IF($B9=3,G9,L9)</f>
        <v>3.3196288</v>
      </c>
      <c r="O9" s="17" t="n">
        <f aca="false">(1-Inputs!$B$7)/18+Inputs!$B$7*(19-D9)/171</f>
        <v>0.0555555555555556</v>
      </c>
      <c r="P9" s="17" t="n">
        <f aca="false">($B$23-$N$20)*O9</f>
        <v>-0.102512253450242</v>
      </c>
      <c r="Q9" s="17" t="n">
        <f aca="false">N9+P9</f>
        <v>3.21711654654976</v>
      </c>
      <c r="R9" s="17" t="str">
        <f aca="false">IF($B9=3,"",(1+(2*NORMSDIST($E9/2/(Inputs!$B$37*Inputs!$B$36))-1)*(Inputs!$B$26*INDEX(Baseline!$B$3:$B$122,MATCH(MIN(MAX(ROUND((MAX($C9-Inputs!$B$36,15))/5,0)*5,5),600),Baseline!$A$3:$A$122,0))+(1-Inputs!$B$26)*INDEX(Baseline!$C$3:$C$122,MATCH(MIN(MAX(ROUND((MAX($C9-Inputs!$B$36,15))/5,0)*5,5),600),Baseline!$A$3:$A$122,0)))+(1-(2*NORMSDIST($E9/2/(Inputs!$B$37*Inputs!$B$36))-1)-IF($F9="OB",1-(2*NORMSDIST($E9/2/(Inputs!$B$37*Inputs!$B$36))-1),IF(OR($F9="OBR",$F9="OBL"),(1-(2*NORMSDIST($E9/2/(Inputs!$B$37*Inputs!$B$36))-1))/2,0)))*INDEX(Baseline!$E$3:$E$122,MATCH(MIN(MAX(ROUND((MAX($C9-Inputs!$B$36,15))/5,0)*5,5),600),Baseline!$A$3:$A$122,0))+IF($F9="OB",1-(2*NORMSDIST($E9/2/(Inputs!$B$37*Inputs!$B$36))-1),IF(OR($F9="OBR",$F9="OBL"),(1-(2*NORMSDIST($E9/2/(Inputs!$B$37*Inputs!$B$36))-1))/2,0)))/(1-IF($F9="OB",1-(2*NORMSDIST($E9/2/(Inputs!$B$37*Inputs!$B$36))-1),IF(OR($F9="OBR",$F9="OBL"),(1-(2*NORMSDIST($E9/2/(Inputs!$B$37*Inputs!$B$36))-1))/2,0))))</f>
        <v/>
      </c>
      <c r="S9" s="17" t="str">
        <f aca="false">IF($B9=3,"",(1+(2*NORMSDIST($E9/2/(Inputs!$B$39*Inputs!$B$38))-1)*(Inputs!$B$26*INDEX(Baseline!$B$3:$B$122,MATCH(MIN(MAX(ROUND((MAX($C9-Inputs!$B$38,15))/5,0)*5,5),600),Baseline!$A$3:$A$122,0))+(1-Inputs!$B$26)*INDEX(Baseline!$C$3:$C$122,MATCH(MIN(MAX(ROUND((MAX($C9-Inputs!$B$38,15))/5,0)*5,5),600),Baseline!$A$3:$A$122,0)))+(1-(2*NORMSDIST($E9/2/(Inputs!$B$39*Inputs!$B$38))-1)-IF($F9="OB",1-(2*NORMSDIST($E9/2/(Inputs!$B$39*Inputs!$B$38))-1),IF(OR($F9="OBR",$F9="OBL"),(1-(2*NORMSDIST($E9/2/(Inputs!$B$39*Inputs!$B$38))-1))/2,0)))*INDEX(Baseline!$E$3:$E$122,MATCH(MIN(MAX(ROUND((MAX($C9-Inputs!$B$38,15))/5,0)*5,5),600),Baseline!$A$3:$A$122,0))+IF($F9="OB",1-(2*NORMSDIST($E9/2/(Inputs!$B$39*Inputs!$B$38))-1),IF(OR($F9="OBR",$F9="OBL"),(1-(2*NORMSDIST($E9/2/(Inputs!$B$39*Inputs!$B$38))-1))/2,0)))/(1-IF($F9="OB",1-(2*NORMSDIST($E9/2/(Inputs!$B$39*Inputs!$B$38))-1),IF(OR($F9="OBR",$F9="OBL"),(1-(2*NORMSDIST($E9/2/(Inputs!$B$39*Inputs!$B$38))-1))/2,0))))</f>
        <v/>
      </c>
      <c r="T9" s="17" t="str">
        <f aca="false">IF($B9=3,"",(1+(2*NORMSDIST($E9/2/(Inputs!$B$41*Inputs!$B$40))-1)*(Inputs!$B$26*INDEX(Baseline!$B$3:$B$122,MATCH(MIN(MAX(ROUND((MAX($C9-Inputs!$B$40,15))/5,0)*5,5),600),Baseline!$A$3:$A$122,0))+(1-Inputs!$B$26)*INDEX(Baseline!$C$3:$C$122,MATCH(MIN(MAX(ROUND((MAX($C9-Inputs!$B$40,15))/5,0)*5,5),600),Baseline!$A$3:$A$122,0)))+(1-(2*NORMSDIST($E9/2/(Inputs!$B$41*Inputs!$B$40))-1)-IF($F9="OB",1-(2*NORMSDIST($E9/2/(Inputs!$B$41*Inputs!$B$40))-1),IF(OR($F9="OBR",$F9="OBL"),(1-(2*NORMSDIST($E9/2/(Inputs!$B$41*Inputs!$B$40))-1))/2,0)))*INDEX(Baseline!$E$3:$E$122,MATCH(MIN(MAX(ROUND((MAX($C9-Inputs!$B$40,15))/5,0)*5,5),600),Baseline!$A$3:$A$122,0))+IF($F9="OB",1-(2*NORMSDIST($E9/2/(Inputs!$B$41*Inputs!$B$40))-1),IF(OR($F9="OBR",$F9="OBL"),(1-(2*NORMSDIST($E9/2/(Inputs!$B$41*Inputs!$B$40))-1))/2,0)))/(1-IF($F9="OB",1-(2*NORMSDIST($E9/2/(Inputs!$B$41*Inputs!$B$40))-1),IF(OR($F9="OBR",$F9="OBL"),(1-(2*NORMSDIST($E9/2/(Inputs!$B$41*Inputs!$B$40))-1))/2,0))))</f>
        <v/>
      </c>
      <c r="U9" s="17" t="str">
        <f aca="false">IF($B9=3,"",(1+(2*NORMSDIST($E9/2/(Inputs!$B$43*Inputs!$B$42))-1)*(Inputs!$B$26*INDEX(Baseline!$B$3:$B$122,MATCH(MIN(MAX(ROUND((MAX($C9-Inputs!$B$42,15))/5,0)*5,5),600),Baseline!$A$3:$A$122,0))+(1-Inputs!$B$26)*INDEX(Baseline!$C$3:$C$122,MATCH(MIN(MAX(ROUND((MAX($C9-Inputs!$B$42,15))/5,0)*5,5),600),Baseline!$A$3:$A$122,0)))+(1-(2*NORMSDIST($E9/2/(Inputs!$B$43*Inputs!$B$42))-1)-IF($F9="OB",1-(2*NORMSDIST($E9/2/(Inputs!$B$43*Inputs!$B$42))-1),IF(OR($F9="OBR",$F9="OBL"),(1-(2*NORMSDIST($E9/2/(Inputs!$B$43*Inputs!$B$42))-1))/2,0)))*INDEX(Baseline!$E$3:$E$122,MATCH(MIN(MAX(ROUND((MAX($C9-Inputs!$B$42,15))/5,0)*5,5),600),Baseline!$A$3:$A$122,0))+IF($F9="OB",1-(2*NORMSDIST($E9/2/(Inputs!$B$43*Inputs!$B$42))-1),IF(OR($F9="OBR",$F9="OBL"),(1-(2*NORMSDIST($E9/2/(Inputs!$B$43*Inputs!$B$42))-1))/2,0)))/(1-IF($F9="OB",1-(2*NORMSDIST($E9/2/(Inputs!$B$43*Inputs!$B$42))-1),IF(OR($F9="OBR",$F9="OBL"),(1-(2*NORMSDIST($E9/2/(Inputs!$B$43*Inputs!$B$42))-1))/2,0))))</f>
        <v/>
      </c>
      <c r="V9" s="7" t="str">
        <f aca="false">IF($B9=3,"",INDEX({"driver","7-wood","2-iron","5-iron"},MATCH(MIN(R9:U9),R9:U9,0)))</f>
        <v/>
      </c>
    </row>
    <row r="10" customFormat="false" ht="15" hidden="false" customHeight="false" outlineLevel="0" collapsed="false">
      <c r="A10" s="14" t="n">
        <v>9</v>
      </c>
      <c r="B10" s="15" t="n">
        <v>4</v>
      </c>
      <c r="C10" s="15" t="n">
        <v>301</v>
      </c>
      <c r="D10" s="15" t="n">
        <v>5</v>
      </c>
      <c r="E10" s="16" t="n">
        <f aca="false">Inputs!$B$27</f>
        <v>45</v>
      </c>
      <c r="F10" s="8" t="s">
        <v>128</v>
      </c>
      <c r="G10" s="17" t="n">
        <f aca="false">INDEX(Baseline!$B$3:$B$122,MATCH(MIN(MAX(ROUND(($C10)/5,0)*5,5),600),Baseline!$A$3:$A$122,0))-Inputs!$B$9</f>
        <v>3.992564608</v>
      </c>
      <c r="H10" s="17" t="n">
        <f aca="false">IF($B10=3,"",(1+(2*NORMSDIST($E10/2/(Inputs!$B$29*Inputs!$B$28))-1)*(Inputs!$B$26*INDEX(Baseline!$B$3:$B$122,MATCH(MIN(MAX(ROUND((MAX($C10-Inputs!$B$28,15))/5,0)*5,5),600),Baseline!$A$3:$A$122,0))+(1-Inputs!$B$26)*INDEX(Baseline!$C$3:$C$122,MATCH(MIN(MAX(ROUND((MAX($C10-Inputs!$B$28,15))/5,0)*5,5),600),Baseline!$A$3:$A$122,0)))+(1-(2*NORMSDIST($E10/2/(Inputs!$B$29*Inputs!$B$28))-1)-IF($F10="OB",1-(2*NORMSDIST($E10/2/(Inputs!$B$29*Inputs!$B$28))-1),IF(OR($F10="OBR",$F10="OBL"),(1-(2*NORMSDIST($E10/2/(Inputs!$B$29*Inputs!$B$28))-1))/2,0)))*INDEX(Baseline!$E$3:$E$122,MATCH(MIN(MAX(ROUND((MAX($C10-Inputs!$B$28,15))/5,0)*5,5),600),Baseline!$A$3:$A$122,0))+IF($F10="OB",1-(2*NORMSDIST($E10/2/(Inputs!$B$29*Inputs!$B$28))-1),IF(OR($F10="OBR",$F10="OBL"),(1-(2*NORMSDIST($E10/2/(Inputs!$B$29*Inputs!$B$28))-1))/2,0)))/(1-IF($F10="OB",1-(2*NORMSDIST($E10/2/(Inputs!$B$29*Inputs!$B$28))-1),IF(OR($F10="OBR",$F10="OBL"),(1-(2*NORMSDIST($E10/2/(Inputs!$B$29*Inputs!$B$28))-1))/2,0))))</f>
        <v>3.94679854449144</v>
      </c>
      <c r="I10" s="17" t="n">
        <f aca="false">IF($B10=3,"",(1+(2*NORMSDIST($E10/2/(Inputs!$B$31*Inputs!$B$30))-1)*(Inputs!$B$26*INDEX(Baseline!$B$3:$B$122,MATCH(MIN(MAX(ROUND((MAX($C10-Inputs!$B$30,15))/5,0)*5,5),600),Baseline!$A$3:$A$122,0))+(1-Inputs!$B$26)*INDEX(Baseline!$C$3:$C$122,MATCH(MIN(MAX(ROUND((MAX($C10-Inputs!$B$30,15))/5,0)*5,5),600),Baseline!$A$3:$A$122,0)))+(1-(2*NORMSDIST($E10/2/(Inputs!$B$31*Inputs!$B$30))-1)-IF($F10="OB",1-(2*NORMSDIST($E10/2/(Inputs!$B$31*Inputs!$B$30))-1),IF(OR($F10="OBR",$F10="OBL"),(1-(2*NORMSDIST($E10/2/(Inputs!$B$31*Inputs!$B$30))-1))/2,0)))*INDEX(Baseline!$E$3:$E$122,MATCH(MIN(MAX(ROUND((MAX($C10-Inputs!$B$30,15))/5,0)*5,5),600),Baseline!$A$3:$A$122,0))+IF($F10="OB",1-(2*NORMSDIST($E10/2/(Inputs!$B$31*Inputs!$B$30))-1),IF(OR($F10="OBR",$F10="OBL"),(1-(2*NORMSDIST($E10/2/(Inputs!$B$31*Inputs!$B$30))-1))/2,0)))/(1-IF($F10="OB",1-(2*NORMSDIST($E10/2/(Inputs!$B$31*Inputs!$B$30))-1),IF(OR($F10="OBR",$F10="OBL"),(1-(2*NORMSDIST($E10/2/(Inputs!$B$31*Inputs!$B$30))-1))/2,0))))</f>
        <v>4.05803619058314</v>
      </c>
      <c r="J10" s="17" t="n">
        <f aca="false">IF($B10=3,"",(1+(2*NORMSDIST($E10/2/(Inputs!$B$33*Inputs!$B$32))-1)*(Inputs!$B$26*INDEX(Baseline!$B$3:$B$122,MATCH(MIN(MAX(ROUND((MAX($C10-Inputs!$B$32,15))/5,0)*5,5),600),Baseline!$A$3:$A$122,0))+(1-Inputs!$B$26)*INDEX(Baseline!$C$3:$C$122,MATCH(MIN(MAX(ROUND((MAX($C10-Inputs!$B$32,15))/5,0)*5,5),600),Baseline!$A$3:$A$122,0)))+(1-(2*NORMSDIST($E10/2/(Inputs!$B$33*Inputs!$B$32))-1)-IF($F10="OB",1-(2*NORMSDIST($E10/2/(Inputs!$B$33*Inputs!$B$32))-1),IF(OR($F10="OBR",$F10="OBL"),(1-(2*NORMSDIST($E10/2/(Inputs!$B$33*Inputs!$B$32))-1))/2,0)))*INDEX(Baseline!$E$3:$E$122,MATCH(MIN(MAX(ROUND((MAX($C10-Inputs!$B$32,15))/5,0)*5,5),600),Baseline!$A$3:$A$122,0))+IF($F10="OB",1-(2*NORMSDIST($E10/2/(Inputs!$B$33*Inputs!$B$32))-1),IF(OR($F10="OBR",$F10="OBL"),(1-(2*NORMSDIST($E10/2/(Inputs!$B$33*Inputs!$B$32))-1))/2,0)))/(1-IF($F10="OB",1-(2*NORMSDIST($E10/2/(Inputs!$B$33*Inputs!$B$32))-1),IF(OR($F10="OBR",$F10="OBL"),(1-(2*NORMSDIST($E10/2/(Inputs!$B$33*Inputs!$B$32))-1))/2,0))))</f>
        <v>4.14952881026137</v>
      </c>
      <c r="K10" s="17" t="n">
        <f aca="false">IF($B10=3,"",(1+(2*NORMSDIST($E10/2/(Inputs!$B$35*Inputs!$B$34))-1)*(Inputs!$B$26*INDEX(Baseline!$B$3:$B$122,MATCH(MIN(MAX(ROUND((MAX($C10-Inputs!$B$34,15))/5,0)*5,5),600),Baseline!$A$3:$A$122,0))+(1-Inputs!$B$26)*INDEX(Baseline!$C$3:$C$122,MATCH(MIN(MAX(ROUND((MAX($C10-Inputs!$B$34,15))/5,0)*5,5),600),Baseline!$A$3:$A$122,0)))+(1-(2*NORMSDIST($E10/2/(Inputs!$B$35*Inputs!$B$34))-1)-IF($F10="OB",1-(2*NORMSDIST($E10/2/(Inputs!$B$35*Inputs!$B$34))-1),IF(OR($F10="OBR",$F10="OBL"),(1-(2*NORMSDIST($E10/2/(Inputs!$B$35*Inputs!$B$34))-1))/2,0)))*INDEX(Baseline!$E$3:$E$122,MATCH(MIN(MAX(ROUND((MAX($C10-Inputs!$B$34,15))/5,0)*5,5),600),Baseline!$A$3:$A$122,0))+IF($F10="OB",1-(2*NORMSDIST($E10/2/(Inputs!$B$35*Inputs!$B$34))-1),IF(OR($F10="OBR",$F10="OBL"),(1-(2*NORMSDIST($E10/2/(Inputs!$B$35*Inputs!$B$34))-1))/2,0)))/(1-IF($F10="OB",1-(2*NORMSDIST($E10/2/(Inputs!$B$35*Inputs!$B$34))-1),IF(OR($F10="OBR",$F10="OBL"),(1-(2*NORMSDIST($E10/2/(Inputs!$B$35*Inputs!$B$34))-1))/2,0))))</f>
        <v>4.16963664839589</v>
      </c>
      <c r="L10" s="17" t="n">
        <f aca="false">IF($B10=3,"",MIN(H10:K10))</f>
        <v>3.94679854449144</v>
      </c>
      <c r="M10" s="7" t="str">
        <f aca="false">IF($B10=3,"",INDEX({"driver","3-wood","3-hybrid","5-iron"},MATCH(L10,H10:K10,0)))</f>
        <v>driver</v>
      </c>
      <c r="N10" s="17" t="n">
        <f aca="false">IF($B10=3,G10,L10)</f>
        <v>3.94679854449144</v>
      </c>
      <c r="O10" s="17" t="n">
        <f aca="false">(1-Inputs!$B$7)/18+Inputs!$B$7*(19-D10)/171</f>
        <v>0.0555555555555556</v>
      </c>
      <c r="P10" s="17" t="n">
        <f aca="false">($B$23-$N$20)*O10</f>
        <v>-0.102512253450242</v>
      </c>
      <c r="Q10" s="17" t="n">
        <f aca="false">N10+P10</f>
        <v>3.8442862910412</v>
      </c>
      <c r="R10" s="17" t="n">
        <f aca="false">IF($B10=3,"",(1+(2*NORMSDIST($E10/2/(Inputs!$B$37*Inputs!$B$36))-1)*(Inputs!$B$26*INDEX(Baseline!$B$3:$B$122,MATCH(MIN(MAX(ROUND((MAX($C10-Inputs!$B$36,15))/5,0)*5,5),600),Baseline!$A$3:$A$122,0))+(1-Inputs!$B$26)*INDEX(Baseline!$C$3:$C$122,MATCH(MIN(MAX(ROUND((MAX($C10-Inputs!$B$36,15))/5,0)*5,5),600),Baseline!$A$3:$A$122,0)))+(1-(2*NORMSDIST($E10/2/(Inputs!$B$37*Inputs!$B$36))-1)-IF($F10="OB",1-(2*NORMSDIST($E10/2/(Inputs!$B$37*Inputs!$B$36))-1),IF(OR($F10="OBR",$F10="OBL"),(1-(2*NORMSDIST($E10/2/(Inputs!$B$37*Inputs!$B$36))-1))/2,0)))*INDEX(Baseline!$E$3:$E$122,MATCH(MIN(MAX(ROUND((MAX($C10-Inputs!$B$36,15))/5,0)*5,5),600),Baseline!$A$3:$A$122,0))+IF($F10="OB",1-(2*NORMSDIST($E10/2/(Inputs!$B$37*Inputs!$B$36))-1),IF(OR($F10="OBR",$F10="OBL"),(1-(2*NORMSDIST($E10/2/(Inputs!$B$37*Inputs!$B$36))-1))/2,0)))/(1-IF($F10="OB",1-(2*NORMSDIST($E10/2/(Inputs!$B$37*Inputs!$B$36))-1),IF(OR($F10="OBR",$F10="OBL"),(1-(2*NORMSDIST($E10/2/(Inputs!$B$37*Inputs!$B$36))-1))/2,0))))</f>
        <v>3.9303700825725</v>
      </c>
      <c r="S10" s="17" t="n">
        <f aca="false">IF($B10=3,"",(1+(2*NORMSDIST($E10/2/(Inputs!$B$39*Inputs!$B$38))-1)*(Inputs!$B$26*INDEX(Baseline!$B$3:$B$122,MATCH(MIN(MAX(ROUND((MAX($C10-Inputs!$B$38,15))/5,0)*5,5),600),Baseline!$A$3:$A$122,0))+(1-Inputs!$B$26)*INDEX(Baseline!$C$3:$C$122,MATCH(MIN(MAX(ROUND((MAX($C10-Inputs!$B$38,15))/5,0)*5,5),600),Baseline!$A$3:$A$122,0)))+(1-(2*NORMSDIST($E10/2/(Inputs!$B$39*Inputs!$B$38))-1)-IF($F10="OB",1-(2*NORMSDIST($E10/2/(Inputs!$B$39*Inputs!$B$38))-1),IF(OR($F10="OBR",$F10="OBL"),(1-(2*NORMSDIST($E10/2/(Inputs!$B$39*Inputs!$B$38))-1))/2,0)))*INDEX(Baseline!$E$3:$E$122,MATCH(MIN(MAX(ROUND((MAX($C10-Inputs!$B$38,15))/5,0)*5,5),600),Baseline!$A$3:$A$122,0))+IF($F10="OB",1-(2*NORMSDIST($E10/2/(Inputs!$B$39*Inputs!$B$38))-1),IF(OR($F10="OBR",$F10="OBL"),(1-(2*NORMSDIST($E10/2/(Inputs!$B$39*Inputs!$B$38))-1))/2,0)))/(1-IF($F10="OB",1-(2*NORMSDIST($E10/2/(Inputs!$B$39*Inputs!$B$38))-1),IF(OR($F10="OBR",$F10="OBL"),(1-(2*NORMSDIST($E10/2/(Inputs!$B$39*Inputs!$B$38))-1))/2,0))))</f>
        <v>4.13570287926857</v>
      </c>
      <c r="T10" s="17" t="n">
        <f aca="false">IF($B10=3,"",(1+(2*NORMSDIST($E10/2/(Inputs!$B$41*Inputs!$B$40))-1)*(Inputs!$B$26*INDEX(Baseline!$B$3:$B$122,MATCH(MIN(MAX(ROUND((MAX($C10-Inputs!$B$40,15))/5,0)*5,5),600),Baseline!$A$3:$A$122,0))+(1-Inputs!$B$26)*INDEX(Baseline!$C$3:$C$122,MATCH(MIN(MAX(ROUND((MAX($C10-Inputs!$B$40,15))/5,0)*5,5),600),Baseline!$A$3:$A$122,0)))+(1-(2*NORMSDIST($E10/2/(Inputs!$B$41*Inputs!$B$40))-1)-IF($F10="OB",1-(2*NORMSDIST($E10/2/(Inputs!$B$41*Inputs!$B$40))-1),IF(OR($F10="OBR",$F10="OBL"),(1-(2*NORMSDIST($E10/2/(Inputs!$B$41*Inputs!$B$40))-1))/2,0)))*INDEX(Baseline!$E$3:$E$122,MATCH(MIN(MAX(ROUND((MAX($C10-Inputs!$B$40,15))/5,0)*5,5),600),Baseline!$A$3:$A$122,0))+IF($F10="OB",1-(2*NORMSDIST($E10/2/(Inputs!$B$41*Inputs!$B$40))-1),IF(OR($F10="OBR",$F10="OBL"),(1-(2*NORMSDIST($E10/2/(Inputs!$B$41*Inputs!$B$40))-1))/2,0)))/(1-IF($F10="OB",1-(2*NORMSDIST($E10/2/(Inputs!$B$41*Inputs!$B$40))-1),IF(OR($F10="OBR",$F10="OBL"),(1-(2*NORMSDIST($E10/2/(Inputs!$B$41*Inputs!$B$40))-1))/2,0))))</f>
        <v>4.11063598969459</v>
      </c>
      <c r="U10" s="17" t="n">
        <f aca="false">IF($B10=3,"",(1+(2*NORMSDIST($E10/2/(Inputs!$B$43*Inputs!$B$42))-1)*(Inputs!$B$26*INDEX(Baseline!$B$3:$B$122,MATCH(MIN(MAX(ROUND((MAX($C10-Inputs!$B$42,15))/5,0)*5,5),600),Baseline!$A$3:$A$122,0))+(1-Inputs!$B$26)*INDEX(Baseline!$C$3:$C$122,MATCH(MIN(MAX(ROUND((MAX($C10-Inputs!$B$42,15))/5,0)*5,5),600),Baseline!$A$3:$A$122,0)))+(1-(2*NORMSDIST($E10/2/(Inputs!$B$43*Inputs!$B$42))-1)-IF($F10="OB",1-(2*NORMSDIST($E10/2/(Inputs!$B$43*Inputs!$B$42))-1),IF(OR($F10="OBR",$F10="OBL"),(1-(2*NORMSDIST($E10/2/(Inputs!$B$43*Inputs!$B$42))-1))/2,0)))*INDEX(Baseline!$E$3:$E$122,MATCH(MIN(MAX(ROUND((MAX($C10-Inputs!$B$42,15))/5,0)*5,5),600),Baseline!$A$3:$A$122,0))+IF($F10="OB",1-(2*NORMSDIST($E10/2/(Inputs!$B$43*Inputs!$B$42))-1),IF(OR($F10="OBR",$F10="OBL"),(1-(2*NORMSDIST($E10/2/(Inputs!$B$43*Inputs!$B$42))-1))/2,0)))/(1-IF($F10="OB",1-(2*NORMSDIST($E10/2/(Inputs!$B$43*Inputs!$B$42))-1),IF(OR($F10="OBR",$F10="OBL"),(1-(2*NORMSDIST($E10/2/(Inputs!$B$43*Inputs!$B$42))-1))/2,0))))</f>
        <v>4.18004049632742</v>
      </c>
      <c r="V10" s="7" t="str">
        <f aca="false">IF($B10=3,"",INDEX({"driver","7-wood","2-iron","5-iron"},MATCH(MIN(R10:U10),R10:U10,0)))</f>
        <v>driver</v>
      </c>
    </row>
    <row r="11" customFormat="false" ht="15" hidden="false" customHeight="false" outlineLevel="0" collapsed="false">
      <c r="A11" s="14" t="n">
        <v>10</v>
      </c>
      <c r="B11" s="15" t="n">
        <v>3</v>
      </c>
      <c r="C11" s="15" t="n">
        <v>143</v>
      </c>
      <c r="D11" s="15" t="n">
        <v>12</v>
      </c>
      <c r="G11" s="17" t="n">
        <f aca="false">INDEX(Baseline!$B$3:$B$122,MATCH(MIN(MAX(ROUND(($C11)/5,0)*5,5),600),Baseline!$A$3:$A$122,0))-Inputs!$B$9</f>
        <v>3.209864</v>
      </c>
      <c r="H11" s="17" t="str">
        <f aca="false">IF($B11=3,"",(1+(2*NORMSDIST($E11/2/(Inputs!$B$29*Inputs!$B$28))-1)*(Inputs!$B$26*INDEX(Baseline!$B$3:$B$122,MATCH(MIN(MAX(ROUND((MAX($C11-Inputs!$B$28,15))/5,0)*5,5),600),Baseline!$A$3:$A$122,0))+(1-Inputs!$B$26)*INDEX(Baseline!$C$3:$C$122,MATCH(MIN(MAX(ROUND((MAX($C11-Inputs!$B$28,15))/5,0)*5,5),600),Baseline!$A$3:$A$122,0)))+(1-(2*NORMSDIST($E11/2/(Inputs!$B$29*Inputs!$B$28))-1)-IF($F11="OB",1-(2*NORMSDIST($E11/2/(Inputs!$B$29*Inputs!$B$28))-1),IF(OR($F11="OBR",$F11="OBL"),(1-(2*NORMSDIST($E11/2/(Inputs!$B$29*Inputs!$B$28))-1))/2,0)))*INDEX(Baseline!$E$3:$E$122,MATCH(MIN(MAX(ROUND((MAX($C11-Inputs!$B$28,15))/5,0)*5,5),600),Baseline!$A$3:$A$122,0))+IF($F11="OB",1-(2*NORMSDIST($E11/2/(Inputs!$B$29*Inputs!$B$28))-1),IF(OR($F11="OBR",$F11="OBL"),(1-(2*NORMSDIST($E11/2/(Inputs!$B$29*Inputs!$B$28))-1))/2,0)))/(1-IF($F11="OB",1-(2*NORMSDIST($E11/2/(Inputs!$B$29*Inputs!$B$28))-1),IF(OR($F11="OBR",$F11="OBL"),(1-(2*NORMSDIST($E11/2/(Inputs!$B$29*Inputs!$B$28))-1))/2,0))))</f>
        <v/>
      </c>
      <c r="I11" s="17" t="str">
        <f aca="false">IF($B11=3,"",(1+(2*NORMSDIST($E11/2/(Inputs!$B$31*Inputs!$B$30))-1)*(Inputs!$B$26*INDEX(Baseline!$B$3:$B$122,MATCH(MIN(MAX(ROUND((MAX($C11-Inputs!$B$30,15))/5,0)*5,5),600),Baseline!$A$3:$A$122,0))+(1-Inputs!$B$26)*INDEX(Baseline!$C$3:$C$122,MATCH(MIN(MAX(ROUND((MAX($C11-Inputs!$B$30,15))/5,0)*5,5),600),Baseline!$A$3:$A$122,0)))+(1-(2*NORMSDIST($E11/2/(Inputs!$B$31*Inputs!$B$30))-1)-IF($F11="OB",1-(2*NORMSDIST($E11/2/(Inputs!$B$31*Inputs!$B$30))-1),IF(OR($F11="OBR",$F11="OBL"),(1-(2*NORMSDIST($E11/2/(Inputs!$B$31*Inputs!$B$30))-1))/2,0)))*INDEX(Baseline!$E$3:$E$122,MATCH(MIN(MAX(ROUND((MAX($C11-Inputs!$B$30,15))/5,0)*5,5),600),Baseline!$A$3:$A$122,0))+IF($F11="OB",1-(2*NORMSDIST($E11/2/(Inputs!$B$31*Inputs!$B$30))-1),IF(OR($F11="OBR",$F11="OBL"),(1-(2*NORMSDIST($E11/2/(Inputs!$B$31*Inputs!$B$30))-1))/2,0)))/(1-IF($F11="OB",1-(2*NORMSDIST($E11/2/(Inputs!$B$31*Inputs!$B$30))-1),IF(OR($F11="OBR",$F11="OBL"),(1-(2*NORMSDIST($E11/2/(Inputs!$B$31*Inputs!$B$30))-1))/2,0))))</f>
        <v/>
      </c>
      <c r="J11" s="17" t="str">
        <f aca="false">IF($B11=3,"",(1+(2*NORMSDIST($E11/2/(Inputs!$B$33*Inputs!$B$32))-1)*(Inputs!$B$26*INDEX(Baseline!$B$3:$B$122,MATCH(MIN(MAX(ROUND((MAX($C11-Inputs!$B$32,15))/5,0)*5,5),600),Baseline!$A$3:$A$122,0))+(1-Inputs!$B$26)*INDEX(Baseline!$C$3:$C$122,MATCH(MIN(MAX(ROUND((MAX($C11-Inputs!$B$32,15))/5,0)*5,5),600),Baseline!$A$3:$A$122,0)))+(1-(2*NORMSDIST($E11/2/(Inputs!$B$33*Inputs!$B$32))-1)-IF($F11="OB",1-(2*NORMSDIST($E11/2/(Inputs!$B$33*Inputs!$B$32))-1),IF(OR($F11="OBR",$F11="OBL"),(1-(2*NORMSDIST($E11/2/(Inputs!$B$33*Inputs!$B$32))-1))/2,0)))*INDEX(Baseline!$E$3:$E$122,MATCH(MIN(MAX(ROUND((MAX($C11-Inputs!$B$32,15))/5,0)*5,5),600),Baseline!$A$3:$A$122,0))+IF($F11="OB",1-(2*NORMSDIST($E11/2/(Inputs!$B$33*Inputs!$B$32))-1),IF(OR($F11="OBR",$F11="OBL"),(1-(2*NORMSDIST($E11/2/(Inputs!$B$33*Inputs!$B$32))-1))/2,0)))/(1-IF($F11="OB",1-(2*NORMSDIST($E11/2/(Inputs!$B$33*Inputs!$B$32))-1),IF(OR($F11="OBR",$F11="OBL"),(1-(2*NORMSDIST($E11/2/(Inputs!$B$33*Inputs!$B$32))-1))/2,0))))</f>
        <v/>
      </c>
      <c r="K11" s="17" t="str">
        <f aca="false">IF($B11=3,"",(1+(2*NORMSDIST($E11/2/(Inputs!$B$35*Inputs!$B$34))-1)*(Inputs!$B$26*INDEX(Baseline!$B$3:$B$122,MATCH(MIN(MAX(ROUND((MAX($C11-Inputs!$B$34,15))/5,0)*5,5),600),Baseline!$A$3:$A$122,0))+(1-Inputs!$B$26)*INDEX(Baseline!$C$3:$C$122,MATCH(MIN(MAX(ROUND((MAX($C11-Inputs!$B$34,15))/5,0)*5,5),600),Baseline!$A$3:$A$122,0)))+(1-(2*NORMSDIST($E11/2/(Inputs!$B$35*Inputs!$B$34))-1)-IF($F11="OB",1-(2*NORMSDIST($E11/2/(Inputs!$B$35*Inputs!$B$34))-1),IF(OR($F11="OBR",$F11="OBL"),(1-(2*NORMSDIST($E11/2/(Inputs!$B$35*Inputs!$B$34))-1))/2,0)))*INDEX(Baseline!$E$3:$E$122,MATCH(MIN(MAX(ROUND((MAX($C11-Inputs!$B$34,15))/5,0)*5,5),600),Baseline!$A$3:$A$122,0))+IF($F11="OB",1-(2*NORMSDIST($E11/2/(Inputs!$B$35*Inputs!$B$34))-1),IF(OR($F11="OBR",$F11="OBL"),(1-(2*NORMSDIST($E11/2/(Inputs!$B$35*Inputs!$B$34))-1))/2,0)))/(1-IF($F11="OB",1-(2*NORMSDIST($E11/2/(Inputs!$B$35*Inputs!$B$34))-1),IF(OR($F11="OBR",$F11="OBL"),(1-(2*NORMSDIST($E11/2/(Inputs!$B$35*Inputs!$B$34))-1))/2,0))))</f>
        <v/>
      </c>
      <c r="L11" s="17" t="str">
        <f aca="false">IF($B11=3,"",MIN(H11:K11))</f>
        <v/>
      </c>
      <c r="M11" s="7" t="str">
        <f aca="false">IF($B11=3,"",INDEX({"driver","3-wood","3-hybrid","5-iron"},MATCH(L11,H11:K11,0)))</f>
        <v/>
      </c>
      <c r="N11" s="17" t="n">
        <f aca="false">IF($B11=3,G11,L11)</f>
        <v>3.209864</v>
      </c>
      <c r="O11" s="17" t="n">
        <f aca="false">(1-Inputs!$B$7)/18+Inputs!$B$7*(19-D11)/171</f>
        <v>0.0555555555555556</v>
      </c>
      <c r="P11" s="17" t="n">
        <f aca="false">($B$23-$N$20)*O11</f>
        <v>-0.102512253450242</v>
      </c>
      <c r="Q11" s="17" t="n">
        <f aca="false">N11+P11</f>
        <v>3.10735174654976</v>
      </c>
      <c r="R11" s="17" t="str">
        <f aca="false">IF($B11=3,"",(1+(2*NORMSDIST($E11/2/(Inputs!$B$37*Inputs!$B$36))-1)*(Inputs!$B$26*INDEX(Baseline!$B$3:$B$122,MATCH(MIN(MAX(ROUND((MAX($C11-Inputs!$B$36,15))/5,0)*5,5),600),Baseline!$A$3:$A$122,0))+(1-Inputs!$B$26)*INDEX(Baseline!$C$3:$C$122,MATCH(MIN(MAX(ROUND((MAX($C11-Inputs!$B$36,15))/5,0)*5,5),600),Baseline!$A$3:$A$122,0)))+(1-(2*NORMSDIST($E11/2/(Inputs!$B$37*Inputs!$B$36))-1)-IF($F11="OB",1-(2*NORMSDIST($E11/2/(Inputs!$B$37*Inputs!$B$36))-1),IF(OR($F11="OBR",$F11="OBL"),(1-(2*NORMSDIST($E11/2/(Inputs!$B$37*Inputs!$B$36))-1))/2,0)))*INDEX(Baseline!$E$3:$E$122,MATCH(MIN(MAX(ROUND((MAX($C11-Inputs!$B$36,15))/5,0)*5,5),600),Baseline!$A$3:$A$122,0))+IF($F11="OB",1-(2*NORMSDIST($E11/2/(Inputs!$B$37*Inputs!$B$36))-1),IF(OR($F11="OBR",$F11="OBL"),(1-(2*NORMSDIST($E11/2/(Inputs!$B$37*Inputs!$B$36))-1))/2,0)))/(1-IF($F11="OB",1-(2*NORMSDIST($E11/2/(Inputs!$B$37*Inputs!$B$36))-1),IF(OR($F11="OBR",$F11="OBL"),(1-(2*NORMSDIST($E11/2/(Inputs!$B$37*Inputs!$B$36))-1))/2,0))))</f>
        <v/>
      </c>
      <c r="S11" s="17" t="str">
        <f aca="false">IF($B11=3,"",(1+(2*NORMSDIST($E11/2/(Inputs!$B$39*Inputs!$B$38))-1)*(Inputs!$B$26*INDEX(Baseline!$B$3:$B$122,MATCH(MIN(MAX(ROUND((MAX($C11-Inputs!$B$38,15))/5,0)*5,5),600),Baseline!$A$3:$A$122,0))+(1-Inputs!$B$26)*INDEX(Baseline!$C$3:$C$122,MATCH(MIN(MAX(ROUND((MAX($C11-Inputs!$B$38,15))/5,0)*5,5),600),Baseline!$A$3:$A$122,0)))+(1-(2*NORMSDIST($E11/2/(Inputs!$B$39*Inputs!$B$38))-1)-IF($F11="OB",1-(2*NORMSDIST($E11/2/(Inputs!$B$39*Inputs!$B$38))-1),IF(OR($F11="OBR",$F11="OBL"),(1-(2*NORMSDIST($E11/2/(Inputs!$B$39*Inputs!$B$38))-1))/2,0)))*INDEX(Baseline!$E$3:$E$122,MATCH(MIN(MAX(ROUND((MAX($C11-Inputs!$B$38,15))/5,0)*5,5),600),Baseline!$A$3:$A$122,0))+IF($F11="OB",1-(2*NORMSDIST($E11/2/(Inputs!$B$39*Inputs!$B$38))-1),IF(OR($F11="OBR",$F11="OBL"),(1-(2*NORMSDIST($E11/2/(Inputs!$B$39*Inputs!$B$38))-1))/2,0)))/(1-IF($F11="OB",1-(2*NORMSDIST($E11/2/(Inputs!$B$39*Inputs!$B$38))-1),IF(OR($F11="OBR",$F11="OBL"),(1-(2*NORMSDIST($E11/2/(Inputs!$B$39*Inputs!$B$38))-1))/2,0))))</f>
        <v/>
      </c>
      <c r="T11" s="17" t="str">
        <f aca="false">IF($B11=3,"",(1+(2*NORMSDIST($E11/2/(Inputs!$B$41*Inputs!$B$40))-1)*(Inputs!$B$26*INDEX(Baseline!$B$3:$B$122,MATCH(MIN(MAX(ROUND((MAX($C11-Inputs!$B$40,15))/5,0)*5,5),600),Baseline!$A$3:$A$122,0))+(1-Inputs!$B$26)*INDEX(Baseline!$C$3:$C$122,MATCH(MIN(MAX(ROUND((MAX($C11-Inputs!$B$40,15))/5,0)*5,5),600),Baseline!$A$3:$A$122,0)))+(1-(2*NORMSDIST($E11/2/(Inputs!$B$41*Inputs!$B$40))-1)-IF($F11="OB",1-(2*NORMSDIST($E11/2/(Inputs!$B$41*Inputs!$B$40))-1),IF(OR($F11="OBR",$F11="OBL"),(1-(2*NORMSDIST($E11/2/(Inputs!$B$41*Inputs!$B$40))-1))/2,0)))*INDEX(Baseline!$E$3:$E$122,MATCH(MIN(MAX(ROUND((MAX($C11-Inputs!$B$40,15))/5,0)*5,5),600),Baseline!$A$3:$A$122,0))+IF($F11="OB",1-(2*NORMSDIST($E11/2/(Inputs!$B$41*Inputs!$B$40))-1),IF(OR($F11="OBR",$F11="OBL"),(1-(2*NORMSDIST($E11/2/(Inputs!$B$41*Inputs!$B$40))-1))/2,0)))/(1-IF($F11="OB",1-(2*NORMSDIST($E11/2/(Inputs!$B$41*Inputs!$B$40))-1),IF(OR($F11="OBR",$F11="OBL"),(1-(2*NORMSDIST($E11/2/(Inputs!$B$41*Inputs!$B$40))-1))/2,0))))</f>
        <v/>
      </c>
      <c r="U11" s="17" t="str">
        <f aca="false">IF($B11=3,"",(1+(2*NORMSDIST($E11/2/(Inputs!$B$43*Inputs!$B$42))-1)*(Inputs!$B$26*INDEX(Baseline!$B$3:$B$122,MATCH(MIN(MAX(ROUND((MAX($C11-Inputs!$B$42,15))/5,0)*5,5),600),Baseline!$A$3:$A$122,0))+(1-Inputs!$B$26)*INDEX(Baseline!$C$3:$C$122,MATCH(MIN(MAX(ROUND((MAX($C11-Inputs!$B$42,15))/5,0)*5,5),600),Baseline!$A$3:$A$122,0)))+(1-(2*NORMSDIST($E11/2/(Inputs!$B$43*Inputs!$B$42))-1)-IF($F11="OB",1-(2*NORMSDIST($E11/2/(Inputs!$B$43*Inputs!$B$42))-1),IF(OR($F11="OBR",$F11="OBL"),(1-(2*NORMSDIST($E11/2/(Inputs!$B$43*Inputs!$B$42))-1))/2,0)))*INDEX(Baseline!$E$3:$E$122,MATCH(MIN(MAX(ROUND((MAX($C11-Inputs!$B$42,15))/5,0)*5,5),600),Baseline!$A$3:$A$122,0))+IF($F11="OB",1-(2*NORMSDIST($E11/2/(Inputs!$B$43*Inputs!$B$42))-1),IF(OR($F11="OBR",$F11="OBL"),(1-(2*NORMSDIST($E11/2/(Inputs!$B$43*Inputs!$B$42))-1))/2,0)))/(1-IF($F11="OB",1-(2*NORMSDIST($E11/2/(Inputs!$B$43*Inputs!$B$42))-1),IF(OR($F11="OBR",$F11="OBL"),(1-(2*NORMSDIST($E11/2/(Inputs!$B$43*Inputs!$B$42))-1))/2,0))))</f>
        <v/>
      </c>
      <c r="V11" s="7" t="str">
        <f aca="false">IF($B11=3,"",INDEX({"driver","7-wood","2-iron","5-iron"},MATCH(MIN(R11:U11),R11:U11,0)))</f>
        <v/>
      </c>
    </row>
    <row r="12" customFormat="false" ht="15" hidden="false" customHeight="false" outlineLevel="0" collapsed="false">
      <c r="A12" s="14" t="n">
        <v>11</v>
      </c>
      <c r="B12" s="15" t="n">
        <v>4</v>
      </c>
      <c r="C12" s="15" t="n">
        <v>333</v>
      </c>
      <c r="D12" s="15" t="n">
        <v>6</v>
      </c>
      <c r="E12" s="16" t="n">
        <f aca="false">Inputs!$B$27</f>
        <v>45</v>
      </c>
      <c r="F12" s="8" t="s">
        <v>128</v>
      </c>
      <c r="G12" s="17" t="n">
        <f aca="false">INDEX(Baseline!$B$3:$B$122,MATCH(MIN(MAX(ROUND(($C12)/5,0)*5,5),600),Baseline!$A$3:$A$122,0))-Inputs!$B$9</f>
        <v>4.13462512</v>
      </c>
      <c r="H12" s="17" t="n">
        <f aca="false">IF($B12=3,"",(1+(2*NORMSDIST($E12/2/(Inputs!$B$29*Inputs!$B$28))-1)*(Inputs!$B$26*INDEX(Baseline!$B$3:$B$122,MATCH(MIN(MAX(ROUND((MAX($C12-Inputs!$B$28,15))/5,0)*5,5),600),Baseline!$A$3:$A$122,0))+(1-Inputs!$B$26)*INDEX(Baseline!$C$3:$C$122,MATCH(MIN(MAX(ROUND((MAX($C12-Inputs!$B$28,15))/5,0)*5,5),600),Baseline!$A$3:$A$122,0)))+(1-(2*NORMSDIST($E12/2/(Inputs!$B$29*Inputs!$B$28))-1)-IF($F12="OB",1-(2*NORMSDIST($E12/2/(Inputs!$B$29*Inputs!$B$28))-1),IF(OR($F12="OBR",$F12="OBL"),(1-(2*NORMSDIST($E12/2/(Inputs!$B$29*Inputs!$B$28))-1))/2,0)))*INDEX(Baseline!$E$3:$E$122,MATCH(MIN(MAX(ROUND((MAX($C12-Inputs!$B$28,15))/5,0)*5,5),600),Baseline!$A$3:$A$122,0))+IF($F12="OB",1-(2*NORMSDIST($E12/2/(Inputs!$B$29*Inputs!$B$28))-1),IF(OR($F12="OBR",$F12="OBL"),(1-(2*NORMSDIST($E12/2/(Inputs!$B$29*Inputs!$B$28))-1))/2,0)))/(1-IF($F12="OB",1-(2*NORMSDIST($E12/2/(Inputs!$B$29*Inputs!$B$28))-1),IF(OR($F12="OBR",$F12="OBL"),(1-(2*NORMSDIST($E12/2/(Inputs!$B$29*Inputs!$B$28))-1))/2,0))))</f>
        <v>4.09877259848872</v>
      </c>
      <c r="I12" s="17" t="n">
        <f aca="false">IF($B12=3,"",(1+(2*NORMSDIST($E12/2/(Inputs!$B$31*Inputs!$B$30))-1)*(Inputs!$B$26*INDEX(Baseline!$B$3:$B$122,MATCH(MIN(MAX(ROUND((MAX($C12-Inputs!$B$30,15))/5,0)*5,5),600),Baseline!$A$3:$A$122,0))+(1-Inputs!$B$26)*INDEX(Baseline!$C$3:$C$122,MATCH(MIN(MAX(ROUND((MAX($C12-Inputs!$B$30,15))/5,0)*5,5),600),Baseline!$A$3:$A$122,0)))+(1-(2*NORMSDIST($E12/2/(Inputs!$B$31*Inputs!$B$30))-1)-IF($F12="OB",1-(2*NORMSDIST($E12/2/(Inputs!$B$31*Inputs!$B$30))-1),IF(OR($F12="OBR",$F12="OBL"),(1-(2*NORMSDIST($E12/2/(Inputs!$B$31*Inputs!$B$30))-1))/2,0)))*INDEX(Baseline!$E$3:$E$122,MATCH(MIN(MAX(ROUND((MAX($C12-Inputs!$B$30,15))/5,0)*5,5),600),Baseline!$A$3:$A$122,0))+IF($F12="OB",1-(2*NORMSDIST($E12/2/(Inputs!$B$31*Inputs!$B$30))-1),IF(OR($F12="OBR",$F12="OBL"),(1-(2*NORMSDIST($E12/2/(Inputs!$B$31*Inputs!$B$30))-1))/2,0)))/(1-IF($F12="OB",1-(2*NORMSDIST($E12/2/(Inputs!$B$31*Inputs!$B$30))-1),IF(OR($F12="OBR",$F12="OBL"),(1-(2*NORMSDIST($E12/2/(Inputs!$B$31*Inputs!$B$30))-1))/2,0))))</f>
        <v>4.17434135388944</v>
      </c>
      <c r="J12" s="17" t="n">
        <f aca="false">IF($B12=3,"",(1+(2*NORMSDIST($E12/2/(Inputs!$B$33*Inputs!$B$32))-1)*(Inputs!$B$26*INDEX(Baseline!$B$3:$B$122,MATCH(MIN(MAX(ROUND((MAX($C12-Inputs!$B$32,15))/5,0)*5,5),600),Baseline!$A$3:$A$122,0))+(1-Inputs!$B$26)*INDEX(Baseline!$C$3:$C$122,MATCH(MIN(MAX(ROUND((MAX($C12-Inputs!$B$32,15))/5,0)*5,5),600),Baseline!$A$3:$A$122,0)))+(1-(2*NORMSDIST($E12/2/(Inputs!$B$33*Inputs!$B$32))-1)-IF($F12="OB",1-(2*NORMSDIST($E12/2/(Inputs!$B$33*Inputs!$B$32))-1),IF(OR($F12="OBR",$F12="OBL"),(1-(2*NORMSDIST($E12/2/(Inputs!$B$33*Inputs!$B$32))-1))/2,0)))*INDEX(Baseline!$E$3:$E$122,MATCH(MIN(MAX(ROUND((MAX($C12-Inputs!$B$32,15))/5,0)*5,5),600),Baseline!$A$3:$A$122,0))+IF($F12="OB",1-(2*NORMSDIST($E12/2/(Inputs!$B$33*Inputs!$B$32))-1),IF(OR($F12="OBR",$F12="OBL"),(1-(2*NORMSDIST($E12/2/(Inputs!$B$33*Inputs!$B$32))-1))/2,0)))/(1-IF($F12="OB",1-(2*NORMSDIST($E12/2/(Inputs!$B$33*Inputs!$B$32))-1),IF(OR($F12="OBR",$F12="OBL"),(1-(2*NORMSDIST($E12/2/(Inputs!$B$33*Inputs!$B$32))-1))/2,0))))</f>
        <v>4.27610572315273</v>
      </c>
      <c r="K12" s="17" t="n">
        <f aca="false">IF($B12=3,"",(1+(2*NORMSDIST($E12/2/(Inputs!$B$35*Inputs!$B$34))-1)*(Inputs!$B$26*INDEX(Baseline!$B$3:$B$122,MATCH(MIN(MAX(ROUND((MAX($C12-Inputs!$B$34,15))/5,0)*5,5),600),Baseline!$A$3:$A$122,0))+(1-Inputs!$B$26)*INDEX(Baseline!$C$3:$C$122,MATCH(MIN(MAX(ROUND((MAX($C12-Inputs!$B$34,15))/5,0)*5,5),600),Baseline!$A$3:$A$122,0)))+(1-(2*NORMSDIST($E12/2/(Inputs!$B$35*Inputs!$B$34))-1)-IF($F12="OB",1-(2*NORMSDIST($E12/2/(Inputs!$B$35*Inputs!$B$34))-1),IF(OR($F12="OBR",$F12="OBL"),(1-(2*NORMSDIST($E12/2/(Inputs!$B$35*Inputs!$B$34))-1))/2,0)))*INDEX(Baseline!$E$3:$E$122,MATCH(MIN(MAX(ROUND((MAX($C12-Inputs!$B$34,15))/5,0)*5,5),600),Baseline!$A$3:$A$122,0))+IF($F12="OB",1-(2*NORMSDIST($E12/2/(Inputs!$B$35*Inputs!$B$34))-1),IF(OR($F12="OBR",$F12="OBL"),(1-(2*NORMSDIST($E12/2/(Inputs!$B$35*Inputs!$B$34))-1))/2,0)))/(1-IF($F12="OB",1-(2*NORMSDIST($E12/2/(Inputs!$B$35*Inputs!$B$34))-1),IF(OR($F12="OBR",$F12="OBL"),(1-(2*NORMSDIST($E12/2/(Inputs!$B$35*Inputs!$B$34))-1))/2,0))))</f>
        <v>4.33942803590536</v>
      </c>
      <c r="L12" s="17" t="n">
        <f aca="false">IF($B12=3,"",MIN(H12:K12))</f>
        <v>4.09877259848872</v>
      </c>
      <c r="M12" s="7" t="str">
        <f aca="false">IF($B12=3,"",INDEX({"driver","3-wood","3-hybrid","5-iron"},MATCH(L12,H12:K12,0)))</f>
        <v>driver</v>
      </c>
      <c r="N12" s="17" t="n">
        <f aca="false">IF($B12=3,G12,L12)</f>
        <v>4.09877259848872</v>
      </c>
      <c r="O12" s="17" t="n">
        <f aca="false">(1-Inputs!$B$7)/18+Inputs!$B$7*(19-D12)/171</f>
        <v>0.0555555555555556</v>
      </c>
      <c r="P12" s="17" t="n">
        <f aca="false">($B$23-$N$20)*O12</f>
        <v>-0.102512253450242</v>
      </c>
      <c r="Q12" s="17" t="n">
        <f aca="false">N12+P12</f>
        <v>3.99626034503847</v>
      </c>
      <c r="R12" s="17" t="n">
        <f aca="false">IF($B12=3,"",(1+(2*NORMSDIST($E12/2/(Inputs!$B$37*Inputs!$B$36))-1)*(Inputs!$B$26*INDEX(Baseline!$B$3:$B$122,MATCH(MIN(MAX(ROUND((MAX($C12-Inputs!$B$36,15))/5,0)*5,5),600),Baseline!$A$3:$A$122,0))+(1-Inputs!$B$26)*INDEX(Baseline!$C$3:$C$122,MATCH(MIN(MAX(ROUND((MAX($C12-Inputs!$B$36,15))/5,0)*5,5),600),Baseline!$A$3:$A$122,0)))+(1-(2*NORMSDIST($E12/2/(Inputs!$B$37*Inputs!$B$36))-1)-IF($F12="OB",1-(2*NORMSDIST($E12/2/(Inputs!$B$37*Inputs!$B$36))-1),IF(OR($F12="OBR",$F12="OBL"),(1-(2*NORMSDIST($E12/2/(Inputs!$B$37*Inputs!$B$36))-1))/2,0)))*INDEX(Baseline!$E$3:$E$122,MATCH(MIN(MAX(ROUND((MAX($C12-Inputs!$B$36,15))/5,0)*5,5),600),Baseline!$A$3:$A$122,0))+IF($F12="OB",1-(2*NORMSDIST($E12/2/(Inputs!$B$37*Inputs!$B$36))-1),IF(OR($F12="OBR",$F12="OBL"),(1-(2*NORMSDIST($E12/2/(Inputs!$B$37*Inputs!$B$36))-1))/2,0)))/(1-IF($F12="OB",1-(2*NORMSDIST($E12/2/(Inputs!$B$37*Inputs!$B$36))-1),IF(OR($F12="OBR",$F12="OBL"),(1-(2*NORMSDIST($E12/2/(Inputs!$B$37*Inputs!$B$36))-1))/2,0))))</f>
        <v>4.13275112745991</v>
      </c>
      <c r="S12" s="17" t="n">
        <f aca="false">IF($B12=3,"",(1+(2*NORMSDIST($E12/2/(Inputs!$B$39*Inputs!$B$38))-1)*(Inputs!$B$26*INDEX(Baseline!$B$3:$B$122,MATCH(MIN(MAX(ROUND((MAX($C12-Inputs!$B$38,15))/5,0)*5,5),600),Baseline!$A$3:$A$122,0))+(1-Inputs!$B$26)*INDEX(Baseline!$C$3:$C$122,MATCH(MIN(MAX(ROUND((MAX($C12-Inputs!$B$38,15))/5,0)*5,5),600),Baseline!$A$3:$A$122,0)))+(1-(2*NORMSDIST($E12/2/(Inputs!$B$39*Inputs!$B$38))-1)-IF($F12="OB",1-(2*NORMSDIST($E12/2/(Inputs!$B$39*Inputs!$B$38))-1),IF(OR($F12="OBR",$F12="OBL"),(1-(2*NORMSDIST($E12/2/(Inputs!$B$39*Inputs!$B$38))-1))/2,0)))*INDEX(Baseline!$E$3:$E$122,MATCH(MIN(MAX(ROUND((MAX($C12-Inputs!$B$38,15))/5,0)*5,5),600),Baseline!$A$3:$A$122,0))+IF($F12="OB",1-(2*NORMSDIST($E12/2/(Inputs!$B$39*Inputs!$B$38))-1),IF(OR($F12="OBR",$F12="OBL"),(1-(2*NORMSDIST($E12/2/(Inputs!$B$39*Inputs!$B$38))-1))/2,0)))/(1-IF($F12="OB",1-(2*NORMSDIST($E12/2/(Inputs!$B$39*Inputs!$B$38))-1),IF(OR($F12="OBR",$F12="OBL"),(1-(2*NORMSDIST($E12/2/(Inputs!$B$39*Inputs!$B$38))-1))/2,0))))</f>
        <v>4.2591814830596</v>
      </c>
      <c r="T12" s="17" t="n">
        <f aca="false">IF($B12=3,"",(1+(2*NORMSDIST($E12/2/(Inputs!$B$41*Inputs!$B$40))-1)*(Inputs!$B$26*INDEX(Baseline!$B$3:$B$122,MATCH(MIN(MAX(ROUND((MAX($C12-Inputs!$B$40,15))/5,0)*5,5),600),Baseline!$A$3:$A$122,0))+(1-Inputs!$B$26)*INDEX(Baseline!$C$3:$C$122,MATCH(MIN(MAX(ROUND((MAX($C12-Inputs!$B$40,15))/5,0)*5,5),600),Baseline!$A$3:$A$122,0)))+(1-(2*NORMSDIST($E12/2/(Inputs!$B$41*Inputs!$B$40))-1)-IF($F12="OB",1-(2*NORMSDIST($E12/2/(Inputs!$B$41*Inputs!$B$40))-1),IF(OR($F12="OBR",$F12="OBL"),(1-(2*NORMSDIST($E12/2/(Inputs!$B$41*Inputs!$B$40))-1))/2,0)))*INDEX(Baseline!$E$3:$E$122,MATCH(MIN(MAX(ROUND((MAX($C12-Inputs!$B$40,15))/5,0)*5,5),600),Baseline!$A$3:$A$122,0))+IF($F12="OB",1-(2*NORMSDIST($E12/2/(Inputs!$B$41*Inputs!$B$40))-1),IF(OR($F12="OBR",$F12="OBL"),(1-(2*NORMSDIST($E12/2/(Inputs!$B$41*Inputs!$B$40))-1))/2,0)))/(1-IF($F12="OB",1-(2*NORMSDIST($E12/2/(Inputs!$B$41*Inputs!$B$40))-1),IF(OR($F12="OBR",$F12="OBL"),(1-(2*NORMSDIST($E12/2/(Inputs!$B$41*Inputs!$B$40))-1))/2,0))))</f>
        <v>4.20840633122475</v>
      </c>
      <c r="U12" s="17" t="n">
        <f aca="false">IF($B12=3,"",(1+(2*NORMSDIST($E12/2/(Inputs!$B$43*Inputs!$B$42))-1)*(Inputs!$B$26*INDEX(Baseline!$B$3:$B$122,MATCH(MIN(MAX(ROUND((MAX($C12-Inputs!$B$42,15))/5,0)*5,5),600),Baseline!$A$3:$A$122,0))+(1-Inputs!$B$26)*INDEX(Baseline!$C$3:$C$122,MATCH(MIN(MAX(ROUND((MAX($C12-Inputs!$B$42,15))/5,0)*5,5),600),Baseline!$A$3:$A$122,0)))+(1-(2*NORMSDIST($E12/2/(Inputs!$B$43*Inputs!$B$42))-1)-IF($F12="OB",1-(2*NORMSDIST($E12/2/(Inputs!$B$43*Inputs!$B$42))-1),IF(OR($F12="OBR",$F12="OBL"),(1-(2*NORMSDIST($E12/2/(Inputs!$B$43*Inputs!$B$42))-1))/2,0)))*INDEX(Baseline!$E$3:$E$122,MATCH(MIN(MAX(ROUND((MAX($C12-Inputs!$B$42,15))/5,0)*5,5),600),Baseline!$A$3:$A$122,0))+IF($F12="OB",1-(2*NORMSDIST($E12/2/(Inputs!$B$43*Inputs!$B$42))-1),IF(OR($F12="OBR",$F12="OBL"),(1-(2*NORMSDIST($E12/2/(Inputs!$B$43*Inputs!$B$42))-1))/2,0)))/(1-IF($F12="OB",1-(2*NORMSDIST($E12/2/(Inputs!$B$43*Inputs!$B$42))-1),IF(OR($F12="OBR",$F12="OBL"),(1-(2*NORMSDIST($E12/2/(Inputs!$B$43*Inputs!$B$42))-1))/2,0))))</f>
        <v>4.33055486189854</v>
      </c>
      <c r="V12" s="7" t="str">
        <f aca="false">IF($B12=3,"",INDEX({"driver","7-wood","2-iron","5-iron"},MATCH(MIN(R12:U12),R12:U12,0)))</f>
        <v>driver</v>
      </c>
    </row>
    <row r="13" customFormat="false" ht="15" hidden="false" customHeight="false" outlineLevel="0" collapsed="false">
      <c r="A13" s="14" t="n">
        <v>12</v>
      </c>
      <c r="B13" s="15" t="n">
        <v>3</v>
      </c>
      <c r="C13" s="15" t="n">
        <v>97</v>
      </c>
      <c r="D13" s="15" t="n">
        <v>18</v>
      </c>
      <c r="G13" s="17" t="n">
        <f aca="false">INDEX(Baseline!$B$3:$B$122,MATCH(MIN(MAX(ROUND(($C13)/5,0)*5,5),600),Baseline!$A$3:$A$122,0))-Inputs!$B$9</f>
        <v>3.00140933333333</v>
      </c>
      <c r="H13" s="17" t="str">
        <f aca="false">IF($B13=3,"",(1+(2*NORMSDIST($E13/2/(Inputs!$B$29*Inputs!$B$28))-1)*(Inputs!$B$26*INDEX(Baseline!$B$3:$B$122,MATCH(MIN(MAX(ROUND((MAX($C13-Inputs!$B$28,15))/5,0)*5,5),600),Baseline!$A$3:$A$122,0))+(1-Inputs!$B$26)*INDEX(Baseline!$C$3:$C$122,MATCH(MIN(MAX(ROUND((MAX($C13-Inputs!$B$28,15))/5,0)*5,5),600),Baseline!$A$3:$A$122,0)))+(1-(2*NORMSDIST($E13/2/(Inputs!$B$29*Inputs!$B$28))-1)-IF($F13="OB",1-(2*NORMSDIST($E13/2/(Inputs!$B$29*Inputs!$B$28))-1),IF(OR($F13="OBR",$F13="OBL"),(1-(2*NORMSDIST($E13/2/(Inputs!$B$29*Inputs!$B$28))-1))/2,0)))*INDEX(Baseline!$E$3:$E$122,MATCH(MIN(MAX(ROUND((MAX($C13-Inputs!$B$28,15))/5,0)*5,5),600),Baseline!$A$3:$A$122,0))+IF($F13="OB",1-(2*NORMSDIST($E13/2/(Inputs!$B$29*Inputs!$B$28))-1),IF(OR($F13="OBR",$F13="OBL"),(1-(2*NORMSDIST($E13/2/(Inputs!$B$29*Inputs!$B$28))-1))/2,0)))/(1-IF($F13="OB",1-(2*NORMSDIST($E13/2/(Inputs!$B$29*Inputs!$B$28))-1),IF(OR($F13="OBR",$F13="OBL"),(1-(2*NORMSDIST($E13/2/(Inputs!$B$29*Inputs!$B$28))-1))/2,0))))</f>
        <v/>
      </c>
      <c r="I13" s="17" t="str">
        <f aca="false">IF($B13=3,"",(1+(2*NORMSDIST($E13/2/(Inputs!$B$31*Inputs!$B$30))-1)*(Inputs!$B$26*INDEX(Baseline!$B$3:$B$122,MATCH(MIN(MAX(ROUND((MAX($C13-Inputs!$B$30,15))/5,0)*5,5),600),Baseline!$A$3:$A$122,0))+(1-Inputs!$B$26)*INDEX(Baseline!$C$3:$C$122,MATCH(MIN(MAX(ROUND((MAX($C13-Inputs!$B$30,15))/5,0)*5,5),600),Baseline!$A$3:$A$122,0)))+(1-(2*NORMSDIST($E13/2/(Inputs!$B$31*Inputs!$B$30))-1)-IF($F13="OB",1-(2*NORMSDIST($E13/2/(Inputs!$B$31*Inputs!$B$30))-1),IF(OR($F13="OBR",$F13="OBL"),(1-(2*NORMSDIST($E13/2/(Inputs!$B$31*Inputs!$B$30))-1))/2,0)))*INDEX(Baseline!$E$3:$E$122,MATCH(MIN(MAX(ROUND((MAX($C13-Inputs!$B$30,15))/5,0)*5,5),600),Baseline!$A$3:$A$122,0))+IF($F13="OB",1-(2*NORMSDIST($E13/2/(Inputs!$B$31*Inputs!$B$30))-1),IF(OR($F13="OBR",$F13="OBL"),(1-(2*NORMSDIST($E13/2/(Inputs!$B$31*Inputs!$B$30))-1))/2,0)))/(1-IF($F13="OB",1-(2*NORMSDIST($E13/2/(Inputs!$B$31*Inputs!$B$30))-1),IF(OR($F13="OBR",$F13="OBL"),(1-(2*NORMSDIST($E13/2/(Inputs!$B$31*Inputs!$B$30))-1))/2,0))))</f>
        <v/>
      </c>
      <c r="J13" s="17" t="str">
        <f aca="false">IF($B13=3,"",(1+(2*NORMSDIST($E13/2/(Inputs!$B$33*Inputs!$B$32))-1)*(Inputs!$B$26*INDEX(Baseline!$B$3:$B$122,MATCH(MIN(MAX(ROUND((MAX($C13-Inputs!$B$32,15))/5,0)*5,5),600),Baseline!$A$3:$A$122,0))+(1-Inputs!$B$26)*INDEX(Baseline!$C$3:$C$122,MATCH(MIN(MAX(ROUND((MAX($C13-Inputs!$B$32,15))/5,0)*5,5),600),Baseline!$A$3:$A$122,0)))+(1-(2*NORMSDIST($E13/2/(Inputs!$B$33*Inputs!$B$32))-1)-IF($F13="OB",1-(2*NORMSDIST($E13/2/(Inputs!$B$33*Inputs!$B$32))-1),IF(OR($F13="OBR",$F13="OBL"),(1-(2*NORMSDIST($E13/2/(Inputs!$B$33*Inputs!$B$32))-1))/2,0)))*INDEX(Baseline!$E$3:$E$122,MATCH(MIN(MAX(ROUND((MAX($C13-Inputs!$B$32,15))/5,0)*5,5),600),Baseline!$A$3:$A$122,0))+IF($F13="OB",1-(2*NORMSDIST($E13/2/(Inputs!$B$33*Inputs!$B$32))-1),IF(OR($F13="OBR",$F13="OBL"),(1-(2*NORMSDIST($E13/2/(Inputs!$B$33*Inputs!$B$32))-1))/2,0)))/(1-IF($F13="OB",1-(2*NORMSDIST($E13/2/(Inputs!$B$33*Inputs!$B$32))-1),IF(OR($F13="OBR",$F13="OBL"),(1-(2*NORMSDIST($E13/2/(Inputs!$B$33*Inputs!$B$32))-1))/2,0))))</f>
        <v/>
      </c>
      <c r="K13" s="17" t="str">
        <f aca="false">IF($B13=3,"",(1+(2*NORMSDIST($E13/2/(Inputs!$B$35*Inputs!$B$34))-1)*(Inputs!$B$26*INDEX(Baseline!$B$3:$B$122,MATCH(MIN(MAX(ROUND((MAX($C13-Inputs!$B$34,15))/5,0)*5,5),600),Baseline!$A$3:$A$122,0))+(1-Inputs!$B$26)*INDEX(Baseline!$C$3:$C$122,MATCH(MIN(MAX(ROUND((MAX($C13-Inputs!$B$34,15))/5,0)*5,5),600),Baseline!$A$3:$A$122,0)))+(1-(2*NORMSDIST($E13/2/(Inputs!$B$35*Inputs!$B$34))-1)-IF($F13="OB",1-(2*NORMSDIST($E13/2/(Inputs!$B$35*Inputs!$B$34))-1),IF(OR($F13="OBR",$F13="OBL"),(1-(2*NORMSDIST($E13/2/(Inputs!$B$35*Inputs!$B$34))-1))/2,0)))*INDEX(Baseline!$E$3:$E$122,MATCH(MIN(MAX(ROUND((MAX($C13-Inputs!$B$34,15))/5,0)*5,5),600),Baseline!$A$3:$A$122,0))+IF($F13="OB",1-(2*NORMSDIST($E13/2/(Inputs!$B$35*Inputs!$B$34))-1),IF(OR($F13="OBR",$F13="OBL"),(1-(2*NORMSDIST($E13/2/(Inputs!$B$35*Inputs!$B$34))-1))/2,0)))/(1-IF($F13="OB",1-(2*NORMSDIST($E13/2/(Inputs!$B$35*Inputs!$B$34))-1),IF(OR($F13="OBR",$F13="OBL"),(1-(2*NORMSDIST($E13/2/(Inputs!$B$35*Inputs!$B$34))-1))/2,0))))</f>
        <v/>
      </c>
      <c r="L13" s="17" t="str">
        <f aca="false">IF($B13=3,"",MIN(H13:K13))</f>
        <v/>
      </c>
      <c r="M13" s="7" t="str">
        <f aca="false">IF($B13=3,"",INDEX({"driver","3-wood","3-hybrid","5-iron"},MATCH(L13,H13:K13,0)))</f>
        <v/>
      </c>
      <c r="N13" s="17" t="n">
        <f aca="false">IF($B13=3,G13,L13)</f>
        <v>3.00140933333333</v>
      </c>
      <c r="O13" s="17" t="n">
        <f aca="false">(1-Inputs!$B$7)/18+Inputs!$B$7*(19-D13)/171</f>
        <v>0.0555555555555556</v>
      </c>
      <c r="P13" s="17" t="n">
        <f aca="false">($B$23-$N$20)*O13</f>
        <v>-0.102512253450242</v>
      </c>
      <c r="Q13" s="17" t="n">
        <f aca="false">N13+P13</f>
        <v>2.89889707988309</v>
      </c>
      <c r="R13" s="17" t="str">
        <f aca="false">IF($B13=3,"",(1+(2*NORMSDIST($E13/2/(Inputs!$B$37*Inputs!$B$36))-1)*(Inputs!$B$26*INDEX(Baseline!$B$3:$B$122,MATCH(MIN(MAX(ROUND((MAX($C13-Inputs!$B$36,15))/5,0)*5,5),600),Baseline!$A$3:$A$122,0))+(1-Inputs!$B$26)*INDEX(Baseline!$C$3:$C$122,MATCH(MIN(MAX(ROUND((MAX($C13-Inputs!$B$36,15))/5,0)*5,5),600),Baseline!$A$3:$A$122,0)))+(1-(2*NORMSDIST($E13/2/(Inputs!$B$37*Inputs!$B$36))-1)-IF($F13="OB",1-(2*NORMSDIST($E13/2/(Inputs!$B$37*Inputs!$B$36))-1),IF(OR($F13="OBR",$F13="OBL"),(1-(2*NORMSDIST($E13/2/(Inputs!$B$37*Inputs!$B$36))-1))/2,0)))*INDEX(Baseline!$E$3:$E$122,MATCH(MIN(MAX(ROUND((MAX($C13-Inputs!$B$36,15))/5,0)*5,5),600),Baseline!$A$3:$A$122,0))+IF($F13="OB",1-(2*NORMSDIST($E13/2/(Inputs!$B$37*Inputs!$B$36))-1),IF(OR($F13="OBR",$F13="OBL"),(1-(2*NORMSDIST($E13/2/(Inputs!$B$37*Inputs!$B$36))-1))/2,0)))/(1-IF($F13="OB",1-(2*NORMSDIST($E13/2/(Inputs!$B$37*Inputs!$B$36))-1),IF(OR($F13="OBR",$F13="OBL"),(1-(2*NORMSDIST($E13/2/(Inputs!$B$37*Inputs!$B$36))-1))/2,0))))</f>
        <v/>
      </c>
      <c r="S13" s="17" t="str">
        <f aca="false">IF($B13=3,"",(1+(2*NORMSDIST($E13/2/(Inputs!$B$39*Inputs!$B$38))-1)*(Inputs!$B$26*INDEX(Baseline!$B$3:$B$122,MATCH(MIN(MAX(ROUND((MAX($C13-Inputs!$B$38,15))/5,0)*5,5),600),Baseline!$A$3:$A$122,0))+(1-Inputs!$B$26)*INDEX(Baseline!$C$3:$C$122,MATCH(MIN(MAX(ROUND((MAX($C13-Inputs!$B$38,15))/5,0)*5,5),600),Baseline!$A$3:$A$122,0)))+(1-(2*NORMSDIST($E13/2/(Inputs!$B$39*Inputs!$B$38))-1)-IF($F13="OB",1-(2*NORMSDIST($E13/2/(Inputs!$B$39*Inputs!$B$38))-1),IF(OR($F13="OBR",$F13="OBL"),(1-(2*NORMSDIST($E13/2/(Inputs!$B$39*Inputs!$B$38))-1))/2,0)))*INDEX(Baseline!$E$3:$E$122,MATCH(MIN(MAX(ROUND((MAX($C13-Inputs!$B$38,15))/5,0)*5,5),600),Baseline!$A$3:$A$122,0))+IF($F13="OB",1-(2*NORMSDIST($E13/2/(Inputs!$B$39*Inputs!$B$38))-1),IF(OR($F13="OBR",$F13="OBL"),(1-(2*NORMSDIST($E13/2/(Inputs!$B$39*Inputs!$B$38))-1))/2,0)))/(1-IF($F13="OB",1-(2*NORMSDIST($E13/2/(Inputs!$B$39*Inputs!$B$38))-1),IF(OR($F13="OBR",$F13="OBL"),(1-(2*NORMSDIST($E13/2/(Inputs!$B$39*Inputs!$B$38))-1))/2,0))))</f>
        <v/>
      </c>
      <c r="T13" s="17" t="str">
        <f aca="false">IF($B13=3,"",(1+(2*NORMSDIST($E13/2/(Inputs!$B$41*Inputs!$B$40))-1)*(Inputs!$B$26*INDEX(Baseline!$B$3:$B$122,MATCH(MIN(MAX(ROUND((MAX($C13-Inputs!$B$40,15))/5,0)*5,5),600),Baseline!$A$3:$A$122,0))+(1-Inputs!$B$26)*INDEX(Baseline!$C$3:$C$122,MATCH(MIN(MAX(ROUND((MAX($C13-Inputs!$B$40,15))/5,0)*5,5),600),Baseline!$A$3:$A$122,0)))+(1-(2*NORMSDIST($E13/2/(Inputs!$B$41*Inputs!$B$40))-1)-IF($F13="OB",1-(2*NORMSDIST($E13/2/(Inputs!$B$41*Inputs!$B$40))-1),IF(OR($F13="OBR",$F13="OBL"),(1-(2*NORMSDIST($E13/2/(Inputs!$B$41*Inputs!$B$40))-1))/2,0)))*INDEX(Baseline!$E$3:$E$122,MATCH(MIN(MAX(ROUND((MAX($C13-Inputs!$B$40,15))/5,0)*5,5),600),Baseline!$A$3:$A$122,0))+IF($F13="OB",1-(2*NORMSDIST($E13/2/(Inputs!$B$41*Inputs!$B$40))-1),IF(OR($F13="OBR",$F13="OBL"),(1-(2*NORMSDIST($E13/2/(Inputs!$B$41*Inputs!$B$40))-1))/2,0)))/(1-IF($F13="OB",1-(2*NORMSDIST($E13/2/(Inputs!$B$41*Inputs!$B$40))-1),IF(OR($F13="OBR",$F13="OBL"),(1-(2*NORMSDIST($E13/2/(Inputs!$B$41*Inputs!$B$40))-1))/2,0))))</f>
        <v/>
      </c>
      <c r="U13" s="17" t="str">
        <f aca="false">IF($B13=3,"",(1+(2*NORMSDIST($E13/2/(Inputs!$B$43*Inputs!$B$42))-1)*(Inputs!$B$26*INDEX(Baseline!$B$3:$B$122,MATCH(MIN(MAX(ROUND((MAX($C13-Inputs!$B$42,15))/5,0)*5,5),600),Baseline!$A$3:$A$122,0))+(1-Inputs!$B$26)*INDEX(Baseline!$C$3:$C$122,MATCH(MIN(MAX(ROUND((MAX($C13-Inputs!$B$42,15))/5,0)*5,5),600),Baseline!$A$3:$A$122,0)))+(1-(2*NORMSDIST($E13/2/(Inputs!$B$43*Inputs!$B$42))-1)-IF($F13="OB",1-(2*NORMSDIST($E13/2/(Inputs!$B$43*Inputs!$B$42))-1),IF(OR($F13="OBR",$F13="OBL"),(1-(2*NORMSDIST($E13/2/(Inputs!$B$43*Inputs!$B$42))-1))/2,0)))*INDEX(Baseline!$E$3:$E$122,MATCH(MIN(MAX(ROUND((MAX($C13-Inputs!$B$42,15))/5,0)*5,5),600),Baseline!$A$3:$A$122,0))+IF($F13="OB",1-(2*NORMSDIST($E13/2/(Inputs!$B$43*Inputs!$B$42))-1),IF(OR($F13="OBR",$F13="OBL"),(1-(2*NORMSDIST($E13/2/(Inputs!$B$43*Inputs!$B$42))-1))/2,0)))/(1-IF($F13="OB",1-(2*NORMSDIST($E13/2/(Inputs!$B$43*Inputs!$B$42))-1),IF(OR($F13="OBR",$F13="OBL"),(1-(2*NORMSDIST($E13/2/(Inputs!$B$43*Inputs!$B$42))-1))/2,0))))</f>
        <v/>
      </c>
      <c r="V13" s="7" t="str">
        <f aca="false">IF($B13=3,"",INDEX({"driver","7-wood","2-iron","5-iron"},MATCH(MIN(R13:U13),R13:U13,0)))</f>
        <v/>
      </c>
    </row>
    <row r="14" customFormat="false" ht="15" hidden="false" customHeight="false" outlineLevel="0" collapsed="false">
      <c r="A14" s="14" t="n">
        <v>13</v>
      </c>
      <c r="B14" s="15" t="n">
        <v>3</v>
      </c>
      <c r="C14" s="15" t="n">
        <v>154</v>
      </c>
      <c r="D14" s="15" t="n">
        <v>14</v>
      </c>
      <c r="G14" s="17" t="n">
        <f aca="false">INDEX(Baseline!$B$3:$B$122,MATCH(MIN(MAX(ROUND(($C14)/5,0)*5,5),600),Baseline!$A$3:$A$122,0))-Inputs!$B$9</f>
        <v>3.2567056</v>
      </c>
      <c r="H14" s="17" t="str">
        <f aca="false">IF($B14=3,"",(1+(2*NORMSDIST($E14/2/(Inputs!$B$29*Inputs!$B$28))-1)*(Inputs!$B$26*INDEX(Baseline!$B$3:$B$122,MATCH(MIN(MAX(ROUND((MAX($C14-Inputs!$B$28,15))/5,0)*5,5),600),Baseline!$A$3:$A$122,0))+(1-Inputs!$B$26)*INDEX(Baseline!$C$3:$C$122,MATCH(MIN(MAX(ROUND((MAX($C14-Inputs!$B$28,15))/5,0)*5,5),600),Baseline!$A$3:$A$122,0)))+(1-(2*NORMSDIST($E14/2/(Inputs!$B$29*Inputs!$B$28))-1)-IF($F14="OB",1-(2*NORMSDIST($E14/2/(Inputs!$B$29*Inputs!$B$28))-1),IF(OR($F14="OBR",$F14="OBL"),(1-(2*NORMSDIST($E14/2/(Inputs!$B$29*Inputs!$B$28))-1))/2,0)))*INDEX(Baseline!$E$3:$E$122,MATCH(MIN(MAX(ROUND((MAX($C14-Inputs!$B$28,15))/5,0)*5,5),600),Baseline!$A$3:$A$122,0))+IF($F14="OB",1-(2*NORMSDIST($E14/2/(Inputs!$B$29*Inputs!$B$28))-1),IF(OR($F14="OBR",$F14="OBL"),(1-(2*NORMSDIST($E14/2/(Inputs!$B$29*Inputs!$B$28))-1))/2,0)))/(1-IF($F14="OB",1-(2*NORMSDIST($E14/2/(Inputs!$B$29*Inputs!$B$28))-1),IF(OR($F14="OBR",$F14="OBL"),(1-(2*NORMSDIST($E14/2/(Inputs!$B$29*Inputs!$B$28))-1))/2,0))))</f>
        <v/>
      </c>
      <c r="I14" s="17" t="str">
        <f aca="false">IF($B14=3,"",(1+(2*NORMSDIST($E14/2/(Inputs!$B$31*Inputs!$B$30))-1)*(Inputs!$B$26*INDEX(Baseline!$B$3:$B$122,MATCH(MIN(MAX(ROUND((MAX($C14-Inputs!$B$30,15))/5,0)*5,5),600),Baseline!$A$3:$A$122,0))+(1-Inputs!$B$26)*INDEX(Baseline!$C$3:$C$122,MATCH(MIN(MAX(ROUND((MAX($C14-Inputs!$B$30,15))/5,0)*5,5),600),Baseline!$A$3:$A$122,0)))+(1-(2*NORMSDIST($E14/2/(Inputs!$B$31*Inputs!$B$30))-1)-IF($F14="OB",1-(2*NORMSDIST($E14/2/(Inputs!$B$31*Inputs!$B$30))-1),IF(OR($F14="OBR",$F14="OBL"),(1-(2*NORMSDIST($E14/2/(Inputs!$B$31*Inputs!$B$30))-1))/2,0)))*INDEX(Baseline!$E$3:$E$122,MATCH(MIN(MAX(ROUND((MAX($C14-Inputs!$B$30,15))/5,0)*5,5),600),Baseline!$A$3:$A$122,0))+IF($F14="OB",1-(2*NORMSDIST($E14/2/(Inputs!$B$31*Inputs!$B$30))-1),IF(OR($F14="OBR",$F14="OBL"),(1-(2*NORMSDIST($E14/2/(Inputs!$B$31*Inputs!$B$30))-1))/2,0)))/(1-IF($F14="OB",1-(2*NORMSDIST($E14/2/(Inputs!$B$31*Inputs!$B$30))-1),IF(OR($F14="OBR",$F14="OBL"),(1-(2*NORMSDIST($E14/2/(Inputs!$B$31*Inputs!$B$30))-1))/2,0))))</f>
        <v/>
      </c>
      <c r="J14" s="17" t="str">
        <f aca="false">IF($B14=3,"",(1+(2*NORMSDIST($E14/2/(Inputs!$B$33*Inputs!$B$32))-1)*(Inputs!$B$26*INDEX(Baseline!$B$3:$B$122,MATCH(MIN(MAX(ROUND((MAX($C14-Inputs!$B$32,15))/5,0)*5,5),600),Baseline!$A$3:$A$122,0))+(1-Inputs!$B$26)*INDEX(Baseline!$C$3:$C$122,MATCH(MIN(MAX(ROUND((MAX($C14-Inputs!$B$32,15))/5,0)*5,5),600),Baseline!$A$3:$A$122,0)))+(1-(2*NORMSDIST($E14/2/(Inputs!$B$33*Inputs!$B$32))-1)-IF($F14="OB",1-(2*NORMSDIST($E14/2/(Inputs!$B$33*Inputs!$B$32))-1),IF(OR($F14="OBR",$F14="OBL"),(1-(2*NORMSDIST($E14/2/(Inputs!$B$33*Inputs!$B$32))-1))/2,0)))*INDEX(Baseline!$E$3:$E$122,MATCH(MIN(MAX(ROUND((MAX($C14-Inputs!$B$32,15))/5,0)*5,5),600),Baseline!$A$3:$A$122,0))+IF($F14="OB",1-(2*NORMSDIST($E14/2/(Inputs!$B$33*Inputs!$B$32))-1),IF(OR($F14="OBR",$F14="OBL"),(1-(2*NORMSDIST($E14/2/(Inputs!$B$33*Inputs!$B$32))-1))/2,0)))/(1-IF($F14="OB",1-(2*NORMSDIST($E14/2/(Inputs!$B$33*Inputs!$B$32))-1),IF(OR($F14="OBR",$F14="OBL"),(1-(2*NORMSDIST($E14/2/(Inputs!$B$33*Inputs!$B$32))-1))/2,0))))</f>
        <v/>
      </c>
      <c r="K14" s="17" t="str">
        <f aca="false">IF($B14=3,"",(1+(2*NORMSDIST($E14/2/(Inputs!$B$35*Inputs!$B$34))-1)*(Inputs!$B$26*INDEX(Baseline!$B$3:$B$122,MATCH(MIN(MAX(ROUND((MAX($C14-Inputs!$B$34,15))/5,0)*5,5),600),Baseline!$A$3:$A$122,0))+(1-Inputs!$B$26)*INDEX(Baseline!$C$3:$C$122,MATCH(MIN(MAX(ROUND((MAX($C14-Inputs!$B$34,15))/5,0)*5,5),600),Baseline!$A$3:$A$122,0)))+(1-(2*NORMSDIST($E14/2/(Inputs!$B$35*Inputs!$B$34))-1)-IF($F14="OB",1-(2*NORMSDIST($E14/2/(Inputs!$B$35*Inputs!$B$34))-1),IF(OR($F14="OBR",$F14="OBL"),(1-(2*NORMSDIST($E14/2/(Inputs!$B$35*Inputs!$B$34))-1))/2,0)))*INDEX(Baseline!$E$3:$E$122,MATCH(MIN(MAX(ROUND((MAX($C14-Inputs!$B$34,15))/5,0)*5,5),600),Baseline!$A$3:$A$122,0))+IF($F14="OB",1-(2*NORMSDIST($E14/2/(Inputs!$B$35*Inputs!$B$34))-1),IF(OR($F14="OBR",$F14="OBL"),(1-(2*NORMSDIST($E14/2/(Inputs!$B$35*Inputs!$B$34))-1))/2,0)))/(1-IF($F14="OB",1-(2*NORMSDIST($E14/2/(Inputs!$B$35*Inputs!$B$34))-1),IF(OR($F14="OBR",$F14="OBL"),(1-(2*NORMSDIST($E14/2/(Inputs!$B$35*Inputs!$B$34))-1))/2,0))))</f>
        <v/>
      </c>
      <c r="L14" s="17" t="str">
        <f aca="false">IF($B14=3,"",MIN(H14:K14))</f>
        <v/>
      </c>
      <c r="M14" s="7" t="str">
        <f aca="false">IF($B14=3,"",INDEX({"driver","3-wood","3-hybrid","5-iron"},MATCH(L14,H14:K14,0)))</f>
        <v/>
      </c>
      <c r="N14" s="17" t="n">
        <f aca="false">IF($B14=3,G14,L14)</f>
        <v>3.2567056</v>
      </c>
      <c r="O14" s="17" t="n">
        <f aca="false">(1-Inputs!$B$7)/18+Inputs!$B$7*(19-D14)/171</f>
        <v>0.0555555555555556</v>
      </c>
      <c r="P14" s="17" t="n">
        <f aca="false">($B$23-$N$20)*O14</f>
        <v>-0.102512253450242</v>
      </c>
      <c r="Q14" s="17" t="n">
        <f aca="false">N14+P14</f>
        <v>3.15419334654976</v>
      </c>
      <c r="R14" s="17" t="str">
        <f aca="false">IF($B14=3,"",(1+(2*NORMSDIST($E14/2/(Inputs!$B$37*Inputs!$B$36))-1)*(Inputs!$B$26*INDEX(Baseline!$B$3:$B$122,MATCH(MIN(MAX(ROUND((MAX($C14-Inputs!$B$36,15))/5,0)*5,5),600),Baseline!$A$3:$A$122,0))+(1-Inputs!$B$26)*INDEX(Baseline!$C$3:$C$122,MATCH(MIN(MAX(ROUND((MAX($C14-Inputs!$B$36,15))/5,0)*5,5),600),Baseline!$A$3:$A$122,0)))+(1-(2*NORMSDIST($E14/2/(Inputs!$B$37*Inputs!$B$36))-1)-IF($F14="OB",1-(2*NORMSDIST($E14/2/(Inputs!$B$37*Inputs!$B$36))-1),IF(OR($F14="OBR",$F14="OBL"),(1-(2*NORMSDIST($E14/2/(Inputs!$B$37*Inputs!$B$36))-1))/2,0)))*INDEX(Baseline!$E$3:$E$122,MATCH(MIN(MAX(ROUND((MAX($C14-Inputs!$B$36,15))/5,0)*5,5),600),Baseline!$A$3:$A$122,0))+IF($F14="OB",1-(2*NORMSDIST($E14/2/(Inputs!$B$37*Inputs!$B$36))-1),IF(OR($F14="OBR",$F14="OBL"),(1-(2*NORMSDIST($E14/2/(Inputs!$B$37*Inputs!$B$36))-1))/2,0)))/(1-IF($F14="OB",1-(2*NORMSDIST($E14/2/(Inputs!$B$37*Inputs!$B$36))-1),IF(OR($F14="OBR",$F14="OBL"),(1-(2*NORMSDIST($E14/2/(Inputs!$B$37*Inputs!$B$36))-1))/2,0))))</f>
        <v/>
      </c>
      <c r="S14" s="17" t="str">
        <f aca="false">IF($B14=3,"",(1+(2*NORMSDIST($E14/2/(Inputs!$B$39*Inputs!$B$38))-1)*(Inputs!$B$26*INDEX(Baseline!$B$3:$B$122,MATCH(MIN(MAX(ROUND((MAX($C14-Inputs!$B$38,15))/5,0)*5,5),600),Baseline!$A$3:$A$122,0))+(1-Inputs!$B$26)*INDEX(Baseline!$C$3:$C$122,MATCH(MIN(MAX(ROUND((MAX($C14-Inputs!$B$38,15))/5,0)*5,5),600),Baseline!$A$3:$A$122,0)))+(1-(2*NORMSDIST($E14/2/(Inputs!$B$39*Inputs!$B$38))-1)-IF($F14="OB",1-(2*NORMSDIST($E14/2/(Inputs!$B$39*Inputs!$B$38))-1),IF(OR($F14="OBR",$F14="OBL"),(1-(2*NORMSDIST($E14/2/(Inputs!$B$39*Inputs!$B$38))-1))/2,0)))*INDEX(Baseline!$E$3:$E$122,MATCH(MIN(MAX(ROUND((MAX($C14-Inputs!$B$38,15))/5,0)*5,5),600),Baseline!$A$3:$A$122,0))+IF($F14="OB",1-(2*NORMSDIST($E14/2/(Inputs!$B$39*Inputs!$B$38))-1),IF(OR($F14="OBR",$F14="OBL"),(1-(2*NORMSDIST($E14/2/(Inputs!$B$39*Inputs!$B$38))-1))/2,0)))/(1-IF($F14="OB",1-(2*NORMSDIST($E14/2/(Inputs!$B$39*Inputs!$B$38))-1),IF(OR($F14="OBR",$F14="OBL"),(1-(2*NORMSDIST($E14/2/(Inputs!$B$39*Inputs!$B$38))-1))/2,0))))</f>
        <v/>
      </c>
      <c r="T14" s="17" t="str">
        <f aca="false">IF($B14=3,"",(1+(2*NORMSDIST($E14/2/(Inputs!$B$41*Inputs!$B$40))-1)*(Inputs!$B$26*INDEX(Baseline!$B$3:$B$122,MATCH(MIN(MAX(ROUND((MAX($C14-Inputs!$B$40,15))/5,0)*5,5),600),Baseline!$A$3:$A$122,0))+(1-Inputs!$B$26)*INDEX(Baseline!$C$3:$C$122,MATCH(MIN(MAX(ROUND((MAX($C14-Inputs!$B$40,15))/5,0)*5,5),600),Baseline!$A$3:$A$122,0)))+(1-(2*NORMSDIST($E14/2/(Inputs!$B$41*Inputs!$B$40))-1)-IF($F14="OB",1-(2*NORMSDIST($E14/2/(Inputs!$B$41*Inputs!$B$40))-1),IF(OR($F14="OBR",$F14="OBL"),(1-(2*NORMSDIST($E14/2/(Inputs!$B$41*Inputs!$B$40))-1))/2,0)))*INDEX(Baseline!$E$3:$E$122,MATCH(MIN(MAX(ROUND((MAX($C14-Inputs!$B$40,15))/5,0)*5,5),600),Baseline!$A$3:$A$122,0))+IF($F14="OB",1-(2*NORMSDIST($E14/2/(Inputs!$B$41*Inputs!$B$40))-1),IF(OR($F14="OBR",$F14="OBL"),(1-(2*NORMSDIST($E14/2/(Inputs!$B$41*Inputs!$B$40))-1))/2,0)))/(1-IF($F14="OB",1-(2*NORMSDIST($E14/2/(Inputs!$B$41*Inputs!$B$40))-1),IF(OR($F14="OBR",$F14="OBL"),(1-(2*NORMSDIST($E14/2/(Inputs!$B$41*Inputs!$B$40))-1))/2,0))))</f>
        <v/>
      </c>
      <c r="U14" s="17" t="str">
        <f aca="false">IF($B14=3,"",(1+(2*NORMSDIST($E14/2/(Inputs!$B$43*Inputs!$B$42))-1)*(Inputs!$B$26*INDEX(Baseline!$B$3:$B$122,MATCH(MIN(MAX(ROUND((MAX($C14-Inputs!$B$42,15))/5,0)*5,5),600),Baseline!$A$3:$A$122,0))+(1-Inputs!$B$26)*INDEX(Baseline!$C$3:$C$122,MATCH(MIN(MAX(ROUND((MAX($C14-Inputs!$B$42,15))/5,0)*5,5),600),Baseline!$A$3:$A$122,0)))+(1-(2*NORMSDIST($E14/2/(Inputs!$B$43*Inputs!$B$42))-1)-IF($F14="OB",1-(2*NORMSDIST($E14/2/(Inputs!$B$43*Inputs!$B$42))-1),IF(OR($F14="OBR",$F14="OBL"),(1-(2*NORMSDIST($E14/2/(Inputs!$B$43*Inputs!$B$42))-1))/2,0)))*INDEX(Baseline!$E$3:$E$122,MATCH(MIN(MAX(ROUND((MAX($C14-Inputs!$B$42,15))/5,0)*5,5),600),Baseline!$A$3:$A$122,0))+IF($F14="OB",1-(2*NORMSDIST($E14/2/(Inputs!$B$43*Inputs!$B$42))-1),IF(OR($F14="OBR",$F14="OBL"),(1-(2*NORMSDIST($E14/2/(Inputs!$B$43*Inputs!$B$42))-1))/2,0)))/(1-IF($F14="OB",1-(2*NORMSDIST($E14/2/(Inputs!$B$43*Inputs!$B$42))-1),IF(OR($F14="OBR",$F14="OBL"),(1-(2*NORMSDIST($E14/2/(Inputs!$B$43*Inputs!$B$42))-1))/2,0))))</f>
        <v/>
      </c>
      <c r="V14" s="7" t="str">
        <f aca="false">IF($B14=3,"",INDEX({"driver","7-wood","2-iron","5-iron"},MATCH(MIN(R14:U14),R14:U14,0)))</f>
        <v/>
      </c>
    </row>
    <row r="15" customFormat="false" ht="15" hidden="false" customHeight="false" outlineLevel="0" collapsed="false">
      <c r="A15" s="14" t="n">
        <v>14</v>
      </c>
      <c r="B15" s="15" t="n">
        <v>4</v>
      </c>
      <c r="C15" s="15" t="n">
        <v>260</v>
      </c>
      <c r="D15" s="15" t="n">
        <v>4</v>
      </c>
      <c r="E15" s="16" t="n">
        <f aca="false">Inputs!$B$27</f>
        <v>45</v>
      </c>
      <c r="F15" s="8" t="s">
        <v>128</v>
      </c>
      <c r="G15" s="17" t="n">
        <f aca="false">INDEX(Baseline!$B$3:$B$122,MATCH(MIN(MAX(ROUND(($C15)/5,0)*5,5),600),Baseline!$A$3:$A$122,0))-Inputs!$B$9</f>
        <v>3.74</v>
      </c>
      <c r="H15" s="17" t="n">
        <f aca="false">IF($B15=3,"",(1+(2*NORMSDIST($E15/2/(Inputs!$B$29*Inputs!$B$28))-1)*(Inputs!$B$26*INDEX(Baseline!$B$3:$B$122,MATCH(MIN(MAX(ROUND((MAX($C15-Inputs!$B$28,15))/5,0)*5,5),600),Baseline!$A$3:$A$122,0))+(1-Inputs!$B$26)*INDEX(Baseline!$C$3:$C$122,MATCH(MIN(MAX(ROUND((MAX($C15-Inputs!$B$28,15))/5,0)*5,5),600),Baseline!$A$3:$A$122,0)))+(1-(2*NORMSDIST($E15/2/(Inputs!$B$29*Inputs!$B$28))-1)-IF($F15="OB",1-(2*NORMSDIST($E15/2/(Inputs!$B$29*Inputs!$B$28))-1),IF(OR($F15="OBR",$F15="OBL"),(1-(2*NORMSDIST($E15/2/(Inputs!$B$29*Inputs!$B$28))-1))/2,0)))*INDEX(Baseline!$E$3:$E$122,MATCH(MIN(MAX(ROUND((MAX($C15-Inputs!$B$28,15))/5,0)*5,5),600),Baseline!$A$3:$A$122,0))+IF($F15="OB",1-(2*NORMSDIST($E15/2/(Inputs!$B$29*Inputs!$B$28))-1),IF(OR($F15="OBR",$F15="OBL"),(1-(2*NORMSDIST($E15/2/(Inputs!$B$29*Inputs!$B$28))-1))/2,0)))/(1-IF($F15="OB",1-(2*NORMSDIST($E15/2/(Inputs!$B$29*Inputs!$B$28))-1),IF(OR($F15="OBR",$F15="OBL"),(1-(2*NORMSDIST($E15/2/(Inputs!$B$29*Inputs!$B$28))-1))/2,0))))</f>
        <v>3.72245654857368</v>
      </c>
      <c r="I15" s="17" t="n">
        <f aca="false">IF($B15=3,"",(1+(2*NORMSDIST($E15/2/(Inputs!$B$31*Inputs!$B$30))-1)*(Inputs!$B$26*INDEX(Baseline!$B$3:$B$122,MATCH(MIN(MAX(ROUND((MAX($C15-Inputs!$B$30,15))/5,0)*5,5),600),Baseline!$A$3:$A$122,0))+(1-Inputs!$B$26)*INDEX(Baseline!$C$3:$C$122,MATCH(MIN(MAX(ROUND((MAX($C15-Inputs!$B$30,15))/5,0)*5,5),600),Baseline!$A$3:$A$122,0)))+(1-(2*NORMSDIST($E15/2/(Inputs!$B$31*Inputs!$B$30))-1)-IF($F15="OB",1-(2*NORMSDIST($E15/2/(Inputs!$B$31*Inputs!$B$30))-1),IF(OR($F15="OBR",$F15="OBL"),(1-(2*NORMSDIST($E15/2/(Inputs!$B$31*Inputs!$B$30))-1))/2,0)))*INDEX(Baseline!$E$3:$E$122,MATCH(MIN(MAX(ROUND((MAX($C15-Inputs!$B$30,15))/5,0)*5,5),600),Baseline!$A$3:$A$122,0))+IF($F15="OB",1-(2*NORMSDIST($E15/2/(Inputs!$B$31*Inputs!$B$30))-1),IF(OR($F15="OBR",$F15="OBL"),(1-(2*NORMSDIST($E15/2/(Inputs!$B$31*Inputs!$B$30))-1))/2,0)))/(1-IF($F15="OB",1-(2*NORMSDIST($E15/2/(Inputs!$B$31*Inputs!$B$30))-1),IF(OR($F15="OBR",$F15="OBL"),(1-(2*NORMSDIST($E15/2/(Inputs!$B$31*Inputs!$B$30))-1))/2,0))))</f>
        <v>3.72110366371105</v>
      </c>
      <c r="J15" s="17" t="n">
        <f aca="false">IF($B15=3,"",(1+(2*NORMSDIST($E15/2/(Inputs!$B$33*Inputs!$B$32))-1)*(Inputs!$B$26*INDEX(Baseline!$B$3:$B$122,MATCH(MIN(MAX(ROUND((MAX($C15-Inputs!$B$32,15))/5,0)*5,5),600),Baseline!$A$3:$A$122,0))+(1-Inputs!$B$26)*INDEX(Baseline!$C$3:$C$122,MATCH(MIN(MAX(ROUND((MAX($C15-Inputs!$B$32,15))/5,0)*5,5),600),Baseline!$A$3:$A$122,0)))+(1-(2*NORMSDIST($E15/2/(Inputs!$B$33*Inputs!$B$32))-1)-IF($F15="OB",1-(2*NORMSDIST($E15/2/(Inputs!$B$33*Inputs!$B$32))-1),IF(OR($F15="OBR",$F15="OBL"),(1-(2*NORMSDIST($E15/2/(Inputs!$B$33*Inputs!$B$32))-1))/2,0)))*INDEX(Baseline!$E$3:$E$122,MATCH(MIN(MAX(ROUND((MAX($C15-Inputs!$B$32,15))/5,0)*5,5),600),Baseline!$A$3:$A$122,0))+IF($F15="OB",1-(2*NORMSDIST($E15/2/(Inputs!$B$33*Inputs!$B$32))-1),IF(OR($F15="OBR",$F15="OBL"),(1-(2*NORMSDIST($E15/2/(Inputs!$B$33*Inputs!$B$32))-1))/2,0)))/(1-IF($F15="OB",1-(2*NORMSDIST($E15/2/(Inputs!$B$33*Inputs!$B$32))-1),IF(OR($F15="OBR",$F15="OBL"),(1-(2*NORMSDIST($E15/2/(Inputs!$B$33*Inputs!$B$32))-1))/2,0))))</f>
        <v>3.98329074456074</v>
      </c>
      <c r="K15" s="17" t="n">
        <f aca="false">IF($B15=3,"",(1+(2*NORMSDIST($E15/2/(Inputs!$B$35*Inputs!$B$34))-1)*(Inputs!$B$26*INDEX(Baseline!$B$3:$B$122,MATCH(MIN(MAX(ROUND((MAX($C15-Inputs!$B$34,15))/5,0)*5,5),600),Baseline!$A$3:$A$122,0))+(1-Inputs!$B$26)*INDEX(Baseline!$C$3:$C$122,MATCH(MIN(MAX(ROUND((MAX($C15-Inputs!$B$34,15))/5,0)*5,5),600),Baseline!$A$3:$A$122,0)))+(1-(2*NORMSDIST($E15/2/(Inputs!$B$35*Inputs!$B$34))-1)-IF($F15="OB",1-(2*NORMSDIST($E15/2/(Inputs!$B$35*Inputs!$B$34))-1),IF(OR($F15="OBR",$F15="OBL"),(1-(2*NORMSDIST($E15/2/(Inputs!$B$35*Inputs!$B$34))-1))/2,0)))*INDEX(Baseline!$E$3:$E$122,MATCH(MIN(MAX(ROUND((MAX($C15-Inputs!$B$34,15))/5,0)*5,5),600),Baseline!$A$3:$A$122,0))+IF($F15="OB",1-(2*NORMSDIST($E15/2/(Inputs!$B$35*Inputs!$B$34))-1),IF(OR($F15="OBR",$F15="OBL"),(1-(2*NORMSDIST($E15/2/(Inputs!$B$35*Inputs!$B$34))-1))/2,0)))/(1-IF($F15="OB",1-(2*NORMSDIST($E15/2/(Inputs!$B$35*Inputs!$B$34))-1),IF(OR($F15="OBR",$F15="OBL"),(1-(2*NORMSDIST($E15/2/(Inputs!$B$35*Inputs!$B$34))-1))/2,0))))</f>
        <v>4.02558175271973</v>
      </c>
      <c r="L15" s="17" t="n">
        <f aca="false">IF($B15=3,"",MIN(H15:K15))</f>
        <v>3.72110366371105</v>
      </c>
      <c r="M15" s="7" t="str">
        <f aca="false">IF($B15=3,"",INDEX({"driver","3-wood","3-hybrid","5-iron"},MATCH(L15,H15:K15,0)))</f>
        <v>3-wood</v>
      </c>
      <c r="N15" s="17" t="n">
        <f aca="false">IF($B15=3,G15,L15)</f>
        <v>3.72110366371105</v>
      </c>
      <c r="O15" s="17" t="n">
        <f aca="false">(1-Inputs!$B$7)/18+Inputs!$B$7*(19-D15)/171</f>
        <v>0.0555555555555556</v>
      </c>
      <c r="P15" s="17" t="n">
        <f aca="false">($B$23-$N$20)*O15</f>
        <v>-0.102512253450242</v>
      </c>
      <c r="Q15" s="17" t="n">
        <f aca="false">N15+P15</f>
        <v>3.61859141026081</v>
      </c>
      <c r="R15" s="17" t="n">
        <f aca="false">IF($B15=3,"",(1+(2*NORMSDIST($E15/2/(Inputs!$B$37*Inputs!$B$36))-1)*(Inputs!$B$26*INDEX(Baseline!$B$3:$B$122,MATCH(MIN(MAX(ROUND((MAX($C15-Inputs!$B$36,15))/5,0)*5,5),600),Baseline!$A$3:$A$122,0))+(1-Inputs!$B$26)*INDEX(Baseline!$C$3:$C$122,MATCH(MIN(MAX(ROUND((MAX($C15-Inputs!$B$36,15))/5,0)*5,5),600),Baseline!$A$3:$A$122,0)))+(1-(2*NORMSDIST($E15/2/(Inputs!$B$37*Inputs!$B$36))-1)-IF($F15="OB",1-(2*NORMSDIST($E15/2/(Inputs!$B$37*Inputs!$B$36))-1),IF(OR($F15="OBR",$F15="OBL"),(1-(2*NORMSDIST($E15/2/(Inputs!$B$37*Inputs!$B$36))-1))/2,0)))*INDEX(Baseline!$E$3:$E$122,MATCH(MIN(MAX(ROUND((MAX($C15-Inputs!$B$36,15))/5,0)*5,5),600),Baseline!$A$3:$A$122,0))+IF($F15="OB",1-(2*NORMSDIST($E15/2/(Inputs!$B$37*Inputs!$B$36))-1),IF(OR($F15="OBR",$F15="OBL"),(1-(2*NORMSDIST($E15/2/(Inputs!$B$37*Inputs!$B$36))-1))/2,0)))/(1-IF($F15="OB",1-(2*NORMSDIST($E15/2/(Inputs!$B$37*Inputs!$B$36))-1),IF(OR($F15="OBR",$F15="OBL"),(1-(2*NORMSDIST($E15/2/(Inputs!$B$37*Inputs!$B$36))-1))/2,0))))</f>
        <v>3.9303700825725</v>
      </c>
      <c r="S15" s="17" t="n">
        <f aca="false">IF($B15=3,"",(1+(2*NORMSDIST($E15/2/(Inputs!$B$39*Inputs!$B$38))-1)*(Inputs!$B$26*INDEX(Baseline!$B$3:$B$122,MATCH(MIN(MAX(ROUND((MAX($C15-Inputs!$B$38,15))/5,0)*5,5),600),Baseline!$A$3:$A$122,0))+(1-Inputs!$B$26)*INDEX(Baseline!$C$3:$C$122,MATCH(MIN(MAX(ROUND((MAX($C15-Inputs!$B$38,15))/5,0)*5,5),600),Baseline!$A$3:$A$122,0)))+(1-(2*NORMSDIST($E15/2/(Inputs!$B$39*Inputs!$B$38))-1)-IF($F15="OB",1-(2*NORMSDIST($E15/2/(Inputs!$B$39*Inputs!$B$38))-1),IF(OR($F15="OBR",$F15="OBL"),(1-(2*NORMSDIST($E15/2/(Inputs!$B$39*Inputs!$B$38))-1))/2,0)))*INDEX(Baseline!$E$3:$E$122,MATCH(MIN(MAX(ROUND((MAX($C15-Inputs!$B$38,15))/5,0)*5,5),600),Baseline!$A$3:$A$122,0))+IF($F15="OB",1-(2*NORMSDIST($E15/2/(Inputs!$B$39*Inputs!$B$38))-1),IF(OR($F15="OBR",$F15="OBL"),(1-(2*NORMSDIST($E15/2/(Inputs!$B$39*Inputs!$B$38))-1))/2,0)))/(1-IF($F15="OB",1-(2*NORMSDIST($E15/2/(Inputs!$B$39*Inputs!$B$38))-1),IF(OR($F15="OBR",$F15="OBL"),(1-(2*NORMSDIST($E15/2/(Inputs!$B$39*Inputs!$B$38))-1))/2,0))))</f>
        <v>3.96587133331504</v>
      </c>
      <c r="T15" s="17" t="n">
        <f aca="false">IF($B15=3,"",(1+(2*NORMSDIST($E15/2/(Inputs!$B$41*Inputs!$B$40))-1)*(Inputs!$B$26*INDEX(Baseline!$B$3:$B$122,MATCH(MIN(MAX(ROUND((MAX($C15-Inputs!$B$40,15))/5,0)*5,5),600),Baseline!$A$3:$A$122,0))+(1-Inputs!$B$26)*INDEX(Baseline!$C$3:$C$122,MATCH(MIN(MAX(ROUND((MAX($C15-Inputs!$B$40,15))/5,0)*5,5),600),Baseline!$A$3:$A$122,0)))+(1-(2*NORMSDIST($E15/2/(Inputs!$B$41*Inputs!$B$40))-1)-IF($F15="OB",1-(2*NORMSDIST($E15/2/(Inputs!$B$41*Inputs!$B$40))-1),IF(OR($F15="OBR",$F15="OBL"),(1-(2*NORMSDIST($E15/2/(Inputs!$B$41*Inputs!$B$40))-1))/2,0)))*INDEX(Baseline!$E$3:$E$122,MATCH(MIN(MAX(ROUND((MAX($C15-Inputs!$B$40,15))/5,0)*5,5),600),Baseline!$A$3:$A$122,0))+IF($F15="OB",1-(2*NORMSDIST($E15/2/(Inputs!$B$41*Inputs!$B$40))-1),IF(OR($F15="OBR",$F15="OBL"),(1-(2*NORMSDIST($E15/2/(Inputs!$B$41*Inputs!$B$40))-1))/2,0)))/(1-IF($F15="OB",1-(2*NORMSDIST($E15/2/(Inputs!$B$41*Inputs!$B$40))-1),IF(OR($F15="OBR",$F15="OBL"),(1-(2*NORMSDIST($E15/2/(Inputs!$B$41*Inputs!$B$40))-1))/2,0))))</f>
        <v>3.81542022326531</v>
      </c>
      <c r="U15" s="17" t="n">
        <f aca="false">IF($B15=3,"",(1+(2*NORMSDIST($E15/2/(Inputs!$B$43*Inputs!$B$42))-1)*(Inputs!$B$26*INDEX(Baseline!$B$3:$B$122,MATCH(MIN(MAX(ROUND((MAX($C15-Inputs!$B$42,15))/5,0)*5,5),600),Baseline!$A$3:$A$122,0))+(1-Inputs!$B$26)*INDEX(Baseline!$C$3:$C$122,MATCH(MIN(MAX(ROUND((MAX($C15-Inputs!$B$42,15))/5,0)*5,5),600),Baseline!$A$3:$A$122,0)))+(1-(2*NORMSDIST($E15/2/(Inputs!$B$43*Inputs!$B$42))-1)-IF($F15="OB",1-(2*NORMSDIST($E15/2/(Inputs!$B$43*Inputs!$B$42))-1),IF(OR($F15="OBR",$F15="OBL"),(1-(2*NORMSDIST($E15/2/(Inputs!$B$43*Inputs!$B$42))-1))/2,0)))*INDEX(Baseline!$E$3:$E$122,MATCH(MIN(MAX(ROUND((MAX($C15-Inputs!$B$42,15))/5,0)*5,5),600),Baseline!$A$3:$A$122,0))+IF($F15="OB",1-(2*NORMSDIST($E15/2/(Inputs!$B$43*Inputs!$B$42))-1),IF(OR($F15="OBR",$F15="OBL"),(1-(2*NORMSDIST($E15/2/(Inputs!$B$43*Inputs!$B$42))-1))/2,0)))/(1-IF($F15="OB",1-(2*NORMSDIST($E15/2/(Inputs!$B$43*Inputs!$B$42))-1),IF(OR($F15="OBR",$F15="OBL"),(1-(2*NORMSDIST($E15/2/(Inputs!$B$43*Inputs!$B$42))-1))/2,0))))</f>
        <v>4.03982490888102</v>
      </c>
      <c r="V15" s="7" t="str">
        <f aca="false">IF($B15=3,"",INDEX({"driver","7-wood","2-iron","5-iron"},MATCH(MIN(R15:U15),R15:U15,0)))</f>
        <v>2-iron</v>
      </c>
    </row>
    <row r="16" customFormat="false" ht="15" hidden="false" customHeight="false" outlineLevel="0" collapsed="false">
      <c r="A16" s="14" t="n">
        <v>15</v>
      </c>
      <c r="B16" s="15" t="n">
        <v>3</v>
      </c>
      <c r="C16" s="15" t="n">
        <v>129</v>
      </c>
      <c r="D16" s="15" t="n">
        <v>8</v>
      </c>
      <c r="G16" s="17" t="n">
        <f aca="false">INDEX(Baseline!$B$3:$B$122,MATCH(MIN(MAX(ROUND(($C16)/5,0)*5,5),600),Baseline!$A$3:$A$122,0))-Inputs!$B$9</f>
        <v>3.1440416</v>
      </c>
      <c r="H16" s="17" t="str">
        <f aca="false">IF($B16=3,"",(1+(2*NORMSDIST($E16/2/(Inputs!$B$29*Inputs!$B$28))-1)*(Inputs!$B$26*INDEX(Baseline!$B$3:$B$122,MATCH(MIN(MAX(ROUND((MAX($C16-Inputs!$B$28,15))/5,0)*5,5),600),Baseline!$A$3:$A$122,0))+(1-Inputs!$B$26)*INDEX(Baseline!$C$3:$C$122,MATCH(MIN(MAX(ROUND((MAX($C16-Inputs!$B$28,15))/5,0)*5,5),600),Baseline!$A$3:$A$122,0)))+(1-(2*NORMSDIST($E16/2/(Inputs!$B$29*Inputs!$B$28))-1)-IF($F16="OB",1-(2*NORMSDIST($E16/2/(Inputs!$B$29*Inputs!$B$28))-1),IF(OR($F16="OBR",$F16="OBL"),(1-(2*NORMSDIST($E16/2/(Inputs!$B$29*Inputs!$B$28))-1))/2,0)))*INDEX(Baseline!$E$3:$E$122,MATCH(MIN(MAX(ROUND((MAX($C16-Inputs!$B$28,15))/5,0)*5,5),600),Baseline!$A$3:$A$122,0))+IF($F16="OB",1-(2*NORMSDIST($E16/2/(Inputs!$B$29*Inputs!$B$28))-1),IF(OR($F16="OBR",$F16="OBL"),(1-(2*NORMSDIST($E16/2/(Inputs!$B$29*Inputs!$B$28))-1))/2,0)))/(1-IF($F16="OB",1-(2*NORMSDIST($E16/2/(Inputs!$B$29*Inputs!$B$28))-1),IF(OR($F16="OBR",$F16="OBL"),(1-(2*NORMSDIST($E16/2/(Inputs!$B$29*Inputs!$B$28))-1))/2,0))))</f>
        <v/>
      </c>
      <c r="I16" s="17" t="str">
        <f aca="false">IF($B16=3,"",(1+(2*NORMSDIST($E16/2/(Inputs!$B$31*Inputs!$B$30))-1)*(Inputs!$B$26*INDEX(Baseline!$B$3:$B$122,MATCH(MIN(MAX(ROUND((MAX($C16-Inputs!$B$30,15))/5,0)*5,5),600),Baseline!$A$3:$A$122,0))+(1-Inputs!$B$26)*INDEX(Baseline!$C$3:$C$122,MATCH(MIN(MAX(ROUND((MAX($C16-Inputs!$B$30,15))/5,0)*5,5),600),Baseline!$A$3:$A$122,0)))+(1-(2*NORMSDIST($E16/2/(Inputs!$B$31*Inputs!$B$30))-1)-IF($F16="OB",1-(2*NORMSDIST($E16/2/(Inputs!$B$31*Inputs!$B$30))-1),IF(OR($F16="OBR",$F16="OBL"),(1-(2*NORMSDIST($E16/2/(Inputs!$B$31*Inputs!$B$30))-1))/2,0)))*INDEX(Baseline!$E$3:$E$122,MATCH(MIN(MAX(ROUND((MAX($C16-Inputs!$B$30,15))/5,0)*5,5),600),Baseline!$A$3:$A$122,0))+IF($F16="OB",1-(2*NORMSDIST($E16/2/(Inputs!$B$31*Inputs!$B$30))-1),IF(OR($F16="OBR",$F16="OBL"),(1-(2*NORMSDIST($E16/2/(Inputs!$B$31*Inputs!$B$30))-1))/2,0)))/(1-IF($F16="OB",1-(2*NORMSDIST($E16/2/(Inputs!$B$31*Inputs!$B$30))-1),IF(OR($F16="OBR",$F16="OBL"),(1-(2*NORMSDIST($E16/2/(Inputs!$B$31*Inputs!$B$30))-1))/2,0))))</f>
        <v/>
      </c>
      <c r="J16" s="17" t="str">
        <f aca="false">IF($B16=3,"",(1+(2*NORMSDIST($E16/2/(Inputs!$B$33*Inputs!$B$32))-1)*(Inputs!$B$26*INDEX(Baseline!$B$3:$B$122,MATCH(MIN(MAX(ROUND((MAX($C16-Inputs!$B$32,15))/5,0)*5,5),600),Baseline!$A$3:$A$122,0))+(1-Inputs!$B$26)*INDEX(Baseline!$C$3:$C$122,MATCH(MIN(MAX(ROUND((MAX($C16-Inputs!$B$32,15))/5,0)*5,5),600),Baseline!$A$3:$A$122,0)))+(1-(2*NORMSDIST($E16/2/(Inputs!$B$33*Inputs!$B$32))-1)-IF($F16="OB",1-(2*NORMSDIST($E16/2/(Inputs!$B$33*Inputs!$B$32))-1),IF(OR($F16="OBR",$F16="OBL"),(1-(2*NORMSDIST($E16/2/(Inputs!$B$33*Inputs!$B$32))-1))/2,0)))*INDEX(Baseline!$E$3:$E$122,MATCH(MIN(MAX(ROUND((MAX($C16-Inputs!$B$32,15))/5,0)*5,5),600),Baseline!$A$3:$A$122,0))+IF($F16="OB",1-(2*NORMSDIST($E16/2/(Inputs!$B$33*Inputs!$B$32))-1),IF(OR($F16="OBR",$F16="OBL"),(1-(2*NORMSDIST($E16/2/(Inputs!$B$33*Inputs!$B$32))-1))/2,0)))/(1-IF($F16="OB",1-(2*NORMSDIST($E16/2/(Inputs!$B$33*Inputs!$B$32))-1),IF(OR($F16="OBR",$F16="OBL"),(1-(2*NORMSDIST($E16/2/(Inputs!$B$33*Inputs!$B$32))-1))/2,0))))</f>
        <v/>
      </c>
      <c r="K16" s="17" t="str">
        <f aca="false">IF($B16=3,"",(1+(2*NORMSDIST($E16/2/(Inputs!$B$35*Inputs!$B$34))-1)*(Inputs!$B$26*INDEX(Baseline!$B$3:$B$122,MATCH(MIN(MAX(ROUND((MAX($C16-Inputs!$B$34,15))/5,0)*5,5),600),Baseline!$A$3:$A$122,0))+(1-Inputs!$B$26)*INDEX(Baseline!$C$3:$C$122,MATCH(MIN(MAX(ROUND((MAX($C16-Inputs!$B$34,15))/5,0)*5,5),600),Baseline!$A$3:$A$122,0)))+(1-(2*NORMSDIST($E16/2/(Inputs!$B$35*Inputs!$B$34))-1)-IF($F16="OB",1-(2*NORMSDIST($E16/2/(Inputs!$B$35*Inputs!$B$34))-1),IF(OR($F16="OBR",$F16="OBL"),(1-(2*NORMSDIST($E16/2/(Inputs!$B$35*Inputs!$B$34))-1))/2,0)))*INDEX(Baseline!$E$3:$E$122,MATCH(MIN(MAX(ROUND((MAX($C16-Inputs!$B$34,15))/5,0)*5,5),600),Baseline!$A$3:$A$122,0))+IF($F16="OB",1-(2*NORMSDIST($E16/2/(Inputs!$B$35*Inputs!$B$34))-1),IF(OR($F16="OBR",$F16="OBL"),(1-(2*NORMSDIST($E16/2/(Inputs!$B$35*Inputs!$B$34))-1))/2,0)))/(1-IF($F16="OB",1-(2*NORMSDIST($E16/2/(Inputs!$B$35*Inputs!$B$34))-1),IF(OR($F16="OBR",$F16="OBL"),(1-(2*NORMSDIST($E16/2/(Inputs!$B$35*Inputs!$B$34))-1))/2,0))))</f>
        <v/>
      </c>
      <c r="L16" s="17" t="str">
        <f aca="false">IF($B16=3,"",MIN(H16:K16))</f>
        <v/>
      </c>
      <c r="M16" s="7" t="str">
        <f aca="false">IF($B16=3,"",INDEX({"driver","3-wood","3-hybrid","5-iron"},MATCH(L16,H16:K16,0)))</f>
        <v/>
      </c>
      <c r="N16" s="17" t="n">
        <f aca="false">IF($B16=3,G16,L16)</f>
        <v>3.1440416</v>
      </c>
      <c r="O16" s="17" t="n">
        <f aca="false">(1-Inputs!$B$7)/18+Inputs!$B$7*(19-D16)/171</f>
        <v>0.0555555555555556</v>
      </c>
      <c r="P16" s="17" t="n">
        <f aca="false">($B$23-$N$20)*O16</f>
        <v>-0.102512253450242</v>
      </c>
      <c r="Q16" s="17" t="n">
        <f aca="false">N16+P16</f>
        <v>3.04152934654976</v>
      </c>
      <c r="R16" s="17" t="str">
        <f aca="false">IF($B16=3,"",(1+(2*NORMSDIST($E16/2/(Inputs!$B$37*Inputs!$B$36))-1)*(Inputs!$B$26*INDEX(Baseline!$B$3:$B$122,MATCH(MIN(MAX(ROUND((MAX($C16-Inputs!$B$36,15))/5,0)*5,5),600),Baseline!$A$3:$A$122,0))+(1-Inputs!$B$26)*INDEX(Baseline!$C$3:$C$122,MATCH(MIN(MAX(ROUND((MAX($C16-Inputs!$B$36,15))/5,0)*5,5),600),Baseline!$A$3:$A$122,0)))+(1-(2*NORMSDIST($E16/2/(Inputs!$B$37*Inputs!$B$36))-1)-IF($F16="OB",1-(2*NORMSDIST($E16/2/(Inputs!$B$37*Inputs!$B$36))-1),IF(OR($F16="OBR",$F16="OBL"),(1-(2*NORMSDIST($E16/2/(Inputs!$B$37*Inputs!$B$36))-1))/2,0)))*INDEX(Baseline!$E$3:$E$122,MATCH(MIN(MAX(ROUND((MAX($C16-Inputs!$B$36,15))/5,0)*5,5),600),Baseline!$A$3:$A$122,0))+IF($F16="OB",1-(2*NORMSDIST($E16/2/(Inputs!$B$37*Inputs!$B$36))-1),IF(OR($F16="OBR",$F16="OBL"),(1-(2*NORMSDIST($E16/2/(Inputs!$B$37*Inputs!$B$36))-1))/2,0)))/(1-IF($F16="OB",1-(2*NORMSDIST($E16/2/(Inputs!$B$37*Inputs!$B$36))-1),IF(OR($F16="OBR",$F16="OBL"),(1-(2*NORMSDIST($E16/2/(Inputs!$B$37*Inputs!$B$36))-1))/2,0))))</f>
        <v/>
      </c>
      <c r="S16" s="17" t="str">
        <f aca="false">IF($B16=3,"",(1+(2*NORMSDIST($E16/2/(Inputs!$B$39*Inputs!$B$38))-1)*(Inputs!$B$26*INDEX(Baseline!$B$3:$B$122,MATCH(MIN(MAX(ROUND((MAX($C16-Inputs!$B$38,15))/5,0)*5,5),600),Baseline!$A$3:$A$122,0))+(1-Inputs!$B$26)*INDEX(Baseline!$C$3:$C$122,MATCH(MIN(MAX(ROUND((MAX($C16-Inputs!$B$38,15))/5,0)*5,5),600),Baseline!$A$3:$A$122,0)))+(1-(2*NORMSDIST($E16/2/(Inputs!$B$39*Inputs!$B$38))-1)-IF($F16="OB",1-(2*NORMSDIST($E16/2/(Inputs!$B$39*Inputs!$B$38))-1),IF(OR($F16="OBR",$F16="OBL"),(1-(2*NORMSDIST($E16/2/(Inputs!$B$39*Inputs!$B$38))-1))/2,0)))*INDEX(Baseline!$E$3:$E$122,MATCH(MIN(MAX(ROUND((MAX($C16-Inputs!$B$38,15))/5,0)*5,5),600),Baseline!$A$3:$A$122,0))+IF($F16="OB",1-(2*NORMSDIST($E16/2/(Inputs!$B$39*Inputs!$B$38))-1),IF(OR($F16="OBR",$F16="OBL"),(1-(2*NORMSDIST($E16/2/(Inputs!$B$39*Inputs!$B$38))-1))/2,0)))/(1-IF($F16="OB",1-(2*NORMSDIST($E16/2/(Inputs!$B$39*Inputs!$B$38))-1),IF(OR($F16="OBR",$F16="OBL"),(1-(2*NORMSDIST($E16/2/(Inputs!$B$39*Inputs!$B$38))-1))/2,0))))</f>
        <v/>
      </c>
      <c r="T16" s="17" t="str">
        <f aca="false">IF($B16=3,"",(1+(2*NORMSDIST($E16/2/(Inputs!$B$41*Inputs!$B$40))-1)*(Inputs!$B$26*INDEX(Baseline!$B$3:$B$122,MATCH(MIN(MAX(ROUND((MAX($C16-Inputs!$B$40,15))/5,0)*5,5),600),Baseline!$A$3:$A$122,0))+(1-Inputs!$B$26)*INDEX(Baseline!$C$3:$C$122,MATCH(MIN(MAX(ROUND((MAX($C16-Inputs!$B$40,15))/5,0)*5,5),600),Baseline!$A$3:$A$122,0)))+(1-(2*NORMSDIST($E16/2/(Inputs!$B$41*Inputs!$B$40))-1)-IF($F16="OB",1-(2*NORMSDIST($E16/2/(Inputs!$B$41*Inputs!$B$40))-1),IF(OR($F16="OBR",$F16="OBL"),(1-(2*NORMSDIST($E16/2/(Inputs!$B$41*Inputs!$B$40))-1))/2,0)))*INDEX(Baseline!$E$3:$E$122,MATCH(MIN(MAX(ROUND((MAX($C16-Inputs!$B$40,15))/5,0)*5,5),600),Baseline!$A$3:$A$122,0))+IF($F16="OB",1-(2*NORMSDIST($E16/2/(Inputs!$B$41*Inputs!$B$40))-1),IF(OR($F16="OBR",$F16="OBL"),(1-(2*NORMSDIST($E16/2/(Inputs!$B$41*Inputs!$B$40))-1))/2,0)))/(1-IF($F16="OB",1-(2*NORMSDIST($E16/2/(Inputs!$B$41*Inputs!$B$40))-1),IF(OR($F16="OBR",$F16="OBL"),(1-(2*NORMSDIST($E16/2/(Inputs!$B$41*Inputs!$B$40))-1))/2,0))))</f>
        <v/>
      </c>
      <c r="U16" s="17" t="str">
        <f aca="false">IF($B16=3,"",(1+(2*NORMSDIST($E16/2/(Inputs!$B$43*Inputs!$B$42))-1)*(Inputs!$B$26*INDEX(Baseline!$B$3:$B$122,MATCH(MIN(MAX(ROUND((MAX($C16-Inputs!$B$42,15))/5,0)*5,5),600),Baseline!$A$3:$A$122,0))+(1-Inputs!$B$26)*INDEX(Baseline!$C$3:$C$122,MATCH(MIN(MAX(ROUND((MAX($C16-Inputs!$B$42,15))/5,0)*5,5),600),Baseline!$A$3:$A$122,0)))+(1-(2*NORMSDIST($E16/2/(Inputs!$B$43*Inputs!$B$42))-1)-IF($F16="OB",1-(2*NORMSDIST($E16/2/(Inputs!$B$43*Inputs!$B$42))-1),IF(OR($F16="OBR",$F16="OBL"),(1-(2*NORMSDIST($E16/2/(Inputs!$B$43*Inputs!$B$42))-1))/2,0)))*INDEX(Baseline!$E$3:$E$122,MATCH(MIN(MAX(ROUND((MAX($C16-Inputs!$B$42,15))/5,0)*5,5),600),Baseline!$A$3:$A$122,0))+IF($F16="OB",1-(2*NORMSDIST($E16/2/(Inputs!$B$43*Inputs!$B$42))-1),IF(OR($F16="OBR",$F16="OBL"),(1-(2*NORMSDIST($E16/2/(Inputs!$B$43*Inputs!$B$42))-1))/2,0)))/(1-IF($F16="OB",1-(2*NORMSDIST($E16/2/(Inputs!$B$43*Inputs!$B$42))-1),IF(OR($F16="OBR",$F16="OBL"),(1-(2*NORMSDIST($E16/2/(Inputs!$B$43*Inputs!$B$42))-1))/2,0))))</f>
        <v/>
      </c>
      <c r="V16" s="7" t="str">
        <f aca="false">IF($B16=3,"",INDEX({"driver","7-wood","2-iron","5-iron"},MATCH(MIN(R16:U16),R16:U16,0)))</f>
        <v/>
      </c>
    </row>
    <row r="17" customFormat="false" ht="15" hidden="false" customHeight="false" outlineLevel="0" collapsed="false">
      <c r="A17" s="14" t="n">
        <v>16</v>
      </c>
      <c r="B17" s="15" t="n">
        <v>4</v>
      </c>
      <c r="C17" s="15" t="n">
        <v>321</v>
      </c>
      <c r="D17" s="15" t="n">
        <v>2</v>
      </c>
      <c r="E17" s="16" t="n">
        <f aca="false">Inputs!$B$27</f>
        <v>45</v>
      </c>
      <c r="F17" s="8" t="s">
        <v>152</v>
      </c>
      <c r="G17" s="17" t="n">
        <f aca="false">INDEX(Baseline!$B$3:$B$122,MATCH(MIN(MAX(ROUND(($C17)/5,0)*5,5),600),Baseline!$A$3:$A$122,0))-Inputs!$B$9</f>
        <v>4.08301152</v>
      </c>
      <c r="H17" s="17" t="n">
        <f aca="false">IF($B17=3,"",(1+(2*NORMSDIST($E17/2/(Inputs!$B$29*Inputs!$B$28))-1)*(Inputs!$B$26*INDEX(Baseline!$B$3:$B$122,MATCH(MIN(MAX(ROUND((MAX($C17-Inputs!$B$28,15))/5,0)*5,5),600),Baseline!$A$3:$A$122,0))+(1-Inputs!$B$26)*INDEX(Baseline!$C$3:$C$122,MATCH(MIN(MAX(ROUND((MAX($C17-Inputs!$B$28,15))/5,0)*5,5),600),Baseline!$A$3:$A$122,0)))+(1-(2*NORMSDIST($E17/2/(Inputs!$B$29*Inputs!$B$28))-1)-IF($F17="OB",1-(2*NORMSDIST($E17/2/(Inputs!$B$29*Inputs!$B$28))-1),IF(OR($F17="OBR",$F17="OBL"),(1-(2*NORMSDIST($E17/2/(Inputs!$B$29*Inputs!$B$28))-1))/2,0)))*INDEX(Baseline!$E$3:$E$122,MATCH(MIN(MAX(ROUND((MAX($C17-Inputs!$B$28,15))/5,0)*5,5),600),Baseline!$A$3:$A$122,0))+IF($F17="OB",1-(2*NORMSDIST($E17/2/(Inputs!$B$29*Inputs!$B$28))-1),IF(OR($F17="OBR",$F17="OBL"),(1-(2*NORMSDIST($E17/2/(Inputs!$B$29*Inputs!$B$28))-1))/2,0)))/(1-IF($F17="OB",1-(2*NORMSDIST($E17/2/(Inputs!$B$29*Inputs!$B$28))-1),IF(OR($F17="OBR",$F17="OBL"),(1-(2*NORMSDIST($E17/2/(Inputs!$B$29*Inputs!$B$28))-1))/2,0))))</f>
        <v>4.30116494509548</v>
      </c>
      <c r="I17" s="17" t="n">
        <f aca="false">IF($B17=3,"",(1+(2*NORMSDIST($E17/2/(Inputs!$B$31*Inputs!$B$30))-1)*(Inputs!$B$26*INDEX(Baseline!$B$3:$B$122,MATCH(MIN(MAX(ROUND((MAX($C17-Inputs!$B$30,15))/5,0)*5,5),600),Baseline!$A$3:$A$122,0))+(1-Inputs!$B$26)*INDEX(Baseline!$C$3:$C$122,MATCH(MIN(MAX(ROUND((MAX($C17-Inputs!$B$30,15))/5,0)*5,5),600),Baseline!$A$3:$A$122,0)))+(1-(2*NORMSDIST($E17/2/(Inputs!$B$31*Inputs!$B$30))-1)-IF($F17="OB",1-(2*NORMSDIST($E17/2/(Inputs!$B$31*Inputs!$B$30))-1),IF(OR($F17="OBR",$F17="OBL"),(1-(2*NORMSDIST($E17/2/(Inputs!$B$31*Inputs!$B$30))-1))/2,0)))*INDEX(Baseline!$E$3:$E$122,MATCH(MIN(MAX(ROUND((MAX($C17-Inputs!$B$30,15))/5,0)*5,5),600),Baseline!$A$3:$A$122,0))+IF($F17="OB",1-(2*NORMSDIST($E17/2/(Inputs!$B$31*Inputs!$B$30))-1),IF(OR($F17="OBR",$F17="OBL"),(1-(2*NORMSDIST($E17/2/(Inputs!$B$31*Inputs!$B$30))-1))/2,0)))/(1-IF($F17="OB",1-(2*NORMSDIST($E17/2/(Inputs!$B$31*Inputs!$B$30))-1),IF(OR($F17="OBR",$F17="OBL"),(1-(2*NORMSDIST($E17/2/(Inputs!$B$31*Inputs!$B$30))-1))/2,0))))</f>
        <v>4.34821991354603</v>
      </c>
      <c r="J17" s="17" t="n">
        <f aca="false">IF($B17=3,"",(1+(2*NORMSDIST($E17/2/(Inputs!$B$33*Inputs!$B$32))-1)*(Inputs!$B$26*INDEX(Baseline!$B$3:$B$122,MATCH(MIN(MAX(ROUND((MAX($C17-Inputs!$B$32,15))/5,0)*5,5),600),Baseline!$A$3:$A$122,0))+(1-Inputs!$B$26)*INDEX(Baseline!$C$3:$C$122,MATCH(MIN(MAX(ROUND((MAX($C17-Inputs!$B$32,15))/5,0)*5,5),600),Baseline!$A$3:$A$122,0)))+(1-(2*NORMSDIST($E17/2/(Inputs!$B$33*Inputs!$B$32))-1)-IF($F17="OB",1-(2*NORMSDIST($E17/2/(Inputs!$B$33*Inputs!$B$32))-1),IF(OR($F17="OBR",$F17="OBL"),(1-(2*NORMSDIST($E17/2/(Inputs!$B$33*Inputs!$B$32))-1))/2,0)))*INDEX(Baseline!$E$3:$E$122,MATCH(MIN(MAX(ROUND((MAX($C17-Inputs!$B$32,15))/5,0)*5,5),600),Baseline!$A$3:$A$122,0))+IF($F17="OB",1-(2*NORMSDIST($E17/2/(Inputs!$B$33*Inputs!$B$32))-1),IF(OR($F17="OBR",$F17="OBL"),(1-(2*NORMSDIST($E17/2/(Inputs!$B$33*Inputs!$B$32))-1))/2,0)))/(1-IF($F17="OB",1-(2*NORMSDIST($E17/2/(Inputs!$B$33*Inputs!$B$32))-1),IF(OR($F17="OBR",$F17="OBL"),(1-(2*NORMSDIST($E17/2/(Inputs!$B$33*Inputs!$B$32))-1))/2,0))))</f>
        <v>4.34294614804442</v>
      </c>
      <c r="K17" s="17" t="n">
        <f aca="false">IF($B17=3,"",(1+(2*NORMSDIST($E17/2/(Inputs!$B$35*Inputs!$B$34))-1)*(Inputs!$B$26*INDEX(Baseline!$B$3:$B$122,MATCH(MIN(MAX(ROUND((MAX($C17-Inputs!$B$34,15))/5,0)*5,5),600),Baseline!$A$3:$A$122,0))+(1-Inputs!$B$26)*INDEX(Baseline!$C$3:$C$122,MATCH(MIN(MAX(ROUND((MAX($C17-Inputs!$B$34,15))/5,0)*5,5),600),Baseline!$A$3:$A$122,0)))+(1-(2*NORMSDIST($E17/2/(Inputs!$B$35*Inputs!$B$34))-1)-IF($F17="OB",1-(2*NORMSDIST($E17/2/(Inputs!$B$35*Inputs!$B$34))-1),IF(OR($F17="OBR",$F17="OBL"),(1-(2*NORMSDIST($E17/2/(Inputs!$B$35*Inputs!$B$34))-1))/2,0)))*INDEX(Baseline!$E$3:$E$122,MATCH(MIN(MAX(ROUND((MAX($C17-Inputs!$B$34,15))/5,0)*5,5),600),Baseline!$A$3:$A$122,0))+IF($F17="OB",1-(2*NORMSDIST($E17/2/(Inputs!$B$35*Inputs!$B$34))-1),IF(OR($F17="OBR",$F17="OBL"),(1-(2*NORMSDIST($E17/2/(Inputs!$B$35*Inputs!$B$34))-1))/2,0)))/(1-IF($F17="OB",1-(2*NORMSDIST($E17/2/(Inputs!$B$35*Inputs!$B$34))-1),IF(OR($F17="OBR",$F17="OBL"),(1-(2*NORMSDIST($E17/2/(Inputs!$B$35*Inputs!$B$34))-1))/2,0))))</f>
        <v>4.33334085391306</v>
      </c>
      <c r="L17" s="17" t="n">
        <f aca="false">IF($B17=3,"",MIN(H17:K17))</f>
        <v>4.30116494509548</v>
      </c>
      <c r="M17" s="7" t="str">
        <f aca="false">IF($B17=3,"",INDEX({"driver","3-wood","3-hybrid","5-iron"},MATCH(L17,H17:K17,0)))</f>
        <v>driver</v>
      </c>
      <c r="N17" s="17" t="n">
        <f aca="false">IF($B17=3,G17,L17)</f>
        <v>4.30116494509548</v>
      </c>
      <c r="O17" s="17" t="n">
        <f aca="false">(1-Inputs!$B$7)/18+Inputs!$B$7*(19-D17)/171</f>
        <v>0.0555555555555556</v>
      </c>
      <c r="P17" s="17" t="n">
        <f aca="false">($B$23-$N$20)*O17</f>
        <v>-0.102512253450242</v>
      </c>
      <c r="Q17" s="17" t="n">
        <f aca="false">N17+P17</f>
        <v>4.19865269164524</v>
      </c>
      <c r="R17" s="17" t="n">
        <f aca="false">IF($B17=3,"",(1+(2*NORMSDIST($E17/2/(Inputs!$B$37*Inputs!$B$36))-1)*(Inputs!$B$26*INDEX(Baseline!$B$3:$B$122,MATCH(MIN(MAX(ROUND((MAX($C17-Inputs!$B$36,15))/5,0)*5,5),600),Baseline!$A$3:$A$122,0))+(1-Inputs!$B$26)*INDEX(Baseline!$C$3:$C$122,MATCH(MIN(MAX(ROUND((MAX($C17-Inputs!$B$36,15))/5,0)*5,5),600),Baseline!$A$3:$A$122,0)))+(1-(2*NORMSDIST($E17/2/(Inputs!$B$37*Inputs!$B$36))-1)-IF($F17="OB",1-(2*NORMSDIST($E17/2/(Inputs!$B$37*Inputs!$B$36))-1),IF(OR($F17="OBR",$F17="OBL"),(1-(2*NORMSDIST($E17/2/(Inputs!$B$37*Inputs!$B$36))-1))/2,0)))*INDEX(Baseline!$E$3:$E$122,MATCH(MIN(MAX(ROUND((MAX($C17-Inputs!$B$36,15))/5,0)*5,5),600),Baseline!$A$3:$A$122,0))+IF($F17="OB",1-(2*NORMSDIST($E17/2/(Inputs!$B$37*Inputs!$B$36))-1),IF(OR($F17="OBR",$F17="OBL"),(1-(2*NORMSDIST($E17/2/(Inputs!$B$37*Inputs!$B$36))-1))/2,0)))/(1-IF($F17="OB",1-(2*NORMSDIST($E17/2/(Inputs!$B$37*Inputs!$B$36))-1),IF(OR($F17="OBR",$F17="OBL"),(1-(2*NORMSDIST($E17/2/(Inputs!$B$37*Inputs!$B$36))-1))/2,0))))</f>
        <v>4.45839057897284</v>
      </c>
      <c r="S17" s="17" t="n">
        <f aca="false">IF($B17=3,"",(1+(2*NORMSDIST($E17/2/(Inputs!$B$39*Inputs!$B$38))-1)*(Inputs!$B$26*INDEX(Baseline!$B$3:$B$122,MATCH(MIN(MAX(ROUND((MAX($C17-Inputs!$B$38,15))/5,0)*5,5),600),Baseline!$A$3:$A$122,0))+(1-Inputs!$B$26)*INDEX(Baseline!$C$3:$C$122,MATCH(MIN(MAX(ROUND((MAX($C17-Inputs!$B$38,15))/5,0)*5,5),600),Baseline!$A$3:$A$122,0)))+(1-(2*NORMSDIST($E17/2/(Inputs!$B$39*Inputs!$B$38))-1)-IF($F17="OB",1-(2*NORMSDIST($E17/2/(Inputs!$B$39*Inputs!$B$38))-1),IF(OR($F17="OBR",$F17="OBL"),(1-(2*NORMSDIST($E17/2/(Inputs!$B$39*Inputs!$B$38))-1))/2,0)))*INDEX(Baseline!$E$3:$E$122,MATCH(MIN(MAX(ROUND((MAX($C17-Inputs!$B$38,15))/5,0)*5,5),600),Baseline!$A$3:$A$122,0))+IF($F17="OB",1-(2*NORMSDIST($E17/2/(Inputs!$B$39*Inputs!$B$38))-1),IF(OR($F17="OBR",$F17="OBL"),(1-(2*NORMSDIST($E17/2/(Inputs!$B$39*Inputs!$B$38))-1))/2,0)))/(1-IF($F17="OB",1-(2*NORMSDIST($E17/2/(Inputs!$B$39*Inputs!$B$38))-1),IF(OR($F17="OBR",$F17="OBL"),(1-(2*NORMSDIST($E17/2/(Inputs!$B$39*Inputs!$B$38))-1))/2,0))))</f>
        <v>4.39959464987456</v>
      </c>
      <c r="T17" s="17" t="n">
        <f aca="false">IF($B17=3,"",(1+(2*NORMSDIST($E17/2/(Inputs!$B$41*Inputs!$B$40))-1)*(Inputs!$B$26*INDEX(Baseline!$B$3:$B$122,MATCH(MIN(MAX(ROUND((MAX($C17-Inputs!$B$40,15))/5,0)*5,5),600),Baseline!$A$3:$A$122,0))+(1-Inputs!$B$26)*INDEX(Baseline!$C$3:$C$122,MATCH(MIN(MAX(ROUND((MAX($C17-Inputs!$B$40,15))/5,0)*5,5),600),Baseline!$A$3:$A$122,0)))+(1-(2*NORMSDIST($E17/2/(Inputs!$B$41*Inputs!$B$40))-1)-IF($F17="OB",1-(2*NORMSDIST($E17/2/(Inputs!$B$41*Inputs!$B$40))-1),IF(OR($F17="OBR",$F17="OBL"),(1-(2*NORMSDIST($E17/2/(Inputs!$B$41*Inputs!$B$40))-1))/2,0)))*INDEX(Baseline!$E$3:$E$122,MATCH(MIN(MAX(ROUND((MAX($C17-Inputs!$B$40,15))/5,0)*5,5),600),Baseline!$A$3:$A$122,0))+IF($F17="OB",1-(2*NORMSDIST($E17/2/(Inputs!$B$41*Inputs!$B$40))-1),IF(OR($F17="OBR",$F17="OBL"),(1-(2*NORMSDIST($E17/2/(Inputs!$B$41*Inputs!$B$40))-1))/2,0)))/(1-IF($F17="OB",1-(2*NORMSDIST($E17/2/(Inputs!$B$41*Inputs!$B$40))-1),IF(OR($F17="OBR",$F17="OBL"),(1-(2*NORMSDIST($E17/2/(Inputs!$B$41*Inputs!$B$40))-1))/2,0))))</f>
        <v>4.44132340215497</v>
      </c>
      <c r="U17" s="17" t="n">
        <f aca="false">IF($B17=3,"",(1+(2*NORMSDIST($E17/2/(Inputs!$B$43*Inputs!$B$42))-1)*(Inputs!$B$26*INDEX(Baseline!$B$3:$B$122,MATCH(MIN(MAX(ROUND((MAX($C17-Inputs!$B$42,15))/5,0)*5,5),600),Baseline!$A$3:$A$122,0))+(1-Inputs!$B$26)*INDEX(Baseline!$C$3:$C$122,MATCH(MIN(MAX(ROUND((MAX($C17-Inputs!$B$42,15))/5,0)*5,5),600),Baseline!$A$3:$A$122,0)))+(1-(2*NORMSDIST($E17/2/(Inputs!$B$43*Inputs!$B$42))-1)-IF($F17="OB",1-(2*NORMSDIST($E17/2/(Inputs!$B$43*Inputs!$B$42))-1),IF(OR($F17="OBR",$F17="OBL"),(1-(2*NORMSDIST($E17/2/(Inputs!$B$43*Inputs!$B$42))-1))/2,0)))*INDEX(Baseline!$E$3:$E$122,MATCH(MIN(MAX(ROUND((MAX($C17-Inputs!$B$42,15))/5,0)*5,5),600),Baseline!$A$3:$A$122,0))+IF($F17="OB",1-(2*NORMSDIST($E17/2/(Inputs!$B$43*Inputs!$B$42))-1),IF(OR($F17="OBR",$F17="OBL"),(1-(2*NORMSDIST($E17/2/(Inputs!$B$43*Inputs!$B$42))-1))/2,0)))/(1-IF($F17="OB",1-(2*NORMSDIST($E17/2/(Inputs!$B$43*Inputs!$B$42))-1),IF(OR($F17="OBR",$F17="OBL"),(1-(2*NORMSDIST($E17/2/(Inputs!$B$43*Inputs!$B$42))-1))/2,0))))</f>
        <v>4.36820562320726</v>
      </c>
      <c r="V17" s="7" t="str">
        <f aca="false">IF($B17=3,"",INDEX({"driver","7-wood","2-iron","5-iron"},MATCH(MIN(R17:U17),R17:U17,0)))</f>
        <v>5-iron</v>
      </c>
    </row>
    <row r="18" customFormat="false" ht="15" hidden="false" customHeight="false" outlineLevel="0" collapsed="false">
      <c r="A18" s="14" t="n">
        <v>17</v>
      </c>
      <c r="B18" s="15" t="n">
        <v>3</v>
      </c>
      <c r="C18" s="15" t="n">
        <v>149</v>
      </c>
      <c r="D18" s="15" t="n">
        <v>10</v>
      </c>
      <c r="G18" s="17" t="n">
        <f aca="false">INDEX(Baseline!$B$3:$B$122,MATCH(MIN(MAX(ROUND(($C18)/5,0)*5,5),600),Baseline!$A$3:$A$122,0))-Inputs!$B$9</f>
        <v>3.23271</v>
      </c>
      <c r="H18" s="17" t="str">
        <f aca="false">IF($B18=3,"",(1+(2*NORMSDIST($E18/2/(Inputs!$B$29*Inputs!$B$28))-1)*(Inputs!$B$26*INDEX(Baseline!$B$3:$B$122,MATCH(MIN(MAX(ROUND((MAX($C18-Inputs!$B$28,15))/5,0)*5,5),600),Baseline!$A$3:$A$122,0))+(1-Inputs!$B$26)*INDEX(Baseline!$C$3:$C$122,MATCH(MIN(MAX(ROUND((MAX($C18-Inputs!$B$28,15))/5,0)*5,5),600),Baseline!$A$3:$A$122,0)))+(1-(2*NORMSDIST($E18/2/(Inputs!$B$29*Inputs!$B$28))-1)-IF($F18="OB",1-(2*NORMSDIST($E18/2/(Inputs!$B$29*Inputs!$B$28))-1),IF(OR($F18="OBR",$F18="OBL"),(1-(2*NORMSDIST($E18/2/(Inputs!$B$29*Inputs!$B$28))-1))/2,0)))*INDEX(Baseline!$E$3:$E$122,MATCH(MIN(MAX(ROUND((MAX($C18-Inputs!$B$28,15))/5,0)*5,5),600),Baseline!$A$3:$A$122,0))+IF($F18="OB",1-(2*NORMSDIST($E18/2/(Inputs!$B$29*Inputs!$B$28))-1),IF(OR($F18="OBR",$F18="OBL"),(1-(2*NORMSDIST($E18/2/(Inputs!$B$29*Inputs!$B$28))-1))/2,0)))/(1-IF($F18="OB",1-(2*NORMSDIST($E18/2/(Inputs!$B$29*Inputs!$B$28))-1),IF(OR($F18="OBR",$F18="OBL"),(1-(2*NORMSDIST($E18/2/(Inputs!$B$29*Inputs!$B$28))-1))/2,0))))</f>
        <v/>
      </c>
      <c r="I18" s="17" t="str">
        <f aca="false">IF($B18=3,"",(1+(2*NORMSDIST($E18/2/(Inputs!$B$31*Inputs!$B$30))-1)*(Inputs!$B$26*INDEX(Baseline!$B$3:$B$122,MATCH(MIN(MAX(ROUND((MAX($C18-Inputs!$B$30,15))/5,0)*5,5),600),Baseline!$A$3:$A$122,0))+(1-Inputs!$B$26)*INDEX(Baseline!$C$3:$C$122,MATCH(MIN(MAX(ROUND((MAX($C18-Inputs!$B$30,15))/5,0)*5,5),600),Baseline!$A$3:$A$122,0)))+(1-(2*NORMSDIST($E18/2/(Inputs!$B$31*Inputs!$B$30))-1)-IF($F18="OB",1-(2*NORMSDIST($E18/2/(Inputs!$B$31*Inputs!$B$30))-1),IF(OR($F18="OBR",$F18="OBL"),(1-(2*NORMSDIST($E18/2/(Inputs!$B$31*Inputs!$B$30))-1))/2,0)))*INDEX(Baseline!$E$3:$E$122,MATCH(MIN(MAX(ROUND((MAX($C18-Inputs!$B$30,15))/5,0)*5,5),600),Baseline!$A$3:$A$122,0))+IF($F18="OB",1-(2*NORMSDIST($E18/2/(Inputs!$B$31*Inputs!$B$30))-1),IF(OR($F18="OBR",$F18="OBL"),(1-(2*NORMSDIST($E18/2/(Inputs!$B$31*Inputs!$B$30))-1))/2,0)))/(1-IF($F18="OB",1-(2*NORMSDIST($E18/2/(Inputs!$B$31*Inputs!$B$30))-1),IF(OR($F18="OBR",$F18="OBL"),(1-(2*NORMSDIST($E18/2/(Inputs!$B$31*Inputs!$B$30))-1))/2,0))))</f>
        <v/>
      </c>
      <c r="J18" s="17" t="str">
        <f aca="false">IF($B18=3,"",(1+(2*NORMSDIST($E18/2/(Inputs!$B$33*Inputs!$B$32))-1)*(Inputs!$B$26*INDEX(Baseline!$B$3:$B$122,MATCH(MIN(MAX(ROUND((MAX($C18-Inputs!$B$32,15))/5,0)*5,5),600),Baseline!$A$3:$A$122,0))+(1-Inputs!$B$26)*INDEX(Baseline!$C$3:$C$122,MATCH(MIN(MAX(ROUND((MAX($C18-Inputs!$B$32,15))/5,0)*5,5),600),Baseline!$A$3:$A$122,0)))+(1-(2*NORMSDIST($E18/2/(Inputs!$B$33*Inputs!$B$32))-1)-IF($F18="OB",1-(2*NORMSDIST($E18/2/(Inputs!$B$33*Inputs!$B$32))-1),IF(OR($F18="OBR",$F18="OBL"),(1-(2*NORMSDIST($E18/2/(Inputs!$B$33*Inputs!$B$32))-1))/2,0)))*INDEX(Baseline!$E$3:$E$122,MATCH(MIN(MAX(ROUND((MAX($C18-Inputs!$B$32,15))/5,0)*5,5),600),Baseline!$A$3:$A$122,0))+IF($F18="OB",1-(2*NORMSDIST($E18/2/(Inputs!$B$33*Inputs!$B$32))-1),IF(OR($F18="OBR",$F18="OBL"),(1-(2*NORMSDIST($E18/2/(Inputs!$B$33*Inputs!$B$32))-1))/2,0)))/(1-IF($F18="OB",1-(2*NORMSDIST($E18/2/(Inputs!$B$33*Inputs!$B$32))-1),IF(OR($F18="OBR",$F18="OBL"),(1-(2*NORMSDIST($E18/2/(Inputs!$B$33*Inputs!$B$32))-1))/2,0))))</f>
        <v/>
      </c>
      <c r="K18" s="17" t="str">
        <f aca="false">IF($B18=3,"",(1+(2*NORMSDIST($E18/2/(Inputs!$B$35*Inputs!$B$34))-1)*(Inputs!$B$26*INDEX(Baseline!$B$3:$B$122,MATCH(MIN(MAX(ROUND((MAX($C18-Inputs!$B$34,15))/5,0)*5,5),600),Baseline!$A$3:$A$122,0))+(1-Inputs!$B$26)*INDEX(Baseline!$C$3:$C$122,MATCH(MIN(MAX(ROUND((MAX($C18-Inputs!$B$34,15))/5,0)*5,5),600),Baseline!$A$3:$A$122,0)))+(1-(2*NORMSDIST($E18/2/(Inputs!$B$35*Inputs!$B$34))-1)-IF($F18="OB",1-(2*NORMSDIST($E18/2/(Inputs!$B$35*Inputs!$B$34))-1),IF(OR($F18="OBR",$F18="OBL"),(1-(2*NORMSDIST($E18/2/(Inputs!$B$35*Inputs!$B$34))-1))/2,0)))*INDEX(Baseline!$E$3:$E$122,MATCH(MIN(MAX(ROUND((MAX($C18-Inputs!$B$34,15))/5,0)*5,5),600),Baseline!$A$3:$A$122,0))+IF($F18="OB",1-(2*NORMSDIST($E18/2/(Inputs!$B$35*Inputs!$B$34))-1),IF(OR($F18="OBR",$F18="OBL"),(1-(2*NORMSDIST($E18/2/(Inputs!$B$35*Inputs!$B$34))-1))/2,0)))/(1-IF($F18="OB",1-(2*NORMSDIST($E18/2/(Inputs!$B$35*Inputs!$B$34))-1),IF(OR($F18="OBR",$F18="OBL"),(1-(2*NORMSDIST($E18/2/(Inputs!$B$35*Inputs!$B$34))-1))/2,0))))</f>
        <v/>
      </c>
      <c r="L18" s="17" t="str">
        <f aca="false">IF($B18=3,"",MIN(H18:K18))</f>
        <v/>
      </c>
      <c r="M18" s="7" t="str">
        <f aca="false">IF($B18=3,"",INDEX({"driver","3-wood","3-hybrid","5-iron"},MATCH(L18,H18:K18,0)))</f>
        <v/>
      </c>
      <c r="N18" s="17" t="n">
        <f aca="false">IF($B18=3,G18,L18)</f>
        <v>3.23271</v>
      </c>
      <c r="O18" s="17" t="n">
        <f aca="false">(1-Inputs!$B$7)/18+Inputs!$B$7*(19-D18)/171</f>
        <v>0.0555555555555556</v>
      </c>
      <c r="P18" s="17" t="n">
        <f aca="false">($B$23-$N$20)*O18</f>
        <v>-0.102512253450242</v>
      </c>
      <c r="Q18" s="17" t="n">
        <f aca="false">N18+P18</f>
        <v>3.13019774654976</v>
      </c>
      <c r="R18" s="17" t="str">
        <f aca="false">IF($B18=3,"",(1+(2*NORMSDIST($E18/2/(Inputs!$B$37*Inputs!$B$36))-1)*(Inputs!$B$26*INDEX(Baseline!$B$3:$B$122,MATCH(MIN(MAX(ROUND((MAX($C18-Inputs!$B$36,15))/5,0)*5,5),600),Baseline!$A$3:$A$122,0))+(1-Inputs!$B$26)*INDEX(Baseline!$C$3:$C$122,MATCH(MIN(MAX(ROUND((MAX($C18-Inputs!$B$36,15))/5,0)*5,5),600),Baseline!$A$3:$A$122,0)))+(1-(2*NORMSDIST($E18/2/(Inputs!$B$37*Inputs!$B$36))-1)-IF($F18="OB",1-(2*NORMSDIST($E18/2/(Inputs!$B$37*Inputs!$B$36))-1),IF(OR($F18="OBR",$F18="OBL"),(1-(2*NORMSDIST($E18/2/(Inputs!$B$37*Inputs!$B$36))-1))/2,0)))*INDEX(Baseline!$E$3:$E$122,MATCH(MIN(MAX(ROUND((MAX($C18-Inputs!$B$36,15))/5,0)*5,5),600),Baseline!$A$3:$A$122,0))+IF($F18="OB",1-(2*NORMSDIST($E18/2/(Inputs!$B$37*Inputs!$B$36))-1),IF(OR($F18="OBR",$F18="OBL"),(1-(2*NORMSDIST($E18/2/(Inputs!$B$37*Inputs!$B$36))-1))/2,0)))/(1-IF($F18="OB",1-(2*NORMSDIST($E18/2/(Inputs!$B$37*Inputs!$B$36))-1),IF(OR($F18="OBR",$F18="OBL"),(1-(2*NORMSDIST($E18/2/(Inputs!$B$37*Inputs!$B$36))-1))/2,0))))</f>
        <v/>
      </c>
      <c r="S18" s="17" t="str">
        <f aca="false">IF($B18=3,"",(1+(2*NORMSDIST($E18/2/(Inputs!$B$39*Inputs!$B$38))-1)*(Inputs!$B$26*INDEX(Baseline!$B$3:$B$122,MATCH(MIN(MAX(ROUND((MAX($C18-Inputs!$B$38,15))/5,0)*5,5),600),Baseline!$A$3:$A$122,0))+(1-Inputs!$B$26)*INDEX(Baseline!$C$3:$C$122,MATCH(MIN(MAX(ROUND((MAX($C18-Inputs!$B$38,15))/5,0)*5,5),600),Baseline!$A$3:$A$122,0)))+(1-(2*NORMSDIST($E18/2/(Inputs!$B$39*Inputs!$B$38))-1)-IF($F18="OB",1-(2*NORMSDIST($E18/2/(Inputs!$B$39*Inputs!$B$38))-1),IF(OR($F18="OBR",$F18="OBL"),(1-(2*NORMSDIST($E18/2/(Inputs!$B$39*Inputs!$B$38))-1))/2,0)))*INDEX(Baseline!$E$3:$E$122,MATCH(MIN(MAX(ROUND((MAX($C18-Inputs!$B$38,15))/5,0)*5,5),600),Baseline!$A$3:$A$122,0))+IF($F18="OB",1-(2*NORMSDIST($E18/2/(Inputs!$B$39*Inputs!$B$38))-1),IF(OR($F18="OBR",$F18="OBL"),(1-(2*NORMSDIST($E18/2/(Inputs!$B$39*Inputs!$B$38))-1))/2,0)))/(1-IF($F18="OB",1-(2*NORMSDIST($E18/2/(Inputs!$B$39*Inputs!$B$38))-1),IF(OR($F18="OBR",$F18="OBL"),(1-(2*NORMSDIST($E18/2/(Inputs!$B$39*Inputs!$B$38))-1))/2,0))))</f>
        <v/>
      </c>
      <c r="T18" s="17" t="str">
        <f aca="false">IF($B18=3,"",(1+(2*NORMSDIST($E18/2/(Inputs!$B$41*Inputs!$B$40))-1)*(Inputs!$B$26*INDEX(Baseline!$B$3:$B$122,MATCH(MIN(MAX(ROUND((MAX($C18-Inputs!$B$40,15))/5,0)*5,5),600),Baseline!$A$3:$A$122,0))+(1-Inputs!$B$26)*INDEX(Baseline!$C$3:$C$122,MATCH(MIN(MAX(ROUND((MAX($C18-Inputs!$B$40,15))/5,0)*5,5),600),Baseline!$A$3:$A$122,0)))+(1-(2*NORMSDIST($E18/2/(Inputs!$B$41*Inputs!$B$40))-1)-IF($F18="OB",1-(2*NORMSDIST($E18/2/(Inputs!$B$41*Inputs!$B$40))-1),IF(OR($F18="OBR",$F18="OBL"),(1-(2*NORMSDIST($E18/2/(Inputs!$B$41*Inputs!$B$40))-1))/2,0)))*INDEX(Baseline!$E$3:$E$122,MATCH(MIN(MAX(ROUND((MAX($C18-Inputs!$B$40,15))/5,0)*5,5),600),Baseline!$A$3:$A$122,0))+IF($F18="OB",1-(2*NORMSDIST($E18/2/(Inputs!$B$41*Inputs!$B$40))-1),IF(OR($F18="OBR",$F18="OBL"),(1-(2*NORMSDIST($E18/2/(Inputs!$B$41*Inputs!$B$40))-1))/2,0)))/(1-IF($F18="OB",1-(2*NORMSDIST($E18/2/(Inputs!$B$41*Inputs!$B$40))-1),IF(OR($F18="OBR",$F18="OBL"),(1-(2*NORMSDIST($E18/2/(Inputs!$B$41*Inputs!$B$40))-1))/2,0))))</f>
        <v/>
      </c>
      <c r="U18" s="17" t="str">
        <f aca="false">IF($B18=3,"",(1+(2*NORMSDIST($E18/2/(Inputs!$B$43*Inputs!$B$42))-1)*(Inputs!$B$26*INDEX(Baseline!$B$3:$B$122,MATCH(MIN(MAX(ROUND((MAX($C18-Inputs!$B$42,15))/5,0)*5,5),600),Baseline!$A$3:$A$122,0))+(1-Inputs!$B$26)*INDEX(Baseline!$C$3:$C$122,MATCH(MIN(MAX(ROUND((MAX($C18-Inputs!$B$42,15))/5,0)*5,5),600),Baseline!$A$3:$A$122,0)))+(1-(2*NORMSDIST($E18/2/(Inputs!$B$43*Inputs!$B$42))-1)-IF($F18="OB",1-(2*NORMSDIST($E18/2/(Inputs!$B$43*Inputs!$B$42))-1),IF(OR($F18="OBR",$F18="OBL"),(1-(2*NORMSDIST($E18/2/(Inputs!$B$43*Inputs!$B$42))-1))/2,0)))*INDEX(Baseline!$E$3:$E$122,MATCH(MIN(MAX(ROUND((MAX($C18-Inputs!$B$42,15))/5,0)*5,5),600),Baseline!$A$3:$A$122,0))+IF($F18="OB",1-(2*NORMSDIST($E18/2/(Inputs!$B$43*Inputs!$B$42))-1),IF(OR($F18="OBR",$F18="OBL"),(1-(2*NORMSDIST($E18/2/(Inputs!$B$43*Inputs!$B$42))-1))/2,0)))/(1-IF($F18="OB",1-(2*NORMSDIST($E18/2/(Inputs!$B$43*Inputs!$B$42))-1),IF(OR($F18="OBR",$F18="OBL"),(1-(2*NORMSDIST($E18/2/(Inputs!$B$43*Inputs!$B$42))-1))/2,0))))</f>
        <v/>
      </c>
      <c r="V18" s="7" t="str">
        <f aca="false">IF($B18=3,"",INDEX({"driver","7-wood","2-iron","5-iron"},MATCH(MIN(R18:U18),R18:U18,0)))</f>
        <v/>
      </c>
    </row>
    <row r="19" customFormat="false" ht="15" hidden="false" customHeight="false" outlineLevel="0" collapsed="false">
      <c r="A19" s="14" t="n">
        <v>18</v>
      </c>
      <c r="B19" s="15" t="n">
        <v>3</v>
      </c>
      <c r="C19" s="15" t="n">
        <v>118</v>
      </c>
      <c r="D19" s="15" t="n">
        <v>16</v>
      </c>
      <c r="G19" s="17" t="n">
        <f aca="false">INDEX(Baseline!$B$3:$B$122,MATCH(MIN(MAX(ROUND(($C19)/5,0)*5,5),600),Baseline!$A$3:$A$122,0))-Inputs!$B$9</f>
        <v>3.1054368</v>
      </c>
      <c r="H19" s="17" t="str">
        <f aca="false">IF($B19=3,"",(1+(2*NORMSDIST($E19/2/(Inputs!$B$29*Inputs!$B$28))-1)*(Inputs!$B$26*INDEX(Baseline!$B$3:$B$122,MATCH(MIN(MAX(ROUND((MAX($C19-Inputs!$B$28,15))/5,0)*5,5),600),Baseline!$A$3:$A$122,0))+(1-Inputs!$B$26)*INDEX(Baseline!$C$3:$C$122,MATCH(MIN(MAX(ROUND((MAX($C19-Inputs!$B$28,15))/5,0)*5,5),600),Baseline!$A$3:$A$122,0)))+(1-(2*NORMSDIST($E19/2/(Inputs!$B$29*Inputs!$B$28))-1)-IF($F19="OB",1-(2*NORMSDIST($E19/2/(Inputs!$B$29*Inputs!$B$28))-1),IF(OR($F19="OBR",$F19="OBL"),(1-(2*NORMSDIST($E19/2/(Inputs!$B$29*Inputs!$B$28))-1))/2,0)))*INDEX(Baseline!$E$3:$E$122,MATCH(MIN(MAX(ROUND((MAX($C19-Inputs!$B$28,15))/5,0)*5,5),600),Baseline!$A$3:$A$122,0))+IF($F19="OB",1-(2*NORMSDIST($E19/2/(Inputs!$B$29*Inputs!$B$28))-1),IF(OR($F19="OBR",$F19="OBL"),(1-(2*NORMSDIST($E19/2/(Inputs!$B$29*Inputs!$B$28))-1))/2,0)))/(1-IF($F19="OB",1-(2*NORMSDIST($E19/2/(Inputs!$B$29*Inputs!$B$28))-1),IF(OR($F19="OBR",$F19="OBL"),(1-(2*NORMSDIST($E19/2/(Inputs!$B$29*Inputs!$B$28))-1))/2,0))))</f>
        <v/>
      </c>
      <c r="I19" s="17" t="str">
        <f aca="false">IF($B19=3,"",(1+(2*NORMSDIST($E19/2/(Inputs!$B$31*Inputs!$B$30))-1)*(Inputs!$B$26*INDEX(Baseline!$B$3:$B$122,MATCH(MIN(MAX(ROUND((MAX($C19-Inputs!$B$30,15))/5,0)*5,5),600),Baseline!$A$3:$A$122,0))+(1-Inputs!$B$26)*INDEX(Baseline!$C$3:$C$122,MATCH(MIN(MAX(ROUND((MAX($C19-Inputs!$B$30,15))/5,0)*5,5),600),Baseline!$A$3:$A$122,0)))+(1-(2*NORMSDIST($E19/2/(Inputs!$B$31*Inputs!$B$30))-1)-IF($F19="OB",1-(2*NORMSDIST($E19/2/(Inputs!$B$31*Inputs!$B$30))-1),IF(OR($F19="OBR",$F19="OBL"),(1-(2*NORMSDIST($E19/2/(Inputs!$B$31*Inputs!$B$30))-1))/2,0)))*INDEX(Baseline!$E$3:$E$122,MATCH(MIN(MAX(ROUND((MAX($C19-Inputs!$B$30,15))/5,0)*5,5),600),Baseline!$A$3:$A$122,0))+IF($F19="OB",1-(2*NORMSDIST($E19/2/(Inputs!$B$31*Inputs!$B$30))-1),IF(OR($F19="OBR",$F19="OBL"),(1-(2*NORMSDIST($E19/2/(Inputs!$B$31*Inputs!$B$30))-1))/2,0)))/(1-IF($F19="OB",1-(2*NORMSDIST($E19/2/(Inputs!$B$31*Inputs!$B$30))-1),IF(OR($F19="OBR",$F19="OBL"),(1-(2*NORMSDIST($E19/2/(Inputs!$B$31*Inputs!$B$30))-1))/2,0))))</f>
        <v/>
      </c>
      <c r="J19" s="17" t="str">
        <f aca="false">IF($B19=3,"",(1+(2*NORMSDIST($E19/2/(Inputs!$B$33*Inputs!$B$32))-1)*(Inputs!$B$26*INDEX(Baseline!$B$3:$B$122,MATCH(MIN(MAX(ROUND((MAX($C19-Inputs!$B$32,15))/5,0)*5,5),600),Baseline!$A$3:$A$122,0))+(1-Inputs!$B$26)*INDEX(Baseline!$C$3:$C$122,MATCH(MIN(MAX(ROUND((MAX($C19-Inputs!$B$32,15))/5,0)*5,5),600),Baseline!$A$3:$A$122,0)))+(1-(2*NORMSDIST($E19/2/(Inputs!$B$33*Inputs!$B$32))-1)-IF($F19="OB",1-(2*NORMSDIST($E19/2/(Inputs!$B$33*Inputs!$B$32))-1),IF(OR($F19="OBR",$F19="OBL"),(1-(2*NORMSDIST($E19/2/(Inputs!$B$33*Inputs!$B$32))-1))/2,0)))*INDEX(Baseline!$E$3:$E$122,MATCH(MIN(MAX(ROUND((MAX($C19-Inputs!$B$32,15))/5,0)*5,5),600),Baseline!$A$3:$A$122,0))+IF($F19="OB",1-(2*NORMSDIST($E19/2/(Inputs!$B$33*Inputs!$B$32))-1),IF(OR($F19="OBR",$F19="OBL"),(1-(2*NORMSDIST($E19/2/(Inputs!$B$33*Inputs!$B$32))-1))/2,0)))/(1-IF($F19="OB",1-(2*NORMSDIST($E19/2/(Inputs!$B$33*Inputs!$B$32))-1),IF(OR($F19="OBR",$F19="OBL"),(1-(2*NORMSDIST($E19/2/(Inputs!$B$33*Inputs!$B$32))-1))/2,0))))</f>
        <v/>
      </c>
      <c r="K19" s="17" t="str">
        <f aca="false">IF($B19=3,"",(1+(2*NORMSDIST($E19/2/(Inputs!$B$35*Inputs!$B$34))-1)*(Inputs!$B$26*INDEX(Baseline!$B$3:$B$122,MATCH(MIN(MAX(ROUND((MAX($C19-Inputs!$B$34,15))/5,0)*5,5),600),Baseline!$A$3:$A$122,0))+(1-Inputs!$B$26)*INDEX(Baseline!$C$3:$C$122,MATCH(MIN(MAX(ROUND((MAX($C19-Inputs!$B$34,15))/5,0)*5,5),600),Baseline!$A$3:$A$122,0)))+(1-(2*NORMSDIST($E19/2/(Inputs!$B$35*Inputs!$B$34))-1)-IF($F19="OB",1-(2*NORMSDIST($E19/2/(Inputs!$B$35*Inputs!$B$34))-1),IF(OR($F19="OBR",$F19="OBL"),(1-(2*NORMSDIST($E19/2/(Inputs!$B$35*Inputs!$B$34))-1))/2,0)))*INDEX(Baseline!$E$3:$E$122,MATCH(MIN(MAX(ROUND((MAX($C19-Inputs!$B$34,15))/5,0)*5,5),600),Baseline!$A$3:$A$122,0))+IF($F19="OB",1-(2*NORMSDIST($E19/2/(Inputs!$B$35*Inputs!$B$34))-1),IF(OR($F19="OBR",$F19="OBL"),(1-(2*NORMSDIST($E19/2/(Inputs!$B$35*Inputs!$B$34))-1))/2,0)))/(1-IF($F19="OB",1-(2*NORMSDIST($E19/2/(Inputs!$B$35*Inputs!$B$34))-1),IF(OR($F19="OBR",$F19="OBL"),(1-(2*NORMSDIST($E19/2/(Inputs!$B$35*Inputs!$B$34))-1))/2,0))))</f>
        <v/>
      </c>
      <c r="L19" s="17" t="str">
        <f aca="false">IF($B19=3,"",MIN(H19:K19))</f>
        <v/>
      </c>
      <c r="M19" s="7" t="str">
        <f aca="false">IF($B19=3,"",INDEX({"driver","3-wood","3-hybrid","5-iron"},MATCH(L19,H19:K19,0)))</f>
        <v/>
      </c>
      <c r="N19" s="17" t="n">
        <f aca="false">IF($B19=3,G19,L19)</f>
        <v>3.1054368</v>
      </c>
      <c r="O19" s="17" t="n">
        <f aca="false">(1-Inputs!$B$7)/18+Inputs!$B$7*(19-D19)/171</f>
        <v>0.0555555555555556</v>
      </c>
      <c r="P19" s="17" t="n">
        <f aca="false">($B$23-$N$20)*O19</f>
        <v>-0.102512253450242</v>
      </c>
      <c r="Q19" s="17" t="n">
        <f aca="false">N19+P19</f>
        <v>3.00292454654976</v>
      </c>
      <c r="R19" s="17" t="str">
        <f aca="false">IF($B19=3,"",(1+(2*NORMSDIST($E19/2/(Inputs!$B$37*Inputs!$B$36))-1)*(Inputs!$B$26*INDEX(Baseline!$B$3:$B$122,MATCH(MIN(MAX(ROUND((MAX($C19-Inputs!$B$36,15))/5,0)*5,5),600),Baseline!$A$3:$A$122,0))+(1-Inputs!$B$26)*INDEX(Baseline!$C$3:$C$122,MATCH(MIN(MAX(ROUND((MAX($C19-Inputs!$B$36,15))/5,0)*5,5),600),Baseline!$A$3:$A$122,0)))+(1-(2*NORMSDIST($E19/2/(Inputs!$B$37*Inputs!$B$36))-1)-IF($F19="OB",1-(2*NORMSDIST($E19/2/(Inputs!$B$37*Inputs!$B$36))-1),IF(OR($F19="OBR",$F19="OBL"),(1-(2*NORMSDIST($E19/2/(Inputs!$B$37*Inputs!$B$36))-1))/2,0)))*INDEX(Baseline!$E$3:$E$122,MATCH(MIN(MAX(ROUND((MAX($C19-Inputs!$B$36,15))/5,0)*5,5),600),Baseline!$A$3:$A$122,0))+IF($F19="OB",1-(2*NORMSDIST($E19/2/(Inputs!$B$37*Inputs!$B$36))-1),IF(OR($F19="OBR",$F19="OBL"),(1-(2*NORMSDIST($E19/2/(Inputs!$B$37*Inputs!$B$36))-1))/2,0)))/(1-IF($F19="OB",1-(2*NORMSDIST($E19/2/(Inputs!$B$37*Inputs!$B$36))-1),IF(OR($F19="OBR",$F19="OBL"),(1-(2*NORMSDIST($E19/2/(Inputs!$B$37*Inputs!$B$36))-1))/2,0))))</f>
        <v/>
      </c>
      <c r="S19" s="17" t="str">
        <f aca="false">IF($B19=3,"",(1+(2*NORMSDIST($E19/2/(Inputs!$B$39*Inputs!$B$38))-1)*(Inputs!$B$26*INDEX(Baseline!$B$3:$B$122,MATCH(MIN(MAX(ROUND((MAX($C19-Inputs!$B$38,15))/5,0)*5,5),600),Baseline!$A$3:$A$122,0))+(1-Inputs!$B$26)*INDEX(Baseline!$C$3:$C$122,MATCH(MIN(MAX(ROUND((MAX($C19-Inputs!$B$38,15))/5,0)*5,5),600),Baseline!$A$3:$A$122,0)))+(1-(2*NORMSDIST($E19/2/(Inputs!$B$39*Inputs!$B$38))-1)-IF($F19="OB",1-(2*NORMSDIST($E19/2/(Inputs!$B$39*Inputs!$B$38))-1),IF(OR($F19="OBR",$F19="OBL"),(1-(2*NORMSDIST($E19/2/(Inputs!$B$39*Inputs!$B$38))-1))/2,0)))*INDEX(Baseline!$E$3:$E$122,MATCH(MIN(MAX(ROUND((MAX($C19-Inputs!$B$38,15))/5,0)*5,5),600),Baseline!$A$3:$A$122,0))+IF($F19="OB",1-(2*NORMSDIST($E19/2/(Inputs!$B$39*Inputs!$B$38))-1),IF(OR($F19="OBR",$F19="OBL"),(1-(2*NORMSDIST($E19/2/(Inputs!$B$39*Inputs!$B$38))-1))/2,0)))/(1-IF($F19="OB",1-(2*NORMSDIST($E19/2/(Inputs!$B$39*Inputs!$B$38))-1),IF(OR($F19="OBR",$F19="OBL"),(1-(2*NORMSDIST($E19/2/(Inputs!$B$39*Inputs!$B$38))-1))/2,0))))</f>
        <v/>
      </c>
      <c r="T19" s="17" t="str">
        <f aca="false">IF($B19=3,"",(1+(2*NORMSDIST($E19/2/(Inputs!$B$41*Inputs!$B$40))-1)*(Inputs!$B$26*INDEX(Baseline!$B$3:$B$122,MATCH(MIN(MAX(ROUND((MAX($C19-Inputs!$B$40,15))/5,0)*5,5),600),Baseline!$A$3:$A$122,0))+(1-Inputs!$B$26)*INDEX(Baseline!$C$3:$C$122,MATCH(MIN(MAX(ROUND((MAX($C19-Inputs!$B$40,15))/5,0)*5,5),600),Baseline!$A$3:$A$122,0)))+(1-(2*NORMSDIST($E19/2/(Inputs!$B$41*Inputs!$B$40))-1)-IF($F19="OB",1-(2*NORMSDIST($E19/2/(Inputs!$B$41*Inputs!$B$40))-1),IF(OR($F19="OBR",$F19="OBL"),(1-(2*NORMSDIST($E19/2/(Inputs!$B$41*Inputs!$B$40))-1))/2,0)))*INDEX(Baseline!$E$3:$E$122,MATCH(MIN(MAX(ROUND((MAX($C19-Inputs!$B$40,15))/5,0)*5,5),600),Baseline!$A$3:$A$122,0))+IF($F19="OB",1-(2*NORMSDIST($E19/2/(Inputs!$B$41*Inputs!$B$40))-1),IF(OR($F19="OBR",$F19="OBL"),(1-(2*NORMSDIST($E19/2/(Inputs!$B$41*Inputs!$B$40))-1))/2,0)))/(1-IF($F19="OB",1-(2*NORMSDIST($E19/2/(Inputs!$B$41*Inputs!$B$40))-1),IF(OR($F19="OBR",$F19="OBL"),(1-(2*NORMSDIST($E19/2/(Inputs!$B$41*Inputs!$B$40))-1))/2,0))))</f>
        <v/>
      </c>
      <c r="U19" s="17" t="str">
        <f aca="false">IF($B19=3,"",(1+(2*NORMSDIST($E19/2/(Inputs!$B$43*Inputs!$B$42))-1)*(Inputs!$B$26*INDEX(Baseline!$B$3:$B$122,MATCH(MIN(MAX(ROUND((MAX($C19-Inputs!$B$42,15))/5,0)*5,5),600),Baseline!$A$3:$A$122,0))+(1-Inputs!$B$26)*INDEX(Baseline!$C$3:$C$122,MATCH(MIN(MAX(ROUND((MAX($C19-Inputs!$B$42,15))/5,0)*5,5),600),Baseline!$A$3:$A$122,0)))+(1-(2*NORMSDIST($E19/2/(Inputs!$B$43*Inputs!$B$42))-1)-IF($F19="OB",1-(2*NORMSDIST($E19/2/(Inputs!$B$43*Inputs!$B$42))-1),IF(OR($F19="OBR",$F19="OBL"),(1-(2*NORMSDIST($E19/2/(Inputs!$B$43*Inputs!$B$42))-1))/2,0)))*INDEX(Baseline!$E$3:$E$122,MATCH(MIN(MAX(ROUND((MAX($C19-Inputs!$B$42,15))/5,0)*5,5),600),Baseline!$A$3:$A$122,0))+IF($F19="OB",1-(2*NORMSDIST($E19/2/(Inputs!$B$43*Inputs!$B$42))-1),IF(OR($F19="OBR",$F19="OBL"),(1-(2*NORMSDIST($E19/2/(Inputs!$B$43*Inputs!$B$42))-1))/2,0)))/(1-IF($F19="OB",1-(2*NORMSDIST($E19/2/(Inputs!$B$43*Inputs!$B$42))-1),IF(OR($F19="OBR",$F19="OBL"),(1-(2*NORMSDIST($E19/2/(Inputs!$B$43*Inputs!$B$42))-1))/2,0))))</f>
        <v/>
      </c>
      <c r="V19" s="7" t="str">
        <f aca="false">IF($B19=3,"",INDEX({"driver","7-wood","2-iron","5-iron"},MATCH(MIN(R19:U19),R19:U19,0)))</f>
        <v/>
      </c>
    </row>
    <row r="20" customFormat="false" ht="15" hidden="false" customHeight="false" outlineLevel="0" collapsed="false">
      <c r="A20" s="13" t="s">
        <v>153</v>
      </c>
      <c r="B20" s="18" t="n">
        <f aca="false">SUM(B2:B19)</f>
        <v>62</v>
      </c>
      <c r="C20" s="18" t="n">
        <f aca="false">SUM(C2:C19)</f>
        <v>3802</v>
      </c>
      <c r="G20" s="18" t="n">
        <f aca="false">SUM(G2:G19)</f>
        <v>63.5754358853333</v>
      </c>
      <c r="L20" s="18" t="n">
        <f aca="false">SUM(L2:L19)</f>
        <v>28.872796028771</v>
      </c>
      <c r="N20" s="18" t="n">
        <f aca="false">SUM(N2:N19)</f>
        <v>64.1452205621044</v>
      </c>
      <c r="O20" s="18" t="n">
        <f aca="false">SUM(O2:O19)</f>
        <v>1</v>
      </c>
      <c r="P20" s="18" t="n">
        <f aca="false">SUM(P2:P19)</f>
        <v>-1.84522056210436</v>
      </c>
      <c r="Q20" s="18" t="n">
        <f aca="false">SUM(Q2:Q19)</f>
        <v>62.3</v>
      </c>
    </row>
    <row r="22" customFormat="false" ht="15" hidden="false" customHeight="false" outlineLevel="0" collapsed="false">
      <c r="A22" s="13" t="s">
        <v>154</v>
      </c>
    </row>
    <row r="23" customFormat="false" ht="15" hidden="false" customHeight="false" outlineLevel="0" collapsed="false">
      <c r="A23" s="7" t="s">
        <v>155</v>
      </c>
      <c r="B23" s="16" t="n">
        <f aca="false">Inputs!$B$5+Inputs!$B$6</f>
        <v>62.3</v>
      </c>
    </row>
    <row r="24" customFormat="false" ht="15" hidden="false" customHeight="false" outlineLevel="0" collapsed="false">
      <c r="A24" s="7" t="s">
        <v>156</v>
      </c>
      <c r="B24" s="19" t="n">
        <f aca="false">ROUND(Q20-B23,4)</f>
        <v>0</v>
      </c>
    </row>
    <row r="25" customFormat="false" ht="15" hidden="false" customHeight="false" outlineLevel="0" collapsed="false">
      <c r="A25" s="7" t="s">
        <v>157</v>
      </c>
      <c r="B25" s="20" t="n">
        <f aca="false">P20</f>
        <v>-1.84522056210436</v>
      </c>
    </row>
    <row r="27" customFormat="false" ht="15" hidden="false" customHeight="true" outlineLevel="0" collapsed="false">
      <c r="A27" s="21" t="s">
        <v>158</v>
      </c>
      <c r="B27" s="21"/>
      <c r="C27" s="21"/>
      <c r="D27" s="21"/>
      <c r="E27" s="21"/>
      <c r="F27" s="21"/>
      <c r="G27" s="21"/>
      <c r="H27" s="21"/>
      <c r="I27" s="21"/>
      <c r="J27" s="21"/>
      <c r="K27" s="21"/>
      <c r="L27" s="21"/>
      <c r="M27" s="21"/>
      <c r="N27" s="21"/>
      <c r="O27" s="21"/>
      <c r="P27" s="21"/>
      <c r="Q27" s="21"/>
      <c r="R27" s="21"/>
      <c r="S27" s="21"/>
      <c r="T27" s="21"/>
      <c r="U27" s="21"/>
      <c r="V27" s="21"/>
    </row>
    <row r="28" customFormat="false" ht="15" hidden="false" customHeight="false" outlineLevel="0" collapsed="false">
      <c r="A28" s="21"/>
      <c r="B28" s="21"/>
      <c r="C28" s="21"/>
      <c r="D28" s="21"/>
      <c r="E28" s="21"/>
      <c r="F28" s="21"/>
      <c r="G28" s="21"/>
      <c r="H28" s="21"/>
      <c r="I28" s="21"/>
      <c r="J28" s="21"/>
      <c r="K28" s="21"/>
      <c r="L28" s="21"/>
      <c r="M28" s="21"/>
      <c r="N28" s="21"/>
      <c r="O28" s="21"/>
      <c r="P28" s="21"/>
      <c r="Q28" s="21"/>
      <c r="R28" s="21"/>
      <c r="S28" s="21"/>
      <c r="T28" s="21"/>
      <c r="U28" s="21"/>
      <c r="V28" s="21"/>
    </row>
    <row r="29" customFormat="false" ht="15" hidden="false" customHeight="false" outlineLevel="0" collapsed="false">
      <c r="A29" s="21"/>
      <c r="B29" s="21"/>
      <c r="C29" s="21"/>
      <c r="D29" s="21"/>
      <c r="E29" s="21"/>
      <c r="F29" s="21"/>
      <c r="G29" s="21"/>
      <c r="H29" s="21"/>
      <c r="I29" s="21"/>
      <c r="J29" s="21"/>
      <c r="K29" s="21"/>
      <c r="L29" s="21"/>
      <c r="M29" s="21"/>
      <c r="N29" s="21"/>
      <c r="O29" s="21"/>
      <c r="P29" s="21"/>
      <c r="Q29" s="21"/>
      <c r="R29" s="21"/>
      <c r="S29" s="21"/>
      <c r="T29" s="21"/>
      <c r="U29" s="21"/>
      <c r="V29" s="21"/>
    </row>
    <row r="30" customFormat="false" ht="15" hidden="false" customHeight="false" outlineLevel="0" collapsed="false">
      <c r="A30" s="9" t="s">
        <v>159</v>
      </c>
    </row>
  </sheetData>
  <mergeCells count="1">
    <mergeCell ref="A27:V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8"/>
    <col collapsed="false" customWidth="true" hidden="false" outlineLevel="0" max="4" min="4" style="0" width="9"/>
    <col collapsed="false" customWidth="true" hidden="false" outlineLevel="0" max="5" min="5" style="0" width="8"/>
    <col collapsed="false" customWidth="true" hidden="false" outlineLevel="0" max="6" min="6" style="0" width="9"/>
    <col collapsed="false" customWidth="true" hidden="false" outlineLevel="0" max="7" min="7" style="0" width="8"/>
    <col collapsed="false" customWidth="true" hidden="false" outlineLevel="0" max="8" min="8" style="0" width="16"/>
    <col collapsed="false" customWidth="true" hidden="false" outlineLevel="0" max="9" min="9" style="0" width="9"/>
    <col collapsed="false" customWidth="true" hidden="false" outlineLevel="0" max="11" min="10" style="0" width="8"/>
    <col collapsed="false" customWidth="true" hidden="false" outlineLevel="0" max="12" min="12" style="0" width="12"/>
    <col collapsed="false" customWidth="true" hidden="false" outlineLevel="0" max="13" min="13" style="0" width="6"/>
    <col collapsed="false" customWidth="true" hidden="false" outlineLevel="0" max="15" min="14" style="0" width="9"/>
    <col collapsed="false" customWidth="true" hidden="false" outlineLevel="0" max="16" min="16" style="0" width="10"/>
    <col collapsed="false" customWidth="true" hidden="false" outlineLevel="0" max="17" min="17" style="0" width="9"/>
    <col collapsed="false" customWidth="true" hidden="false" outlineLevel="0" max="19" min="18" style="0" width="8"/>
  </cols>
  <sheetData>
    <row r="1" customFormat="false" ht="30" hidden="false" customHeight="true" outlineLevel="0" collapsed="false">
      <c r="A1" s="5" t="s">
        <v>160</v>
      </c>
      <c r="B1" s="5" t="s">
        <v>130</v>
      </c>
      <c r="C1" s="5" t="s">
        <v>161</v>
      </c>
      <c r="D1" s="5" t="s">
        <v>162</v>
      </c>
      <c r="E1" s="5" t="s">
        <v>163</v>
      </c>
      <c r="F1" s="5" t="s">
        <v>164</v>
      </c>
      <c r="G1" s="5" t="s">
        <v>165</v>
      </c>
      <c r="H1" s="5" t="s">
        <v>166</v>
      </c>
      <c r="I1" s="5" t="s">
        <v>167</v>
      </c>
      <c r="J1" s="5" t="s">
        <v>168</v>
      </c>
      <c r="K1" s="5" t="s">
        <v>169</v>
      </c>
      <c r="L1" s="5" t="s">
        <v>170</v>
      </c>
      <c r="M1" s="22" t="s">
        <v>131</v>
      </c>
      <c r="N1" s="22" t="s">
        <v>171</v>
      </c>
      <c r="O1" s="22" t="s">
        <v>172</v>
      </c>
      <c r="P1" s="22" t="s">
        <v>173</v>
      </c>
      <c r="Q1" s="22" t="s">
        <v>174</v>
      </c>
      <c r="R1" s="22" t="s">
        <v>175</v>
      </c>
      <c r="S1" s="22" t="s">
        <v>176</v>
      </c>
    </row>
    <row r="2" customFormat="false" ht="15" hidden="false" customHeight="false" outlineLevel="0" collapsed="false">
      <c r="A2" s="8" t="s">
        <v>177</v>
      </c>
      <c r="B2" s="8" t="n">
        <v>1</v>
      </c>
      <c r="C2" s="8" t="s">
        <v>178</v>
      </c>
      <c r="D2" s="8" t="n">
        <v>356</v>
      </c>
      <c r="E2" s="8" t="s">
        <v>125</v>
      </c>
      <c r="F2" s="8" t="n">
        <v>102</v>
      </c>
      <c r="G2" s="8" t="n">
        <v>0</v>
      </c>
      <c r="H2" s="8" t="s">
        <v>179</v>
      </c>
      <c r="I2" s="7" t="str">
        <f aca="false">IF($C2="","",IF($C2="G","PUTT",IF(AND($C2="T",$M2&gt;3),"OTT",IF($D2&lt;=30,"ARG","APP"))))</f>
        <v>OTT</v>
      </c>
      <c r="J2" s="17" t="n">
        <f aca="false">IF($C2="","",$N2+$Q2*$R2)</f>
        <v>4.44422500367801</v>
      </c>
      <c r="K2" s="17" t="n">
        <f aca="false">IF($C2="","",$O2+$Q2*$S2)</f>
        <v>2.98591373288069</v>
      </c>
      <c r="L2" s="17" t="n">
        <f aca="false">IF($C2="","",$J2-$K2-1-N($G2))</f>
        <v>0.458311270797312</v>
      </c>
      <c r="M2" s="7" t="n">
        <f aca="false">IF($B2="","",INDEX(Course!$B$2:$B$19,MATCH($B2,Course!$A$2:$A$19,0)))</f>
        <v>4</v>
      </c>
      <c r="N2" s="17" t="n">
        <f aca="false">IF($C2="","",IF($C2="H",0,IF($C2="G",INDEX(Baseline!$I$3:$I$102,MIN(MAX(ROUND($D2,0),1),100)),IF($C2="T",IF($M2=3,INDEX(Baseline!$B$3:$B$122,MATCH(MIN(MAX(ROUND(($D2)/5,0)*5,5),600),Baseline!$A$3:$A$122,0))-Inputs!$B$9,INDEX(Course!$N$2:$N$19,MATCH($B2,Course!$A$2:$A$19,0))),INDEX(Baseline!$B$3:$E$122,MATCH(MIN(MAX(ROUND(($D2)/5,0)*5,5),600),Baseline!$A$3:$A$122,0),MATCH($C2,Baseline!$B$2:$E$2,0))))))</f>
        <v>4.54673725712825</v>
      </c>
      <c r="O2" s="17" t="n">
        <f aca="false">IF($C2="","",IF($E2="H",0,IF($E2="G",INDEX(Baseline!$I$3:$I$102,MIN(MAX(ROUND($F2,0),1),100)),IF($E2="T",IF($M2=3,INDEX(Baseline!$B$3:$B$122,MATCH(MIN(MAX(ROUND(($F2)/5,0)*5,5),600),Baseline!$A$3:$A$122,0))-Inputs!$B$9,INDEX(Course!$N$2:$N$19,MATCH($B2,Course!$A$2:$A$19,0))),INDEX(Baseline!$B$3:$E$122,MATCH(MIN(MAX(ROUND(($F2)/5,0)*5,5),600),Baseline!$A$3:$A$122,0),MATCH($E2,Baseline!$B$2:$E$2,0))))))</f>
        <v>3.0308</v>
      </c>
      <c r="P2" s="17" t="n">
        <f aca="false">IF($B2="","",INDEX(Course!$N$2:$N$19,MATCH($B2,Course!$A$2:$A$19,0)))</f>
        <v>4.54673725712825</v>
      </c>
      <c r="Q2" s="17" t="n">
        <f aca="false">IF($B2="","",INDEX(Course!$P$2:$P$19,MATCH($B2,Course!$A$2:$A$19,0)))</f>
        <v>-0.102512253450242</v>
      </c>
      <c r="R2" s="17" t="n">
        <f aca="false">IF($C2="","",IF(OR($C2="G",$C2="H"),0,IF($C2="T",1,MIN(1,MAX(0,($N2-Inputs!$B$8)/MAX($P2-Inputs!$B$8,0.01))))))</f>
        <v>1</v>
      </c>
      <c r="S2" s="17" t="n">
        <f aca="false">IF($C2="","",IF(OR($E2="G",$E2="H"),0,IF($E2="T",1,MIN(1,MAX(0,($O2-Inputs!$B$8)/MAX($P2-Inputs!$B$8,0.01))))))</f>
        <v>0.437862456521787</v>
      </c>
    </row>
    <row r="3" customFormat="false" ht="15" hidden="false" customHeight="false" outlineLevel="0" collapsed="false">
      <c r="A3" s="8" t="s">
        <v>177</v>
      </c>
      <c r="B3" s="8" t="n">
        <v>1</v>
      </c>
      <c r="C3" s="8" t="s">
        <v>125</v>
      </c>
      <c r="D3" s="8" t="n">
        <v>102</v>
      </c>
      <c r="E3" s="8" t="s">
        <v>129</v>
      </c>
      <c r="F3" s="8" t="n">
        <v>22</v>
      </c>
      <c r="G3" s="8" t="n">
        <v>0</v>
      </c>
      <c r="H3" s="8" t="s">
        <v>180</v>
      </c>
      <c r="I3" s="7" t="str">
        <f aca="false">IF($C3="","",IF($C3="G","PUTT",IF(AND($C3="T",$M3&gt;3),"OTT",IF($D3&lt;=30,"ARG","APP"))))</f>
        <v>APP</v>
      </c>
      <c r="J3" s="17" t="n">
        <f aca="false">IF($C3="","",$N3+$Q3*$R3)</f>
        <v>2.98591373288069</v>
      </c>
      <c r="K3" s="17" t="n">
        <f aca="false">IF($C3="","",$O3+$Q3*$S3)</f>
        <v>1.9484</v>
      </c>
      <c r="L3" s="17" t="n">
        <f aca="false">IF($C3="","",$J3-$K3-1-N($G3))</f>
        <v>0.0375137328806932</v>
      </c>
      <c r="M3" s="7" t="n">
        <f aca="false">IF($B3="","",INDEX(Course!$B$2:$B$19,MATCH($B3,Course!$A$2:$A$19,0)))</f>
        <v>4</v>
      </c>
      <c r="N3" s="17" t="n">
        <f aca="false">IF($C3="","",IF($C3="H",0,IF($C3="G",INDEX(Baseline!$I$3:$I$102,MIN(MAX(ROUND($D3,0),1),100)),IF($C3="T",IF($M3=3,INDEX(Baseline!$B$3:$B$122,MATCH(MIN(MAX(ROUND(($D3)/5,0)*5,5),600),Baseline!$A$3:$A$122,0))-Inputs!$B$9,INDEX(Course!$N$2:$N$19,MATCH($B3,Course!$A$2:$A$19,0))),INDEX(Baseline!$B$3:$E$122,MATCH(MIN(MAX(ROUND(($D3)/5,0)*5,5),600),Baseline!$A$3:$A$122,0),MATCH($C3,Baseline!$B$2:$E$2,0))))))</f>
        <v>3.0308</v>
      </c>
      <c r="O3" s="17" t="n">
        <f aca="false">IF($C3="","",IF($E3="H",0,IF($E3="G",INDEX(Baseline!$I$3:$I$102,MIN(MAX(ROUND($F3,0),1),100)),IF($E3="T",IF($M3=3,INDEX(Baseline!$B$3:$B$122,MATCH(MIN(MAX(ROUND(($F3)/5,0)*5,5),600),Baseline!$A$3:$A$122,0))-Inputs!$B$9,INDEX(Course!$N$2:$N$19,MATCH($B3,Course!$A$2:$A$19,0))),INDEX(Baseline!$B$3:$E$122,MATCH(MIN(MAX(ROUND(($F3)/5,0)*5,5),600),Baseline!$A$3:$A$122,0),MATCH($E3,Baseline!$B$2:$E$2,0))))))</f>
        <v>1.9484</v>
      </c>
      <c r="P3" s="17" t="n">
        <f aca="false">IF($B3="","",INDEX(Course!$N$2:$N$19,MATCH($B3,Course!$A$2:$A$19,0)))</f>
        <v>4.54673725712825</v>
      </c>
      <c r="Q3" s="17" t="n">
        <f aca="false">IF($B3="","",INDEX(Course!$P$2:$P$19,MATCH($B3,Course!$A$2:$A$19,0)))</f>
        <v>-0.102512253450242</v>
      </c>
      <c r="R3" s="17" t="n">
        <f aca="false">IF($C3="","",IF(OR($C3="G",$C3="H"),0,IF($C3="T",1,MIN(1,MAX(0,($N3-Inputs!$B$8)/MAX($P3-Inputs!$B$8,0.01))))))</f>
        <v>0.437862456521787</v>
      </c>
      <c r="S3" s="17" t="n">
        <f aca="false">IF($C3="","",IF(OR($E3="G",$E3="H"),0,IF($E3="T",1,MIN(1,MAX(0,($O3-Inputs!$B$8)/MAX($P3-Inputs!$B$8,0.01))))))</f>
        <v>0</v>
      </c>
    </row>
    <row r="4" customFormat="false" ht="15" hidden="false" customHeight="false" outlineLevel="0" collapsed="false">
      <c r="A4" s="8" t="s">
        <v>177</v>
      </c>
      <c r="B4" s="8" t="n">
        <v>1</v>
      </c>
      <c r="C4" s="8" t="s">
        <v>129</v>
      </c>
      <c r="D4" s="8" t="n">
        <v>22</v>
      </c>
      <c r="E4" s="8" t="s">
        <v>129</v>
      </c>
      <c r="F4" s="8" t="n">
        <v>3</v>
      </c>
      <c r="G4" s="8" t="n">
        <v>0</v>
      </c>
      <c r="H4" s="8"/>
      <c r="I4" s="7" t="str">
        <f aca="false">IF($C4="","",IF($C4="G","PUTT",IF(AND($C4="T",$M4&gt;3),"OTT",IF($D4&lt;=30,"ARG","APP"))))</f>
        <v>PUTT</v>
      </c>
      <c r="J4" s="17" t="n">
        <f aca="false">IF($C4="","",$N4+$Q4*$R4)</f>
        <v>1.9484</v>
      </c>
      <c r="K4" s="17" t="n">
        <f aca="false">IF($C4="","",$O4+$Q4*$S4)</f>
        <v>1.06</v>
      </c>
      <c r="L4" s="17" t="n">
        <f aca="false">IF($C4="","",$J4-$K4-1-N($G4))</f>
        <v>-0.1116</v>
      </c>
      <c r="M4" s="7" t="n">
        <f aca="false">IF($B4="","",INDEX(Course!$B$2:$B$19,MATCH($B4,Course!$A$2:$A$19,0)))</f>
        <v>4</v>
      </c>
      <c r="N4" s="17" t="n">
        <f aca="false">IF($C4="","",IF($C4="H",0,IF($C4="G",INDEX(Baseline!$I$3:$I$102,MIN(MAX(ROUND($D4,0),1),100)),IF($C4="T",IF($M4=3,INDEX(Baseline!$B$3:$B$122,MATCH(MIN(MAX(ROUND(($D4)/5,0)*5,5),600),Baseline!$A$3:$A$122,0))-Inputs!$B$9,INDEX(Course!$N$2:$N$19,MATCH($B4,Course!$A$2:$A$19,0))),INDEX(Baseline!$B$3:$E$122,MATCH(MIN(MAX(ROUND(($D4)/5,0)*5,5),600),Baseline!$A$3:$A$122,0),MATCH($C4,Baseline!$B$2:$E$2,0))))))</f>
        <v>1.9484</v>
      </c>
      <c r="O4" s="17" t="n">
        <f aca="false">IF($C4="","",IF($E4="H",0,IF($E4="G",INDEX(Baseline!$I$3:$I$102,MIN(MAX(ROUND($F4,0),1),100)),IF($E4="T",IF($M4=3,INDEX(Baseline!$B$3:$B$122,MATCH(MIN(MAX(ROUND(($F4)/5,0)*5,5),600),Baseline!$A$3:$A$122,0))-Inputs!$B$9,INDEX(Course!$N$2:$N$19,MATCH($B4,Course!$A$2:$A$19,0))),INDEX(Baseline!$B$3:$E$122,MATCH(MIN(MAX(ROUND(($F4)/5,0)*5,5),600),Baseline!$A$3:$A$122,0),MATCH($E4,Baseline!$B$2:$E$2,0))))))</f>
        <v>1.06</v>
      </c>
      <c r="P4" s="17" t="n">
        <f aca="false">IF($B4="","",INDEX(Course!$N$2:$N$19,MATCH($B4,Course!$A$2:$A$19,0)))</f>
        <v>4.54673725712825</v>
      </c>
      <c r="Q4" s="17" t="n">
        <f aca="false">IF($B4="","",INDEX(Course!$P$2:$P$19,MATCH($B4,Course!$A$2:$A$19,0)))</f>
        <v>-0.102512253450242</v>
      </c>
      <c r="R4" s="17" t="n">
        <f aca="false">IF($C4="","",IF(OR($C4="G",$C4="H"),0,IF($C4="T",1,MIN(1,MAX(0,($N4-Inputs!$B$8)/MAX($P4-Inputs!$B$8,0.01))))))</f>
        <v>0</v>
      </c>
      <c r="S4" s="17" t="n">
        <f aca="false">IF($C4="","",IF(OR($E4="G",$E4="H"),0,IF($E4="T",1,MIN(1,MAX(0,($O4-Inputs!$B$8)/MAX($P4-Inputs!$B$8,0.01))))))</f>
        <v>0</v>
      </c>
    </row>
    <row r="5" customFormat="false" ht="15" hidden="false" customHeight="false" outlineLevel="0" collapsed="false">
      <c r="A5" s="8" t="s">
        <v>177</v>
      </c>
      <c r="B5" s="8" t="n">
        <v>1</v>
      </c>
      <c r="C5" s="8" t="s">
        <v>129</v>
      </c>
      <c r="D5" s="8" t="n">
        <v>3</v>
      </c>
      <c r="E5" s="8" t="s">
        <v>181</v>
      </c>
      <c r="F5" s="8"/>
      <c r="G5" s="8" t="n">
        <v>0</v>
      </c>
      <c r="H5" s="8"/>
      <c r="I5" s="7" t="str">
        <f aca="false">IF($C5="","",IF($C5="G","PUTT",IF(AND($C5="T",$M5&gt;3),"OTT",IF($D5&lt;=30,"ARG","APP"))))</f>
        <v>PUTT</v>
      </c>
      <c r="J5" s="17" t="n">
        <f aca="false">IF($C5="","",$N5+$Q5*$R5)</f>
        <v>1.06</v>
      </c>
      <c r="K5" s="17" t="n">
        <f aca="false">IF($C5="","",$O5+$Q5*$S5)</f>
        <v>0</v>
      </c>
      <c r="L5" s="17" t="n">
        <f aca="false">IF($C5="","",$J5-$K5-1-N($G5))</f>
        <v>0.0600000000000001</v>
      </c>
      <c r="M5" s="7" t="n">
        <f aca="false">IF($B5="","",INDEX(Course!$B$2:$B$19,MATCH($B5,Course!$A$2:$A$19,0)))</f>
        <v>4</v>
      </c>
      <c r="N5" s="17" t="n">
        <f aca="false">IF($C5="","",IF($C5="H",0,IF($C5="G",INDEX(Baseline!$I$3:$I$102,MIN(MAX(ROUND($D5,0),1),100)),IF($C5="T",IF($M5=3,INDEX(Baseline!$B$3:$B$122,MATCH(MIN(MAX(ROUND(($D5)/5,0)*5,5),600),Baseline!$A$3:$A$122,0))-Inputs!$B$9,INDEX(Course!$N$2:$N$19,MATCH($B5,Course!$A$2:$A$19,0))),INDEX(Baseline!$B$3:$E$122,MATCH(MIN(MAX(ROUND(($D5)/5,0)*5,5),600),Baseline!$A$3:$A$122,0),MATCH($C5,Baseline!$B$2:$E$2,0))))))</f>
        <v>1.06</v>
      </c>
      <c r="O5" s="17" t="n">
        <f aca="false">IF($C5="","",IF($E5="H",0,IF($E5="G",INDEX(Baseline!$I$3:$I$102,MIN(MAX(ROUND($F5,0),1),100)),IF($E5="T",IF($M5=3,INDEX(Baseline!$B$3:$B$122,MATCH(MIN(MAX(ROUND(($F5)/5,0)*5,5),600),Baseline!$A$3:$A$122,0))-Inputs!$B$9,INDEX(Course!$N$2:$N$19,MATCH($B5,Course!$A$2:$A$19,0))),INDEX(Baseline!$B$3:$E$122,MATCH(MIN(MAX(ROUND(($F5)/5,0)*5,5),600),Baseline!$A$3:$A$122,0),MATCH($E5,Baseline!$B$2:$E$2,0))))))</f>
        <v>0</v>
      </c>
      <c r="P5" s="17" t="n">
        <f aca="false">IF($B5="","",INDEX(Course!$N$2:$N$19,MATCH($B5,Course!$A$2:$A$19,0)))</f>
        <v>4.54673725712825</v>
      </c>
      <c r="Q5" s="17" t="n">
        <f aca="false">IF($B5="","",INDEX(Course!$P$2:$P$19,MATCH($B5,Course!$A$2:$A$19,0)))</f>
        <v>-0.102512253450242</v>
      </c>
      <c r="R5" s="17" t="n">
        <f aca="false">IF($C5="","",IF(OR($C5="G",$C5="H"),0,IF($C5="T",1,MIN(1,MAX(0,($N5-Inputs!$B$8)/MAX($P5-Inputs!$B$8,0.01))))))</f>
        <v>0</v>
      </c>
      <c r="S5" s="17" t="n">
        <f aca="false">IF($C5="","",IF(OR($E5="G",$E5="H"),0,IF($E5="T",1,MIN(1,MAX(0,($O5-Inputs!$B$8)/MAX($P5-Inputs!$B$8,0.01))))))</f>
        <v>0</v>
      </c>
    </row>
    <row r="6" customFormat="false" ht="15" hidden="false" customHeight="false" outlineLevel="0" collapsed="false">
      <c r="A6" s="8" t="s">
        <v>177</v>
      </c>
      <c r="B6" s="8" t="n">
        <v>2</v>
      </c>
      <c r="C6" s="8" t="s">
        <v>178</v>
      </c>
      <c r="D6" s="8" t="n">
        <v>150</v>
      </c>
      <c r="E6" s="8" t="s">
        <v>129</v>
      </c>
      <c r="F6" s="8" t="n">
        <v>25</v>
      </c>
      <c r="G6" s="8" t="n">
        <v>0</v>
      </c>
      <c r="H6" s="8" t="s">
        <v>182</v>
      </c>
      <c r="I6" s="7" t="str">
        <f aca="false">IF($C6="","",IF($C6="G","PUTT",IF(AND($C6="T",$M6&gt;3),"OTT",IF($D6&lt;=30,"ARG","APP"))))</f>
        <v>APP</v>
      </c>
      <c r="J6" s="17" t="n">
        <f aca="false">IF($C6="","",$N6+$Q6*$R6)</f>
        <v>3.13019774654976</v>
      </c>
      <c r="K6" s="17" t="n">
        <f aca="false">IF($C6="","",$O6+$Q6*$S6)</f>
        <v>1.997</v>
      </c>
      <c r="L6" s="17" t="n">
        <f aca="false">IF($C6="","",$J6-$K6-1-N($G6))</f>
        <v>0.133197746549758</v>
      </c>
      <c r="M6" s="7" t="n">
        <f aca="false">IF($B6="","",INDEX(Course!$B$2:$B$19,MATCH($B6,Course!$A$2:$A$19,0)))</f>
        <v>3</v>
      </c>
      <c r="N6" s="17" t="n">
        <f aca="false">IF($C6="","",IF($C6="H",0,IF($C6="G",INDEX(Baseline!$I$3:$I$102,MIN(MAX(ROUND($D6,0),1),100)),IF($C6="T",IF($M6=3,INDEX(Baseline!$B$3:$B$122,MATCH(MIN(MAX(ROUND(($D6)/5,0)*5,5),600),Baseline!$A$3:$A$122,0))-Inputs!$B$9,INDEX(Course!$N$2:$N$19,MATCH($B6,Course!$A$2:$A$19,0))),INDEX(Baseline!$B$3:$E$122,MATCH(MIN(MAX(ROUND(($D6)/5,0)*5,5),600),Baseline!$A$3:$A$122,0),MATCH($C6,Baseline!$B$2:$E$2,0))))))</f>
        <v>3.23271</v>
      </c>
      <c r="O6" s="17" t="n">
        <f aca="false">IF($C6="","",IF($E6="H",0,IF($E6="G",INDEX(Baseline!$I$3:$I$102,MIN(MAX(ROUND($F6,0),1),100)),IF($E6="T",IF($M6=3,INDEX(Baseline!$B$3:$B$122,MATCH(MIN(MAX(ROUND(($F6)/5,0)*5,5),600),Baseline!$A$3:$A$122,0))-Inputs!$B$9,INDEX(Course!$N$2:$N$19,MATCH($B6,Course!$A$2:$A$19,0))),INDEX(Baseline!$B$3:$E$122,MATCH(MIN(MAX(ROUND(($F6)/5,0)*5,5),600),Baseline!$A$3:$A$122,0),MATCH($E6,Baseline!$B$2:$E$2,0))))))</f>
        <v>1.997</v>
      </c>
      <c r="P6" s="17" t="n">
        <f aca="false">IF($B6="","",INDEX(Course!$N$2:$N$19,MATCH($B6,Course!$A$2:$A$19,0)))</f>
        <v>3.23271</v>
      </c>
      <c r="Q6" s="17" t="n">
        <f aca="false">IF($B6="","",INDEX(Course!$P$2:$P$19,MATCH($B6,Course!$A$2:$A$19,0)))</f>
        <v>-0.102512253450242</v>
      </c>
      <c r="R6" s="17" t="n">
        <f aca="false">IF($C6="","",IF(OR($C6="G",$C6="H"),0,IF($C6="T",1,MIN(1,MAX(0,($N6-Inputs!$B$8)/MAX($P6-Inputs!$B$8,0.01))))))</f>
        <v>1</v>
      </c>
      <c r="S6" s="17" t="n">
        <f aca="false">IF($C6="","",IF(OR($E6="G",$E6="H"),0,IF($E6="T",1,MIN(1,MAX(0,($O6-Inputs!$B$8)/MAX($P6-Inputs!$B$8,0.01))))))</f>
        <v>0</v>
      </c>
    </row>
    <row r="7" customFormat="false" ht="15" hidden="false" customHeight="false" outlineLevel="0" collapsed="false">
      <c r="A7" s="8" t="s">
        <v>177</v>
      </c>
      <c r="B7" s="8" t="n">
        <v>2</v>
      </c>
      <c r="C7" s="8" t="s">
        <v>129</v>
      </c>
      <c r="D7" s="8" t="n">
        <v>25</v>
      </c>
      <c r="E7" s="8" t="s">
        <v>181</v>
      </c>
      <c r="F7" s="8"/>
      <c r="G7" s="8" t="n">
        <v>0</v>
      </c>
      <c r="H7" s="8"/>
      <c r="I7" s="7" t="str">
        <f aca="false">IF($C7="","",IF($C7="G","PUTT",IF(AND($C7="T",$M7&gt;3),"OTT",IF($D7&lt;=30,"ARG","APP"))))</f>
        <v>PUTT</v>
      </c>
      <c r="J7" s="17" t="n">
        <f aca="false">IF($C7="","",$N7+$Q7*$R7)</f>
        <v>1.997</v>
      </c>
      <c r="K7" s="17" t="n">
        <f aca="false">IF($C7="","",$O7+$Q7*$S7)</f>
        <v>0</v>
      </c>
      <c r="L7" s="17" t="n">
        <f aca="false">IF($C7="","",$J7-$K7-1-N($G7))</f>
        <v>0.997</v>
      </c>
      <c r="M7" s="7" t="n">
        <f aca="false">IF($B7="","",INDEX(Course!$B$2:$B$19,MATCH($B7,Course!$A$2:$A$19,0)))</f>
        <v>3</v>
      </c>
      <c r="N7" s="17" t="n">
        <f aca="false">IF($C7="","",IF($C7="H",0,IF($C7="G",INDEX(Baseline!$I$3:$I$102,MIN(MAX(ROUND($D7,0),1),100)),IF($C7="T",IF($M7=3,INDEX(Baseline!$B$3:$B$122,MATCH(MIN(MAX(ROUND(($D7)/5,0)*5,5),600),Baseline!$A$3:$A$122,0))-Inputs!$B$9,INDEX(Course!$N$2:$N$19,MATCH($B7,Course!$A$2:$A$19,0))),INDEX(Baseline!$B$3:$E$122,MATCH(MIN(MAX(ROUND(($D7)/5,0)*5,5),600),Baseline!$A$3:$A$122,0),MATCH($C7,Baseline!$B$2:$E$2,0))))))</f>
        <v>1.997</v>
      </c>
      <c r="O7" s="17" t="n">
        <f aca="false">IF($C7="","",IF($E7="H",0,IF($E7="G",INDEX(Baseline!$I$3:$I$102,MIN(MAX(ROUND($F7,0),1),100)),IF($E7="T",IF($M7=3,INDEX(Baseline!$B$3:$B$122,MATCH(MIN(MAX(ROUND(($F7)/5,0)*5,5),600),Baseline!$A$3:$A$122,0))-Inputs!$B$9,INDEX(Course!$N$2:$N$19,MATCH($B7,Course!$A$2:$A$19,0))),INDEX(Baseline!$B$3:$E$122,MATCH(MIN(MAX(ROUND(($F7)/5,0)*5,5),600),Baseline!$A$3:$A$122,0),MATCH($E7,Baseline!$B$2:$E$2,0))))))</f>
        <v>0</v>
      </c>
      <c r="P7" s="17" t="n">
        <f aca="false">IF($B7="","",INDEX(Course!$N$2:$N$19,MATCH($B7,Course!$A$2:$A$19,0)))</f>
        <v>3.23271</v>
      </c>
      <c r="Q7" s="17" t="n">
        <f aca="false">IF($B7="","",INDEX(Course!$P$2:$P$19,MATCH($B7,Course!$A$2:$A$19,0)))</f>
        <v>-0.102512253450242</v>
      </c>
      <c r="R7" s="17" t="n">
        <f aca="false">IF($C7="","",IF(OR($C7="G",$C7="H"),0,IF($C7="T",1,MIN(1,MAX(0,($N7-Inputs!$B$8)/MAX($P7-Inputs!$B$8,0.01))))))</f>
        <v>0</v>
      </c>
      <c r="S7" s="17" t="n">
        <f aca="false">IF($C7="","",IF(OR($E7="G",$E7="H"),0,IF($E7="T",1,MIN(1,MAX(0,($O7-Inputs!$B$8)/MAX($P7-Inputs!$B$8,0.01))))))</f>
        <v>0</v>
      </c>
    </row>
    <row r="8" customFormat="false" ht="15" hidden="false" customHeight="false" outlineLevel="0" collapsed="false">
      <c r="I8" s="7" t="str">
        <f aca="false">IF($C8="","",IF($C8="G","PUTT",IF(AND($C8="T",$M8&gt;3),"OTT",IF($D8&lt;=30,"ARG","APP"))))</f>
        <v/>
      </c>
      <c r="J8" s="17" t="str">
        <f aca="false">IF($C8="","",$N8+$Q8*$R8)</f>
        <v/>
      </c>
      <c r="K8" s="17" t="str">
        <f aca="false">IF($C8="","",$O8+$Q8*$S8)</f>
        <v/>
      </c>
      <c r="L8" s="17" t="str">
        <f aca="false">IF($C8="","",$J8-$K8-1-N($G8))</f>
        <v/>
      </c>
      <c r="M8" s="7" t="str">
        <f aca="false">IF($B8="","",INDEX(Course!$B$2:$B$19,MATCH($B8,Course!$A$2:$A$19,0)))</f>
        <v/>
      </c>
      <c r="N8" s="17" t="str">
        <f aca="false">IF($C8="","",IF($C8="H",0,IF($C8="G",INDEX(Baseline!$I$3:$I$102,MIN(MAX(ROUND($D8,0),1),100)),IF($C8="T",IF($M8=3,INDEX(Baseline!$B$3:$B$122,MATCH(MIN(MAX(ROUND(($D8)/5,0)*5,5),600),Baseline!$A$3:$A$122,0))-Inputs!$B$9,INDEX(Course!$N$2:$N$19,MATCH($B8,Course!$A$2:$A$19,0))),INDEX(Baseline!$B$3:$E$122,MATCH(MIN(MAX(ROUND(($D8)/5,0)*5,5),600),Baseline!$A$3:$A$122,0),MATCH($C8,Baseline!$B$2:$E$2,0))))))</f>
        <v/>
      </c>
      <c r="O8" s="17" t="str">
        <f aca="false">IF($C8="","",IF($E8="H",0,IF($E8="G",INDEX(Baseline!$I$3:$I$102,MIN(MAX(ROUND($F8,0),1),100)),IF($E8="T",IF($M8=3,INDEX(Baseline!$B$3:$B$122,MATCH(MIN(MAX(ROUND(($F8)/5,0)*5,5),600),Baseline!$A$3:$A$122,0))-Inputs!$B$9,INDEX(Course!$N$2:$N$19,MATCH($B8,Course!$A$2:$A$19,0))),INDEX(Baseline!$B$3:$E$122,MATCH(MIN(MAX(ROUND(($F8)/5,0)*5,5),600),Baseline!$A$3:$A$122,0),MATCH($E8,Baseline!$B$2:$E$2,0))))))</f>
        <v/>
      </c>
      <c r="P8" s="17" t="str">
        <f aca="false">IF($B8="","",INDEX(Course!$N$2:$N$19,MATCH($B8,Course!$A$2:$A$19,0)))</f>
        <v/>
      </c>
      <c r="Q8" s="17" t="str">
        <f aca="false">IF($B8="","",INDEX(Course!$P$2:$P$19,MATCH($B8,Course!$A$2:$A$19,0)))</f>
        <v/>
      </c>
      <c r="R8" s="17" t="str">
        <f aca="false">IF($C8="","",IF(OR($C8="G",$C8="H"),0,IF($C8="T",1,MIN(1,MAX(0,($N8-Inputs!$B$8)/MAX($P8-Inputs!$B$8,0.01))))))</f>
        <v/>
      </c>
      <c r="S8" s="17" t="str">
        <f aca="false">IF($C8="","",IF(OR($E8="G",$E8="H"),0,IF($E8="T",1,MIN(1,MAX(0,($O8-Inputs!$B$8)/MAX($P8-Inputs!$B$8,0.01))))))</f>
        <v/>
      </c>
    </row>
    <row r="9" customFormat="false" ht="15" hidden="false" customHeight="false" outlineLevel="0" collapsed="false">
      <c r="I9" s="7" t="str">
        <f aca="false">IF($C9="","",IF($C9="G","PUTT",IF(AND($C9="T",$M9&gt;3),"OTT",IF($D9&lt;=30,"ARG","APP"))))</f>
        <v/>
      </c>
      <c r="J9" s="17" t="str">
        <f aca="false">IF($C9="","",$N9+$Q9*$R9)</f>
        <v/>
      </c>
      <c r="K9" s="17" t="str">
        <f aca="false">IF($C9="","",$O9+$Q9*$S9)</f>
        <v/>
      </c>
      <c r="L9" s="17" t="str">
        <f aca="false">IF($C9="","",$J9-$K9-1-N($G9))</f>
        <v/>
      </c>
      <c r="M9" s="7" t="str">
        <f aca="false">IF($B9="","",INDEX(Course!$B$2:$B$19,MATCH($B9,Course!$A$2:$A$19,0)))</f>
        <v/>
      </c>
      <c r="N9" s="17" t="str">
        <f aca="false">IF($C9="","",IF($C9="H",0,IF($C9="G",INDEX(Baseline!$I$3:$I$102,MIN(MAX(ROUND($D9,0),1),100)),IF($C9="T",IF($M9=3,INDEX(Baseline!$B$3:$B$122,MATCH(MIN(MAX(ROUND(($D9)/5,0)*5,5),600),Baseline!$A$3:$A$122,0))-Inputs!$B$9,INDEX(Course!$N$2:$N$19,MATCH($B9,Course!$A$2:$A$19,0))),INDEX(Baseline!$B$3:$E$122,MATCH(MIN(MAX(ROUND(($D9)/5,0)*5,5),600),Baseline!$A$3:$A$122,0),MATCH($C9,Baseline!$B$2:$E$2,0))))))</f>
        <v/>
      </c>
      <c r="O9" s="17" t="str">
        <f aca="false">IF($C9="","",IF($E9="H",0,IF($E9="G",INDEX(Baseline!$I$3:$I$102,MIN(MAX(ROUND($F9,0),1),100)),IF($E9="T",IF($M9=3,INDEX(Baseline!$B$3:$B$122,MATCH(MIN(MAX(ROUND(($F9)/5,0)*5,5),600),Baseline!$A$3:$A$122,0))-Inputs!$B$9,INDEX(Course!$N$2:$N$19,MATCH($B9,Course!$A$2:$A$19,0))),INDEX(Baseline!$B$3:$E$122,MATCH(MIN(MAX(ROUND(($F9)/5,0)*5,5),600),Baseline!$A$3:$A$122,0),MATCH($E9,Baseline!$B$2:$E$2,0))))))</f>
        <v/>
      </c>
      <c r="P9" s="17" t="str">
        <f aca="false">IF($B9="","",INDEX(Course!$N$2:$N$19,MATCH($B9,Course!$A$2:$A$19,0)))</f>
        <v/>
      </c>
      <c r="Q9" s="17" t="str">
        <f aca="false">IF($B9="","",INDEX(Course!$P$2:$P$19,MATCH($B9,Course!$A$2:$A$19,0)))</f>
        <v/>
      </c>
      <c r="R9" s="17" t="str">
        <f aca="false">IF($C9="","",IF(OR($C9="G",$C9="H"),0,IF($C9="T",1,MIN(1,MAX(0,($N9-Inputs!$B$8)/MAX($P9-Inputs!$B$8,0.01))))))</f>
        <v/>
      </c>
      <c r="S9" s="17" t="str">
        <f aca="false">IF($C9="","",IF(OR($E9="G",$E9="H"),0,IF($E9="T",1,MIN(1,MAX(0,($O9-Inputs!$B$8)/MAX($P9-Inputs!$B$8,0.01))))))</f>
        <v/>
      </c>
    </row>
    <row r="10" customFormat="false" ht="15" hidden="false" customHeight="false" outlineLevel="0" collapsed="false">
      <c r="I10" s="7" t="str">
        <f aca="false">IF($C10="","",IF($C10="G","PUTT",IF(AND($C10="T",$M10&gt;3),"OTT",IF($D10&lt;=30,"ARG","APP"))))</f>
        <v/>
      </c>
      <c r="J10" s="17" t="str">
        <f aca="false">IF($C10="","",$N10+$Q10*$R10)</f>
        <v/>
      </c>
      <c r="K10" s="17" t="str">
        <f aca="false">IF($C10="","",$O10+$Q10*$S10)</f>
        <v/>
      </c>
      <c r="L10" s="17" t="str">
        <f aca="false">IF($C10="","",$J10-$K10-1-N($G10))</f>
        <v/>
      </c>
      <c r="M10" s="7" t="str">
        <f aca="false">IF($B10="","",INDEX(Course!$B$2:$B$19,MATCH($B10,Course!$A$2:$A$19,0)))</f>
        <v/>
      </c>
      <c r="N10" s="17" t="str">
        <f aca="false">IF($C10="","",IF($C10="H",0,IF($C10="G",INDEX(Baseline!$I$3:$I$102,MIN(MAX(ROUND($D10,0),1),100)),IF($C10="T",IF($M10=3,INDEX(Baseline!$B$3:$B$122,MATCH(MIN(MAX(ROUND(($D10)/5,0)*5,5),600),Baseline!$A$3:$A$122,0))-Inputs!$B$9,INDEX(Course!$N$2:$N$19,MATCH($B10,Course!$A$2:$A$19,0))),INDEX(Baseline!$B$3:$E$122,MATCH(MIN(MAX(ROUND(($D10)/5,0)*5,5),600),Baseline!$A$3:$A$122,0),MATCH($C10,Baseline!$B$2:$E$2,0))))))</f>
        <v/>
      </c>
      <c r="O10" s="17" t="str">
        <f aca="false">IF($C10="","",IF($E10="H",0,IF($E10="G",INDEX(Baseline!$I$3:$I$102,MIN(MAX(ROUND($F10,0),1),100)),IF($E10="T",IF($M10=3,INDEX(Baseline!$B$3:$B$122,MATCH(MIN(MAX(ROUND(($F10)/5,0)*5,5),600),Baseline!$A$3:$A$122,0))-Inputs!$B$9,INDEX(Course!$N$2:$N$19,MATCH($B10,Course!$A$2:$A$19,0))),INDEX(Baseline!$B$3:$E$122,MATCH(MIN(MAX(ROUND(($F10)/5,0)*5,5),600),Baseline!$A$3:$A$122,0),MATCH($E10,Baseline!$B$2:$E$2,0))))))</f>
        <v/>
      </c>
      <c r="P10" s="17" t="str">
        <f aca="false">IF($B10="","",INDEX(Course!$N$2:$N$19,MATCH($B10,Course!$A$2:$A$19,0)))</f>
        <v/>
      </c>
      <c r="Q10" s="17" t="str">
        <f aca="false">IF($B10="","",INDEX(Course!$P$2:$P$19,MATCH($B10,Course!$A$2:$A$19,0)))</f>
        <v/>
      </c>
      <c r="R10" s="17" t="str">
        <f aca="false">IF($C10="","",IF(OR($C10="G",$C10="H"),0,IF($C10="T",1,MIN(1,MAX(0,($N10-Inputs!$B$8)/MAX($P10-Inputs!$B$8,0.01))))))</f>
        <v/>
      </c>
      <c r="S10" s="17" t="str">
        <f aca="false">IF($C10="","",IF(OR($E10="G",$E10="H"),0,IF($E10="T",1,MIN(1,MAX(0,($O10-Inputs!$B$8)/MAX($P10-Inputs!$B$8,0.01))))))</f>
        <v/>
      </c>
    </row>
    <row r="11" customFormat="false" ht="15" hidden="false" customHeight="false" outlineLevel="0" collapsed="false">
      <c r="I11" s="7" t="str">
        <f aca="false">IF($C11="","",IF($C11="G","PUTT",IF(AND($C11="T",$M11&gt;3),"OTT",IF($D11&lt;=30,"ARG","APP"))))</f>
        <v/>
      </c>
      <c r="J11" s="17" t="str">
        <f aca="false">IF($C11="","",$N11+$Q11*$R11)</f>
        <v/>
      </c>
      <c r="K11" s="17" t="str">
        <f aca="false">IF($C11="","",$O11+$Q11*$S11)</f>
        <v/>
      </c>
      <c r="L11" s="17" t="str">
        <f aca="false">IF($C11="","",$J11-$K11-1-N($G11))</f>
        <v/>
      </c>
      <c r="M11" s="7" t="str">
        <f aca="false">IF($B11="","",INDEX(Course!$B$2:$B$19,MATCH($B11,Course!$A$2:$A$19,0)))</f>
        <v/>
      </c>
      <c r="N11" s="17" t="str">
        <f aca="false">IF($C11="","",IF($C11="H",0,IF($C11="G",INDEX(Baseline!$I$3:$I$102,MIN(MAX(ROUND($D11,0),1),100)),IF($C11="T",IF($M11=3,INDEX(Baseline!$B$3:$B$122,MATCH(MIN(MAX(ROUND(($D11)/5,0)*5,5),600),Baseline!$A$3:$A$122,0))-Inputs!$B$9,INDEX(Course!$N$2:$N$19,MATCH($B11,Course!$A$2:$A$19,0))),INDEX(Baseline!$B$3:$E$122,MATCH(MIN(MAX(ROUND(($D11)/5,0)*5,5),600),Baseline!$A$3:$A$122,0),MATCH($C11,Baseline!$B$2:$E$2,0))))))</f>
        <v/>
      </c>
      <c r="O11" s="17" t="str">
        <f aca="false">IF($C11="","",IF($E11="H",0,IF($E11="G",INDEX(Baseline!$I$3:$I$102,MIN(MAX(ROUND($F11,0),1),100)),IF($E11="T",IF($M11=3,INDEX(Baseline!$B$3:$B$122,MATCH(MIN(MAX(ROUND(($F11)/5,0)*5,5),600),Baseline!$A$3:$A$122,0))-Inputs!$B$9,INDEX(Course!$N$2:$N$19,MATCH($B11,Course!$A$2:$A$19,0))),INDEX(Baseline!$B$3:$E$122,MATCH(MIN(MAX(ROUND(($F11)/5,0)*5,5),600),Baseline!$A$3:$A$122,0),MATCH($E11,Baseline!$B$2:$E$2,0))))))</f>
        <v/>
      </c>
      <c r="P11" s="17" t="str">
        <f aca="false">IF($B11="","",INDEX(Course!$N$2:$N$19,MATCH($B11,Course!$A$2:$A$19,0)))</f>
        <v/>
      </c>
      <c r="Q11" s="17" t="str">
        <f aca="false">IF($B11="","",INDEX(Course!$P$2:$P$19,MATCH($B11,Course!$A$2:$A$19,0)))</f>
        <v/>
      </c>
      <c r="R11" s="17" t="str">
        <f aca="false">IF($C11="","",IF(OR($C11="G",$C11="H"),0,IF($C11="T",1,MIN(1,MAX(0,($N11-Inputs!$B$8)/MAX($P11-Inputs!$B$8,0.01))))))</f>
        <v/>
      </c>
      <c r="S11" s="17" t="str">
        <f aca="false">IF($C11="","",IF(OR($E11="G",$E11="H"),0,IF($E11="T",1,MIN(1,MAX(0,($O11-Inputs!$B$8)/MAX($P11-Inputs!$B$8,0.01))))))</f>
        <v/>
      </c>
    </row>
    <row r="12" customFormat="false" ht="15" hidden="false" customHeight="false" outlineLevel="0" collapsed="false">
      <c r="I12" s="7" t="str">
        <f aca="false">IF($C12="","",IF($C12="G","PUTT",IF(AND($C12="T",$M12&gt;3),"OTT",IF($D12&lt;=30,"ARG","APP"))))</f>
        <v/>
      </c>
      <c r="J12" s="17" t="str">
        <f aca="false">IF($C12="","",$N12+$Q12*$R12)</f>
        <v/>
      </c>
      <c r="K12" s="17" t="str">
        <f aca="false">IF($C12="","",$O12+$Q12*$S12)</f>
        <v/>
      </c>
      <c r="L12" s="17" t="str">
        <f aca="false">IF($C12="","",$J12-$K12-1-N($G12))</f>
        <v/>
      </c>
      <c r="M12" s="7" t="str">
        <f aca="false">IF($B12="","",INDEX(Course!$B$2:$B$19,MATCH($B12,Course!$A$2:$A$19,0)))</f>
        <v/>
      </c>
      <c r="N12" s="17" t="str">
        <f aca="false">IF($C12="","",IF($C12="H",0,IF($C12="G",INDEX(Baseline!$I$3:$I$102,MIN(MAX(ROUND($D12,0),1),100)),IF($C12="T",IF($M12=3,INDEX(Baseline!$B$3:$B$122,MATCH(MIN(MAX(ROUND(($D12)/5,0)*5,5),600),Baseline!$A$3:$A$122,0))-Inputs!$B$9,INDEX(Course!$N$2:$N$19,MATCH($B12,Course!$A$2:$A$19,0))),INDEX(Baseline!$B$3:$E$122,MATCH(MIN(MAX(ROUND(($D12)/5,0)*5,5),600),Baseline!$A$3:$A$122,0),MATCH($C12,Baseline!$B$2:$E$2,0))))))</f>
        <v/>
      </c>
      <c r="O12" s="17" t="str">
        <f aca="false">IF($C12="","",IF($E12="H",0,IF($E12="G",INDEX(Baseline!$I$3:$I$102,MIN(MAX(ROUND($F12,0),1),100)),IF($E12="T",IF($M12=3,INDEX(Baseline!$B$3:$B$122,MATCH(MIN(MAX(ROUND(($F12)/5,0)*5,5),600),Baseline!$A$3:$A$122,0))-Inputs!$B$9,INDEX(Course!$N$2:$N$19,MATCH($B12,Course!$A$2:$A$19,0))),INDEX(Baseline!$B$3:$E$122,MATCH(MIN(MAX(ROUND(($F12)/5,0)*5,5),600),Baseline!$A$3:$A$122,0),MATCH($E12,Baseline!$B$2:$E$2,0))))))</f>
        <v/>
      </c>
      <c r="P12" s="17" t="str">
        <f aca="false">IF($B12="","",INDEX(Course!$N$2:$N$19,MATCH($B12,Course!$A$2:$A$19,0)))</f>
        <v/>
      </c>
      <c r="Q12" s="17" t="str">
        <f aca="false">IF($B12="","",INDEX(Course!$P$2:$P$19,MATCH($B12,Course!$A$2:$A$19,0)))</f>
        <v/>
      </c>
      <c r="R12" s="17" t="str">
        <f aca="false">IF($C12="","",IF(OR($C12="G",$C12="H"),0,IF($C12="T",1,MIN(1,MAX(0,($N12-Inputs!$B$8)/MAX($P12-Inputs!$B$8,0.01))))))</f>
        <v/>
      </c>
      <c r="S12" s="17" t="str">
        <f aca="false">IF($C12="","",IF(OR($E12="G",$E12="H"),0,IF($E12="T",1,MIN(1,MAX(0,($O12-Inputs!$B$8)/MAX($P12-Inputs!$B$8,0.01))))))</f>
        <v/>
      </c>
    </row>
    <row r="13" customFormat="false" ht="15" hidden="false" customHeight="false" outlineLevel="0" collapsed="false">
      <c r="I13" s="7" t="str">
        <f aca="false">IF($C13="","",IF($C13="G","PUTT",IF(AND($C13="T",$M13&gt;3),"OTT",IF($D13&lt;=30,"ARG","APP"))))</f>
        <v/>
      </c>
      <c r="J13" s="17" t="str">
        <f aca="false">IF($C13="","",$N13+$Q13*$R13)</f>
        <v/>
      </c>
      <c r="K13" s="17" t="str">
        <f aca="false">IF($C13="","",$O13+$Q13*$S13)</f>
        <v/>
      </c>
      <c r="L13" s="17" t="str">
        <f aca="false">IF($C13="","",$J13-$K13-1-N($G13))</f>
        <v/>
      </c>
      <c r="M13" s="7" t="str">
        <f aca="false">IF($B13="","",INDEX(Course!$B$2:$B$19,MATCH($B13,Course!$A$2:$A$19,0)))</f>
        <v/>
      </c>
      <c r="N13" s="17" t="str">
        <f aca="false">IF($C13="","",IF($C13="H",0,IF($C13="G",INDEX(Baseline!$I$3:$I$102,MIN(MAX(ROUND($D13,0),1),100)),IF($C13="T",IF($M13=3,INDEX(Baseline!$B$3:$B$122,MATCH(MIN(MAX(ROUND(($D13)/5,0)*5,5),600),Baseline!$A$3:$A$122,0))-Inputs!$B$9,INDEX(Course!$N$2:$N$19,MATCH($B13,Course!$A$2:$A$19,0))),INDEX(Baseline!$B$3:$E$122,MATCH(MIN(MAX(ROUND(($D13)/5,0)*5,5),600),Baseline!$A$3:$A$122,0),MATCH($C13,Baseline!$B$2:$E$2,0))))))</f>
        <v/>
      </c>
      <c r="O13" s="17" t="str">
        <f aca="false">IF($C13="","",IF($E13="H",0,IF($E13="G",INDEX(Baseline!$I$3:$I$102,MIN(MAX(ROUND($F13,0),1),100)),IF($E13="T",IF($M13=3,INDEX(Baseline!$B$3:$B$122,MATCH(MIN(MAX(ROUND(($F13)/5,0)*5,5),600),Baseline!$A$3:$A$122,0))-Inputs!$B$9,INDEX(Course!$N$2:$N$19,MATCH($B13,Course!$A$2:$A$19,0))),INDEX(Baseline!$B$3:$E$122,MATCH(MIN(MAX(ROUND(($F13)/5,0)*5,5),600),Baseline!$A$3:$A$122,0),MATCH($E13,Baseline!$B$2:$E$2,0))))))</f>
        <v/>
      </c>
      <c r="P13" s="17" t="str">
        <f aca="false">IF($B13="","",INDEX(Course!$N$2:$N$19,MATCH($B13,Course!$A$2:$A$19,0)))</f>
        <v/>
      </c>
      <c r="Q13" s="17" t="str">
        <f aca="false">IF($B13="","",INDEX(Course!$P$2:$P$19,MATCH($B13,Course!$A$2:$A$19,0)))</f>
        <v/>
      </c>
      <c r="R13" s="17" t="str">
        <f aca="false">IF($C13="","",IF(OR($C13="G",$C13="H"),0,IF($C13="T",1,MIN(1,MAX(0,($N13-Inputs!$B$8)/MAX($P13-Inputs!$B$8,0.01))))))</f>
        <v/>
      </c>
      <c r="S13" s="17" t="str">
        <f aca="false">IF($C13="","",IF(OR($E13="G",$E13="H"),0,IF($E13="T",1,MIN(1,MAX(0,($O13-Inputs!$B$8)/MAX($P13-Inputs!$B$8,0.01))))))</f>
        <v/>
      </c>
    </row>
    <row r="14" customFormat="false" ht="15" hidden="false" customHeight="false" outlineLevel="0" collapsed="false">
      <c r="I14" s="7" t="str">
        <f aca="false">IF($C14="","",IF($C14="G","PUTT",IF(AND($C14="T",$M14&gt;3),"OTT",IF($D14&lt;=30,"ARG","APP"))))</f>
        <v/>
      </c>
      <c r="J14" s="17" t="str">
        <f aca="false">IF($C14="","",$N14+$Q14*$R14)</f>
        <v/>
      </c>
      <c r="K14" s="17" t="str">
        <f aca="false">IF($C14="","",$O14+$Q14*$S14)</f>
        <v/>
      </c>
      <c r="L14" s="17" t="str">
        <f aca="false">IF($C14="","",$J14-$K14-1-N($G14))</f>
        <v/>
      </c>
      <c r="M14" s="7" t="str">
        <f aca="false">IF($B14="","",INDEX(Course!$B$2:$B$19,MATCH($B14,Course!$A$2:$A$19,0)))</f>
        <v/>
      </c>
      <c r="N14" s="17" t="str">
        <f aca="false">IF($C14="","",IF($C14="H",0,IF($C14="G",INDEX(Baseline!$I$3:$I$102,MIN(MAX(ROUND($D14,0),1),100)),IF($C14="T",IF($M14=3,INDEX(Baseline!$B$3:$B$122,MATCH(MIN(MAX(ROUND(($D14)/5,0)*5,5),600),Baseline!$A$3:$A$122,0))-Inputs!$B$9,INDEX(Course!$N$2:$N$19,MATCH($B14,Course!$A$2:$A$19,0))),INDEX(Baseline!$B$3:$E$122,MATCH(MIN(MAX(ROUND(($D14)/5,0)*5,5),600),Baseline!$A$3:$A$122,0),MATCH($C14,Baseline!$B$2:$E$2,0))))))</f>
        <v/>
      </c>
      <c r="O14" s="17" t="str">
        <f aca="false">IF($C14="","",IF($E14="H",0,IF($E14="G",INDEX(Baseline!$I$3:$I$102,MIN(MAX(ROUND($F14,0),1),100)),IF($E14="T",IF($M14=3,INDEX(Baseline!$B$3:$B$122,MATCH(MIN(MAX(ROUND(($F14)/5,0)*5,5),600),Baseline!$A$3:$A$122,0))-Inputs!$B$9,INDEX(Course!$N$2:$N$19,MATCH($B14,Course!$A$2:$A$19,0))),INDEX(Baseline!$B$3:$E$122,MATCH(MIN(MAX(ROUND(($F14)/5,0)*5,5),600),Baseline!$A$3:$A$122,0),MATCH($E14,Baseline!$B$2:$E$2,0))))))</f>
        <v/>
      </c>
      <c r="P14" s="17" t="str">
        <f aca="false">IF($B14="","",INDEX(Course!$N$2:$N$19,MATCH($B14,Course!$A$2:$A$19,0)))</f>
        <v/>
      </c>
      <c r="Q14" s="17" t="str">
        <f aca="false">IF($B14="","",INDEX(Course!$P$2:$P$19,MATCH($B14,Course!$A$2:$A$19,0)))</f>
        <v/>
      </c>
      <c r="R14" s="17" t="str">
        <f aca="false">IF($C14="","",IF(OR($C14="G",$C14="H"),0,IF($C14="T",1,MIN(1,MAX(0,($N14-Inputs!$B$8)/MAX($P14-Inputs!$B$8,0.01))))))</f>
        <v/>
      </c>
      <c r="S14" s="17" t="str">
        <f aca="false">IF($C14="","",IF(OR($E14="G",$E14="H"),0,IF($E14="T",1,MIN(1,MAX(0,($O14-Inputs!$B$8)/MAX($P14-Inputs!$B$8,0.01))))))</f>
        <v/>
      </c>
    </row>
    <row r="15" customFormat="false" ht="15" hidden="false" customHeight="false" outlineLevel="0" collapsed="false">
      <c r="I15" s="7" t="str">
        <f aca="false">IF($C15="","",IF($C15="G","PUTT",IF(AND($C15="T",$M15&gt;3),"OTT",IF($D15&lt;=30,"ARG","APP"))))</f>
        <v/>
      </c>
      <c r="J15" s="17" t="str">
        <f aca="false">IF($C15="","",$N15+$Q15*$R15)</f>
        <v/>
      </c>
      <c r="K15" s="17" t="str">
        <f aca="false">IF($C15="","",$O15+$Q15*$S15)</f>
        <v/>
      </c>
      <c r="L15" s="17" t="str">
        <f aca="false">IF($C15="","",$J15-$K15-1-N($G15))</f>
        <v/>
      </c>
      <c r="M15" s="7" t="str">
        <f aca="false">IF($B15="","",INDEX(Course!$B$2:$B$19,MATCH($B15,Course!$A$2:$A$19,0)))</f>
        <v/>
      </c>
      <c r="N15" s="17" t="str">
        <f aca="false">IF($C15="","",IF($C15="H",0,IF($C15="G",INDEX(Baseline!$I$3:$I$102,MIN(MAX(ROUND($D15,0),1),100)),IF($C15="T",IF($M15=3,INDEX(Baseline!$B$3:$B$122,MATCH(MIN(MAX(ROUND(($D15)/5,0)*5,5),600),Baseline!$A$3:$A$122,0))-Inputs!$B$9,INDEX(Course!$N$2:$N$19,MATCH($B15,Course!$A$2:$A$19,0))),INDEX(Baseline!$B$3:$E$122,MATCH(MIN(MAX(ROUND(($D15)/5,0)*5,5),600),Baseline!$A$3:$A$122,0),MATCH($C15,Baseline!$B$2:$E$2,0))))))</f>
        <v/>
      </c>
      <c r="O15" s="17" t="str">
        <f aca="false">IF($C15="","",IF($E15="H",0,IF($E15="G",INDEX(Baseline!$I$3:$I$102,MIN(MAX(ROUND($F15,0),1),100)),IF($E15="T",IF($M15=3,INDEX(Baseline!$B$3:$B$122,MATCH(MIN(MAX(ROUND(($F15)/5,0)*5,5),600),Baseline!$A$3:$A$122,0))-Inputs!$B$9,INDEX(Course!$N$2:$N$19,MATCH($B15,Course!$A$2:$A$19,0))),INDEX(Baseline!$B$3:$E$122,MATCH(MIN(MAX(ROUND(($F15)/5,0)*5,5),600),Baseline!$A$3:$A$122,0),MATCH($E15,Baseline!$B$2:$E$2,0))))))</f>
        <v/>
      </c>
      <c r="P15" s="17" t="str">
        <f aca="false">IF($B15="","",INDEX(Course!$N$2:$N$19,MATCH($B15,Course!$A$2:$A$19,0)))</f>
        <v/>
      </c>
      <c r="Q15" s="17" t="str">
        <f aca="false">IF($B15="","",INDEX(Course!$P$2:$P$19,MATCH($B15,Course!$A$2:$A$19,0)))</f>
        <v/>
      </c>
      <c r="R15" s="17" t="str">
        <f aca="false">IF($C15="","",IF(OR($C15="G",$C15="H"),0,IF($C15="T",1,MIN(1,MAX(0,($N15-Inputs!$B$8)/MAX($P15-Inputs!$B$8,0.01))))))</f>
        <v/>
      </c>
      <c r="S15" s="17" t="str">
        <f aca="false">IF($C15="","",IF(OR($E15="G",$E15="H"),0,IF($E15="T",1,MIN(1,MAX(0,($O15-Inputs!$B$8)/MAX($P15-Inputs!$B$8,0.01))))))</f>
        <v/>
      </c>
    </row>
    <row r="16" customFormat="false" ht="15" hidden="false" customHeight="false" outlineLevel="0" collapsed="false">
      <c r="I16" s="7" t="str">
        <f aca="false">IF($C16="","",IF($C16="G","PUTT",IF(AND($C16="T",$M16&gt;3),"OTT",IF($D16&lt;=30,"ARG","APP"))))</f>
        <v/>
      </c>
      <c r="J16" s="17" t="str">
        <f aca="false">IF($C16="","",$N16+$Q16*$R16)</f>
        <v/>
      </c>
      <c r="K16" s="17" t="str">
        <f aca="false">IF($C16="","",$O16+$Q16*$S16)</f>
        <v/>
      </c>
      <c r="L16" s="17" t="str">
        <f aca="false">IF($C16="","",$J16-$K16-1-N($G16))</f>
        <v/>
      </c>
      <c r="M16" s="7" t="str">
        <f aca="false">IF($B16="","",INDEX(Course!$B$2:$B$19,MATCH($B16,Course!$A$2:$A$19,0)))</f>
        <v/>
      </c>
      <c r="N16" s="17" t="str">
        <f aca="false">IF($C16="","",IF($C16="H",0,IF($C16="G",INDEX(Baseline!$I$3:$I$102,MIN(MAX(ROUND($D16,0),1),100)),IF($C16="T",IF($M16=3,INDEX(Baseline!$B$3:$B$122,MATCH(MIN(MAX(ROUND(($D16)/5,0)*5,5),600),Baseline!$A$3:$A$122,0))-Inputs!$B$9,INDEX(Course!$N$2:$N$19,MATCH($B16,Course!$A$2:$A$19,0))),INDEX(Baseline!$B$3:$E$122,MATCH(MIN(MAX(ROUND(($D16)/5,0)*5,5),600),Baseline!$A$3:$A$122,0),MATCH($C16,Baseline!$B$2:$E$2,0))))))</f>
        <v/>
      </c>
      <c r="O16" s="17" t="str">
        <f aca="false">IF($C16="","",IF($E16="H",0,IF($E16="G",INDEX(Baseline!$I$3:$I$102,MIN(MAX(ROUND($F16,0),1),100)),IF($E16="T",IF($M16=3,INDEX(Baseline!$B$3:$B$122,MATCH(MIN(MAX(ROUND(($F16)/5,0)*5,5),600),Baseline!$A$3:$A$122,0))-Inputs!$B$9,INDEX(Course!$N$2:$N$19,MATCH($B16,Course!$A$2:$A$19,0))),INDEX(Baseline!$B$3:$E$122,MATCH(MIN(MAX(ROUND(($F16)/5,0)*5,5),600),Baseline!$A$3:$A$122,0),MATCH($E16,Baseline!$B$2:$E$2,0))))))</f>
        <v/>
      </c>
      <c r="P16" s="17" t="str">
        <f aca="false">IF($B16="","",INDEX(Course!$N$2:$N$19,MATCH($B16,Course!$A$2:$A$19,0)))</f>
        <v/>
      </c>
      <c r="Q16" s="17" t="str">
        <f aca="false">IF($B16="","",INDEX(Course!$P$2:$P$19,MATCH($B16,Course!$A$2:$A$19,0)))</f>
        <v/>
      </c>
      <c r="R16" s="17" t="str">
        <f aca="false">IF($C16="","",IF(OR($C16="G",$C16="H"),0,IF($C16="T",1,MIN(1,MAX(0,($N16-Inputs!$B$8)/MAX($P16-Inputs!$B$8,0.01))))))</f>
        <v/>
      </c>
      <c r="S16" s="17" t="str">
        <f aca="false">IF($C16="","",IF(OR($E16="G",$E16="H"),0,IF($E16="T",1,MIN(1,MAX(0,($O16-Inputs!$B$8)/MAX($P16-Inputs!$B$8,0.01))))))</f>
        <v/>
      </c>
    </row>
    <row r="17" customFormat="false" ht="15" hidden="false" customHeight="false" outlineLevel="0" collapsed="false">
      <c r="I17" s="7" t="str">
        <f aca="false">IF($C17="","",IF($C17="G","PUTT",IF(AND($C17="T",$M17&gt;3),"OTT",IF($D17&lt;=30,"ARG","APP"))))</f>
        <v/>
      </c>
      <c r="J17" s="17" t="str">
        <f aca="false">IF($C17="","",$N17+$Q17*$R17)</f>
        <v/>
      </c>
      <c r="K17" s="17" t="str">
        <f aca="false">IF($C17="","",$O17+$Q17*$S17)</f>
        <v/>
      </c>
      <c r="L17" s="17" t="str">
        <f aca="false">IF($C17="","",$J17-$K17-1-N($G17))</f>
        <v/>
      </c>
      <c r="M17" s="7" t="str">
        <f aca="false">IF($B17="","",INDEX(Course!$B$2:$B$19,MATCH($B17,Course!$A$2:$A$19,0)))</f>
        <v/>
      </c>
      <c r="N17" s="17" t="str">
        <f aca="false">IF($C17="","",IF($C17="H",0,IF($C17="G",INDEX(Baseline!$I$3:$I$102,MIN(MAX(ROUND($D17,0),1),100)),IF($C17="T",IF($M17=3,INDEX(Baseline!$B$3:$B$122,MATCH(MIN(MAX(ROUND(($D17)/5,0)*5,5),600),Baseline!$A$3:$A$122,0))-Inputs!$B$9,INDEX(Course!$N$2:$N$19,MATCH($B17,Course!$A$2:$A$19,0))),INDEX(Baseline!$B$3:$E$122,MATCH(MIN(MAX(ROUND(($D17)/5,0)*5,5),600),Baseline!$A$3:$A$122,0),MATCH($C17,Baseline!$B$2:$E$2,0))))))</f>
        <v/>
      </c>
      <c r="O17" s="17" t="str">
        <f aca="false">IF($C17="","",IF($E17="H",0,IF($E17="G",INDEX(Baseline!$I$3:$I$102,MIN(MAX(ROUND($F17,0),1),100)),IF($E17="T",IF($M17=3,INDEX(Baseline!$B$3:$B$122,MATCH(MIN(MAX(ROUND(($F17)/5,0)*5,5),600),Baseline!$A$3:$A$122,0))-Inputs!$B$9,INDEX(Course!$N$2:$N$19,MATCH($B17,Course!$A$2:$A$19,0))),INDEX(Baseline!$B$3:$E$122,MATCH(MIN(MAX(ROUND(($F17)/5,0)*5,5),600),Baseline!$A$3:$A$122,0),MATCH($E17,Baseline!$B$2:$E$2,0))))))</f>
        <v/>
      </c>
      <c r="P17" s="17" t="str">
        <f aca="false">IF($B17="","",INDEX(Course!$N$2:$N$19,MATCH($B17,Course!$A$2:$A$19,0)))</f>
        <v/>
      </c>
      <c r="Q17" s="17" t="str">
        <f aca="false">IF($B17="","",INDEX(Course!$P$2:$P$19,MATCH($B17,Course!$A$2:$A$19,0)))</f>
        <v/>
      </c>
      <c r="R17" s="17" t="str">
        <f aca="false">IF($C17="","",IF(OR($C17="G",$C17="H"),0,IF($C17="T",1,MIN(1,MAX(0,($N17-Inputs!$B$8)/MAX($P17-Inputs!$B$8,0.01))))))</f>
        <v/>
      </c>
      <c r="S17" s="17" t="str">
        <f aca="false">IF($C17="","",IF(OR($E17="G",$E17="H"),0,IF($E17="T",1,MIN(1,MAX(0,($O17-Inputs!$B$8)/MAX($P17-Inputs!$B$8,0.01))))))</f>
        <v/>
      </c>
    </row>
    <row r="18" customFormat="false" ht="15" hidden="false" customHeight="false" outlineLevel="0" collapsed="false">
      <c r="I18" s="7" t="str">
        <f aca="false">IF($C18="","",IF($C18="G","PUTT",IF(AND($C18="T",$M18&gt;3),"OTT",IF($D18&lt;=30,"ARG","APP"))))</f>
        <v/>
      </c>
      <c r="J18" s="17" t="str">
        <f aca="false">IF($C18="","",$N18+$Q18*$R18)</f>
        <v/>
      </c>
      <c r="K18" s="17" t="str">
        <f aca="false">IF($C18="","",$O18+$Q18*$S18)</f>
        <v/>
      </c>
      <c r="L18" s="17" t="str">
        <f aca="false">IF($C18="","",$J18-$K18-1-N($G18))</f>
        <v/>
      </c>
      <c r="M18" s="7" t="str">
        <f aca="false">IF($B18="","",INDEX(Course!$B$2:$B$19,MATCH($B18,Course!$A$2:$A$19,0)))</f>
        <v/>
      </c>
      <c r="N18" s="17" t="str">
        <f aca="false">IF($C18="","",IF($C18="H",0,IF($C18="G",INDEX(Baseline!$I$3:$I$102,MIN(MAX(ROUND($D18,0),1),100)),IF($C18="T",IF($M18=3,INDEX(Baseline!$B$3:$B$122,MATCH(MIN(MAX(ROUND(($D18)/5,0)*5,5),600),Baseline!$A$3:$A$122,0))-Inputs!$B$9,INDEX(Course!$N$2:$N$19,MATCH($B18,Course!$A$2:$A$19,0))),INDEX(Baseline!$B$3:$E$122,MATCH(MIN(MAX(ROUND(($D18)/5,0)*5,5),600),Baseline!$A$3:$A$122,0),MATCH($C18,Baseline!$B$2:$E$2,0))))))</f>
        <v/>
      </c>
      <c r="O18" s="17" t="str">
        <f aca="false">IF($C18="","",IF($E18="H",0,IF($E18="G",INDEX(Baseline!$I$3:$I$102,MIN(MAX(ROUND($F18,0),1),100)),IF($E18="T",IF($M18=3,INDEX(Baseline!$B$3:$B$122,MATCH(MIN(MAX(ROUND(($F18)/5,0)*5,5),600),Baseline!$A$3:$A$122,0))-Inputs!$B$9,INDEX(Course!$N$2:$N$19,MATCH($B18,Course!$A$2:$A$19,0))),INDEX(Baseline!$B$3:$E$122,MATCH(MIN(MAX(ROUND(($F18)/5,0)*5,5),600),Baseline!$A$3:$A$122,0),MATCH($E18,Baseline!$B$2:$E$2,0))))))</f>
        <v/>
      </c>
      <c r="P18" s="17" t="str">
        <f aca="false">IF($B18="","",INDEX(Course!$N$2:$N$19,MATCH($B18,Course!$A$2:$A$19,0)))</f>
        <v/>
      </c>
      <c r="Q18" s="17" t="str">
        <f aca="false">IF($B18="","",INDEX(Course!$P$2:$P$19,MATCH($B18,Course!$A$2:$A$19,0)))</f>
        <v/>
      </c>
      <c r="R18" s="17" t="str">
        <f aca="false">IF($C18="","",IF(OR($C18="G",$C18="H"),0,IF($C18="T",1,MIN(1,MAX(0,($N18-Inputs!$B$8)/MAX($P18-Inputs!$B$8,0.01))))))</f>
        <v/>
      </c>
      <c r="S18" s="17" t="str">
        <f aca="false">IF($C18="","",IF(OR($E18="G",$E18="H"),0,IF($E18="T",1,MIN(1,MAX(0,($O18-Inputs!$B$8)/MAX($P18-Inputs!$B$8,0.01))))))</f>
        <v/>
      </c>
    </row>
    <row r="19" customFormat="false" ht="15" hidden="false" customHeight="false" outlineLevel="0" collapsed="false">
      <c r="I19" s="7" t="str">
        <f aca="false">IF($C19="","",IF($C19="G","PUTT",IF(AND($C19="T",$M19&gt;3),"OTT",IF($D19&lt;=30,"ARG","APP"))))</f>
        <v/>
      </c>
      <c r="J19" s="17" t="str">
        <f aca="false">IF($C19="","",$N19+$Q19*$R19)</f>
        <v/>
      </c>
      <c r="K19" s="17" t="str">
        <f aca="false">IF($C19="","",$O19+$Q19*$S19)</f>
        <v/>
      </c>
      <c r="L19" s="17" t="str">
        <f aca="false">IF($C19="","",$J19-$K19-1-N($G19))</f>
        <v/>
      </c>
      <c r="M19" s="7" t="str">
        <f aca="false">IF($B19="","",INDEX(Course!$B$2:$B$19,MATCH($B19,Course!$A$2:$A$19,0)))</f>
        <v/>
      </c>
      <c r="N19" s="17" t="str">
        <f aca="false">IF($C19="","",IF($C19="H",0,IF($C19="G",INDEX(Baseline!$I$3:$I$102,MIN(MAX(ROUND($D19,0),1),100)),IF($C19="T",IF($M19=3,INDEX(Baseline!$B$3:$B$122,MATCH(MIN(MAX(ROUND(($D19)/5,0)*5,5),600),Baseline!$A$3:$A$122,0))-Inputs!$B$9,INDEX(Course!$N$2:$N$19,MATCH($B19,Course!$A$2:$A$19,0))),INDEX(Baseline!$B$3:$E$122,MATCH(MIN(MAX(ROUND(($D19)/5,0)*5,5),600),Baseline!$A$3:$A$122,0),MATCH($C19,Baseline!$B$2:$E$2,0))))))</f>
        <v/>
      </c>
      <c r="O19" s="17" t="str">
        <f aca="false">IF($C19="","",IF($E19="H",0,IF($E19="G",INDEX(Baseline!$I$3:$I$102,MIN(MAX(ROUND($F19,0),1),100)),IF($E19="T",IF($M19=3,INDEX(Baseline!$B$3:$B$122,MATCH(MIN(MAX(ROUND(($F19)/5,0)*5,5),600),Baseline!$A$3:$A$122,0))-Inputs!$B$9,INDEX(Course!$N$2:$N$19,MATCH($B19,Course!$A$2:$A$19,0))),INDEX(Baseline!$B$3:$E$122,MATCH(MIN(MAX(ROUND(($F19)/5,0)*5,5),600),Baseline!$A$3:$A$122,0),MATCH($E19,Baseline!$B$2:$E$2,0))))))</f>
        <v/>
      </c>
      <c r="P19" s="17" t="str">
        <f aca="false">IF($B19="","",INDEX(Course!$N$2:$N$19,MATCH($B19,Course!$A$2:$A$19,0)))</f>
        <v/>
      </c>
      <c r="Q19" s="17" t="str">
        <f aca="false">IF($B19="","",INDEX(Course!$P$2:$P$19,MATCH($B19,Course!$A$2:$A$19,0)))</f>
        <v/>
      </c>
      <c r="R19" s="17" t="str">
        <f aca="false">IF($C19="","",IF(OR($C19="G",$C19="H"),0,IF($C19="T",1,MIN(1,MAX(0,($N19-Inputs!$B$8)/MAX($P19-Inputs!$B$8,0.01))))))</f>
        <v/>
      </c>
      <c r="S19" s="17" t="str">
        <f aca="false">IF($C19="","",IF(OR($E19="G",$E19="H"),0,IF($E19="T",1,MIN(1,MAX(0,($O19-Inputs!$B$8)/MAX($P19-Inputs!$B$8,0.01))))))</f>
        <v/>
      </c>
    </row>
    <row r="20" customFormat="false" ht="15" hidden="false" customHeight="false" outlineLevel="0" collapsed="false">
      <c r="I20" s="7" t="str">
        <f aca="false">IF($C20="","",IF($C20="G","PUTT",IF(AND($C20="T",$M20&gt;3),"OTT",IF($D20&lt;=30,"ARG","APP"))))</f>
        <v/>
      </c>
      <c r="J20" s="17" t="str">
        <f aca="false">IF($C20="","",$N20+$Q20*$R20)</f>
        <v/>
      </c>
      <c r="K20" s="17" t="str">
        <f aca="false">IF($C20="","",$O20+$Q20*$S20)</f>
        <v/>
      </c>
      <c r="L20" s="17" t="str">
        <f aca="false">IF($C20="","",$J20-$K20-1-N($G20))</f>
        <v/>
      </c>
      <c r="M20" s="7" t="str">
        <f aca="false">IF($B20="","",INDEX(Course!$B$2:$B$19,MATCH($B20,Course!$A$2:$A$19,0)))</f>
        <v/>
      </c>
      <c r="N20" s="17" t="str">
        <f aca="false">IF($C20="","",IF($C20="H",0,IF($C20="G",INDEX(Baseline!$I$3:$I$102,MIN(MAX(ROUND($D20,0),1),100)),IF($C20="T",IF($M20=3,INDEX(Baseline!$B$3:$B$122,MATCH(MIN(MAX(ROUND(($D20)/5,0)*5,5),600),Baseline!$A$3:$A$122,0))-Inputs!$B$9,INDEX(Course!$N$2:$N$19,MATCH($B20,Course!$A$2:$A$19,0))),INDEX(Baseline!$B$3:$E$122,MATCH(MIN(MAX(ROUND(($D20)/5,0)*5,5),600),Baseline!$A$3:$A$122,0),MATCH($C20,Baseline!$B$2:$E$2,0))))))</f>
        <v/>
      </c>
      <c r="O20" s="17" t="str">
        <f aca="false">IF($C20="","",IF($E20="H",0,IF($E20="G",INDEX(Baseline!$I$3:$I$102,MIN(MAX(ROUND($F20,0),1),100)),IF($E20="T",IF($M20=3,INDEX(Baseline!$B$3:$B$122,MATCH(MIN(MAX(ROUND(($F20)/5,0)*5,5),600),Baseline!$A$3:$A$122,0))-Inputs!$B$9,INDEX(Course!$N$2:$N$19,MATCH($B20,Course!$A$2:$A$19,0))),INDEX(Baseline!$B$3:$E$122,MATCH(MIN(MAX(ROUND(($F20)/5,0)*5,5),600),Baseline!$A$3:$A$122,0),MATCH($E20,Baseline!$B$2:$E$2,0))))))</f>
        <v/>
      </c>
      <c r="P20" s="17" t="str">
        <f aca="false">IF($B20="","",INDEX(Course!$N$2:$N$19,MATCH($B20,Course!$A$2:$A$19,0)))</f>
        <v/>
      </c>
      <c r="Q20" s="17" t="str">
        <f aca="false">IF($B20="","",INDEX(Course!$P$2:$P$19,MATCH($B20,Course!$A$2:$A$19,0)))</f>
        <v/>
      </c>
      <c r="R20" s="17" t="str">
        <f aca="false">IF($C20="","",IF(OR($C20="G",$C20="H"),0,IF($C20="T",1,MIN(1,MAX(0,($N20-Inputs!$B$8)/MAX($P20-Inputs!$B$8,0.01))))))</f>
        <v/>
      </c>
      <c r="S20" s="17" t="str">
        <f aca="false">IF($C20="","",IF(OR($E20="G",$E20="H"),0,IF($E20="T",1,MIN(1,MAX(0,($O20-Inputs!$B$8)/MAX($P20-Inputs!$B$8,0.01))))))</f>
        <v/>
      </c>
    </row>
    <row r="21" customFormat="false" ht="15" hidden="false" customHeight="false" outlineLevel="0" collapsed="false">
      <c r="I21" s="7" t="str">
        <f aca="false">IF($C21="","",IF($C21="G","PUTT",IF(AND($C21="T",$M21&gt;3),"OTT",IF($D21&lt;=30,"ARG","APP"))))</f>
        <v/>
      </c>
      <c r="J21" s="17" t="str">
        <f aca="false">IF($C21="","",$N21+$Q21*$R21)</f>
        <v/>
      </c>
      <c r="K21" s="17" t="str">
        <f aca="false">IF($C21="","",$O21+$Q21*$S21)</f>
        <v/>
      </c>
      <c r="L21" s="17" t="str">
        <f aca="false">IF($C21="","",$J21-$K21-1-N($G21))</f>
        <v/>
      </c>
      <c r="M21" s="7" t="str">
        <f aca="false">IF($B21="","",INDEX(Course!$B$2:$B$19,MATCH($B21,Course!$A$2:$A$19,0)))</f>
        <v/>
      </c>
      <c r="N21" s="17" t="str">
        <f aca="false">IF($C21="","",IF($C21="H",0,IF($C21="G",INDEX(Baseline!$I$3:$I$102,MIN(MAX(ROUND($D21,0),1),100)),IF($C21="T",IF($M21=3,INDEX(Baseline!$B$3:$B$122,MATCH(MIN(MAX(ROUND(($D21)/5,0)*5,5),600),Baseline!$A$3:$A$122,0))-Inputs!$B$9,INDEX(Course!$N$2:$N$19,MATCH($B21,Course!$A$2:$A$19,0))),INDEX(Baseline!$B$3:$E$122,MATCH(MIN(MAX(ROUND(($D21)/5,0)*5,5),600),Baseline!$A$3:$A$122,0),MATCH($C21,Baseline!$B$2:$E$2,0))))))</f>
        <v/>
      </c>
      <c r="O21" s="17" t="str">
        <f aca="false">IF($C21="","",IF($E21="H",0,IF($E21="G",INDEX(Baseline!$I$3:$I$102,MIN(MAX(ROUND($F21,0),1),100)),IF($E21="T",IF($M21=3,INDEX(Baseline!$B$3:$B$122,MATCH(MIN(MAX(ROUND(($F21)/5,0)*5,5),600),Baseline!$A$3:$A$122,0))-Inputs!$B$9,INDEX(Course!$N$2:$N$19,MATCH($B21,Course!$A$2:$A$19,0))),INDEX(Baseline!$B$3:$E$122,MATCH(MIN(MAX(ROUND(($F21)/5,0)*5,5),600),Baseline!$A$3:$A$122,0),MATCH($E21,Baseline!$B$2:$E$2,0))))))</f>
        <v/>
      </c>
      <c r="P21" s="17" t="str">
        <f aca="false">IF($B21="","",INDEX(Course!$N$2:$N$19,MATCH($B21,Course!$A$2:$A$19,0)))</f>
        <v/>
      </c>
      <c r="Q21" s="17" t="str">
        <f aca="false">IF($B21="","",INDEX(Course!$P$2:$P$19,MATCH($B21,Course!$A$2:$A$19,0)))</f>
        <v/>
      </c>
      <c r="R21" s="17" t="str">
        <f aca="false">IF($C21="","",IF(OR($C21="G",$C21="H"),0,IF($C21="T",1,MIN(1,MAX(0,($N21-Inputs!$B$8)/MAX($P21-Inputs!$B$8,0.01))))))</f>
        <v/>
      </c>
      <c r="S21" s="17" t="str">
        <f aca="false">IF($C21="","",IF(OR($E21="G",$E21="H"),0,IF($E21="T",1,MIN(1,MAX(0,($O21-Inputs!$B$8)/MAX($P21-Inputs!$B$8,0.01))))))</f>
        <v/>
      </c>
    </row>
    <row r="22" customFormat="false" ht="15" hidden="false" customHeight="false" outlineLevel="0" collapsed="false">
      <c r="I22" s="7" t="str">
        <f aca="false">IF($C22="","",IF($C22="G","PUTT",IF(AND($C22="T",$M22&gt;3),"OTT",IF($D22&lt;=30,"ARG","APP"))))</f>
        <v/>
      </c>
      <c r="J22" s="17" t="str">
        <f aca="false">IF($C22="","",$N22+$Q22*$R22)</f>
        <v/>
      </c>
      <c r="K22" s="17" t="str">
        <f aca="false">IF($C22="","",$O22+$Q22*$S22)</f>
        <v/>
      </c>
      <c r="L22" s="17" t="str">
        <f aca="false">IF($C22="","",$J22-$K22-1-N($G22))</f>
        <v/>
      </c>
      <c r="M22" s="7" t="str">
        <f aca="false">IF($B22="","",INDEX(Course!$B$2:$B$19,MATCH($B22,Course!$A$2:$A$19,0)))</f>
        <v/>
      </c>
      <c r="N22" s="17" t="str">
        <f aca="false">IF($C22="","",IF($C22="H",0,IF($C22="G",INDEX(Baseline!$I$3:$I$102,MIN(MAX(ROUND($D22,0),1),100)),IF($C22="T",IF($M22=3,INDEX(Baseline!$B$3:$B$122,MATCH(MIN(MAX(ROUND(($D22)/5,0)*5,5),600),Baseline!$A$3:$A$122,0))-Inputs!$B$9,INDEX(Course!$N$2:$N$19,MATCH($B22,Course!$A$2:$A$19,0))),INDEX(Baseline!$B$3:$E$122,MATCH(MIN(MAX(ROUND(($D22)/5,0)*5,5),600),Baseline!$A$3:$A$122,0),MATCH($C22,Baseline!$B$2:$E$2,0))))))</f>
        <v/>
      </c>
      <c r="O22" s="17" t="str">
        <f aca="false">IF($C22="","",IF($E22="H",0,IF($E22="G",INDEX(Baseline!$I$3:$I$102,MIN(MAX(ROUND($F22,0),1),100)),IF($E22="T",IF($M22=3,INDEX(Baseline!$B$3:$B$122,MATCH(MIN(MAX(ROUND(($F22)/5,0)*5,5),600),Baseline!$A$3:$A$122,0))-Inputs!$B$9,INDEX(Course!$N$2:$N$19,MATCH($B22,Course!$A$2:$A$19,0))),INDEX(Baseline!$B$3:$E$122,MATCH(MIN(MAX(ROUND(($F22)/5,0)*5,5),600),Baseline!$A$3:$A$122,0),MATCH($E22,Baseline!$B$2:$E$2,0))))))</f>
        <v/>
      </c>
      <c r="P22" s="17" t="str">
        <f aca="false">IF($B22="","",INDEX(Course!$N$2:$N$19,MATCH($B22,Course!$A$2:$A$19,0)))</f>
        <v/>
      </c>
      <c r="Q22" s="17" t="str">
        <f aca="false">IF($B22="","",INDEX(Course!$P$2:$P$19,MATCH($B22,Course!$A$2:$A$19,0)))</f>
        <v/>
      </c>
      <c r="R22" s="17" t="str">
        <f aca="false">IF($C22="","",IF(OR($C22="G",$C22="H"),0,IF($C22="T",1,MIN(1,MAX(0,($N22-Inputs!$B$8)/MAX($P22-Inputs!$B$8,0.01))))))</f>
        <v/>
      </c>
      <c r="S22" s="17" t="str">
        <f aca="false">IF($C22="","",IF(OR($E22="G",$E22="H"),0,IF($E22="T",1,MIN(1,MAX(0,($O22-Inputs!$B$8)/MAX($P22-Inputs!$B$8,0.01))))))</f>
        <v/>
      </c>
    </row>
    <row r="23" customFormat="false" ht="15" hidden="false" customHeight="false" outlineLevel="0" collapsed="false">
      <c r="I23" s="7" t="str">
        <f aca="false">IF($C23="","",IF($C23="G","PUTT",IF(AND($C23="T",$M23&gt;3),"OTT",IF($D23&lt;=30,"ARG","APP"))))</f>
        <v/>
      </c>
      <c r="J23" s="17" t="str">
        <f aca="false">IF($C23="","",$N23+$Q23*$R23)</f>
        <v/>
      </c>
      <c r="K23" s="17" t="str">
        <f aca="false">IF($C23="","",$O23+$Q23*$S23)</f>
        <v/>
      </c>
      <c r="L23" s="17" t="str">
        <f aca="false">IF($C23="","",$J23-$K23-1-N($G23))</f>
        <v/>
      </c>
      <c r="M23" s="7" t="str">
        <f aca="false">IF($B23="","",INDEX(Course!$B$2:$B$19,MATCH($B23,Course!$A$2:$A$19,0)))</f>
        <v/>
      </c>
      <c r="N23" s="17" t="str">
        <f aca="false">IF($C23="","",IF($C23="H",0,IF($C23="G",INDEX(Baseline!$I$3:$I$102,MIN(MAX(ROUND($D23,0),1),100)),IF($C23="T",IF($M23=3,INDEX(Baseline!$B$3:$B$122,MATCH(MIN(MAX(ROUND(($D23)/5,0)*5,5),600),Baseline!$A$3:$A$122,0))-Inputs!$B$9,INDEX(Course!$N$2:$N$19,MATCH($B23,Course!$A$2:$A$19,0))),INDEX(Baseline!$B$3:$E$122,MATCH(MIN(MAX(ROUND(($D23)/5,0)*5,5),600),Baseline!$A$3:$A$122,0),MATCH($C23,Baseline!$B$2:$E$2,0))))))</f>
        <v/>
      </c>
      <c r="O23" s="17" t="str">
        <f aca="false">IF($C23="","",IF($E23="H",0,IF($E23="G",INDEX(Baseline!$I$3:$I$102,MIN(MAX(ROUND($F23,0),1),100)),IF($E23="T",IF($M23=3,INDEX(Baseline!$B$3:$B$122,MATCH(MIN(MAX(ROUND(($F23)/5,0)*5,5),600),Baseline!$A$3:$A$122,0))-Inputs!$B$9,INDEX(Course!$N$2:$N$19,MATCH($B23,Course!$A$2:$A$19,0))),INDEX(Baseline!$B$3:$E$122,MATCH(MIN(MAX(ROUND(($F23)/5,0)*5,5),600),Baseline!$A$3:$A$122,0),MATCH($E23,Baseline!$B$2:$E$2,0))))))</f>
        <v/>
      </c>
      <c r="P23" s="17" t="str">
        <f aca="false">IF($B23="","",INDEX(Course!$N$2:$N$19,MATCH($B23,Course!$A$2:$A$19,0)))</f>
        <v/>
      </c>
      <c r="Q23" s="17" t="str">
        <f aca="false">IF($B23="","",INDEX(Course!$P$2:$P$19,MATCH($B23,Course!$A$2:$A$19,0)))</f>
        <v/>
      </c>
      <c r="R23" s="17" t="str">
        <f aca="false">IF($C23="","",IF(OR($C23="G",$C23="H"),0,IF($C23="T",1,MIN(1,MAX(0,($N23-Inputs!$B$8)/MAX($P23-Inputs!$B$8,0.01))))))</f>
        <v/>
      </c>
      <c r="S23" s="17" t="str">
        <f aca="false">IF($C23="","",IF(OR($E23="G",$E23="H"),0,IF($E23="T",1,MIN(1,MAX(0,($O23-Inputs!$B$8)/MAX($P23-Inputs!$B$8,0.01))))))</f>
        <v/>
      </c>
    </row>
    <row r="24" customFormat="false" ht="15" hidden="false" customHeight="false" outlineLevel="0" collapsed="false">
      <c r="I24" s="7" t="str">
        <f aca="false">IF($C24="","",IF($C24="G","PUTT",IF(AND($C24="T",$M24&gt;3),"OTT",IF($D24&lt;=30,"ARG","APP"))))</f>
        <v/>
      </c>
      <c r="J24" s="17" t="str">
        <f aca="false">IF($C24="","",$N24+$Q24*$R24)</f>
        <v/>
      </c>
      <c r="K24" s="17" t="str">
        <f aca="false">IF($C24="","",$O24+$Q24*$S24)</f>
        <v/>
      </c>
      <c r="L24" s="17" t="str">
        <f aca="false">IF($C24="","",$J24-$K24-1-N($G24))</f>
        <v/>
      </c>
      <c r="M24" s="7" t="str">
        <f aca="false">IF($B24="","",INDEX(Course!$B$2:$B$19,MATCH($B24,Course!$A$2:$A$19,0)))</f>
        <v/>
      </c>
      <c r="N24" s="17" t="str">
        <f aca="false">IF($C24="","",IF($C24="H",0,IF($C24="G",INDEX(Baseline!$I$3:$I$102,MIN(MAX(ROUND($D24,0),1),100)),IF($C24="T",IF($M24=3,INDEX(Baseline!$B$3:$B$122,MATCH(MIN(MAX(ROUND(($D24)/5,0)*5,5),600),Baseline!$A$3:$A$122,0))-Inputs!$B$9,INDEX(Course!$N$2:$N$19,MATCH($B24,Course!$A$2:$A$19,0))),INDEX(Baseline!$B$3:$E$122,MATCH(MIN(MAX(ROUND(($D24)/5,0)*5,5),600),Baseline!$A$3:$A$122,0),MATCH($C24,Baseline!$B$2:$E$2,0))))))</f>
        <v/>
      </c>
      <c r="O24" s="17" t="str">
        <f aca="false">IF($C24="","",IF($E24="H",0,IF($E24="G",INDEX(Baseline!$I$3:$I$102,MIN(MAX(ROUND($F24,0),1),100)),IF($E24="T",IF($M24=3,INDEX(Baseline!$B$3:$B$122,MATCH(MIN(MAX(ROUND(($F24)/5,0)*5,5),600),Baseline!$A$3:$A$122,0))-Inputs!$B$9,INDEX(Course!$N$2:$N$19,MATCH($B24,Course!$A$2:$A$19,0))),INDEX(Baseline!$B$3:$E$122,MATCH(MIN(MAX(ROUND(($F24)/5,0)*5,5),600),Baseline!$A$3:$A$122,0),MATCH($E24,Baseline!$B$2:$E$2,0))))))</f>
        <v/>
      </c>
      <c r="P24" s="17" t="str">
        <f aca="false">IF($B24="","",INDEX(Course!$N$2:$N$19,MATCH($B24,Course!$A$2:$A$19,0)))</f>
        <v/>
      </c>
      <c r="Q24" s="17" t="str">
        <f aca="false">IF($B24="","",INDEX(Course!$P$2:$P$19,MATCH($B24,Course!$A$2:$A$19,0)))</f>
        <v/>
      </c>
      <c r="R24" s="17" t="str">
        <f aca="false">IF($C24="","",IF(OR($C24="G",$C24="H"),0,IF($C24="T",1,MIN(1,MAX(0,($N24-Inputs!$B$8)/MAX($P24-Inputs!$B$8,0.01))))))</f>
        <v/>
      </c>
      <c r="S24" s="17" t="str">
        <f aca="false">IF($C24="","",IF(OR($E24="G",$E24="H"),0,IF($E24="T",1,MIN(1,MAX(0,($O24-Inputs!$B$8)/MAX($P24-Inputs!$B$8,0.01))))))</f>
        <v/>
      </c>
    </row>
    <row r="25" customFormat="false" ht="15" hidden="false" customHeight="false" outlineLevel="0" collapsed="false">
      <c r="I25" s="7" t="str">
        <f aca="false">IF($C25="","",IF($C25="G","PUTT",IF(AND($C25="T",$M25&gt;3),"OTT",IF($D25&lt;=30,"ARG","APP"))))</f>
        <v/>
      </c>
      <c r="J25" s="17" t="str">
        <f aca="false">IF($C25="","",$N25+$Q25*$R25)</f>
        <v/>
      </c>
      <c r="K25" s="17" t="str">
        <f aca="false">IF($C25="","",$O25+$Q25*$S25)</f>
        <v/>
      </c>
      <c r="L25" s="17" t="str">
        <f aca="false">IF($C25="","",$J25-$K25-1-N($G25))</f>
        <v/>
      </c>
      <c r="M25" s="7" t="str">
        <f aca="false">IF($B25="","",INDEX(Course!$B$2:$B$19,MATCH($B25,Course!$A$2:$A$19,0)))</f>
        <v/>
      </c>
      <c r="N25" s="17" t="str">
        <f aca="false">IF($C25="","",IF($C25="H",0,IF($C25="G",INDEX(Baseline!$I$3:$I$102,MIN(MAX(ROUND($D25,0),1),100)),IF($C25="T",IF($M25=3,INDEX(Baseline!$B$3:$B$122,MATCH(MIN(MAX(ROUND(($D25)/5,0)*5,5),600),Baseline!$A$3:$A$122,0))-Inputs!$B$9,INDEX(Course!$N$2:$N$19,MATCH($B25,Course!$A$2:$A$19,0))),INDEX(Baseline!$B$3:$E$122,MATCH(MIN(MAX(ROUND(($D25)/5,0)*5,5),600),Baseline!$A$3:$A$122,0),MATCH($C25,Baseline!$B$2:$E$2,0))))))</f>
        <v/>
      </c>
      <c r="O25" s="17" t="str">
        <f aca="false">IF($C25="","",IF($E25="H",0,IF($E25="G",INDEX(Baseline!$I$3:$I$102,MIN(MAX(ROUND($F25,0),1),100)),IF($E25="T",IF($M25=3,INDEX(Baseline!$B$3:$B$122,MATCH(MIN(MAX(ROUND(($F25)/5,0)*5,5),600),Baseline!$A$3:$A$122,0))-Inputs!$B$9,INDEX(Course!$N$2:$N$19,MATCH($B25,Course!$A$2:$A$19,0))),INDEX(Baseline!$B$3:$E$122,MATCH(MIN(MAX(ROUND(($F25)/5,0)*5,5),600),Baseline!$A$3:$A$122,0),MATCH($E25,Baseline!$B$2:$E$2,0))))))</f>
        <v/>
      </c>
      <c r="P25" s="17" t="str">
        <f aca="false">IF($B25="","",INDEX(Course!$N$2:$N$19,MATCH($B25,Course!$A$2:$A$19,0)))</f>
        <v/>
      </c>
      <c r="Q25" s="17" t="str">
        <f aca="false">IF($B25="","",INDEX(Course!$P$2:$P$19,MATCH($B25,Course!$A$2:$A$19,0)))</f>
        <v/>
      </c>
      <c r="R25" s="17" t="str">
        <f aca="false">IF($C25="","",IF(OR($C25="G",$C25="H"),0,IF($C25="T",1,MIN(1,MAX(0,($N25-Inputs!$B$8)/MAX($P25-Inputs!$B$8,0.01))))))</f>
        <v/>
      </c>
      <c r="S25" s="17" t="str">
        <f aca="false">IF($C25="","",IF(OR($E25="G",$E25="H"),0,IF($E25="T",1,MIN(1,MAX(0,($O25-Inputs!$B$8)/MAX($P25-Inputs!$B$8,0.01))))))</f>
        <v/>
      </c>
    </row>
    <row r="26" customFormat="false" ht="15" hidden="false" customHeight="false" outlineLevel="0" collapsed="false">
      <c r="I26" s="7" t="str">
        <f aca="false">IF($C26="","",IF($C26="G","PUTT",IF(AND($C26="T",$M26&gt;3),"OTT",IF($D26&lt;=30,"ARG","APP"))))</f>
        <v/>
      </c>
      <c r="J26" s="17" t="str">
        <f aca="false">IF($C26="","",$N26+$Q26*$R26)</f>
        <v/>
      </c>
      <c r="K26" s="17" t="str">
        <f aca="false">IF($C26="","",$O26+$Q26*$S26)</f>
        <v/>
      </c>
      <c r="L26" s="17" t="str">
        <f aca="false">IF($C26="","",$J26-$K26-1-N($G26))</f>
        <v/>
      </c>
      <c r="M26" s="7" t="str">
        <f aca="false">IF($B26="","",INDEX(Course!$B$2:$B$19,MATCH($B26,Course!$A$2:$A$19,0)))</f>
        <v/>
      </c>
      <c r="N26" s="17" t="str">
        <f aca="false">IF($C26="","",IF($C26="H",0,IF($C26="G",INDEX(Baseline!$I$3:$I$102,MIN(MAX(ROUND($D26,0),1),100)),IF($C26="T",IF($M26=3,INDEX(Baseline!$B$3:$B$122,MATCH(MIN(MAX(ROUND(($D26)/5,0)*5,5),600),Baseline!$A$3:$A$122,0))-Inputs!$B$9,INDEX(Course!$N$2:$N$19,MATCH($B26,Course!$A$2:$A$19,0))),INDEX(Baseline!$B$3:$E$122,MATCH(MIN(MAX(ROUND(($D26)/5,0)*5,5),600),Baseline!$A$3:$A$122,0),MATCH($C26,Baseline!$B$2:$E$2,0))))))</f>
        <v/>
      </c>
      <c r="O26" s="17" t="str">
        <f aca="false">IF($C26="","",IF($E26="H",0,IF($E26="G",INDEX(Baseline!$I$3:$I$102,MIN(MAX(ROUND($F26,0),1),100)),IF($E26="T",IF($M26=3,INDEX(Baseline!$B$3:$B$122,MATCH(MIN(MAX(ROUND(($F26)/5,0)*5,5),600),Baseline!$A$3:$A$122,0))-Inputs!$B$9,INDEX(Course!$N$2:$N$19,MATCH($B26,Course!$A$2:$A$19,0))),INDEX(Baseline!$B$3:$E$122,MATCH(MIN(MAX(ROUND(($F26)/5,0)*5,5),600),Baseline!$A$3:$A$122,0),MATCH($E26,Baseline!$B$2:$E$2,0))))))</f>
        <v/>
      </c>
      <c r="P26" s="17" t="str">
        <f aca="false">IF($B26="","",INDEX(Course!$N$2:$N$19,MATCH($B26,Course!$A$2:$A$19,0)))</f>
        <v/>
      </c>
      <c r="Q26" s="17" t="str">
        <f aca="false">IF($B26="","",INDEX(Course!$P$2:$P$19,MATCH($B26,Course!$A$2:$A$19,0)))</f>
        <v/>
      </c>
      <c r="R26" s="17" t="str">
        <f aca="false">IF($C26="","",IF(OR($C26="G",$C26="H"),0,IF($C26="T",1,MIN(1,MAX(0,($N26-Inputs!$B$8)/MAX($P26-Inputs!$B$8,0.01))))))</f>
        <v/>
      </c>
      <c r="S26" s="17" t="str">
        <f aca="false">IF($C26="","",IF(OR($E26="G",$E26="H"),0,IF($E26="T",1,MIN(1,MAX(0,($O26-Inputs!$B$8)/MAX($P26-Inputs!$B$8,0.01))))))</f>
        <v/>
      </c>
    </row>
    <row r="27" customFormat="false" ht="15" hidden="false" customHeight="false" outlineLevel="0" collapsed="false">
      <c r="I27" s="7" t="str">
        <f aca="false">IF($C27="","",IF($C27="G","PUTT",IF(AND($C27="T",$M27&gt;3),"OTT",IF($D27&lt;=30,"ARG","APP"))))</f>
        <v/>
      </c>
      <c r="J27" s="17" t="str">
        <f aca="false">IF($C27="","",$N27+$Q27*$R27)</f>
        <v/>
      </c>
      <c r="K27" s="17" t="str">
        <f aca="false">IF($C27="","",$O27+$Q27*$S27)</f>
        <v/>
      </c>
      <c r="L27" s="17" t="str">
        <f aca="false">IF($C27="","",$J27-$K27-1-N($G27))</f>
        <v/>
      </c>
      <c r="M27" s="7" t="str">
        <f aca="false">IF($B27="","",INDEX(Course!$B$2:$B$19,MATCH($B27,Course!$A$2:$A$19,0)))</f>
        <v/>
      </c>
      <c r="N27" s="17" t="str">
        <f aca="false">IF($C27="","",IF($C27="H",0,IF($C27="G",INDEX(Baseline!$I$3:$I$102,MIN(MAX(ROUND($D27,0),1),100)),IF($C27="T",IF($M27=3,INDEX(Baseline!$B$3:$B$122,MATCH(MIN(MAX(ROUND(($D27)/5,0)*5,5),600),Baseline!$A$3:$A$122,0))-Inputs!$B$9,INDEX(Course!$N$2:$N$19,MATCH($B27,Course!$A$2:$A$19,0))),INDEX(Baseline!$B$3:$E$122,MATCH(MIN(MAX(ROUND(($D27)/5,0)*5,5),600),Baseline!$A$3:$A$122,0),MATCH($C27,Baseline!$B$2:$E$2,0))))))</f>
        <v/>
      </c>
      <c r="O27" s="17" t="str">
        <f aca="false">IF($C27="","",IF($E27="H",0,IF($E27="G",INDEX(Baseline!$I$3:$I$102,MIN(MAX(ROUND($F27,0),1),100)),IF($E27="T",IF($M27=3,INDEX(Baseline!$B$3:$B$122,MATCH(MIN(MAX(ROUND(($F27)/5,0)*5,5),600),Baseline!$A$3:$A$122,0))-Inputs!$B$9,INDEX(Course!$N$2:$N$19,MATCH($B27,Course!$A$2:$A$19,0))),INDEX(Baseline!$B$3:$E$122,MATCH(MIN(MAX(ROUND(($F27)/5,0)*5,5),600),Baseline!$A$3:$A$122,0),MATCH($E27,Baseline!$B$2:$E$2,0))))))</f>
        <v/>
      </c>
      <c r="P27" s="17" t="str">
        <f aca="false">IF($B27="","",INDEX(Course!$N$2:$N$19,MATCH($B27,Course!$A$2:$A$19,0)))</f>
        <v/>
      </c>
      <c r="Q27" s="17" t="str">
        <f aca="false">IF($B27="","",INDEX(Course!$P$2:$P$19,MATCH($B27,Course!$A$2:$A$19,0)))</f>
        <v/>
      </c>
      <c r="R27" s="17" t="str">
        <f aca="false">IF($C27="","",IF(OR($C27="G",$C27="H"),0,IF($C27="T",1,MIN(1,MAX(0,($N27-Inputs!$B$8)/MAX($P27-Inputs!$B$8,0.01))))))</f>
        <v/>
      </c>
      <c r="S27" s="17" t="str">
        <f aca="false">IF($C27="","",IF(OR($E27="G",$E27="H"),0,IF($E27="T",1,MIN(1,MAX(0,($O27-Inputs!$B$8)/MAX($P27-Inputs!$B$8,0.01))))))</f>
        <v/>
      </c>
    </row>
    <row r="28" customFormat="false" ht="15" hidden="false" customHeight="false" outlineLevel="0" collapsed="false">
      <c r="I28" s="7" t="str">
        <f aca="false">IF($C28="","",IF($C28="G","PUTT",IF(AND($C28="T",$M28&gt;3),"OTT",IF($D28&lt;=30,"ARG","APP"))))</f>
        <v/>
      </c>
      <c r="J28" s="17" t="str">
        <f aca="false">IF($C28="","",$N28+$Q28*$R28)</f>
        <v/>
      </c>
      <c r="K28" s="17" t="str">
        <f aca="false">IF($C28="","",$O28+$Q28*$S28)</f>
        <v/>
      </c>
      <c r="L28" s="17" t="str">
        <f aca="false">IF($C28="","",$J28-$K28-1-N($G28))</f>
        <v/>
      </c>
      <c r="M28" s="7" t="str">
        <f aca="false">IF($B28="","",INDEX(Course!$B$2:$B$19,MATCH($B28,Course!$A$2:$A$19,0)))</f>
        <v/>
      </c>
      <c r="N28" s="17" t="str">
        <f aca="false">IF($C28="","",IF($C28="H",0,IF($C28="G",INDEX(Baseline!$I$3:$I$102,MIN(MAX(ROUND($D28,0),1),100)),IF($C28="T",IF($M28=3,INDEX(Baseline!$B$3:$B$122,MATCH(MIN(MAX(ROUND(($D28)/5,0)*5,5),600),Baseline!$A$3:$A$122,0))-Inputs!$B$9,INDEX(Course!$N$2:$N$19,MATCH($B28,Course!$A$2:$A$19,0))),INDEX(Baseline!$B$3:$E$122,MATCH(MIN(MAX(ROUND(($D28)/5,0)*5,5),600),Baseline!$A$3:$A$122,0),MATCH($C28,Baseline!$B$2:$E$2,0))))))</f>
        <v/>
      </c>
      <c r="O28" s="17" t="str">
        <f aca="false">IF($C28="","",IF($E28="H",0,IF($E28="G",INDEX(Baseline!$I$3:$I$102,MIN(MAX(ROUND($F28,0),1),100)),IF($E28="T",IF($M28=3,INDEX(Baseline!$B$3:$B$122,MATCH(MIN(MAX(ROUND(($F28)/5,0)*5,5),600),Baseline!$A$3:$A$122,0))-Inputs!$B$9,INDEX(Course!$N$2:$N$19,MATCH($B28,Course!$A$2:$A$19,0))),INDEX(Baseline!$B$3:$E$122,MATCH(MIN(MAX(ROUND(($F28)/5,0)*5,5),600),Baseline!$A$3:$A$122,0),MATCH($E28,Baseline!$B$2:$E$2,0))))))</f>
        <v/>
      </c>
      <c r="P28" s="17" t="str">
        <f aca="false">IF($B28="","",INDEX(Course!$N$2:$N$19,MATCH($B28,Course!$A$2:$A$19,0)))</f>
        <v/>
      </c>
      <c r="Q28" s="17" t="str">
        <f aca="false">IF($B28="","",INDEX(Course!$P$2:$P$19,MATCH($B28,Course!$A$2:$A$19,0)))</f>
        <v/>
      </c>
      <c r="R28" s="17" t="str">
        <f aca="false">IF($C28="","",IF(OR($C28="G",$C28="H"),0,IF($C28="T",1,MIN(1,MAX(0,($N28-Inputs!$B$8)/MAX($P28-Inputs!$B$8,0.01))))))</f>
        <v/>
      </c>
      <c r="S28" s="17" t="str">
        <f aca="false">IF($C28="","",IF(OR($E28="G",$E28="H"),0,IF($E28="T",1,MIN(1,MAX(0,($O28-Inputs!$B$8)/MAX($P28-Inputs!$B$8,0.01))))))</f>
        <v/>
      </c>
    </row>
    <row r="29" customFormat="false" ht="15" hidden="false" customHeight="false" outlineLevel="0" collapsed="false">
      <c r="I29" s="7" t="str">
        <f aca="false">IF($C29="","",IF($C29="G","PUTT",IF(AND($C29="T",$M29&gt;3),"OTT",IF($D29&lt;=30,"ARG","APP"))))</f>
        <v/>
      </c>
      <c r="J29" s="17" t="str">
        <f aca="false">IF($C29="","",$N29+$Q29*$R29)</f>
        <v/>
      </c>
      <c r="K29" s="17" t="str">
        <f aca="false">IF($C29="","",$O29+$Q29*$S29)</f>
        <v/>
      </c>
      <c r="L29" s="17" t="str">
        <f aca="false">IF($C29="","",$J29-$K29-1-N($G29))</f>
        <v/>
      </c>
      <c r="M29" s="7" t="str">
        <f aca="false">IF($B29="","",INDEX(Course!$B$2:$B$19,MATCH($B29,Course!$A$2:$A$19,0)))</f>
        <v/>
      </c>
      <c r="N29" s="17" t="str">
        <f aca="false">IF($C29="","",IF($C29="H",0,IF($C29="G",INDEX(Baseline!$I$3:$I$102,MIN(MAX(ROUND($D29,0),1),100)),IF($C29="T",IF($M29=3,INDEX(Baseline!$B$3:$B$122,MATCH(MIN(MAX(ROUND(($D29)/5,0)*5,5),600),Baseline!$A$3:$A$122,0))-Inputs!$B$9,INDEX(Course!$N$2:$N$19,MATCH($B29,Course!$A$2:$A$19,0))),INDEX(Baseline!$B$3:$E$122,MATCH(MIN(MAX(ROUND(($D29)/5,0)*5,5),600),Baseline!$A$3:$A$122,0),MATCH($C29,Baseline!$B$2:$E$2,0))))))</f>
        <v/>
      </c>
      <c r="O29" s="17" t="str">
        <f aca="false">IF($C29="","",IF($E29="H",0,IF($E29="G",INDEX(Baseline!$I$3:$I$102,MIN(MAX(ROUND($F29,0),1),100)),IF($E29="T",IF($M29=3,INDEX(Baseline!$B$3:$B$122,MATCH(MIN(MAX(ROUND(($F29)/5,0)*5,5),600),Baseline!$A$3:$A$122,0))-Inputs!$B$9,INDEX(Course!$N$2:$N$19,MATCH($B29,Course!$A$2:$A$19,0))),INDEX(Baseline!$B$3:$E$122,MATCH(MIN(MAX(ROUND(($F29)/5,0)*5,5),600),Baseline!$A$3:$A$122,0),MATCH($E29,Baseline!$B$2:$E$2,0))))))</f>
        <v/>
      </c>
      <c r="P29" s="17" t="str">
        <f aca="false">IF($B29="","",INDEX(Course!$N$2:$N$19,MATCH($B29,Course!$A$2:$A$19,0)))</f>
        <v/>
      </c>
      <c r="Q29" s="17" t="str">
        <f aca="false">IF($B29="","",INDEX(Course!$P$2:$P$19,MATCH($B29,Course!$A$2:$A$19,0)))</f>
        <v/>
      </c>
      <c r="R29" s="17" t="str">
        <f aca="false">IF($C29="","",IF(OR($C29="G",$C29="H"),0,IF($C29="T",1,MIN(1,MAX(0,($N29-Inputs!$B$8)/MAX($P29-Inputs!$B$8,0.01))))))</f>
        <v/>
      </c>
      <c r="S29" s="17" t="str">
        <f aca="false">IF($C29="","",IF(OR($E29="G",$E29="H"),0,IF($E29="T",1,MIN(1,MAX(0,($O29-Inputs!$B$8)/MAX($P29-Inputs!$B$8,0.01))))))</f>
        <v/>
      </c>
    </row>
    <row r="30" customFormat="false" ht="15" hidden="false" customHeight="false" outlineLevel="0" collapsed="false">
      <c r="I30" s="7" t="str">
        <f aca="false">IF($C30="","",IF($C30="G","PUTT",IF(AND($C30="T",$M30&gt;3),"OTT",IF($D30&lt;=30,"ARG","APP"))))</f>
        <v/>
      </c>
      <c r="J30" s="17" t="str">
        <f aca="false">IF($C30="","",$N30+$Q30*$R30)</f>
        <v/>
      </c>
      <c r="K30" s="17" t="str">
        <f aca="false">IF($C30="","",$O30+$Q30*$S30)</f>
        <v/>
      </c>
      <c r="L30" s="17" t="str">
        <f aca="false">IF($C30="","",$J30-$K30-1-N($G30))</f>
        <v/>
      </c>
      <c r="M30" s="7" t="str">
        <f aca="false">IF($B30="","",INDEX(Course!$B$2:$B$19,MATCH($B30,Course!$A$2:$A$19,0)))</f>
        <v/>
      </c>
      <c r="N30" s="17" t="str">
        <f aca="false">IF($C30="","",IF($C30="H",0,IF($C30="G",INDEX(Baseline!$I$3:$I$102,MIN(MAX(ROUND($D30,0),1),100)),IF($C30="T",IF($M30=3,INDEX(Baseline!$B$3:$B$122,MATCH(MIN(MAX(ROUND(($D30)/5,0)*5,5),600),Baseline!$A$3:$A$122,0))-Inputs!$B$9,INDEX(Course!$N$2:$N$19,MATCH($B30,Course!$A$2:$A$19,0))),INDEX(Baseline!$B$3:$E$122,MATCH(MIN(MAX(ROUND(($D30)/5,0)*5,5),600),Baseline!$A$3:$A$122,0),MATCH($C30,Baseline!$B$2:$E$2,0))))))</f>
        <v/>
      </c>
      <c r="O30" s="17" t="str">
        <f aca="false">IF($C30="","",IF($E30="H",0,IF($E30="G",INDEX(Baseline!$I$3:$I$102,MIN(MAX(ROUND($F30,0),1),100)),IF($E30="T",IF($M30=3,INDEX(Baseline!$B$3:$B$122,MATCH(MIN(MAX(ROUND(($F30)/5,0)*5,5),600),Baseline!$A$3:$A$122,0))-Inputs!$B$9,INDEX(Course!$N$2:$N$19,MATCH($B30,Course!$A$2:$A$19,0))),INDEX(Baseline!$B$3:$E$122,MATCH(MIN(MAX(ROUND(($F30)/5,0)*5,5),600),Baseline!$A$3:$A$122,0),MATCH($E30,Baseline!$B$2:$E$2,0))))))</f>
        <v/>
      </c>
      <c r="P30" s="17" t="str">
        <f aca="false">IF($B30="","",INDEX(Course!$N$2:$N$19,MATCH($B30,Course!$A$2:$A$19,0)))</f>
        <v/>
      </c>
      <c r="Q30" s="17" t="str">
        <f aca="false">IF($B30="","",INDEX(Course!$P$2:$P$19,MATCH($B30,Course!$A$2:$A$19,0)))</f>
        <v/>
      </c>
      <c r="R30" s="17" t="str">
        <f aca="false">IF($C30="","",IF(OR($C30="G",$C30="H"),0,IF($C30="T",1,MIN(1,MAX(0,($N30-Inputs!$B$8)/MAX($P30-Inputs!$B$8,0.01))))))</f>
        <v/>
      </c>
      <c r="S30" s="17" t="str">
        <f aca="false">IF($C30="","",IF(OR($E30="G",$E30="H"),0,IF($E30="T",1,MIN(1,MAX(0,($O30-Inputs!$B$8)/MAX($P30-Inputs!$B$8,0.01))))))</f>
        <v/>
      </c>
    </row>
    <row r="31" customFormat="false" ht="15" hidden="false" customHeight="false" outlineLevel="0" collapsed="false">
      <c r="I31" s="7" t="str">
        <f aca="false">IF($C31="","",IF($C31="G","PUTT",IF(AND($C31="T",$M31&gt;3),"OTT",IF($D31&lt;=30,"ARG","APP"))))</f>
        <v/>
      </c>
      <c r="J31" s="17" t="str">
        <f aca="false">IF($C31="","",$N31+$Q31*$R31)</f>
        <v/>
      </c>
      <c r="K31" s="17" t="str">
        <f aca="false">IF($C31="","",$O31+$Q31*$S31)</f>
        <v/>
      </c>
      <c r="L31" s="17" t="str">
        <f aca="false">IF($C31="","",$J31-$K31-1-N($G31))</f>
        <v/>
      </c>
      <c r="M31" s="7" t="str">
        <f aca="false">IF($B31="","",INDEX(Course!$B$2:$B$19,MATCH($B31,Course!$A$2:$A$19,0)))</f>
        <v/>
      </c>
      <c r="N31" s="17" t="str">
        <f aca="false">IF($C31="","",IF($C31="H",0,IF($C31="G",INDEX(Baseline!$I$3:$I$102,MIN(MAX(ROUND($D31,0),1),100)),IF($C31="T",IF($M31=3,INDEX(Baseline!$B$3:$B$122,MATCH(MIN(MAX(ROUND(($D31)/5,0)*5,5),600),Baseline!$A$3:$A$122,0))-Inputs!$B$9,INDEX(Course!$N$2:$N$19,MATCH($B31,Course!$A$2:$A$19,0))),INDEX(Baseline!$B$3:$E$122,MATCH(MIN(MAX(ROUND(($D31)/5,0)*5,5),600),Baseline!$A$3:$A$122,0),MATCH($C31,Baseline!$B$2:$E$2,0))))))</f>
        <v/>
      </c>
      <c r="O31" s="17" t="str">
        <f aca="false">IF($C31="","",IF($E31="H",0,IF($E31="G",INDEX(Baseline!$I$3:$I$102,MIN(MAX(ROUND($F31,0),1),100)),IF($E31="T",IF($M31=3,INDEX(Baseline!$B$3:$B$122,MATCH(MIN(MAX(ROUND(($F31)/5,0)*5,5),600),Baseline!$A$3:$A$122,0))-Inputs!$B$9,INDEX(Course!$N$2:$N$19,MATCH($B31,Course!$A$2:$A$19,0))),INDEX(Baseline!$B$3:$E$122,MATCH(MIN(MAX(ROUND(($F31)/5,0)*5,5),600),Baseline!$A$3:$A$122,0),MATCH($E31,Baseline!$B$2:$E$2,0))))))</f>
        <v/>
      </c>
      <c r="P31" s="17" t="str">
        <f aca="false">IF($B31="","",INDEX(Course!$N$2:$N$19,MATCH($B31,Course!$A$2:$A$19,0)))</f>
        <v/>
      </c>
      <c r="Q31" s="17" t="str">
        <f aca="false">IF($B31="","",INDEX(Course!$P$2:$P$19,MATCH($B31,Course!$A$2:$A$19,0)))</f>
        <v/>
      </c>
      <c r="R31" s="17" t="str">
        <f aca="false">IF($C31="","",IF(OR($C31="G",$C31="H"),0,IF($C31="T",1,MIN(1,MAX(0,($N31-Inputs!$B$8)/MAX($P31-Inputs!$B$8,0.01))))))</f>
        <v/>
      </c>
      <c r="S31" s="17" t="str">
        <f aca="false">IF($C31="","",IF(OR($E31="G",$E31="H"),0,IF($E31="T",1,MIN(1,MAX(0,($O31-Inputs!$B$8)/MAX($P31-Inputs!$B$8,0.01))))))</f>
        <v/>
      </c>
    </row>
    <row r="32" customFormat="false" ht="15" hidden="false" customHeight="false" outlineLevel="0" collapsed="false">
      <c r="I32" s="7" t="str">
        <f aca="false">IF($C32="","",IF($C32="G","PUTT",IF(AND($C32="T",$M32&gt;3),"OTT",IF($D32&lt;=30,"ARG","APP"))))</f>
        <v/>
      </c>
      <c r="J32" s="17" t="str">
        <f aca="false">IF($C32="","",$N32+$Q32*$R32)</f>
        <v/>
      </c>
      <c r="K32" s="17" t="str">
        <f aca="false">IF($C32="","",$O32+$Q32*$S32)</f>
        <v/>
      </c>
      <c r="L32" s="17" t="str">
        <f aca="false">IF($C32="","",$J32-$K32-1-N($G32))</f>
        <v/>
      </c>
      <c r="M32" s="7" t="str">
        <f aca="false">IF($B32="","",INDEX(Course!$B$2:$B$19,MATCH($B32,Course!$A$2:$A$19,0)))</f>
        <v/>
      </c>
      <c r="N32" s="17" t="str">
        <f aca="false">IF($C32="","",IF($C32="H",0,IF($C32="G",INDEX(Baseline!$I$3:$I$102,MIN(MAX(ROUND($D32,0),1),100)),IF($C32="T",IF($M32=3,INDEX(Baseline!$B$3:$B$122,MATCH(MIN(MAX(ROUND(($D32)/5,0)*5,5),600),Baseline!$A$3:$A$122,0))-Inputs!$B$9,INDEX(Course!$N$2:$N$19,MATCH($B32,Course!$A$2:$A$19,0))),INDEX(Baseline!$B$3:$E$122,MATCH(MIN(MAX(ROUND(($D32)/5,0)*5,5),600),Baseline!$A$3:$A$122,0),MATCH($C32,Baseline!$B$2:$E$2,0))))))</f>
        <v/>
      </c>
      <c r="O32" s="17" t="str">
        <f aca="false">IF($C32="","",IF($E32="H",0,IF($E32="G",INDEX(Baseline!$I$3:$I$102,MIN(MAX(ROUND($F32,0),1),100)),IF($E32="T",IF($M32=3,INDEX(Baseline!$B$3:$B$122,MATCH(MIN(MAX(ROUND(($F32)/5,0)*5,5),600),Baseline!$A$3:$A$122,0))-Inputs!$B$9,INDEX(Course!$N$2:$N$19,MATCH($B32,Course!$A$2:$A$19,0))),INDEX(Baseline!$B$3:$E$122,MATCH(MIN(MAX(ROUND(($F32)/5,0)*5,5),600),Baseline!$A$3:$A$122,0),MATCH($E32,Baseline!$B$2:$E$2,0))))))</f>
        <v/>
      </c>
      <c r="P32" s="17" t="str">
        <f aca="false">IF($B32="","",INDEX(Course!$N$2:$N$19,MATCH($B32,Course!$A$2:$A$19,0)))</f>
        <v/>
      </c>
      <c r="Q32" s="17" t="str">
        <f aca="false">IF($B32="","",INDEX(Course!$P$2:$P$19,MATCH($B32,Course!$A$2:$A$19,0)))</f>
        <v/>
      </c>
      <c r="R32" s="17" t="str">
        <f aca="false">IF($C32="","",IF(OR($C32="G",$C32="H"),0,IF($C32="T",1,MIN(1,MAX(0,($N32-Inputs!$B$8)/MAX($P32-Inputs!$B$8,0.01))))))</f>
        <v/>
      </c>
      <c r="S32" s="17" t="str">
        <f aca="false">IF($C32="","",IF(OR($E32="G",$E32="H"),0,IF($E32="T",1,MIN(1,MAX(0,($O32-Inputs!$B$8)/MAX($P32-Inputs!$B$8,0.01))))))</f>
        <v/>
      </c>
    </row>
    <row r="33" customFormat="false" ht="15" hidden="false" customHeight="false" outlineLevel="0" collapsed="false">
      <c r="I33" s="7" t="str">
        <f aca="false">IF($C33="","",IF($C33="G","PUTT",IF(AND($C33="T",$M33&gt;3),"OTT",IF($D33&lt;=30,"ARG","APP"))))</f>
        <v/>
      </c>
      <c r="J33" s="17" t="str">
        <f aca="false">IF($C33="","",$N33+$Q33*$R33)</f>
        <v/>
      </c>
      <c r="K33" s="17" t="str">
        <f aca="false">IF($C33="","",$O33+$Q33*$S33)</f>
        <v/>
      </c>
      <c r="L33" s="17" t="str">
        <f aca="false">IF($C33="","",$J33-$K33-1-N($G33))</f>
        <v/>
      </c>
      <c r="M33" s="7" t="str">
        <f aca="false">IF($B33="","",INDEX(Course!$B$2:$B$19,MATCH($B33,Course!$A$2:$A$19,0)))</f>
        <v/>
      </c>
      <c r="N33" s="17" t="str">
        <f aca="false">IF($C33="","",IF($C33="H",0,IF($C33="G",INDEX(Baseline!$I$3:$I$102,MIN(MAX(ROUND($D33,0),1),100)),IF($C33="T",IF($M33=3,INDEX(Baseline!$B$3:$B$122,MATCH(MIN(MAX(ROUND(($D33)/5,0)*5,5),600),Baseline!$A$3:$A$122,0))-Inputs!$B$9,INDEX(Course!$N$2:$N$19,MATCH($B33,Course!$A$2:$A$19,0))),INDEX(Baseline!$B$3:$E$122,MATCH(MIN(MAX(ROUND(($D33)/5,0)*5,5),600),Baseline!$A$3:$A$122,0),MATCH($C33,Baseline!$B$2:$E$2,0))))))</f>
        <v/>
      </c>
      <c r="O33" s="17" t="str">
        <f aca="false">IF($C33="","",IF($E33="H",0,IF($E33="G",INDEX(Baseline!$I$3:$I$102,MIN(MAX(ROUND($F33,0),1),100)),IF($E33="T",IF($M33=3,INDEX(Baseline!$B$3:$B$122,MATCH(MIN(MAX(ROUND(($F33)/5,0)*5,5),600),Baseline!$A$3:$A$122,0))-Inputs!$B$9,INDEX(Course!$N$2:$N$19,MATCH($B33,Course!$A$2:$A$19,0))),INDEX(Baseline!$B$3:$E$122,MATCH(MIN(MAX(ROUND(($F33)/5,0)*5,5),600),Baseline!$A$3:$A$122,0),MATCH($E33,Baseline!$B$2:$E$2,0))))))</f>
        <v/>
      </c>
      <c r="P33" s="17" t="str">
        <f aca="false">IF($B33="","",INDEX(Course!$N$2:$N$19,MATCH($B33,Course!$A$2:$A$19,0)))</f>
        <v/>
      </c>
      <c r="Q33" s="17" t="str">
        <f aca="false">IF($B33="","",INDEX(Course!$P$2:$P$19,MATCH($B33,Course!$A$2:$A$19,0)))</f>
        <v/>
      </c>
      <c r="R33" s="17" t="str">
        <f aca="false">IF($C33="","",IF(OR($C33="G",$C33="H"),0,IF($C33="T",1,MIN(1,MAX(0,($N33-Inputs!$B$8)/MAX($P33-Inputs!$B$8,0.01))))))</f>
        <v/>
      </c>
      <c r="S33" s="17" t="str">
        <f aca="false">IF($C33="","",IF(OR($E33="G",$E33="H"),0,IF($E33="T",1,MIN(1,MAX(0,($O33-Inputs!$B$8)/MAX($P33-Inputs!$B$8,0.01))))))</f>
        <v/>
      </c>
    </row>
    <row r="34" customFormat="false" ht="15" hidden="false" customHeight="false" outlineLevel="0" collapsed="false">
      <c r="I34" s="7" t="str">
        <f aca="false">IF($C34="","",IF($C34="G","PUTT",IF(AND($C34="T",$M34&gt;3),"OTT",IF($D34&lt;=30,"ARG","APP"))))</f>
        <v/>
      </c>
      <c r="J34" s="17" t="str">
        <f aca="false">IF($C34="","",$N34+$Q34*$R34)</f>
        <v/>
      </c>
      <c r="K34" s="17" t="str">
        <f aca="false">IF($C34="","",$O34+$Q34*$S34)</f>
        <v/>
      </c>
      <c r="L34" s="17" t="str">
        <f aca="false">IF($C34="","",$J34-$K34-1-N($G34))</f>
        <v/>
      </c>
      <c r="M34" s="7" t="str">
        <f aca="false">IF($B34="","",INDEX(Course!$B$2:$B$19,MATCH($B34,Course!$A$2:$A$19,0)))</f>
        <v/>
      </c>
      <c r="N34" s="17" t="str">
        <f aca="false">IF($C34="","",IF($C34="H",0,IF($C34="G",INDEX(Baseline!$I$3:$I$102,MIN(MAX(ROUND($D34,0),1),100)),IF($C34="T",IF($M34=3,INDEX(Baseline!$B$3:$B$122,MATCH(MIN(MAX(ROUND(($D34)/5,0)*5,5),600),Baseline!$A$3:$A$122,0))-Inputs!$B$9,INDEX(Course!$N$2:$N$19,MATCH($B34,Course!$A$2:$A$19,0))),INDEX(Baseline!$B$3:$E$122,MATCH(MIN(MAX(ROUND(($D34)/5,0)*5,5),600),Baseline!$A$3:$A$122,0),MATCH($C34,Baseline!$B$2:$E$2,0))))))</f>
        <v/>
      </c>
      <c r="O34" s="17" t="str">
        <f aca="false">IF($C34="","",IF($E34="H",0,IF($E34="G",INDEX(Baseline!$I$3:$I$102,MIN(MAX(ROUND($F34,0),1),100)),IF($E34="T",IF($M34=3,INDEX(Baseline!$B$3:$B$122,MATCH(MIN(MAX(ROUND(($F34)/5,0)*5,5),600),Baseline!$A$3:$A$122,0))-Inputs!$B$9,INDEX(Course!$N$2:$N$19,MATCH($B34,Course!$A$2:$A$19,0))),INDEX(Baseline!$B$3:$E$122,MATCH(MIN(MAX(ROUND(($F34)/5,0)*5,5),600),Baseline!$A$3:$A$122,0),MATCH($E34,Baseline!$B$2:$E$2,0))))))</f>
        <v/>
      </c>
      <c r="P34" s="17" t="str">
        <f aca="false">IF($B34="","",INDEX(Course!$N$2:$N$19,MATCH($B34,Course!$A$2:$A$19,0)))</f>
        <v/>
      </c>
      <c r="Q34" s="17" t="str">
        <f aca="false">IF($B34="","",INDEX(Course!$P$2:$P$19,MATCH($B34,Course!$A$2:$A$19,0)))</f>
        <v/>
      </c>
      <c r="R34" s="17" t="str">
        <f aca="false">IF($C34="","",IF(OR($C34="G",$C34="H"),0,IF($C34="T",1,MIN(1,MAX(0,($N34-Inputs!$B$8)/MAX($P34-Inputs!$B$8,0.01))))))</f>
        <v/>
      </c>
      <c r="S34" s="17" t="str">
        <f aca="false">IF($C34="","",IF(OR($E34="G",$E34="H"),0,IF($E34="T",1,MIN(1,MAX(0,($O34-Inputs!$B$8)/MAX($P34-Inputs!$B$8,0.01))))))</f>
        <v/>
      </c>
    </row>
    <row r="35" customFormat="false" ht="15" hidden="false" customHeight="false" outlineLevel="0" collapsed="false">
      <c r="I35" s="7" t="str">
        <f aca="false">IF($C35="","",IF($C35="G","PUTT",IF(AND($C35="T",$M35&gt;3),"OTT",IF($D35&lt;=30,"ARG","APP"))))</f>
        <v/>
      </c>
      <c r="J35" s="17" t="str">
        <f aca="false">IF($C35="","",$N35+$Q35*$R35)</f>
        <v/>
      </c>
      <c r="K35" s="17" t="str">
        <f aca="false">IF($C35="","",$O35+$Q35*$S35)</f>
        <v/>
      </c>
      <c r="L35" s="17" t="str">
        <f aca="false">IF($C35="","",$J35-$K35-1-N($G35))</f>
        <v/>
      </c>
      <c r="M35" s="7" t="str">
        <f aca="false">IF($B35="","",INDEX(Course!$B$2:$B$19,MATCH($B35,Course!$A$2:$A$19,0)))</f>
        <v/>
      </c>
      <c r="N35" s="17" t="str">
        <f aca="false">IF($C35="","",IF($C35="H",0,IF($C35="G",INDEX(Baseline!$I$3:$I$102,MIN(MAX(ROUND($D35,0),1),100)),IF($C35="T",IF($M35=3,INDEX(Baseline!$B$3:$B$122,MATCH(MIN(MAX(ROUND(($D35)/5,0)*5,5),600),Baseline!$A$3:$A$122,0))-Inputs!$B$9,INDEX(Course!$N$2:$N$19,MATCH($B35,Course!$A$2:$A$19,0))),INDEX(Baseline!$B$3:$E$122,MATCH(MIN(MAX(ROUND(($D35)/5,0)*5,5),600),Baseline!$A$3:$A$122,0),MATCH($C35,Baseline!$B$2:$E$2,0))))))</f>
        <v/>
      </c>
      <c r="O35" s="17" t="str">
        <f aca="false">IF($C35="","",IF($E35="H",0,IF($E35="G",INDEX(Baseline!$I$3:$I$102,MIN(MAX(ROUND($F35,0),1),100)),IF($E35="T",IF($M35=3,INDEX(Baseline!$B$3:$B$122,MATCH(MIN(MAX(ROUND(($F35)/5,0)*5,5),600),Baseline!$A$3:$A$122,0))-Inputs!$B$9,INDEX(Course!$N$2:$N$19,MATCH($B35,Course!$A$2:$A$19,0))),INDEX(Baseline!$B$3:$E$122,MATCH(MIN(MAX(ROUND(($F35)/5,0)*5,5),600),Baseline!$A$3:$A$122,0),MATCH($E35,Baseline!$B$2:$E$2,0))))))</f>
        <v/>
      </c>
      <c r="P35" s="17" t="str">
        <f aca="false">IF($B35="","",INDEX(Course!$N$2:$N$19,MATCH($B35,Course!$A$2:$A$19,0)))</f>
        <v/>
      </c>
      <c r="Q35" s="17" t="str">
        <f aca="false">IF($B35="","",INDEX(Course!$P$2:$P$19,MATCH($B35,Course!$A$2:$A$19,0)))</f>
        <v/>
      </c>
      <c r="R35" s="17" t="str">
        <f aca="false">IF($C35="","",IF(OR($C35="G",$C35="H"),0,IF($C35="T",1,MIN(1,MAX(0,($N35-Inputs!$B$8)/MAX($P35-Inputs!$B$8,0.01))))))</f>
        <v/>
      </c>
      <c r="S35" s="17" t="str">
        <f aca="false">IF($C35="","",IF(OR($E35="G",$E35="H"),0,IF($E35="T",1,MIN(1,MAX(0,($O35-Inputs!$B$8)/MAX($P35-Inputs!$B$8,0.01))))))</f>
        <v/>
      </c>
    </row>
    <row r="36" customFormat="false" ht="15" hidden="false" customHeight="false" outlineLevel="0" collapsed="false">
      <c r="I36" s="7" t="str">
        <f aca="false">IF($C36="","",IF($C36="G","PUTT",IF(AND($C36="T",$M36&gt;3),"OTT",IF($D36&lt;=30,"ARG","APP"))))</f>
        <v/>
      </c>
      <c r="J36" s="17" t="str">
        <f aca="false">IF($C36="","",$N36+$Q36*$R36)</f>
        <v/>
      </c>
      <c r="K36" s="17" t="str">
        <f aca="false">IF($C36="","",$O36+$Q36*$S36)</f>
        <v/>
      </c>
      <c r="L36" s="17" t="str">
        <f aca="false">IF($C36="","",$J36-$K36-1-N($G36))</f>
        <v/>
      </c>
      <c r="M36" s="7" t="str">
        <f aca="false">IF($B36="","",INDEX(Course!$B$2:$B$19,MATCH($B36,Course!$A$2:$A$19,0)))</f>
        <v/>
      </c>
      <c r="N36" s="17" t="str">
        <f aca="false">IF($C36="","",IF($C36="H",0,IF($C36="G",INDEX(Baseline!$I$3:$I$102,MIN(MAX(ROUND($D36,0),1),100)),IF($C36="T",IF($M36=3,INDEX(Baseline!$B$3:$B$122,MATCH(MIN(MAX(ROUND(($D36)/5,0)*5,5),600),Baseline!$A$3:$A$122,0))-Inputs!$B$9,INDEX(Course!$N$2:$N$19,MATCH($B36,Course!$A$2:$A$19,0))),INDEX(Baseline!$B$3:$E$122,MATCH(MIN(MAX(ROUND(($D36)/5,0)*5,5),600),Baseline!$A$3:$A$122,0),MATCH($C36,Baseline!$B$2:$E$2,0))))))</f>
        <v/>
      </c>
      <c r="O36" s="17" t="str">
        <f aca="false">IF($C36="","",IF($E36="H",0,IF($E36="G",INDEX(Baseline!$I$3:$I$102,MIN(MAX(ROUND($F36,0),1),100)),IF($E36="T",IF($M36=3,INDEX(Baseline!$B$3:$B$122,MATCH(MIN(MAX(ROUND(($F36)/5,0)*5,5),600),Baseline!$A$3:$A$122,0))-Inputs!$B$9,INDEX(Course!$N$2:$N$19,MATCH($B36,Course!$A$2:$A$19,0))),INDEX(Baseline!$B$3:$E$122,MATCH(MIN(MAX(ROUND(($F36)/5,0)*5,5),600),Baseline!$A$3:$A$122,0),MATCH($E36,Baseline!$B$2:$E$2,0))))))</f>
        <v/>
      </c>
      <c r="P36" s="17" t="str">
        <f aca="false">IF($B36="","",INDEX(Course!$N$2:$N$19,MATCH($B36,Course!$A$2:$A$19,0)))</f>
        <v/>
      </c>
      <c r="Q36" s="17" t="str">
        <f aca="false">IF($B36="","",INDEX(Course!$P$2:$P$19,MATCH($B36,Course!$A$2:$A$19,0)))</f>
        <v/>
      </c>
      <c r="R36" s="17" t="str">
        <f aca="false">IF($C36="","",IF(OR($C36="G",$C36="H"),0,IF($C36="T",1,MIN(1,MAX(0,($N36-Inputs!$B$8)/MAX($P36-Inputs!$B$8,0.01))))))</f>
        <v/>
      </c>
      <c r="S36" s="17" t="str">
        <f aca="false">IF($C36="","",IF(OR($E36="G",$E36="H"),0,IF($E36="T",1,MIN(1,MAX(0,($O36-Inputs!$B$8)/MAX($P36-Inputs!$B$8,0.01))))))</f>
        <v/>
      </c>
    </row>
    <row r="37" customFormat="false" ht="15" hidden="false" customHeight="false" outlineLevel="0" collapsed="false">
      <c r="I37" s="7" t="str">
        <f aca="false">IF($C37="","",IF($C37="G","PUTT",IF(AND($C37="T",$M37&gt;3),"OTT",IF($D37&lt;=30,"ARG","APP"))))</f>
        <v/>
      </c>
      <c r="J37" s="17" t="str">
        <f aca="false">IF($C37="","",$N37+$Q37*$R37)</f>
        <v/>
      </c>
      <c r="K37" s="17" t="str">
        <f aca="false">IF($C37="","",$O37+$Q37*$S37)</f>
        <v/>
      </c>
      <c r="L37" s="17" t="str">
        <f aca="false">IF($C37="","",$J37-$K37-1-N($G37))</f>
        <v/>
      </c>
      <c r="M37" s="7" t="str">
        <f aca="false">IF($B37="","",INDEX(Course!$B$2:$B$19,MATCH($B37,Course!$A$2:$A$19,0)))</f>
        <v/>
      </c>
      <c r="N37" s="17" t="str">
        <f aca="false">IF($C37="","",IF($C37="H",0,IF($C37="G",INDEX(Baseline!$I$3:$I$102,MIN(MAX(ROUND($D37,0),1),100)),IF($C37="T",IF($M37=3,INDEX(Baseline!$B$3:$B$122,MATCH(MIN(MAX(ROUND(($D37)/5,0)*5,5),600),Baseline!$A$3:$A$122,0))-Inputs!$B$9,INDEX(Course!$N$2:$N$19,MATCH($B37,Course!$A$2:$A$19,0))),INDEX(Baseline!$B$3:$E$122,MATCH(MIN(MAX(ROUND(($D37)/5,0)*5,5),600),Baseline!$A$3:$A$122,0),MATCH($C37,Baseline!$B$2:$E$2,0))))))</f>
        <v/>
      </c>
      <c r="O37" s="17" t="str">
        <f aca="false">IF($C37="","",IF($E37="H",0,IF($E37="G",INDEX(Baseline!$I$3:$I$102,MIN(MAX(ROUND($F37,0),1),100)),IF($E37="T",IF($M37=3,INDEX(Baseline!$B$3:$B$122,MATCH(MIN(MAX(ROUND(($F37)/5,0)*5,5),600),Baseline!$A$3:$A$122,0))-Inputs!$B$9,INDEX(Course!$N$2:$N$19,MATCH($B37,Course!$A$2:$A$19,0))),INDEX(Baseline!$B$3:$E$122,MATCH(MIN(MAX(ROUND(($F37)/5,0)*5,5),600),Baseline!$A$3:$A$122,0),MATCH($E37,Baseline!$B$2:$E$2,0))))))</f>
        <v/>
      </c>
      <c r="P37" s="17" t="str">
        <f aca="false">IF($B37="","",INDEX(Course!$N$2:$N$19,MATCH($B37,Course!$A$2:$A$19,0)))</f>
        <v/>
      </c>
      <c r="Q37" s="17" t="str">
        <f aca="false">IF($B37="","",INDEX(Course!$P$2:$P$19,MATCH($B37,Course!$A$2:$A$19,0)))</f>
        <v/>
      </c>
      <c r="R37" s="17" t="str">
        <f aca="false">IF($C37="","",IF(OR($C37="G",$C37="H"),0,IF($C37="T",1,MIN(1,MAX(0,($N37-Inputs!$B$8)/MAX($P37-Inputs!$B$8,0.01))))))</f>
        <v/>
      </c>
      <c r="S37" s="17" t="str">
        <f aca="false">IF($C37="","",IF(OR($E37="G",$E37="H"),0,IF($E37="T",1,MIN(1,MAX(0,($O37-Inputs!$B$8)/MAX($P37-Inputs!$B$8,0.01))))))</f>
        <v/>
      </c>
    </row>
    <row r="38" customFormat="false" ht="15" hidden="false" customHeight="false" outlineLevel="0" collapsed="false">
      <c r="I38" s="7" t="str">
        <f aca="false">IF($C38="","",IF($C38="G","PUTT",IF(AND($C38="T",$M38&gt;3),"OTT",IF($D38&lt;=30,"ARG","APP"))))</f>
        <v/>
      </c>
      <c r="J38" s="17" t="str">
        <f aca="false">IF($C38="","",$N38+$Q38*$R38)</f>
        <v/>
      </c>
      <c r="K38" s="17" t="str">
        <f aca="false">IF($C38="","",$O38+$Q38*$S38)</f>
        <v/>
      </c>
      <c r="L38" s="17" t="str">
        <f aca="false">IF($C38="","",$J38-$K38-1-N($G38))</f>
        <v/>
      </c>
      <c r="M38" s="7" t="str">
        <f aca="false">IF($B38="","",INDEX(Course!$B$2:$B$19,MATCH($B38,Course!$A$2:$A$19,0)))</f>
        <v/>
      </c>
      <c r="N38" s="17" t="str">
        <f aca="false">IF($C38="","",IF($C38="H",0,IF($C38="G",INDEX(Baseline!$I$3:$I$102,MIN(MAX(ROUND($D38,0),1),100)),IF($C38="T",IF($M38=3,INDEX(Baseline!$B$3:$B$122,MATCH(MIN(MAX(ROUND(($D38)/5,0)*5,5),600),Baseline!$A$3:$A$122,0))-Inputs!$B$9,INDEX(Course!$N$2:$N$19,MATCH($B38,Course!$A$2:$A$19,0))),INDEX(Baseline!$B$3:$E$122,MATCH(MIN(MAX(ROUND(($D38)/5,0)*5,5),600),Baseline!$A$3:$A$122,0),MATCH($C38,Baseline!$B$2:$E$2,0))))))</f>
        <v/>
      </c>
      <c r="O38" s="17" t="str">
        <f aca="false">IF($C38="","",IF($E38="H",0,IF($E38="G",INDEX(Baseline!$I$3:$I$102,MIN(MAX(ROUND($F38,0),1),100)),IF($E38="T",IF($M38=3,INDEX(Baseline!$B$3:$B$122,MATCH(MIN(MAX(ROUND(($F38)/5,0)*5,5),600),Baseline!$A$3:$A$122,0))-Inputs!$B$9,INDEX(Course!$N$2:$N$19,MATCH($B38,Course!$A$2:$A$19,0))),INDEX(Baseline!$B$3:$E$122,MATCH(MIN(MAX(ROUND(($F38)/5,0)*5,5),600),Baseline!$A$3:$A$122,0),MATCH($E38,Baseline!$B$2:$E$2,0))))))</f>
        <v/>
      </c>
      <c r="P38" s="17" t="str">
        <f aca="false">IF($B38="","",INDEX(Course!$N$2:$N$19,MATCH($B38,Course!$A$2:$A$19,0)))</f>
        <v/>
      </c>
      <c r="Q38" s="17" t="str">
        <f aca="false">IF($B38="","",INDEX(Course!$P$2:$P$19,MATCH($B38,Course!$A$2:$A$19,0)))</f>
        <v/>
      </c>
      <c r="R38" s="17" t="str">
        <f aca="false">IF($C38="","",IF(OR($C38="G",$C38="H"),0,IF($C38="T",1,MIN(1,MAX(0,($N38-Inputs!$B$8)/MAX($P38-Inputs!$B$8,0.01))))))</f>
        <v/>
      </c>
      <c r="S38" s="17" t="str">
        <f aca="false">IF($C38="","",IF(OR($E38="G",$E38="H"),0,IF($E38="T",1,MIN(1,MAX(0,($O38-Inputs!$B$8)/MAX($P38-Inputs!$B$8,0.01))))))</f>
        <v/>
      </c>
    </row>
    <row r="39" customFormat="false" ht="15" hidden="false" customHeight="false" outlineLevel="0" collapsed="false">
      <c r="I39" s="7" t="str">
        <f aca="false">IF($C39="","",IF($C39="G","PUTT",IF(AND($C39="T",$M39&gt;3),"OTT",IF($D39&lt;=30,"ARG","APP"))))</f>
        <v/>
      </c>
      <c r="J39" s="17" t="str">
        <f aca="false">IF($C39="","",$N39+$Q39*$R39)</f>
        <v/>
      </c>
      <c r="K39" s="17" t="str">
        <f aca="false">IF($C39="","",$O39+$Q39*$S39)</f>
        <v/>
      </c>
      <c r="L39" s="17" t="str">
        <f aca="false">IF($C39="","",$J39-$K39-1-N($G39))</f>
        <v/>
      </c>
      <c r="M39" s="7" t="str">
        <f aca="false">IF($B39="","",INDEX(Course!$B$2:$B$19,MATCH($B39,Course!$A$2:$A$19,0)))</f>
        <v/>
      </c>
      <c r="N39" s="17" t="str">
        <f aca="false">IF($C39="","",IF($C39="H",0,IF($C39="G",INDEX(Baseline!$I$3:$I$102,MIN(MAX(ROUND($D39,0),1),100)),IF($C39="T",IF($M39=3,INDEX(Baseline!$B$3:$B$122,MATCH(MIN(MAX(ROUND(($D39)/5,0)*5,5),600),Baseline!$A$3:$A$122,0))-Inputs!$B$9,INDEX(Course!$N$2:$N$19,MATCH($B39,Course!$A$2:$A$19,0))),INDEX(Baseline!$B$3:$E$122,MATCH(MIN(MAX(ROUND(($D39)/5,0)*5,5),600),Baseline!$A$3:$A$122,0),MATCH($C39,Baseline!$B$2:$E$2,0))))))</f>
        <v/>
      </c>
      <c r="O39" s="17" t="str">
        <f aca="false">IF($C39="","",IF($E39="H",0,IF($E39="G",INDEX(Baseline!$I$3:$I$102,MIN(MAX(ROUND($F39,0),1),100)),IF($E39="T",IF($M39=3,INDEX(Baseline!$B$3:$B$122,MATCH(MIN(MAX(ROUND(($F39)/5,0)*5,5),600),Baseline!$A$3:$A$122,0))-Inputs!$B$9,INDEX(Course!$N$2:$N$19,MATCH($B39,Course!$A$2:$A$19,0))),INDEX(Baseline!$B$3:$E$122,MATCH(MIN(MAX(ROUND(($F39)/5,0)*5,5),600),Baseline!$A$3:$A$122,0),MATCH($E39,Baseline!$B$2:$E$2,0))))))</f>
        <v/>
      </c>
      <c r="P39" s="17" t="str">
        <f aca="false">IF($B39="","",INDEX(Course!$N$2:$N$19,MATCH($B39,Course!$A$2:$A$19,0)))</f>
        <v/>
      </c>
      <c r="Q39" s="17" t="str">
        <f aca="false">IF($B39="","",INDEX(Course!$P$2:$P$19,MATCH($B39,Course!$A$2:$A$19,0)))</f>
        <v/>
      </c>
      <c r="R39" s="17" t="str">
        <f aca="false">IF($C39="","",IF(OR($C39="G",$C39="H"),0,IF($C39="T",1,MIN(1,MAX(0,($N39-Inputs!$B$8)/MAX($P39-Inputs!$B$8,0.01))))))</f>
        <v/>
      </c>
      <c r="S39" s="17" t="str">
        <f aca="false">IF($C39="","",IF(OR($E39="G",$E39="H"),0,IF($E39="T",1,MIN(1,MAX(0,($O39-Inputs!$B$8)/MAX($P39-Inputs!$B$8,0.01))))))</f>
        <v/>
      </c>
    </row>
    <row r="40" customFormat="false" ht="15" hidden="false" customHeight="false" outlineLevel="0" collapsed="false">
      <c r="I40" s="7" t="str">
        <f aca="false">IF($C40="","",IF($C40="G","PUTT",IF(AND($C40="T",$M40&gt;3),"OTT",IF($D40&lt;=30,"ARG","APP"))))</f>
        <v/>
      </c>
      <c r="J40" s="17" t="str">
        <f aca="false">IF($C40="","",$N40+$Q40*$R40)</f>
        <v/>
      </c>
      <c r="K40" s="17" t="str">
        <f aca="false">IF($C40="","",$O40+$Q40*$S40)</f>
        <v/>
      </c>
      <c r="L40" s="17" t="str">
        <f aca="false">IF($C40="","",$J40-$K40-1-N($G40))</f>
        <v/>
      </c>
      <c r="M40" s="7" t="str">
        <f aca="false">IF($B40="","",INDEX(Course!$B$2:$B$19,MATCH($B40,Course!$A$2:$A$19,0)))</f>
        <v/>
      </c>
      <c r="N40" s="17" t="str">
        <f aca="false">IF($C40="","",IF($C40="H",0,IF($C40="G",INDEX(Baseline!$I$3:$I$102,MIN(MAX(ROUND($D40,0),1),100)),IF($C40="T",IF($M40=3,INDEX(Baseline!$B$3:$B$122,MATCH(MIN(MAX(ROUND(($D40)/5,0)*5,5),600),Baseline!$A$3:$A$122,0))-Inputs!$B$9,INDEX(Course!$N$2:$N$19,MATCH($B40,Course!$A$2:$A$19,0))),INDEX(Baseline!$B$3:$E$122,MATCH(MIN(MAX(ROUND(($D40)/5,0)*5,5),600),Baseline!$A$3:$A$122,0),MATCH($C40,Baseline!$B$2:$E$2,0))))))</f>
        <v/>
      </c>
      <c r="O40" s="17" t="str">
        <f aca="false">IF($C40="","",IF($E40="H",0,IF($E40="G",INDEX(Baseline!$I$3:$I$102,MIN(MAX(ROUND($F40,0),1),100)),IF($E40="T",IF($M40=3,INDEX(Baseline!$B$3:$B$122,MATCH(MIN(MAX(ROUND(($F40)/5,0)*5,5),600),Baseline!$A$3:$A$122,0))-Inputs!$B$9,INDEX(Course!$N$2:$N$19,MATCH($B40,Course!$A$2:$A$19,0))),INDEX(Baseline!$B$3:$E$122,MATCH(MIN(MAX(ROUND(($F40)/5,0)*5,5),600),Baseline!$A$3:$A$122,0),MATCH($E40,Baseline!$B$2:$E$2,0))))))</f>
        <v/>
      </c>
      <c r="P40" s="17" t="str">
        <f aca="false">IF($B40="","",INDEX(Course!$N$2:$N$19,MATCH($B40,Course!$A$2:$A$19,0)))</f>
        <v/>
      </c>
      <c r="Q40" s="17" t="str">
        <f aca="false">IF($B40="","",INDEX(Course!$P$2:$P$19,MATCH($B40,Course!$A$2:$A$19,0)))</f>
        <v/>
      </c>
      <c r="R40" s="17" t="str">
        <f aca="false">IF($C40="","",IF(OR($C40="G",$C40="H"),0,IF($C40="T",1,MIN(1,MAX(0,($N40-Inputs!$B$8)/MAX($P40-Inputs!$B$8,0.01))))))</f>
        <v/>
      </c>
      <c r="S40" s="17" t="str">
        <f aca="false">IF($C40="","",IF(OR($E40="G",$E40="H"),0,IF($E40="T",1,MIN(1,MAX(0,($O40-Inputs!$B$8)/MAX($P40-Inputs!$B$8,0.01))))))</f>
        <v/>
      </c>
    </row>
    <row r="41" customFormat="false" ht="15" hidden="false" customHeight="false" outlineLevel="0" collapsed="false">
      <c r="I41" s="7" t="str">
        <f aca="false">IF($C41="","",IF($C41="G","PUTT",IF(AND($C41="T",$M41&gt;3),"OTT",IF($D41&lt;=30,"ARG","APP"))))</f>
        <v/>
      </c>
      <c r="J41" s="17" t="str">
        <f aca="false">IF($C41="","",$N41+$Q41*$R41)</f>
        <v/>
      </c>
      <c r="K41" s="17" t="str">
        <f aca="false">IF($C41="","",$O41+$Q41*$S41)</f>
        <v/>
      </c>
      <c r="L41" s="17" t="str">
        <f aca="false">IF($C41="","",$J41-$K41-1-N($G41))</f>
        <v/>
      </c>
      <c r="M41" s="7" t="str">
        <f aca="false">IF($B41="","",INDEX(Course!$B$2:$B$19,MATCH($B41,Course!$A$2:$A$19,0)))</f>
        <v/>
      </c>
      <c r="N41" s="17" t="str">
        <f aca="false">IF($C41="","",IF($C41="H",0,IF($C41="G",INDEX(Baseline!$I$3:$I$102,MIN(MAX(ROUND($D41,0),1),100)),IF($C41="T",IF($M41=3,INDEX(Baseline!$B$3:$B$122,MATCH(MIN(MAX(ROUND(($D41)/5,0)*5,5),600),Baseline!$A$3:$A$122,0))-Inputs!$B$9,INDEX(Course!$N$2:$N$19,MATCH($B41,Course!$A$2:$A$19,0))),INDEX(Baseline!$B$3:$E$122,MATCH(MIN(MAX(ROUND(($D41)/5,0)*5,5),600),Baseline!$A$3:$A$122,0),MATCH($C41,Baseline!$B$2:$E$2,0))))))</f>
        <v/>
      </c>
      <c r="O41" s="17" t="str">
        <f aca="false">IF($C41="","",IF($E41="H",0,IF($E41="G",INDEX(Baseline!$I$3:$I$102,MIN(MAX(ROUND($F41,0),1),100)),IF($E41="T",IF($M41=3,INDEX(Baseline!$B$3:$B$122,MATCH(MIN(MAX(ROUND(($F41)/5,0)*5,5),600),Baseline!$A$3:$A$122,0))-Inputs!$B$9,INDEX(Course!$N$2:$N$19,MATCH($B41,Course!$A$2:$A$19,0))),INDEX(Baseline!$B$3:$E$122,MATCH(MIN(MAX(ROUND(($F41)/5,0)*5,5),600),Baseline!$A$3:$A$122,0),MATCH($E41,Baseline!$B$2:$E$2,0))))))</f>
        <v/>
      </c>
      <c r="P41" s="17" t="str">
        <f aca="false">IF($B41="","",INDEX(Course!$N$2:$N$19,MATCH($B41,Course!$A$2:$A$19,0)))</f>
        <v/>
      </c>
      <c r="Q41" s="17" t="str">
        <f aca="false">IF($B41="","",INDEX(Course!$P$2:$P$19,MATCH($B41,Course!$A$2:$A$19,0)))</f>
        <v/>
      </c>
      <c r="R41" s="17" t="str">
        <f aca="false">IF($C41="","",IF(OR($C41="G",$C41="H"),0,IF($C41="T",1,MIN(1,MAX(0,($N41-Inputs!$B$8)/MAX($P41-Inputs!$B$8,0.01))))))</f>
        <v/>
      </c>
      <c r="S41" s="17" t="str">
        <f aca="false">IF($C41="","",IF(OR($E41="G",$E41="H"),0,IF($E41="T",1,MIN(1,MAX(0,($O41-Inputs!$B$8)/MAX($P41-Inputs!$B$8,0.01))))))</f>
        <v/>
      </c>
    </row>
    <row r="42" customFormat="false" ht="15" hidden="false" customHeight="false" outlineLevel="0" collapsed="false">
      <c r="I42" s="7" t="str">
        <f aca="false">IF($C42="","",IF($C42="G","PUTT",IF(AND($C42="T",$M42&gt;3),"OTT",IF($D42&lt;=30,"ARG","APP"))))</f>
        <v/>
      </c>
      <c r="J42" s="17" t="str">
        <f aca="false">IF($C42="","",$N42+$Q42*$R42)</f>
        <v/>
      </c>
      <c r="K42" s="17" t="str">
        <f aca="false">IF($C42="","",$O42+$Q42*$S42)</f>
        <v/>
      </c>
      <c r="L42" s="17" t="str">
        <f aca="false">IF($C42="","",$J42-$K42-1-N($G42))</f>
        <v/>
      </c>
      <c r="M42" s="7" t="str">
        <f aca="false">IF($B42="","",INDEX(Course!$B$2:$B$19,MATCH($B42,Course!$A$2:$A$19,0)))</f>
        <v/>
      </c>
      <c r="N42" s="17" t="str">
        <f aca="false">IF($C42="","",IF($C42="H",0,IF($C42="G",INDEX(Baseline!$I$3:$I$102,MIN(MAX(ROUND($D42,0),1),100)),IF($C42="T",IF($M42=3,INDEX(Baseline!$B$3:$B$122,MATCH(MIN(MAX(ROUND(($D42)/5,0)*5,5),600),Baseline!$A$3:$A$122,0))-Inputs!$B$9,INDEX(Course!$N$2:$N$19,MATCH($B42,Course!$A$2:$A$19,0))),INDEX(Baseline!$B$3:$E$122,MATCH(MIN(MAX(ROUND(($D42)/5,0)*5,5),600),Baseline!$A$3:$A$122,0),MATCH($C42,Baseline!$B$2:$E$2,0))))))</f>
        <v/>
      </c>
      <c r="O42" s="17" t="str">
        <f aca="false">IF($C42="","",IF($E42="H",0,IF($E42="G",INDEX(Baseline!$I$3:$I$102,MIN(MAX(ROUND($F42,0),1),100)),IF($E42="T",IF($M42=3,INDEX(Baseline!$B$3:$B$122,MATCH(MIN(MAX(ROUND(($F42)/5,0)*5,5),600),Baseline!$A$3:$A$122,0))-Inputs!$B$9,INDEX(Course!$N$2:$N$19,MATCH($B42,Course!$A$2:$A$19,0))),INDEX(Baseline!$B$3:$E$122,MATCH(MIN(MAX(ROUND(($F42)/5,0)*5,5),600),Baseline!$A$3:$A$122,0),MATCH($E42,Baseline!$B$2:$E$2,0))))))</f>
        <v/>
      </c>
      <c r="P42" s="17" t="str">
        <f aca="false">IF($B42="","",INDEX(Course!$N$2:$N$19,MATCH($B42,Course!$A$2:$A$19,0)))</f>
        <v/>
      </c>
      <c r="Q42" s="17" t="str">
        <f aca="false">IF($B42="","",INDEX(Course!$P$2:$P$19,MATCH($B42,Course!$A$2:$A$19,0)))</f>
        <v/>
      </c>
      <c r="R42" s="17" t="str">
        <f aca="false">IF($C42="","",IF(OR($C42="G",$C42="H"),0,IF($C42="T",1,MIN(1,MAX(0,($N42-Inputs!$B$8)/MAX($P42-Inputs!$B$8,0.01))))))</f>
        <v/>
      </c>
      <c r="S42" s="17" t="str">
        <f aca="false">IF($C42="","",IF(OR($E42="G",$E42="H"),0,IF($E42="T",1,MIN(1,MAX(0,($O42-Inputs!$B$8)/MAX($P42-Inputs!$B$8,0.01))))))</f>
        <v/>
      </c>
    </row>
    <row r="43" customFormat="false" ht="15" hidden="false" customHeight="false" outlineLevel="0" collapsed="false">
      <c r="I43" s="7" t="str">
        <f aca="false">IF($C43="","",IF($C43="G","PUTT",IF(AND($C43="T",$M43&gt;3),"OTT",IF($D43&lt;=30,"ARG","APP"))))</f>
        <v/>
      </c>
      <c r="J43" s="17" t="str">
        <f aca="false">IF($C43="","",$N43+$Q43*$R43)</f>
        <v/>
      </c>
      <c r="K43" s="17" t="str">
        <f aca="false">IF($C43="","",$O43+$Q43*$S43)</f>
        <v/>
      </c>
      <c r="L43" s="17" t="str">
        <f aca="false">IF($C43="","",$J43-$K43-1-N($G43))</f>
        <v/>
      </c>
      <c r="M43" s="7" t="str">
        <f aca="false">IF($B43="","",INDEX(Course!$B$2:$B$19,MATCH($B43,Course!$A$2:$A$19,0)))</f>
        <v/>
      </c>
      <c r="N43" s="17" t="str">
        <f aca="false">IF($C43="","",IF($C43="H",0,IF($C43="G",INDEX(Baseline!$I$3:$I$102,MIN(MAX(ROUND($D43,0),1),100)),IF($C43="T",IF($M43=3,INDEX(Baseline!$B$3:$B$122,MATCH(MIN(MAX(ROUND(($D43)/5,0)*5,5),600),Baseline!$A$3:$A$122,0))-Inputs!$B$9,INDEX(Course!$N$2:$N$19,MATCH($B43,Course!$A$2:$A$19,0))),INDEX(Baseline!$B$3:$E$122,MATCH(MIN(MAX(ROUND(($D43)/5,0)*5,5),600),Baseline!$A$3:$A$122,0),MATCH($C43,Baseline!$B$2:$E$2,0))))))</f>
        <v/>
      </c>
      <c r="O43" s="17" t="str">
        <f aca="false">IF($C43="","",IF($E43="H",0,IF($E43="G",INDEX(Baseline!$I$3:$I$102,MIN(MAX(ROUND($F43,0),1),100)),IF($E43="T",IF($M43=3,INDEX(Baseline!$B$3:$B$122,MATCH(MIN(MAX(ROUND(($F43)/5,0)*5,5),600),Baseline!$A$3:$A$122,0))-Inputs!$B$9,INDEX(Course!$N$2:$N$19,MATCH($B43,Course!$A$2:$A$19,0))),INDEX(Baseline!$B$3:$E$122,MATCH(MIN(MAX(ROUND(($F43)/5,0)*5,5),600),Baseline!$A$3:$A$122,0),MATCH($E43,Baseline!$B$2:$E$2,0))))))</f>
        <v/>
      </c>
      <c r="P43" s="17" t="str">
        <f aca="false">IF($B43="","",INDEX(Course!$N$2:$N$19,MATCH($B43,Course!$A$2:$A$19,0)))</f>
        <v/>
      </c>
      <c r="Q43" s="17" t="str">
        <f aca="false">IF($B43="","",INDEX(Course!$P$2:$P$19,MATCH($B43,Course!$A$2:$A$19,0)))</f>
        <v/>
      </c>
      <c r="R43" s="17" t="str">
        <f aca="false">IF($C43="","",IF(OR($C43="G",$C43="H"),0,IF($C43="T",1,MIN(1,MAX(0,($N43-Inputs!$B$8)/MAX($P43-Inputs!$B$8,0.01))))))</f>
        <v/>
      </c>
      <c r="S43" s="17" t="str">
        <f aca="false">IF($C43="","",IF(OR($E43="G",$E43="H"),0,IF($E43="T",1,MIN(1,MAX(0,($O43-Inputs!$B$8)/MAX($P43-Inputs!$B$8,0.01))))))</f>
        <v/>
      </c>
    </row>
    <row r="44" customFormat="false" ht="15" hidden="false" customHeight="false" outlineLevel="0" collapsed="false">
      <c r="I44" s="7" t="str">
        <f aca="false">IF($C44="","",IF($C44="G","PUTT",IF(AND($C44="T",$M44&gt;3),"OTT",IF($D44&lt;=30,"ARG","APP"))))</f>
        <v/>
      </c>
      <c r="J44" s="17" t="str">
        <f aca="false">IF($C44="","",$N44+$Q44*$R44)</f>
        <v/>
      </c>
      <c r="K44" s="17" t="str">
        <f aca="false">IF($C44="","",$O44+$Q44*$S44)</f>
        <v/>
      </c>
      <c r="L44" s="17" t="str">
        <f aca="false">IF($C44="","",$J44-$K44-1-N($G44))</f>
        <v/>
      </c>
      <c r="M44" s="7" t="str">
        <f aca="false">IF($B44="","",INDEX(Course!$B$2:$B$19,MATCH($B44,Course!$A$2:$A$19,0)))</f>
        <v/>
      </c>
      <c r="N44" s="17" t="str">
        <f aca="false">IF($C44="","",IF($C44="H",0,IF($C44="G",INDEX(Baseline!$I$3:$I$102,MIN(MAX(ROUND($D44,0),1),100)),IF($C44="T",IF($M44=3,INDEX(Baseline!$B$3:$B$122,MATCH(MIN(MAX(ROUND(($D44)/5,0)*5,5),600),Baseline!$A$3:$A$122,0))-Inputs!$B$9,INDEX(Course!$N$2:$N$19,MATCH($B44,Course!$A$2:$A$19,0))),INDEX(Baseline!$B$3:$E$122,MATCH(MIN(MAX(ROUND(($D44)/5,0)*5,5),600),Baseline!$A$3:$A$122,0),MATCH($C44,Baseline!$B$2:$E$2,0))))))</f>
        <v/>
      </c>
      <c r="O44" s="17" t="str">
        <f aca="false">IF($C44="","",IF($E44="H",0,IF($E44="G",INDEX(Baseline!$I$3:$I$102,MIN(MAX(ROUND($F44,0),1),100)),IF($E44="T",IF($M44=3,INDEX(Baseline!$B$3:$B$122,MATCH(MIN(MAX(ROUND(($F44)/5,0)*5,5),600),Baseline!$A$3:$A$122,0))-Inputs!$B$9,INDEX(Course!$N$2:$N$19,MATCH($B44,Course!$A$2:$A$19,0))),INDEX(Baseline!$B$3:$E$122,MATCH(MIN(MAX(ROUND(($F44)/5,0)*5,5),600),Baseline!$A$3:$A$122,0),MATCH($E44,Baseline!$B$2:$E$2,0))))))</f>
        <v/>
      </c>
      <c r="P44" s="17" t="str">
        <f aca="false">IF($B44="","",INDEX(Course!$N$2:$N$19,MATCH($B44,Course!$A$2:$A$19,0)))</f>
        <v/>
      </c>
      <c r="Q44" s="17" t="str">
        <f aca="false">IF($B44="","",INDEX(Course!$P$2:$P$19,MATCH($B44,Course!$A$2:$A$19,0)))</f>
        <v/>
      </c>
      <c r="R44" s="17" t="str">
        <f aca="false">IF($C44="","",IF(OR($C44="G",$C44="H"),0,IF($C44="T",1,MIN(1,MAX(0,($N44-Inputs!$B$8)/MAX($P44-Inputs!$B$8,0.01))))))</f>
        <v/>
      </c>
      <c r="S44" s="17" t="str">
        <f aca="false">IF($C44="","",IF(OR($E44="G",$E44="H"),0,IF($E44="T",1,MIN(1,MAX(0,($O44-Inputs!$B$8)/MAX($P44-Inputs!$B$8,0.01))))))</f>
        <v/>
      </c>
    </row>
    <row r="45" customFormat="false" ht="15" hidden="false" customHeight="false" outlineLevel="0" collapsed="false">
      <c r="I45" s="7" t="str">
        <f aca="false">IF($C45="","",IF($C45="G","PUTT",IF(AND($C45="T",$M45&gt;3),"OTT",IF($D45&lt;=30,"ARG","APP"))))</f>
        <v/>
      </c>
      <c r="J45" s="17" t="str">
        <f aca="false">IF($C45="","",$N45+$Q45*$R45)</f>
        <v/>
      </c>
      <c r="K45" s="17" t="str">
        <f aca="false">IF($C45="","",$O45+$Q45*$S45)</f>
        <v/>
      </c>
      <c r="L45" s="17" t="str">
        <f aca="false">IF($C45="","",$J45-$K45-1-N($G45))</f>
        <v/>
      </c>
      <c r="M45" s="7" t="str">
        <f aca="false">IF($B45="","",INDEX(Course!$B$2:$B$19,MATCH($B45,Course!$A$2:$A$19,0)))</f>
        <v/>
      </c>
      <c r="N45" s="17" t="str">
        <f aca="false">IF($C45="","",IF($C45="H",0,IF($C45="G",INDEX(Baseline!$I$3:$I$102,MIN(MAX(ROUND($D45,0),1),100)),IF($C45="T",IF($M45=3,INDEX(Baseline!$B$3:$B$122,MATCH(MIN(MAX(ROUND(($D45)/5,0)*5,5),600),Baseline!$A$3:$A$122,0))-Inputs!$B$9,INDEX(Course!$N$2:$N$19,MATCH($B45,Course!$A$2:$A$19,0))),INDEX(Baseline!$B$3:$E$122,MATCH(MIN(MAX(ROUND(($D45)/5,0)*5,5),600),Baseline!$A$3:$A$122,0),MATCH($C45,Baseline!$B$2:$E$2,0))))))</f>
        <v/>
      </c>
      <c r="O45" s="17" t="str">
        <f aca="false">IF($C45="","",IF($E45="H",0,IF($E45="G",INDEX(Baseline!$I$3:$I$102,MIN(MAX(ROUND($F45,0),1),100)),IF($E45="T",IF($M45=3,INDEX(Baseline!$B$3:$B$122,MATCH(MIN(MAX(ROUND(($F45)/5,0)*5,5),600),Baseline!$A$3:$A$122,0))-Inputs!$B$9,INDEX(Course!$N$2:$N$19,MATCH($B45,Course!$A$2:$A$19,0))),INDEX(Baseline!$B$3:$E$122,MATCH(MIN(MAX(ROUND(($F45)/5,0)*5,5),600),Baseline!$A$3:$A$122,0),MATCH($E45,Baseline!$B$2:$E$2,0))))))</f>
        <v/>
      </c>
      <c r="P45" s="17" t="str">
        <f aca="false">IF($B45="","",INDEX(Course!$N$2:$N$19,MATCH($B45,Course!$A$2:$A$19,0)))</f>
        <v/>
      </c>
      <c r="Q45" s="17" t="str">
        <f aca="false">IF($B45="","",INDEX(Course!$P$2:$P$19,MATCH($B45,Course!$A$2:$A$19,0)))</f>
        <v/>
      </c>
      <c r="R45" s="17" t="str">
        <f aca="false">IF($C45="","",IF(OR($C45="G",$C45="H"),0,IF($C45="T",1,MIN(1,MAX(0,($N45-Inputs!$B$8)/MAX($P45-Inputs!$B$8,0.01))))))</f>
        <v/>
      </c>
      <c r="S45" s="17" t="str">
        <f aca="false">IF($C45="","",IF(OR($E45="G",$E45="H"),0,IF($E45="T",1,MIN(1,MAX(0,($O45-Inputs!$B$8)/MAX($P45-Inputs!$B$8,0.01))))))</f>
        <v/>
      </c>
    </row>
    <row r="46" customFormat="false" ht="15" hidden="false" customHeight="false" outlineLevel="0" collapsed="false">
      <c r="I46" s="7" t="str">
        <f aca="false">IF($C46="","",IF($C46="G","PUTT",IF(AND($C46="T",$M46&gt;3),"OTT",IF($D46&lt;=30,"ARG","APP"))))</f>
        <v/>
      </c>
      <c r="J46" s="17" t="str">
        <f aca="false">IF($C46="","",$N46+$Q46*$R46)</f>
        <v/>
      </c>
      <c r="K46" s="17" t="str">
        <f aca="false">IF($C46="","",$O46+$Q46*$S46)</f>
        <v/>
      </c>
      <c r="L46" s="17" t="str">
        <f aca="false">IF($C46="","",$J46-$K46-1-N($G46))</f>
        <v/>
      </c>
      <c r="M46" s="7" t="str">
        <f aca="false">IF($B46="","",INDEX(Course!$B$2:$B$19,MATCH($B46,Course!$A$2:$A$19,0)))</f>
        <v/>
      </c>
      <c r="N46" s="17" t="str">
        <f aca="false">IF($C46="","",IF($C46="H",0,IF($C46="G",INDEX(Baseline!$I$3:$I$102,MIN(MAX(ROUND($D46,0),1),100)),IF($C46="T",IF($M46=3,INDEX(Baseline!$B$3:$B$122,MATCH(MIN(MAX(ROUND(($D46)/5,0)*5,5),600),Baseline!$A$3:$A$122,0))-Inputs!$B$9,INDEX(Course!$N$2:$N$19,MATCH($B46,Course!$A$2:$A$19,0))),INDEX(Baseline!$B$3:$E$122,MATCH(MIN(MAX(ROUND(($D46)/5,0)*5,5),600),Baseline!$A$3:$A$122,0),MATCH($C46,Baseline!$B$2:$E$2,0))))))</f>
        <v/>
      </c>
      <c r="O46" s="17" t="str">
        <f aca="false">IF($C46="","",IF($E46="H",0,IF($E46="G",INDEX(Baseline!$I$3:$I$102,MIN(MAX(ROUND($F46,0),1),100)),IF($E46="T",IF($M46=3,INDEX(Baseline!$B$3:$B$122,MATCH(MIN(MAX(ROUND(($F46)/5,0)*5,5),600),Baseline!$A$3:$A$122,0))-Inputs!$B$9,INDEX(Course!$N$2:$N$19,MATCH($B46,Course!$A$2:$A$19,0))),INDEX(Baseline!$B$3:$E$122,MATCH(MIN(MAX(ROUND(($F46)/5,0)*5,5),600),Baseline!$A$3:$A$122,0),MATCH($E46,Baseline!$B$2:$E$2,0))))))</f>
        <v/>
      </c>
      <c r="P46" s="17" t="str">
        <f aca="false">IF($B46="","",INDEX(Course!$N$2:$N$19,MATCH($B46,Course!$A$2:$A$19,0)))</f>
        <v/>
      </c>
      <c r="Q46" s="17" t="str">
        <f aca="false">IF($B46="","",INDEX(Course!$P$2:$P$19,MATCH($B46,Course!$A$2:$A$19,0)))</f>
        <v/>
      </c>
      <c r="R46" s="17" t="str">
        <f aca="false">IF($C46="","",IF(OR($C46="G",$C46="H"),0,IF($C46="T",1,MIN(1,MAX(0,($N46-Inputs!$B$8)/MAX($P46-Inputs!$B$8,0.01))))))</f>
        <v/>
      </c>
      <c r="S46" s="17" t="str">
        <f aca="false">IF($C46="","",IF(OR($E46="G",$E46="H"),0,IF($E46="T",1,MIN(1,MAX(0,($O46-Inputs!$B$8)/MAX($P46-Inputs!$B$8,0.01))))))</f>
        <v/>
      </c>
    </row>
    <row r="47" customFormat="false" ht="15" hidden="false" customHeight="false" outlineLevel="0" collapsed="false">
      <c r="I47" s="7" t="str">
        <f aca="false">IF($C47="","",IF($C47="G","PUTT",IF(AND($C47="T",$M47&gt;3),"OTT",IF($D47&lt;=30,"ARG","APP"))))</f>
        <v/>
      </c>
      <c r="J47" s="17" t="str">
        <f aca="false">IF($C47="","",$N47+$Q47*$R47)</f>
        <v/>
      </c>
      <c r="K47" s="17" t="str">
        <f aca="false">IF($C47="","",$O47+$Q47*$S47)</f>
        <v/>
      </c>
      <c r="L47" s="17" t="str">
        <f aca="false">IF($C47="","",$J47-$K47-1-N($G47))</f>
        <v/>
      </c>
      <c r="M47" s="7" t="str">
        <f aca="false">IF($B47="","",INDEX(Course!$B$2:$B$19,MATCH($B47,Course!$A$2:$A$19,0)))</f>
        <v/>
      </c>
      <c r="N47" s="17" t="str">
        <f aca="false">IF($C47="","",IF($C47="H",0,IF($C47="G",INDEX(Baseline!$I$3:$I$102,MIN(MAX(ROUND($D47,0),1),100)),IF($C47="T",IF($M47=3,INDEX(Baseline!$B$3:$B$122,MATCH(MIN(MAX(ROUND(($D47)/5,0)*5,5),600),Baseline!$A$3:$A$122,0))-Inputs!$B$9,INDEX(Course!$N$2:$N$19,MATCH($B47,Course!$A$2:$A$19,0))),INDEX(Baseline!$B$3:$E$122,MATCH(MIN(MAX(ROUND(($D47)/5,0)*5,5),600),Baseline!$A$3:$A$122,0),MATCH($C47,Baseline!$B$2:$E$2,0))))))</f>
        <v/>
      </c>
      <c r="O47" s="17" t="str">
        <f aca="false">IF($C47="","",IF($E47="H",0,IF($E47="G",INDEX(Baseline!$I$3:$I$102,MIN(MAX(ROUND($F47,0),1),100)),IF($E47="T",IF($M47=3,INDEX(Baseline!$B$3:$B$122,MATCH(MIN(MAX(ROUND(($F47)/5,0)*5,5),600),Baseline!$A$3:$A$122,0))-Inputs!$B$9,INDEX(Course!$N$2:$N$19,MATCH($B47,Course!$A$2:$A$19,0))),INDEX(Baseline!$B$3:$E$122,MATCH(MIN(MAX(ROUND(($F47)/5,0)*5,5),600),Baseline!$A$3:$A$122,0),MATCH($E47,Baseline!$B$2:$E$2,0))))))</f>
        <v/>
      </c>
      <c r="P47" s="17" t="str">
        <f aca="false">IF($B47="","",INDEX(Course!$N$2:$N$19,MATCH($B47,Course!$A$2:$A$19,0)))</f>
        <v/>
      </c>
      <c r="Q47" s="17" t="str">
        <f aca="false">IF($B47="","",INDEX(Course!$P$2:$P$19,MATCH($B47,Course!$A$2:$A$19,0)))</f>
        <v/>
      </c>
      <c r="R47" s="17" t="str">
        <f aca="false">IF($C47="","",IF(OR($C47="G",$C47="H"),0,IF($C47="T",1,MIN(1,MAX(0,($N47-Inputs!$B$8)/MAX($P47-Inputs!$B$8,0.01))))))</f>
        <v/>
      </c>
      <c r="S47" s="17" t="str">
        <f aca="false">IF($C47="","",IF(OR($E47="G",$E47="H"),0,IF($E47="T",1,MIN(1,MAX(0,($O47-Inputs!$B$8)/MAX($P47-Inputs!$B$8,0.01))))))</f>
        <v/>
      </c>
    </row>
    <row r="48" customFormat="false" ht="15" hidden="false" customHeight="false" outlineLevel="0" collapsed="false">
      <c r="I48" s="7" t="str">
        <f aca="false">IF($C48="","",IF($C48="G","PUTT",IF(AND($C48="T",$M48&gt;3),"OTT",IF($D48&lt;=30,"ARG","APP"))))</f>
        <v/>
      </c>
      <c r="J48" s="17" t="str">
        <f aca="false">IF($C48="","",$N48+$Q48*$R48)</f>
        <v/>
      </c>
      <c r="K48" s="17" t="str">
        <f aca="false">IF($C48="","",$O48+$Q48*$S48)</f>
        <v/>
      </c>
      <c r="L48" s="17" t="str">
        <f aca="false">IF($C48="","",$J48-$K48-1-N($G48))</f>
        <v/>
      </c>
      <c r="M48" s="7" t="str">
        <f aca="false">IF($B48="","",INDEX(Course!$B$2:$B$19,MATCH($B48,Course!$A$2:$A$19,0)))</f>
        <v/>
      </c>
      <c r="N48" s="17" t="str">
        <f aca="false">IF($C48="","",IF($C48="H",0,IF($C48="G",INDEX(Baseline!$I$3:$I$102,MIN(MAX(ROUND($D48,0),1),100)),IF($C48="T",IF($M48=3,INDEX(Baseline!$B$3:$B$122,MATCH(MIN(MAX(ROUND(($D48)/5,0)*5,5),600),Baseline!$A$3:$A$122,0))-Inputs!$B$9,INDEX(Course!$N$2:$N$19,MATCH($B48,Course!$A$2:$A$19,0))),INDEX(Baseline!$B$3:$E$122,MATCH(MIN(MAX(ROUND(($D48)/5,0)*5,5),600),Baseline!$A$3:$A$122,0),MATCH($C48,Baseline!$B$2:$E$2,0))))))</f>
        <v/>
      </c>
      <c r="O48" s="17" t="str">
        <f aca="false">IF($C48="","",IF($E48="H",0,IF($E48="G",INDEX(Baseline!$I$3:$I$102,MIN(MAX(ROUND($F48,0),1),100)),IF($E48="T",IF($M48=3,INDEX(Baseline!$B$3:$B$122,MATCH(MIN(MAX(ROUND(($F48)/5,0)*5,5),600),Baseline!$A$3:$A$122,0))-Inputs!$B$9,INDEX(Course!$N$2:$N$19,MATCH($B48,Course!$A$2:$A$19,0))),INDEX(Baseline!$B$3:$E$122,MATCH(MIN(MAX(ROUND(($F48)/5,0)*5,5),600),Baseline!$A$3:$A$122,0),MATCH($E48,Baseline!$B$2:$E$2,0))))))</f>
        <v/>
      </c>
      <c r="P48" s="17" t="str">
        <f aca="false">IF($B48="","",INDEX(Course!$N$2:$N$19,MATCH($B48,Course!$A$2:$A$19,0)))</f>
        <v/>
      </c>
      <c r="Q48" s="17" t="str">
        <f aca="false">IF($B48="","",INDEX(Course!$P$2:$P$19,MATCH($B48,Course!$A$2:$A$19,0)))</f>
        <v/>
      </c>
      <c r="R48" s="17" t="str">
        <f aca="false">IF($C48="","",IF(OR($C48="G",$C48="H"),0,IF($C48="T",1,MIN(1,MAX(0,($N48-Inputs!$B$8)/MAX($P48-Inputs!$B$8,0.01))))))</f>
        <v/>
      </c>
      <c r="S48" s="17" t="str">
        <f aca="false">IF($C48="","",IF(OR($E48="G",$E48="H"),0,IF($E48="T",1,MIN(1,MAX(0,($O48-Inputs!$B$8)/MAX($P48-Inputs!$B$8,0.01))))))</f>
        <v/>
      </c>
    </row>
    <row r="49" customFormat="false" ht="15" hidden="false" customHeight="false" outlineLevel="0" collapsed="false">
      <c r="I49" s="7" t="str">
        <f aca="false">IF($C49="","",IF($C49="G","PUTT",IF(AND($C49="T",$M49&gt;3),"OTT",IF($D49&lt;=30,"ARG","APP"))))</f>
        <v/>
      </c>
      <c r="J49" s="17" t="str">
        <f aca="false">IF($C49="","",$N49+$Q49*$R49)</f>
        <v/>
      </c>
      <c r="K49" s="17" t="str">
        <f aca="false">IF($C49="","",$O49+$Q49*$S49)</f>
        <v/>
      </c>
      <c r="L49" s="17" t="str">
        <f aca="false">IF($C49="","",$J49-$K49-1-N($G49))</f>
        <v/>
      </c>
      <c r="M49" s="7" t="str">
        <f aca="false">IF($B49="","",INDEX(Course!$B$2:$B$19,MATCH($B49,Course!$A$2:$A$19,0)))</f>
        <v/>
      </c>
      <c r="N49" s="17" t="str">
        <f aca="false">IF($C49="","",IF($C49="H",0,IF($C49="G",INDEX(Baseline!$I$3:$I$102,MIN(MAX(ROUND($D49,0),1),100)),IF($C49="T",IF($M49=3,INDEX(Baseline!$B$3:$B$122,MATCH(MIN(MAX(ROUND(($D49)/5,0)*5,5),600),Baseline!$A$3:$A$122,0))-Inputs!$B$9,INDEX(Course!$N$2:$N$19,MATCH($B49,Course!$A$2:$A$19,0))),INDEX(Baseline!$B$3:$E$122,MATCH(MIN(MAX(ROUND(($D49)/5,0)*5,5),600),Baseline!$A$3:$A$122,0),MATCH($C49,Baseline!$B$2:$E$2,0))))))</f>
        <v/>
      </c>
      <c r="O49" s="17" t="str">
        <f aca="false">IF($C49="","",IF($E49="H",0,IF($E49="G",INDEX(Baseline!$I$3:$I$102,MIN(MAX(ROUND($F49,0),1),100)),IF($E49="T",IF($M49=3,INDEX(Baseline!$B$3:$B$122,MATCH(MIN(MAX(ROUND(($F49)/5,0)*5,5),600),Baseline!$A$3:$A$122,0))-Inputs!$B$9,INDEX(Course!$N$2:$N$19,MATCH($B49,Course!$A$2:$A$19,0))),INDEX(Baseline!$B$3:$E$122,MATCH(MIN(MAX(ROUND(($F49)/5,0)*5,5),600),Baseline!$A$3:$A$122,0),MATCH($E49,Baseline!$B$2:$E$2,0))))))</f>
        <v/>
      </c>
      <c r="P49" s="17" t="str">
        <f aca="false">IF($B49="","",INDEX(Course!$N$2:$N$19,MATCH($B49,Course!$A$2:$A$19,0)))</f>
        <v/>
      </c>
      <c r="Q49" s="17" t="str">
        <f aca="false">IF($B49="","",INDEX(Course!$P$2:$P$19,MATCH($B49,Course!$A$2:$A$19,0)))</f>
        <v/>
      </c>
      <c r="R49" s="17" t="str">
        <f aca="false">IF($C49="","",IF(OR($C49="G",$C49="H"),0,IF($C49="T",1,MIN(1,MAX(0,($N49-Inputs!$B$8)/MAX($P49-Inputs!$B$8,0.01))))))</f>
        <v/>
      </c>
      <c r="S49" s="17" t="str">
        <f aca="false">IF($C49="","",IF(OR($E49="G",$E49="H"),0,IF($E49="T",1,MIN(1,MAX(0,($O49-Inputs!$B$8)/MAX($P49-Inputs!$B$8,0.01))))))</f>
        <v/>
      </c>
    </row>
    <row r="50" customFormat="false" ht="15" hidden="false" customHeight="false" outlineLevel="0" collapsed="false">
      <c r="I50" s="7" t="str">
        <f aca="false">IF($C50="","",IF($C50="G","PUTT",IF(AND($C50="T",$M50&gt;3),"OTT",IF($D50&lt;=30,"ARG","APP"))))</f>
        <v/>
      </c>
      <c r="J50" s="17" t="str">
        <f aca="false">IF($C50="","",$N50+$Q50*$R50)</f>
        <v/>
      </c>
      <c r="K50" s="17" t="str">
        <f aca="false">IF($C50="","",$O50+$Q50*$S50)</f>
        <v/>
      </c>
      <c r="L50" s="17" t="str">
        <f aca="false">IF($C50="","",$J50-$K50-1-N($G50))</f>
        <v/>
      </c>
      <c r="M50" s="7" t="str">
        <f aca="false">IF($B50="","",INDEX(Course!$B$2:$B$19,MATCH($B50,Course!$A$2:$A$19,0)))</f>
        <v/>
      </c>
      <c r="N50" s="17" t="str">
        <f aca="false">IF($C50="","",IF($C50="H",0,IF($C50="G",INDEX(Baseline!$I$3:$I$102,MIN(MAX(ROUND($D50,0),1),100)),IF($C50="T",IF($M50=3,INDEX(Baseline!$B$3:$B$122,MATCH(MIN(MAX(ROUND(($D50)/5,0)*5,5),600),Baseline!$A$3:$A$122,0))-Inputs!$B$9,INDEX(Course!$N$2:$N$19,MATCH($B50,Course!$A$2:$A$19,0))),INDEX(Baseline!$B$3:$E$122,MATCH(MIN(MAX(ROUND(($D50)/5,0)*5,5),600),Baseline!$A$3:$A$122,0),MATCH($C50,Baseline!$B$2:$E$2,0))))))</f>
        <v/>
      </c>
      <c r="O50" s="17" t="str">
        <f aca="false">IF($C50="","",IF($E50="H",0,IF($E50="G",INDEX(Baseline!$I$3:$I$102,MIN(MAX(ROUND($F50,0),1),100)),IF($E50="T",IF($M50=3,INDEX(Baseline!$B$3:$B$122,MATCH(MIN(MAX(ROUND(($F50)/5,0)*5,5),600),Baseline!$A$3:$A$122,0))-Inputs!$B$9,INDEX(Course!$N$2:$N$19,MATCH($B50,Course!$A$2:$A$19,0))),INDEX(Baseline!$B$3:$E$122,MATCH(MIN(MAX(ROUND(($F50)/5,0)*5,5),600),Baseline!$A$3:$A$122,0),MATCH($E50,Baseline!$B$2:$E$2,0))))))</f>
        <v/>
      </c>
      <c r="P50" s="17" t="str">
        <f aca="false">IF($B50="","",INDEX(Course!$N$2:$N$19,MATCH($B50,Course!$A$2:$A$19,0)))</f>
        <v/>
      </c>
      <c r="Q50" s="17" t="str">
        <f aca="false">IF($B50="","",INDEX(Course!$P$2:$P$19,MATCH($B50,Course!$A$2:$A$19,0)))</f>
        <v/>
      </c>
      <c r="R50" s="17" t="str">
        <f aca="false">IF($C50="","",IF(OR($C50="G",$C50="H"),0,IF($C50="T",1,MIN(1,MAX(0,($N50-Inputs!$B$8)/MAX($P50-Inputs!$B$8,0.01))))))</f>
        <v/>
      </c>
      <c r="S50" s="17" t="str">
        <f aca="false">IF($C50="","",IF(OR($E50="G",$E50="H"),0,IF($E50="T",1,MIN(1,MAX(0,($O50-Inputs!$B$8)/MAX($P50-Inputs!$B$8,0.01))))))</f>
        <v/>
      </c>
    </row>
    <row r="51" customFormat="false" ht="15" hidden="false" customHeight="false" outlineLevel="0" collapsed="false">
      <c r="I51" s="7" t="str">
        <f aca="false">IF($C51="","",IF($C51="G","PUTT",IF(AND($C51="T",$M51&gt;3),"OTT",IF($D51&lt;=30,"ARG","APP"))))</f>
        <v/>
      </c>
      <c r="J51" s="17" t="str">
        <f aca="false">IF($C51="","",$N51+$Q51*$R51)</f>
        <v/>
      </c>
      <c r="K51" s="17" t="str">
        <f aca="false">IF($C51="","",$O51+$Q51*$S51)</f>
        <v/>
      </c>
      <c r="L51" s="17" t="str">
        <f aca="false">IF($C51="","",$J51-$K51-1-N($G51))</f>
        <v/>
      </c>
      <c r="M51" s="7" t="str">
        <f aca="false">IF($B51="","",INDEX(Course!$B$2:$B$19,MATCH($B51,Course!$A$2:$A$19,0)))</f>
        <v/>
      </c>
      <c r="N51" s="17" t="str">
        <f aca="false">IF($C51="","",IF($C51="H",0,IF($C51="G",INDEX(Baseline!$I$3:$I$102,MIN(MAX(ROUND($D51,0),1),100)),IF($C51="T",IF($M51=3,INDEX(Baseline!$B$3:$B$122,MATCH(MIN(MAX(ROUND(($D51)/5,0)*5,5),600),Baseline!$A$3:$A$122,0))-Inputs!$B$9,INDEX(Course!$N$2:$N$19,MATCH($B51,Course!$A$2:$A$19,0))),INDEX(Baseline!$B$3:$E$122,MATCH(MIN(MAX(ROUND(($D51)/5,0)*5,5),600),Baseline!$A$3:$A$122,0),MATCH($C51,Baseline!$B$2:$E$2,0))))))</f>
        <v/>
      </c>
      <c r="O51" s="17" t="str">
        <f aca="false">IF($C51="","",IF($E51="H",0,IF($E51="G",INDEX(Baseline!$I$3:$I$102,MIN(MAX(ROUND($F51,0),1),100)),IF($E51="T",IF($M51=3,INDEX(Baseline!$B$3:$B$122,MATCH(MIN(MAX(ROUND(($F51)/5,0)*5,5),600),Baseline!$A$3:$A$122,0))-Inputs!$B$9,INDEX(Course!$N$2:$N$19,MATCH($B51,Course!$A$2:$A$19,0))),INDEX(Baseline!$B$3:$E$122,MATCH(MIN(MAX(ROUND(($F51)/5,0)*5,5),600),Baseline!$A$3:$A$122,0),MATCH($E51,Baseline!$B$2:$E$2,0))))))</f>
        <v/>
      </c>
      <c r="P51" s="17" t="str">
        <f aca="false">IF($B51="","",INDEX(Course!$N$2:$N$19,MATCH($B51,Course!$A$2:$A$19,0)))</f>
        <v/>
      </c>
      <c r="Q51" s="17" t="str">
        <f aca="false">IF($B51="","",INDEX(Course!$P$2:$P$19,MATCH($B51,Course!$A$2:$A$19,0)))</f>
        <v/>
      </c>
      <c r="R51" s="17" t="str">
        <f aca="false">IF($C51="","",IF(OR($C51="G",$C51="H"),0,IF($C51="T",1,MIN(1,MAX(0,($N51-Inputs!$B$8)/MAX($P51-Inputs!$B$8,0.01))))))</f>
        <v/>
      </c>
      <c r="S51" s="17" t="str">
        <f aca="false">IF($C51="","",IF(OR($E51="G",$E51="H"),0,IF($E51="T",1,MIN(1,MAX(0,($O51-Inputs!$B$8)/MAX($P51-Inputs!$B$8,0.01))))))</f>
        <v/>
      </c>
    </row>
    <row r="52" customFormat="false" ht="15" hidden="false" customHeight="false" outlineLevel="0" collapsed="false">
      <c r="I52" s="7" t="str">
        <f aca="false">IF($C52="","",IF($C52="G","PUTT",IF(AND($C52="T",$M52&gt;3),"OTT",IF($D52&lt;=30,"ARG","APP"))))</f>
        <v/>
      </c>
      <c r="J52" s="17" t="str">
        <f aca="false">IF($C52="","",$N52+$Q52*$R52)</f>
        <v/>
      </c>
      <c r="K52" s="17" t="str">
        <f aca="false">IF($C52="","",$O52+$Q52*$S52)</f>
        <v/>
      </c>
      <c r="L52" s="17" t="str">
        <f aca="false">IF($C52="","",$J52-$K52-1-N($G52))</f>
        <v/>
      </c>
      <c r="M52" s="7" t="str">
        <f aca="false">IF($B52="","",INDEX(Course!$B$2:$B$19,MATCH($B52,Course!$A$2:$A$19,0)))</f>
        <v/>
      </c>
      <c r="N52" s="17" t="str">
        <f aca="false">IF($C52="","",IF($C52="H",0,IF($C52="G",INDEX(Baseline!$I$3:$I$102,MIN(MAX(ROUND($D52,0),1),100)),IF($C52="T",IF($M52=3,INDEX(Baseline!$B$3:$B$122,MATCH(MIN(MAX(ROUND(($D52)/5,0)*5,5),600),Baseline!$A$3:$A$122,0))-Inputs!$B$9,INDEX(Course!$N$2:$N$19,MATCH($B52,Course!$A$2:$A$19,0))),INDEX(Baseline!$B$3:$E$122,MATCH(MIN(MAX(ROUND(($D52)/5,0)*5,5),600),Baseline!$A$3:$A$122,0),MATCH($C52,Baseline!$B$2:$E$2,0))))))</f>
        <v/>
      </c>
      <c r="O52" s="17" t="str">
        <f aca="false">IF($C52="","",IF($E52="H",0,IF($E52="G",INDEX(Baseline!$I$3:$I$102,MIN(MAX(ROUND($F52,0),1),100)),IF($E52="T",IF($M52=3,INDEX(Baseline!$B$3:$B$122,MATCH(MIN(MAX(ROUND(($F52)/5,0)*5,5),600),Baseline!$A$3:$A$122,0))-Inputs!$B$9,INDEX(Course!$N$2:$N$19,MATCH($B52,Course!$A$2:$A$19,0))),INDEX(Baseline!$B$3:$E$122,MATCH(MIN(MAX(ROUND(($F52)/5,0)*5,5),600),Baseline!$A$3:$A$122,0),MATCH($E52,Baseline!$B$2:$E$2,0))))))</f>
        <v/>
      </c>
      <c r="P52" s="17" t="str">
        <f aca="false">IF($B52="","",INDEX(Course!$N$2:$N$19,MATCH($B52,Course!$A$2:$A$19,0)))</f>
        <v/>
      </c>
      <c r="Q52" s="17" t="str">
        <f aca="false">IF($B52="","",INDEX(Course!$P$2:$P$19,MATCH($B52,Course!$A$2:$A$19,0)))</f>
        <v/>
      </c>
      <c r="R52" s="17" t="str">
        <f aca="false">IF($C52="","",IF(OR($C52="G",$C52="H"),0,IF($C52="T",1,MIN(1,MAX(0,($N52-Inputs!$B$8)/MAX($P52-Inputs!$B$8,0.01))))))</f>
        <v/>
      </c>
      <c r="S52" s="17" t="str">
        <f aca="false">IF($C52="","",IF(OR($E52="G",$E52="H"),0,IF($E52="T",1,MIN(1,MAX(0,($O52-Inputs!$B$8)/MAX($P52-Inputs!$B$8,0.01))))))</f>
        <v/>
      </c>
    </row>
    <row r="53" customFormat="false" ht="15" hidden="false" customHeight="false" outlineLevel="0" collapsed="false">
      <c r="I53" s="7" t="str">
        <f aca="false">IF($C53="","",IF($C53="G","PUTT",IF(AND($C53="T",$M53&gt;3),"OTT",IF($D53&lt;=30,"ARG","APP"))))</f>
        <v/>
      </c>
      <c r="J53" s="17" t="str">
        <f aca="false">IF($C53="","",$N53+$Q53*$R53)</f>
        <v/>
      </c>
      <c r="K53" s="17" t="str">
        <f aca="false">IF($C53="","",$O53+$Q53*$S53)</f>
        <v/>
      </c>
      <c r="L53" s="17" t="str">
        <f aca="false">IF($C53="","",$J53-$K53-1-N($G53))</f>
        <v/>
      </c>
      <c r="M53" s="7" t="str">
        <f aca="false">IF($B53="","",INDEX(Course!$B$2:$B$19,MATCH($B53,Course!$A$2:$A$19,0)))</f>
        <v/>
      </c>
      <c r="N53" s="17" t="str">
        <f aca="false">IF($C53="","",IF($C53="H",0,IF($C53="G",INDEX(Baseline!$I$3:$I$102,MIN(MAX(ROUND($D53,0),1),100)),IF($C53="T",IF($M53=3,INDEX(Baseline!$B$3:$B$122,MATCH(MIN(MAX(ROUND(($D53)/5,0)*5,5),600),Baseline!$A$3:$A$122,0))-Inputs!$B$9,INDEX(Course!$N$2:$N$19,MATCH($B53,Course!$A$2:$A$19,0))),INDEX(Baseline!$B$3:$E$122,MATCH(MIN(MAX(ROUND(($D53)/5,0)*5,5),600),Baseline!$A$3:$A$122,0),MATCH($C53,Baseline!$B$2:$E$2,0))))))</f>
        <v/>
      </c>
      <c r="O53" s="17" t="str">
        <f aca="false">IF($C53="","",IF($E53="H",0,IF($E53="G",INDEX(Baseline!$I$3:$I$102,MIN(MAX(ROUND($F53,0),1),100)),IF($E53="T",IF($M53=3,INDEX(Baseline!$B$3:$B$122,MATCH(MIN(MAX(ROUND(($F53)/5,0)*5,5),600),Baseline!$A$3:$A$122,0))-Inputs!$B$9,INDEX(Course!$N$2:$N$19,MATCH($B53,Course!$A$2:$A$19,0))),INDEX(Baseline!$B$3:$E$122,MATCH(MIN(MAX(ROUND(($F53)/5,0)*5,5),600),Baseline!$A$3:$A$122,0),MATCH($E53,Baseline!$B$2:$E$2,0))))))</f>
        <v/>
      </c>
      <c r="P53" s="17" t="str">
        <f aca="false">IF($B53="","",INDEX(Course!$N$2:$N$19,MATCH($B53,Course!$A$2:$A$19,0)))</f>
        <v/>
      </c>
      <c r="Q53" s="17" t="str">
        <f aca="false">IF($B53="","",INDEX(Course!$P$2:$P$19,MATCH($B53,Course!$A$2:$A$19,0)))</f>
        <v/>
      </c>
      <c r="R53" s="17" t="str">
        <f aca="false">IF($C53="","",IF(OR($C53="G",$C53="H"),0,IF($C53="T",1,MIN(1,MAX(0,($N53-Inputs!$B$8)/MAX($P53-Inputs!$B$8,0.01))))))</f>
        <v/>
      </c>
      <c r="S53" s="17" t="str">
        <f aca="false">IF($C53="","",IF(OR($E53="G",$E53="H"),0,IF($E53="T",1,MIN(1,MAX(0,($O53-Inputs!$B$8)/MAX($P53-Inputs!$B$8,0.01))))))</f>
        <v/>
      </c>
    </row>
    <row r="54" customFormat="false" ht="15" hidden="false" customHeight="false" outlineLevel="0" collapsed="false">
      <c r="I54" s="7" t="str">
        <f aca="false">IF($C54="","",IF($C54="G","PUTT",IF(AND($C54="T",$M54&gt;3),"OTT",IF($D54&lt;=30,"ARG","APP"))))</f>
        <v/>
      </c>
      <c r="J54" s="17" t="str">
        <f aca="false">IF($C54="","",$N54+$Q54*$R54)</f>
        <v/>
      </c>
      <c r="K54" s="17" t="str">
        <f aca="false">IF($C54="","",$O54+$Q54*$S54)</f>
        <v/>
      </c>
      <c r="L54" s="17" t="str">
        <f aca="false">IF($C54="","",$J54-$K54-1-N($G54))</f>
        <v/>
      </c>
      <c r="M54" s="7" t="str">
        <f aca="false">IF($B54="","",INDEX(Course!$B$2:$B$19,MATCH($B54,Course!$A$2:$A$19,0)))</f>
        <v/>
      </c>
      <c r="N54" s="17" t="str">
        <f aca="false">IF($C54="","",IF($C54="H",0,IF($C54="G",INDEX(Baseline!$I$3:$I$102,MIN(MAX(ROUND($D54,0),1),100)),IF($C54="T",IF($M54=3,INDEX(Baseline!$B$3:$B$122,MATCH(MIN(MAX(ROUND(($D54)/5,0)*5,5),600),Baseline!$A$3:$A$122,0))-Inputs!$B$9,INDEX(Course!$N$2:$N$19,MATCH($B54,Course!$A$2:$A$19,0))),INDEX(Baseline!$B$3:$E$122,MATCH(MIN(MAX(ROUND(($D54)/5,0)*5,5),600),Baseline!$A$3:$A$122,0),MATCH($C54,Baseline!$B$2:$E$2,0))))))</f>
        <v/>
      </c>
      <c r="O54" s="17" t="str">
        <f aca="false">IF($C54="","",IF($E54="H",0,IF($E54="G",INDEX(Baseline!$I$3:$I$102,MIN(MAX(ROUND($F54,0),1),100)),IF($E54="T",IF($M54=3,INDEX(Baseline!$B$3:$B$122,MATCH(MIN(MAX(ROUND(($F54)/5,0)*5,5),600),Baseline!$A$3:$A$122,0))-Inputs!$B$9,INDEX(Course!$N$2:$N$19,MATCH($B54,Course!$A$2:$A$19,0))),INDEX(Baseline!$B$3:$E$122,MATCH(MIN(MAX(ROUND(($F54)/5,0)*5,5),600),Baseline!$A$3:$A$122,0),MATCH($E54,Baseline!$B$2:$E$2,0))))))</f>
        <v/>
      </c>
      <c r="P54" s="17" t="str">
        <f aca="false">IF($B54="","",INDEX(Course!$N$2:$N$19,MATCH($B54,Course!$A$2:$A$19,0)))</f>
        <v/>
      </c>
      <c r="Q54" s="17" t="str">
        <f aca="false">IF($B54="","",INDEX(Course!$P$2:$P$19,MATCH($B54,Course!$A$2:$A$19,0)))</f>
        <v/>
      </c>
      <c r="R54" s="17" t="str">
        <f aca="false">IF($C54="","",IF(OR($C54="G",$C54="H"),0,IF($C54="T",1,MIN(1,MAX(0,($N54-Inputs!$B$8)/MAX($P54-Inputs!$B$8,0.01))))))</f>
        <v/>
      </c>
      <c r="S54" s="17" t="str">
        <f aca="false">IF($C54="","",IF(OR($E54="G",$E54="H"),0,IF($E54="T",1,MIN(1,MAX(0,($O54-Inputs!$B$8)/MAX($P54-Inputs!$B$8,0.01))))))</f>
        <v/>
      </c>
    </row>
    <row r="55" customFormat="false" ht="15" hidden="false" customHeight="false" outlineLevel="0" collapsed="false">
      <c r="I55" s="7" t="str">
        <f aca="false">IF($C55="","",IF($C55="G","PUTT",IF(AND($C55="T",$M55&gt;3),"OTT",IF($D55&lt;=30,"ARG","APP"))))</f>
        <v/>
      </c>
      <c r="J55" s="17" t="str">
        <f aca="false">IF($C55="","",$N55+$Q55*$R55)</f>
        <v/>
      </c>
      <c r="K55" s="17" t="str">
        <f aca="false">IF($C55="","",$O55+$Q55*$S55)</f>
        <v/>
      </c>
      <c r="L55" s="17" t="str">
        <f aca="false">IF($C55="","",$J55-$K55-1-N($G55))</f>
        <v/>
      </c>
      <c r="M55" s="7" t="str">
        <f aca="false">IF($B55="","",INDEX(Course!$B$2:$B$19,MATCH($B55,Course!$A$2:$A$19,0)))</f>
        <v/>
      </c>
      <c r="N55" s="17" t="str">
        <f aca="false">IF($C55="","",IF($C55="H",0,IF($C55="G",INDEX(Baseline!$I$3:$I$102,MIN(MAX(ROUND($D55,0),1),100)),IF($C55="T",IF($M55=3,INDEX(Baseline!$B$3:$B$122,MATCH(MIN(MAX(ROUND(($D55)/5,0)*5,5),600),Baseline!$A$3:$A$122,0))-Inputs!$B$9,INDEX(Course!$N$2:$N$19,MATCH($B55,Course!$A$2:$A$19,0))),INDEX(Baseline!$B$3:$E$122,MATCH(MIN(MAX(ROUND(($D55)/5,0)*5,5),600),Baseline!$A$3:$A$122,0),MATCH($C55,Baseline!$B$2:$E$2,0))))))</f>
        <v/>
      </c>
      <c r="O55" s="17" t="str">
        <f aca="false">IF($C55="","",IF($E55="H",0,IF($E55="G",INDEX(Baseline!$I$3:$I$102,MIN(MAX(ROUND($F55,0),1),100)),IF($E55="T",IF($M55=3,INDEX(Baseline!$B$3:$B$122,MATCH(MIN(MAX(ROUND(($F55)/5,0)*5,5),600),Baseline!$A$3:$A$122,0))-Inputs!$B$9,INDEX(Course!$N$2:$N$19,MATCH($B55,Course!$A$2:$A$19,0))),INDEX(Baseline!$B$3:$E$122,MATCH(MIN(MAX(ROUND(($F55)/5,0)*5,5),600),Baseline!$A$3:$A$122,0),MATCH($E55,Baseline!$B$2:$E$2,0))))))</f>
        <v/>
      </c>
      <c r="P55" s="17" t="str">
        <f aca="false">IF($B55="","",INDEX(Course!$N$2:$N$19,MATCH($B55,Course!$A$2:$A$19,0)))</f>
        <v/>
      </c>
      <c r="Q55" s="17" t="str">
        <f aca="false">IF($B55="","",INDEX(Course!$P$2:$P$19,MATCH($B55,Course!$A$2:$A$19,0)))</f>
        <v/>
      </c>
      <c r="R55" s="17" t="str">
        <f aca="false">IF($C55="","",IF(OR($C55="G",$C55="H"),0,IF($C55="T",1,MIN(1,MAX(0,($N55-Inputs!$B$8)/MAX($P55-Inputs!$B$8,0.01))))))</f>
        <v/>
      </c>
      <c r="S55" s="17" t="str">
        <f aca="false">IF($C55="","",IF(OR($E55="G",$E55="H"),0,IF($E55="T",1,MIN(1,MAX(0,($O55-Inputs!$B$8)/MAX($P55-Inputs!$B$8,0.01))))))</f>
        <v/>
      </c>
    </row>
    <row r="56" customFormat="false" ht="15" hidden="false" customHeight="false" outlineLevel="0" collapsed="false">
      <c r="I56" s="7" t="str">
        <f aca="false">IF($C56="","",IF($C56="G","PUTT",IF(AND($C56="T",$M56&gt;3),"OTT",IF($D56&lt;=30,"ARG","APP"))))</f>
        <v/>
      </c>
      <c r="J56" s="17" t="str">
        <f aca="false">IF($C56="","",$N56+$Q56*$R56)</f>
        <v/>
      </c>
      <c r="K56" s="17" t="str">
        <f aca="false">IF($C56="","",$O56+$Q56*$S56)</f>
        <v/>
      </c>
      <c r="L56" s="17" t="str">
        <f aca="false">IF($C56="","",$J56-$K56-1-N($G56))</f>
        <v/>
      </c>
      <c r="M56" s="7" t="str">
        <f aca="false">IF($B56="","",INDEX(Course!$B$2:$B$19,MATCH($B56,Course!$A$2:$A$19,0)))</f>
        <v/>
      </c>
      <c r="N56" s="17" t="str">
        <f aca="false">IF($C56="","",IF($C56="H",0,IF($C56="G",INDEX(Baseline!$I$3:$I$102,MIN(MAX(ROUND($D56,0),1),100)),IF($C56="T",IF($M56=3,INDEX(Baseline!$B$3:$B$122,MATCH(MIN(MAX(ROUND(($D56)/5,0)*5,5),600),Baseline!$A$3:$A$122,0))-Inputs!$B$9,INDEX(Course!$N$2:$N$19,MATCH($B56,Course!$A$2:$A$19,0))),INDEX(Baseline!$B$3:$E$122,MATCH(MIN(MAX(ROUND(($D56)/5,0)*5,5),600),Baseline!$A$3:$A$122,0),MATCH($C56,Baseline!$B$2:$E$2,0))))))</f>
        <v/>
      </c>
      <c r="O56" s="17" t="str">
        <f aca="false">IF($C56="","",IF($E56="H",0,IF($E56="G",INDEX(Baseline!$I$3:$I$102,MIN(MAX(ROUND($F56,0),1),100)),IF($E56="T",IF($M56=3,INDEX(Baseline!$B$3:$B$122,MATCH(MIN(MAX(ROUND(($F56)/5,0)*5,5),600),Baseline!$A$3:$A$122,0))-Inputs!$B$9,INDEX(Course!$N$2:$N$19,MATCH($B56,Course!$A$2:$A$19,0))),INDEX(Baseline!$B$3:$E$122,MATCH(MIN(MAX(ROUND(($F56)/5,0)*5,5),600),Baseline!$A$3:$A$122,0),MATCH($E56,Baseline!$B$2:$E$2,0))))))</f>
        <v/>
      </c>
      <c r="P56" s="17" t="str">
        <f aca="false">IF($B56="","",INDEX(Course!$N$2:$N$19,MATCH($B56,Course!$A$2:$A$19,0)))</f>
        <v/>
      </c>
      <c r="Q56" s="17" t="str">
        <f aca="false">IF($B56="","",INDEX(Course!$P$2:$P$19,MATCH($B56,Course!$A$2:$A$19,0)))</f>
        <v/>
      </c>
      <c r="R56" s="17" t="str">
        <f aca="false">IF($C56="","",IF(OR($C56="G",$C56="H"),0,IF($C56="T",1,MIN(1,MAX(0,($N56-Inputs!$B$8)/MAX($P56-Inputs!$B$8,0.01))))))</f>
        <v/>
      </c>
      <c r="S56" s="17" t="str">
        <f aca="false">IF($C56="","",IF(OR($E56="G",$E56="H"),0,IF($E56="T",1,MIN(1,MAX(0,($O56-Inputs!$B$8)/MAX($P56-Inputs!$B$8,0.01))))))</f>
        <v/>
      </c>
    </row>
    <row r="57" customFormat="false" ht="15" hidden="false" customHeight="false" outlineLevel="0" collapsed="false">
      <c r="I57" s="7" t="str">
        <f aca="false">IF($C57="","",IF($C57="G","PUTT",IF(AND($C57="T",$M57&gt;3),"OTT",IF($D57&lt;=30,"ARG","APP"))))</f>
        <v/>
      </c>
      <c r="J57" s="17" t="str">
        <f aca="false">IF($C57="","",$N57+$Q57*$R57)</f>
        <v/>
      </c>
      <c r="K57" s="17" t="str">
        <f aca="false">IF($C57="","",$O57+$Q57*$S57)</f>
        <v/>
      </c>
      <c r="L57" s="17" t="str">
        <f aca="false">IF($C57="","",$J57-$K57-1-N($G57))</f>
        <v/>
      </c>
      <c r="M57" s="7" t="str">
        <f aca="false">IF($B57="","",INDEX(Course!$B$2:$B$19,MATCH($B57,Course!$A$2:$A$19,0)))</f>
        <v/>
      </c>
      <c r="N57" s="17" t="str">
        <f aca="false">IF($C57="","",IF($C57="H",0,IF($C57="G",INDEX(Baseline!$I$3:$I$102,MIN(MAX(ROUND($D57,0),1),100)),IF($C57="T",IF($M57=3,INDEX(Baseline!$B$3:$B$122,MATCH(MIN(MAX(ROUND(($D57)/5,0)*5,5),600),Baseline!$A$3:$A$122,0))-Inputs!$B$9,INDEX(Course!$N$2:$N$19,MATCH($B57,Course!$A$2:$A$19,0))),INDEX(Baseline!$B$3:$E$122,MATCH(MIN(MAX(ROUND(($D57)/5,0)*5,5),600),Baseline!$A$3:$A$122,0),MATCH($C57,Baseline!$B$2:$E$2,0))))))</f>
        <v/>
      </c>
      <c r="O57" s="17" t="str">
        <f aca="false">IF($C57="","",IF($E57="H",0,IF($E57="G",INDEX(Baseline!$I$3:$I$102,MIN(MAX(ROUND($F57,0),1),100)),IF($E57="T",IF($M57=3,INDEX(Baseline!$B$3:$B$122,MATCH(MIN(MAX(ROUND(($F57)/5,0)*5,5),600),Baseline!$A$3:$A$122,0))-Inputs!$B$9,INDEX(Course!$N$2:$N$19,MATCH($B57,Course!$A$2:$A$19,0))),INDEX(Baseline!$B$3:$E$122,MATCH(MIN(MAX(ROUND(($F57)/5,0)*5,5),600),Baseline!$A$3:$A$122,0),MATCH($E57,Baseline!$B$2:$E$2,0))))))</f>
        <v/>
      </c>
      <c r="P57" s="17" t="str">
        <f aca="false">IF($B57="","",INDEX(Course!$N$2:$N$19,MATCH($B57,Course!$A$2:$A$19,0)))</f>
        <v/>
      </c>
      <c r="Q57" s="17" t="str">
        <f aca="false">IF($B57="","",INDEX(Course!$P$2:$P$19,MATCH($B57,Course!$A$2:$A$19,0)))</f>
        <v/>
      </c>
      <c r="R57" s="17" t="str">
        <f aca="false">IF($C57="","",IF(OR($C57="G",$C57="H"),0,IF($C57="T",1,MIN(1,MAX(0,($N57-Inputs!$B$8)/MAX($P57-Inputs!$B$8,0.01))))))</f>
        <v/>
      </c>
      <c r="S57" s="17" t="str">
        <f aca="false">IF($C57="","",IF(OR($E57="G",$E57="H"),0,IF($E57="T",1,MIN(1,MAX(0,($O57-Inputs!$B$8)/MAX($P57-Inputs!$B$8,0.01))))))</f>
        <v/>
      </c>
    </row>
    <row r="58" customFormat="false" ht="15" hidden="false" customHeight="false" outlineLevel="0" collapsed="false">
      <c r="I58" s="7" t="str">
        <f aca="false">IF($C58="","",IF($C58="G","PUTT",IF(AND($C58="T",$M58&gt;3),"OTT",IF($D58&lt;=30,"ARG","APP"))))</f>
        <v/>
      </c>
      <c r="J58" s="17" t="str">
        <f aca="false">IF($C58="","",$N58+$Q58*$R58)</f>
        <v/>
      </c>
      <c r="K58" s="17" t="str">
        <f aca="false">IF($C58="","",$O58+$Q58*$S58)</f>
        <v/>
      </c>
      <c r="L58" s="17" t="str">
        <f aca="false">IF($C58="","",$J58-$K58-1-N($G58))</f>
        <v/>
      </c>
      <c r="M58" s="7" t="str">
        <f aca="false">IF($B58="","",INDEX(Course!$B$2:$B$19,MATCH($B58,Course!$A$2:$A$19,0)))</f>
        <v/>
      </c>
      <c r="N58" s="17" t="str">
        <f aca="false">IF($C58="","",IF($C58="H",0,IF($C58="G",INDEX(Baseline!$I$3:$I$102,MIN(MAX(ROUND($D58,0),1),100)),IF($C58="T",IF($M58=3,INDEX(Baseline!$B$3:$B$122,MATCH(MIN(MAX(ROUND(($D58)/5,0)*5,5),600),Baseline!$A$3:$A$122,0))-Inputs!$B$9,INDEX(Course!$N$2:$N$19,MATCH($B58,Course!$A$2:$A$19,0))),INDEX(Baseline!$B$3:$E$122,MATCH(MIN(MAX(ROUND(($D58)/5,0)*5,5),600),Baseline!$A$3:$A$122,0),MATCH($C58,Baseline!$B$2:$E$2,0))))))</f>
        <v/>
      </c>
      <c r="O58" s="17" t="str">
        <f aca="false">IF($C58="","",IF($E58="H",0,IF($E58="G",INDEX(Baseline!$I$3:$I$102,MIN(MAX(ROUND($F58,0),1),100)),IF($E58="T",IF($M58=3,INDEX(Baseline!$B$3:$B$122,MATCH(MIN(MAX(ROUND(($F58)/5,0)*5,5),600),Baseline!$A$3:$A$122,0))-Inputs!$B$9,INDEX(Course!$N$2:$N$19,MATCH($B58,Course!$A$2:$A$19,0))),INDEX(Baseline!$B$3:$E$122,MATCH(MIN(MAX(ROUND(($F58)/5,0)*5,5),600),Baseline!$A$3:$A$122,0),MATCH($E58,Baseline!$B$2:$E$2,0))))))</f>
        <v/>
      </c>
      <c r="P58" s="17" t="str">
        <f aca="false">IF($B58="","",INDEX(Course!$N$2:$N$19,MATCH($B58,Course!$A$2:$A$19,0)))</f>
        <v/>
      </c>
      <c r="Q58" s="17" t="str">
        <f aca="false">IF($B58="","",INDEX(Course!$P$2:$P$19,MATCH($B58,Course!$A$2:$A$19,0)))</f>
        <v/>
      </c>
      <c r="R58" s="17" t="str">
        <f aca="false">IF($C58="","",IF(OR($C58="G",$C58="H"),0,IF($C58="T",1,MIN(1,MAX(0,($N58-Inputs!$B$8)/MAX($P58-Inputs!$B$8,0.01))))))</f>
        <v/>
      </c>
      <c r="S58" s="17" t="str">
        <f aca="false">IF($C58="","",IF(OR($E58="G",$E58="H"),0,IF($E58="T",1,MIN(1,MAX(0,($O58-Inputs!$B$8)/MAX($P58-Inputs!$B$8,0.01))))))</f>
        <v/>
      </c>
    </row>
    <row r="59" customFormat="false" ht="15" hidden="false" customHeight="false" outlineLevel="0" collapsed="false">
      <c r="I59" s="7" t="str">
        <f aca="false">IF($C59="","",IF($C59="G","PUTT",IF(AND($C59="T",$M59&gt;3),"OTT",IF($D59&lt;=30,"ARG","APP"))))</f>
        <v/>
      </c>
      <c r="J59" s="17" t="str">
        <f aca="false">IF($C59="","",$N59+$Q59*$R59)</f>
        <v/>
      </c>
      <c r="K59" s="17" t="str">
        <f aca="false">IF($C59="","",$O59+$Q59*$S59)</f>
        <v/>
      </c>
      <c r="L59" s="17" t="str">
        <f aca="false">IF($C59="","",$J59-$K59-1-N($G59))</f>
        <v/>
      </c>
      <c r="M59" s="7" t="str">
        <f aca="false">IF($B59="","",INDEX(Course!$B$2:$B$19,MATCH($B59,Course!$A$2:$A$19,0)))</f>
        <v/>
      </c>
      <c r="N59" s="17" t="str">
        <f aca="false">IF($C59="","",IF($C59="H",0,IF($C59="G",INDEX(Baseline!$I$3:$I$102,MIN(MAX(ROUND($D59,0),1),100)),IF($C59="T",IF($M59=3,INDEX(Baseline!$B$3:$B$122,MATCH(MIN(MAX(ROUND(($D59)/5,0)*5,5),600),Baseline!$A$3:$A$122,0))-Inputs!$B$9,INDEX(Course!$N$2:$N$19,MATCH($B59,Course!$A$2:$A$19,0))),INDEX(Baseline!$B$3:$E$122,MATCH(MIN(MAX(ROUND(($D59)/5,0)*5,5),600),Baseline!$A$3:$A$122,0),MATCH($C59,Baseline!$B$2:$E$2,0))))))</f>
        <v/>
      </c>
      <c r="O59" s="17" t="str">
        <f aca="false">IF($C59="","",IF($E59="H",0,IF($E59="G",INDEX(Baseline!$I$3:$I$102,MIN(MAX(ROUND($F59,0),1),100)),IF($E59="T",IF($M59=3,INDEX(Baseline!$B$3:$B$122,MATCH(MIN(MAX(ROUND(($F59)/5,0)*5,5),600),Baseline!$A$3:$A$122,0))-Inputs!$B$9,INDEX(Course!$N$2:$N$19,MATCH($B59,Course!$A$2:$A$19,0))),INDEX(Baseline!$B$3:$E$122,MATCH(MIN(MAX(ROUND(($F59)/5,0)*5,5),600),Baseline!$A$3:$A$122,0),MATCH($E59,Baseline!$B$2:$E$2,0))))))</f>
        <v/>
      </c>
      <c r="P59" s="17" t="str">
        <f aca="false">IF($B59="","",INDEX(Course!$N$2:$N$19,MATCH($B59,Course!$A$2:$A$19,0)))</f>
        <v/>
      </c>
      <c r="Q59" s="17" t="str">
        <f aca="false">IF($B59="","",INDEX(Course!$P$2:$P$19,MATCH($B59,Course!$A$2:$A$19,0)))</f>
        <v/>
      </c>
      <c r="R59" s="17" t="str">
        <f aca="false">IF($C59="","",IF(OR($C59="G",$C59="H"),0,IF($C59="T",1,MIN(1,MAX(0,($N59-Inputs!$B$8)/MAX($P59-Inputs!$B$8,0.01))))))</f>
        <v/>
      </c>
      <c r="S59" s="17" t="str">
        <f aca="false">IF($C59="","",IF(OR($E59="G",$E59="H"),0,IF($E59="T",1,MIN(1,MAX(0,($O59-Inputs!$B$8)/MAX($P59-Inputs!$B$8,0.01))))))</f>
        <v/>
      </c>
    </row>
    <row r="60" customFormat="false" ht="15" hidden="false" customHeight="false" outlineLevel="0" collapsed="false">
      <c r="I60" s="7" t="str">
        <f aca="false">IF($C60="","",IF($C60="G","PUTT",IF(AND($C60="T",$M60&gt;3),"OTT",IF($D60&lt;=30,"ARG","APP"))))</f>
        <v/>
      </c>
      <c r="J60" s="17" t="str">
        <f aca="false">IF($C60="","",$N60+$Q60*$R60)</f>
        <v/>
      </c>
      <c r="K60" s="17" t="str">
        <f aca="false">IF($C60="","",$O60+$Q60*$S60)</f>
        <v/>
      </c>
      <c r="L60" s="17" t="str">
        <f aca="false">IF($C60="","",$J60-$K60-1-N($G60))</f>
        <v/>
      </c>
      <c r="M60" s="7" t="str">
        <f aca="false">IF($B60="","",INDEX(Course!$B$2:$B$19,MATCH($B60,Course!$A$2:$A$19,0)))</f>
        <v/>
      </c>
      <c r="N60" s="17" t="str">
        <f aca="false">IF($C60="","",IF($C60="H",0,IF($C60="G",INDEX(Baseline!$I$3:$I$102,MIN(MAX(ROUND($D60,0),1),100)),IF($C60="T",IF($M60=3,INDEX(Baseline!$B$3:$B$122,MATCH(MIN(MAX(ROUND(($D60)/5,0)*5,5),600),Baseline!$A$3:$A$122,0))-Inputs!$B$9,INDEX(Course!$N$2:$N$19,MATCH($B60,Course!$A$2:$A$19,0))),INDEX(Baseline!$B$3:$E$122,MATCH(MIN(MAX(ROUND(($D60)/5,0)*5,5),600),Baseline!$A$3:$A$122,0),MATCH($C60,Baseline!$B$2:$E$2,0))))))</f>
        <v/>
      </c>
      <c r="O60" s="17" t="str">
        <f aca="false">IF($C60="","",IF($E60="H",0,IF($E60="G",INDEX(Baseline!$I$3:$I$102,MIN(MAX(ROUND($F60,0),1),100)),IF($E60="T",IF($M60=3,INDEX(Baseline!$B$3:$B$122,MATCH(MIN(MAX(ROUND(($F60)/5,0)*5,5),600),Baseline!$A$3:$A$122,0))-Inputs!$B$9,INDEX(Course!$N$2:$N$19,MATCH($B60,Course!$A$2:$A$19,0))),INDEX(Baseline!$B$3:$E$122,MATCH(MIN(MAX(ROUND(($F60)/5,0)*5,5),600),Baseline!$A$3:$A$122,0),MATCH($E60,Baseline!$B$2:$E$2,0))))))</f>
        <v/>
      </c>
      <c r="P60" s="17" t="str">
        <f aca="false">IF($B60="","",INDEX(Course!$N$2:$N$19,MATCH($B60,Course!$A$2:$A$19,0)))</f>
        <v/>
      </c>
      <c r="Q60" s="17" t="str">
        <f aca="false">IF($B60="","",INDEX(Course!$P$2:$P$19,MATCH($B60,Course!$A$2:$A$19,0)))</f>
        <v/>
      </c>
      <c r="R60" s="17" t="str">
        <f aca="false">IF($C60="","",IF(OR($C60="G",$C60="H"),0,IF($C60="T",1,MIN(1,MAX(0,($N60-Inputs!$B$8)/MAX($P60-Inputs!$B$8,0.01))))))</f>
        <v/>
      </c>
      <c r="S60" s="17" t="str">
        <f aca="false">IF($C60="","",IF(OR($E60="G",$E60="H"),0,IF($E60="T",1,MIN(1,MAX(0,($O60-Inputs!$B$8)/MAX($P60-Inputs!$B$8,0.01))))))</f>
        <v/>
      </c>
    </row>
    <row r="61" customFormat="false" ht="15" hidden="false" customHeight="false" outlineLevel="0" collapsed="false">
      <c r="I61" s="7" t="str">
        <f aca="false">IF($C61="","",IF($C61="G","PUTT",IF(AND($C61="T",$M61&gt;3),"OTT",IF($D61&lt;=30,"ARG","APP"))))</f>
        <v/>
      </c>
      <c r="J61" s="17" t="str">
        <f aca="false">IF($C61="","",$N61+$Q61*$R61)</f>
        <v/>
      </c>
      <c r="K61" s="17" t="str">
        <f aca="false">IF($C61="","",$O61+$Q61*$S61)</f>
        <v/>
      </c>
      <c r="L61" s="17" t="str">
        <f aca="false">IF($C61="","",$J61-$K61-1-N($G61))</f>
        <v/>
      </c>
      <c r="M61" s="7" t="str">
        <f aca="false">IF($B61="","",INDEX(Course!$B$2:$B$19,MATCH($B61,Course!$A$2:$A$19,0)))</f>
        <v/>
      </c>
      <c r="N61" s="17" t="str">
        <f aca="false">IF($C61="","",IF($C61="H",0,IF($C61="G",INDEX(Baseline!$I$3:$I$102,MIN(MAX(ROUND($D61,0),1),100)),IF($C61="T",IF($M61=3,INDEX(Baseline!$B$3:$B$122,MATCH(MIN(MAX(ROUND(($D61)/5,0)*5,5),600),Baseline!$A$3:$A$122,0))-Inputs!$B$9,INDEX(Course!$N$2:$N$19,MATCH($B61,Course!$A$2:$A$19,0))),INDEX(Baseline!$B$3:$E$122,MATCH(MIN(MAX(ROUND(($D61)/5,0)*5,5),600),Baseline!$A$3:$A$122,0),MATCH($C61,Baseline!$B$2:$E$2,0))))))</f>
        <v/>
      </c>
      <c r="O61" s="17" t="str">
        <f aca="false">IF($C61="","",IF($E61="H",0,IF($E61="G",INDEX(Baseline!$I$3:$I$102,MIN(MAX(ROUND($F61,0),1),100)),IF($E61="T",IF($M61=3,INDEX(Baseline!$B$3:$B$122,MATCH(MIN(MAX(ROUND(($F61)/5,0)*5,5),600),Baseline!$A$3:$A$122,0))-Inputs!$B$9,INDEX(Course!$N$2:$N$19,MATCH($B61,Course!$A$2:$A$19,0))),INDEX(Baseline!$B$3:$E$122,MATCH(MIN(MAX(ROUND(($F61)/5,0)*5,5),600),Baseline!$A$3:$A$122,0),MATCH($E61,Baseline!$B$2:$E$2,0))))))</f>
        <v/>
      </c>
      <c r="P61" s="17" t="str">
        <f aca="false">IF($B61="","",INDEX(Course!$N$2:$N$19,MATCH($B61,Course!$A$2:$A$19,0)))</f>
        <v/>
      </c>
      <c r="Q61" s="17" t="str">
        <f aca="false">IF($B61="","",INDEX(Course!$P$2:$P$19,MATCH($B61,Course!$A$2:$A$19,0)))</f>
        <v/>
      </c>
      <c r="R61" s="17" t="str">
        <f aca="false">IF($C61="","",IF(OR($C61="G",$C61="H"),0,IF($C61="T",1,MIN(1,MAX(0,($N61-Inputs!$B$8)/MAX($P61-Inputs!$B$8,0.01))))))</f>
        <v/>
      </c>
      <c r="S61" s="17" t="str">
        <f aca="false">IF($C61="","",IF(OR($E61="G",$E61="H"),0,IF($E61="T",1,MIN(1,MAX(0,($O61-Inputs!$B$8)/MAX($P61-Inputs!$B$8,0.01))))))</f>
        <v/>
      </c>
    </row>
    <row r="62" customFormat="false" ht="15" hidden="false" customHeight="false" outlineLevel="0" collapsed="false">
      <c r="I62" s="7" t="str">
        <f aca="false">IF($C62="","",IF($C62="G","PUTT",IF(AND($C62="T",$M62&gt;3),"OTT",IF($D62&lt;=30,"ARG","APP"))))</f>
        <v/>
      </c>
      <c r="J62" s="17" t="str">
        <f aca="false">IF($C62="","",$N62+$Q62*$R62)</f>
        <v/>
      </c>
      <c r="K62" s="17" t="str">
        <f aca="false">IF($C62="","",$O62+$Q62*$S62)</f>
        <v/>
      </c>
      <c r="L62" s="17" t="str">
        <f aca="false">IF($C62="","",$J62-$K62-1-N($G62))</f>
        <v/>
      </c>
      <c r="M62" s="7" t="str">
        <f aca="false">IF($B62="","",INDEX(Course!$B$2:$B$19,MATCH($B62,Course!$A$2:$A$19,0)))</f>
        <v/>
      </c>
      <c r="N62" s="17" t="str">
        <f aca="false">IF($C62="","",IF($C62="H",0,IF($C62="G",INDEX(Baseline!$I$3:$I$102,MIN(MAX(ROUND($D62,0),1),100)),IF($C62="T",IF($M62=3,INDEX(Baseline!$B$3:$B$122,MATCH(MIN(MAX(ROUND(($D62)/5,0)*5,5),600),Baseline!$A$3:$A$122,0))-Inputs!$B$9,INDEX(Course!$N$2:$N$19,MATCH($B62,Course!$A$2:$A$19,0))),INDEX(Baseline!$B$3:$E$122,MATCH(MIN(MAX(ROUND(($D62)/5,0)*5,5),600),Baseline!$A$3:$A$122,0),MATCH($C62,Baseline!$B$2:$E$2,0))))))</f>
        <v/>
      </c>
      <c r="O62" s="17" t="str">
        <f aca="false">IF($C62="","",IF($E62="H",0,IF($E62="G",INDEX(Baseline!$I$3:$I$102,MIN(MAX(ROUND($F62,0),1),100)),IF($E62="T",IF($M62=3,INDEX(Baseline!$B$3:$B$122,MATCH(MIN(MAX(ROUND(($F62)/5,0)*5,5),600),Baseline!$A$3:$A$122,0))-Inputs!$B$9,INDEX(Course!$N$2:$N$19,MATCH($B62,Course!$A$2:$A$19,0))),INDEX(Baseline!$B$3:$E$122,MATCH(MIN(MAX(ROUND(($F62)/5,0)*5,5),600),Baseline!$A$3:$A$122,0),MATCH($E62,Baseline!$B$2:$E$2,0))))))</f>
        <v/>
      </c>
      <c r="P62" s="17" t="str">
        <f aca="false">IF($B62="","",INDEX(Course!$N$2:$N$19,MATCH($B62,Course!$A$2:$A$19,0)))</f>
        <v/>
      </c>
      <c r="Q62" s="17" t="str">
        <f aca="false">IF($B62="","",INDEX(Course!$P$2:$P$19,MATCH($B62,Course!$A$2:$A$19,0)))</f>
        <v/>
      </c>
      <c r="R62" s="17" t="str">
        <f aca="false">IF($C62="","",IF(OR($C62="G",$C62="H"),0,IF($C62="T",1,MIN(1,MAX(0,($N62-Inputs!$B$8)/MAX($P62-Inputs!$B$8,0.01))))))</f>
        <v/>
      </c>
      <c r="S62" s="17" t="str">
        <f aca="false">IF($C62="","",IF(OR($E62="G",$E62="H"),0,IF($E62="T",1,MIN(1,MAX(0,($O62-Inputs!$B$8)/MAX($P62-Inputs!$B$8,0.01))))))</f>
        <v/>
      </c>
    </row>
    <row r="63" customFormat="false" ht="15" hidden="false" customHeight="false" outlineLevel="0" collapsed="false">
      <c r="I63" s="7" t="str">
        <f aca="false">IF($C63="","",IF($C63="G","PUTT",IF(AND($C63="T",$M63&gt;3),"OTT",IF($D63&lt;=30,"ARG","APP"))))</f>
        <v/>
      </c>
      <c r="J63" s="17" t="str">
        <f aca="false">IF($C63="","",$N63+$Q63*$R63)</f>
        <v/>
      </c>
      <c r="K63" s="17" t="str">
        <f aca="false">IF($C63="","",$O63+$Q63*$S63)</f>
        <v/>
      </c>
      <c r="L63" s="17" t="str">
        <f aca="false">IF($C63="","",$J63-$K63-1-N($G63))</f>
        <v/>
      </c>
      <c r="M63" s="7" t="str">
        <f aca="false">IF($B63="","",INDEX(Course!$B$2:$B$19,MATCH($B63,Course!$A$2:$A$19,0)))</f>
        <v/>
      </c>
      <c r="N63" s="17" t="str">
        <f aca="false">IF($C63="","",IF($C63="H",0,IF($C63="G",INDEX(Baseline!$I$3:$I$102,MIN(MAX(ROUND($D63,0),1),100)),IF($C63="T",IF($M63=3,INDEX(Baseline!$B$3:$B$122,MATCH(MIN(MAX(ROUND(($D63)/5,0)*5,5),600),Baseline!$A$3:$A$122,0))-Inputs!$B$9,INDEX(Course!$N$2:$N$19,MATCH($B63,Course!$A$2:$A$19,0))),INDEX(Baseline!$B$3:$E$122,MATCH(MIN(MAX(ROUND(($D63)/5,0)*5,5),600),Baseline!$A$3:$A$122,0),MATCH($C63,Baseline!$B$2:$E$2,0))))))</f>
        <v/>
      </c>
      <c r="O63" s="17" t="str">
        <f aca="false">IF($C63="","",IF($E63="H",0,IF($E63="G",INDEX(Baseline!$I$3:$I$102,MIN(MAX(ROUND($F63,0),1),100)),IF($E63="T",IF($M63=3,INDEX(Baseline!$B$3:$B$122,MATCH(MIN(MAX(ROUND(($F63)/5,0)*5,5),600),Baseline!$A$3:$A$122,0))-Inputs!$B$9,INDEX(Course!$N$2:$N$19,MATCH($B63,Course!$A$2:$A$19,0))),INDEX(Baseline!$B$3:$E$122,MATCH(MIN(MAX(ROUND(($F63)/5,0)*5,5),600),Baseline!$A$3:$A$122,0),MATCH($E63,Baseline!$B$2:$E$2,0))))))</f>
        <v/>
      </c>
      <c r="P63" s="17" t="str">
        <f aca="false">IF($B63="","",INDEX(Course!$N$2:$N$19,MATCH($B63,Course!$A$2:$A$19,0)))</f>
        <v/>
      </c>
      <c r="Q63" s="17" t="str">
        <f aca="false">IF($B63="","",INDEX(Course!$P$2:$P$19,MATCH($B63,Course!$A$2:$A$19,0)))</f>
        <v/>
      </c>
      <c r="R63" s="17" t="str">
        <f aca="false">IF($C63="","",IF(OR($C63="G",$C63="H"),0,IF($C63="T",1,MIN(1,MAX(0,($N63-Inputs!$B$8)/MAX($P63-Inputs!$B$8,0.01))))))</f>
        <v/>
      </c>
      <c r="S63" s="17" t="str">
        <f aca="false">IF($C63="","",IF(OR($E63="G",$E63="H"),0,IF($E63="T",1,MIN(1,MAX(0,($O63-Inputs!$B$8)/MAX($P63-Inputs!$B$8,0.01))))))</f>
        <v/>
      </c>
    </row>
    <row r="64" customFormat="false" ht="15" hidden="false" customHeight="false" outlineLevel="0" collapsed="false">
      <c r="I64" s="7" t="str">
        <f aca="false">IF($C64="","",IF($C64="G","PUTT",IF(AND($C64="T",$M64&gt;3),"OTT",IF($D64&lt;=30,"ARG","APP"))))</f>
        <v/>
      </c>
      <c r="J64" s="17" t="str">
        <f aca="false">IF($C64="","",$N64+$Q64*$R64)</f>
        <v/>
      </c>
      <c r="K64" s="17" t="str">
        <f aca="false">IF($C64="","",$O64+$Q64*$S64)</f>
        <v/>
      </c>
      <c r="L64" s="17" t="str">
        <f aca="false">IF($C64="","",$J64-$K64-1-N($G64))</f>
        <v/>
      </c>
      <c r="M64" s="7" t="str">
        <f aca="false">IF($B64="","",INDEX(Course!$B$2:$B$19,MATCH($B64,Course!$A$2:$A$19,0)))</f>
        <v/>
      </c>
      <c r="N64" s="17" t="str">
        <f aca="false">IF($C64="","",IF($C64="H",0,IF($C64="G",INDEX(Baseline!$I$3:$I$102,MIN(MAX(ROUND($D64,0),1),100)),IF($C64="T",IF($M64=3,INDEX(Baseline!$B$3:$B$122,MATCH(MIN(MAX(ROUND(($D64)/5,0)*5,5),600),Baseline!$A$3:$A$122,0))-Inputs!$B$9,INDEX(Course!$N$2:$N$19,MATCH($B64,Course!$A$2:$A$19,0))),INDEX(Baseline!$B$3:$E$122,MATCH(MIN(MAX(ROUND(($D64)/5,0)*5,5),600),Baseline!$A$3:$A$122,0),MATCH($C64,Baseline!$B$2:$E$2,0))))))</f>
        <v/>
      </c>
      <c r="O64" s="17" t="str">
        <f aca="false">IF($C64="","",IF($E64="H",0,IF($E64="G",INDEX(Baseline!$I$3:$I$102,MIN(MAX(ROUND($F64,0),1),100)),IF($E64="T",IF($M64=3,INDEX(Baseline!$B$3:$B$122,MATCH(MIN(MAX(ROUND(($F64)/5,0)*5,5),600),Baseline!$A$3:$A$122,0))-Inputs!$B$9,INDEX(Course!$N$2:$N$19,MATCH($B64,Course!$A$2:$A$19,0))),INDEX(Baseline!$B$3:$E$122,MATCH(MIN(MAX(ROUND(($F64)/5,0)*5,5),600),Baseline!$A$3:$A$122,0),MATCH($E64,Baseline!$B$2:$E$2,0))))))</f>
        <v/>
      </c>
      <c r="P64" s="17" t="str">
        <f aca="false">IF($B64="","",INDEX(Course!$N$2:$N$19,MATCH($B64,Course!$A$2:$A$19,0)))</f>
        <v/>
      </c>
      <c r="Q64" s="17" t="str">
        <f aca="false">IF($B64="","",INDEX(Course!$P$2:$P$19,MATCH($B64,Course!$A$2:$A$19,0)))</f>
        <v/>
      </c>
      <c r="R64" s="17" t="str">
        <f aca="false">IF($C64="","",IF(OR($C64="G",$C64="H"),0,IF($C64="T",1,MIN(1,MAX(0,($N64-Inputs!$B$8)/MAX($P64-Inputs!$B$8,0.01))))))</f>
        <v/>
      </c>
      <c r="S64" s="17" t="str">
        <f aca="false">IF($C64="","",IF(OR($E64="G",$E64="H"),0,IF($E64="T",1,MIN(1,MAX(0,($O64-Inputs!$B$8)/MAX($P64-Inputs!$B$8,0.01))))))</f>
        <v/>
      </c>
    </row>
    <row r="65" customFormat="false" ht="15" hidden="false" customHeight="false" outlineLevel="0" collapsed="false">
      <c r="I65" s="7" t="str">
        <f aca="false">IF($C65="","",IF($C65="G","PUTT",IF(AND($C65="T",$M65&gt;3),"OTT",IF($D65&lt;=30,"ARG","APP"))))</f>
        <v/>
      </c>
      <c r="J65" s="17" t="str">
        <f aca="false">IF($C65="","",$N65+$Q65*$R65)</f>
        <v/>
      </c>
      <c r="K65" s="17" t="str">
        <f aca="false">IF($C65="","",$O65+$Q65*$S65)</f>
        <v/>
      </c>
      <c r="L65" s="17" t="str">
        <f aca="false">IF($C65="","",$J65-$K65-1-N($G65))</f>
        <v/>
      </c>
      <c r="M65" s="7" t="str">
        <f aca="false">IF($B65="","",INDEX(Course!$B$2:$B$19,MATCH($B65,Course!$A$2:$A$19,0)))</f>
        <v/>
      </c>
      <c r="N65" s="17" t="str">
        <f aca="false">IF($C65="","",IF($C65="H",0,IF($C65="G",INDEX(Baseline!$I$3:$I$102,MIN(MAX(ROUND($D65,0),1),100)),IF($C65="T",IF($M65=3,INDEX(Baseline!$B$3:$B$122,MATCH(MIN(MAX(ROUND(($D65)/5,0)*5,5),600),Baseline!$A$3:$A$122,0))-Inputs!$B$9,INDEX(Course!$N$2:$N$19,MATCH($B65,Course!$A$2:$A$19,0))),INDEX(Baseline!$B$3:$E$122,MATCH(MIN(MAX(ROUND(($D65)/5,0)*5,5),600),Baseline!$A$3:$A$122,0),MATCH($C65,Baseline!$B$2:$E$2,0))))))</f>
        <v/>
      </c>
      <c r="O65" s="17" t="str">
        <f aca="false">IF($C65="","",IF($E65="H",0,IF($E65="G",INDEX(Baseline!$I$3:$I$102,MIN(MAX(ROUND($F65,0),1),100)),IF($E65="T",IF($M65=3,INDEX(Baseline!$B$3:$B$122,MATCH(MIN(MAX(ROUND(($F65)/5,0)*5,5),600),Baseline!$A$3:$A$122,0))-Inputs!$B$9,INDEX(Course!$N$2:$N$19,MATCH($B65,Course!$A$2:$A$19,0))),INDEX(Baseline!$B$3:$E$122,MATCH(MIN(MAX(ROUND(($F65)/5,0)*5,5),600),Baseline!$A$3:$A$122,0),MATCH($E65,Baseline!$B$2:$E$2,0))))))</f>
        <v/>
      </c>
      <c r="P65" s="17" t="str">
        <f aca="false">IF($B65="","",INDEX(Course!$N$2:$N$19,MATCH($B65,Course!$A$2:$A$19,0)))</f>
        <v/>
      </c>
      <c r="Q65" s="17" t="str">
        <f aca="false">IF($B65="","",INDEX(Course!$P$2:$P$19,MATCH($B65,Course!$A$2:$A$19,0)))</f>
        <v/>
      </c>
      <c r="R65" s="17" t="str">
        <f aca="false">IF($C65="","",IF(OR($C65="G",$C65="H"),0,IF($C65="T",1,MIN(1,MAX(0,($N65-Inputs!$B$8)/MAX($P65-Inputs!$B$8,0.01))))))</f>
        <v/>
      </c>
      <c r="S65" s="17" t="str">
        <f aca="false">IF($C65="","",IF(OR($E65="G",$E65="H"),0,IF($E65="T",1,MIN(1,MAX(0,($O65-Inputs!$B$8)/MAX($P65-Inputs!$B$8,0.01))))))</f>
        <v/>
      </c>
    </row>
    <row r="66" customFormat="false" ht="15" hidden="false" customHeight="false" outlineLevel="0" collapsed="false">
      <c r="I66" s="7" t="str">
        <f aca="false">IF($C66="","",IF($C66="G","PUTT",IF(AND($C66="T",$M66&gt;3),"OTT",IF($D66&lt;=30,"ARG","APP"))))</f>
        <v/>
      </c>
      <c r="J66" s="17" t="str">
        <f aca="false">IF($C66="","",$N66+$Q66*$R66)</f>
        <v/>
      </c>
      <c r="K66" s="17" t="str">
        <f aca="false">IF($C66="","",$O66+$Q66*$S66)</f>
        <v/>
      </c>
      <c r="L66" s="17" t="str">
        <f aca="false">IF($C66="","",$J66-$K66-1-N($G66))</f>
        <v/>
      </c>
      <c r="M66" s="7" t="str">
        <f aca="false">IF($B66="","",INDEX(Course!$B$2:$B$19,MATCH($B66,Course!$A$2:$A$19,0)))</f>
        <v/>
      </c>
      <c r="N66" s="17" t="str">
        <f aca="false">IF($C66="","",IF($C66="H",0,IF($C66="G",INDEX(Baseline!$I$3:$I$102,MIN(MAX(ROUND($D66,0),1),100)),IF($C66="T",IF($M66=3,INDEX(Baseline!$B$3:$B$122,MATCH(MIN(MAX(ROUND(($D66)/5,0)*5,5),600),Baseline!$A$3:$A$122,0))-Inputs!$B$9,INDEX(Course!$N$2:$N$19,MATCH($B66,Course!$A$2:$A$19,0))),INDEX(Baseline!$B$3:$E$122,MATCH(MIN(MAX(ROUND(($D66)/5,0)*5,5),600),Baseline!$A$3:$A$122,0),MATCH($C66,Baseline!$B$2:$E$2,0))))))</f>
        <v/>
      </c>
      <c r="O66" s="17" t="str">
        <f aca="false">IF($C66="","",IF($E66="H",0,IF($E66="G",INDEX(Baseline!$I$3:$I$102,MIN(MAX(ROUND($F66,0),1),100)),IF($E66="T",IF($M66=3,INDEX(Baseline!$B$3:$B$122,MATCH(MIN(MAX(ROUND(($F66)/5,0)*5,5),600),Baseline!$A$3:$A$122,0))-Inputs!$B$9,INDEX(Course!$N$2:$N$19,MATCH($B66,Course!$A$2:$A$19,0))),INDEX(Baseline!$B$3:$E$122,MATCH(MIN(MAX(ROUND(($F66)/5,0)*5,5),600),Baseline!$A$3:$A$122,0),MATCH($E66,Baseline!$B$2:$E$2,0))))))</f>
        <v/>
      </c>
      <c r="P66" s="17" t="str">
        <f aca="false">IF($B66="","",INDEX(Course!$N$2:$N$19,MATCH($B66,Course!$A$2:$A$19,0)))</f>
        <v/>
      </c>
      <c r="Q66" s="17" t="str">
        <f aca="false">IF($B66="","",INDEX(Course!$P$2:$P$19,MATCH($B66,Course!$A$2:$A$19,0)))</f>
        <v/>
      </c>
      <c r="R66" s="17" t="str">
        <f aca="false">IF($C66="","",IF(OR($C66="G",$C66="H"),0,IF($C66="T",1,MIN(1,MAX(0,($N66-Inputs!$B$8)/MAX($P66-Inputs!$B$8,0.01))))))</f>
        <v/>
      </c>
      <c r="S66" s="17" t="str">
        <f aca="false">IF($C66="","",IF(OR($E66="G",$E66="H"),0,IF($E66="T",1,MIN(1,MAX(0,($O66-Inputs!$B$8)/MAX($P66-Inputs!$B$8,0.01))))))</f>
        <v/>
      </c>
    </row>
    <row r="67" customFormat="false" ht="15" hidden="false" customHeight="false" outlineLevel="0" collapsed="false">
      <c r="I67" s="7" t="str">
        <f aca="false">IF($C67="","",IF($C67="G","PUTT",IF(AND($C67="T",$M67&gt;3),"OTT",IF($D67&lt;=30,"ARG","APP"))))</f>
        <v/>
      </c>
      <c r="J67" s="17" t="str">
        <f aca="false">IF($C67="","",$N67+$Q67*$R67)</f>
        <v/>
      </c>
      <c r="K67" s="17" t="str">
        <f aca="false">IF($C67="","",$O67+$Q67*$S67)</f>
        <v/>
      </c>
      <c r="L67" s="17" t="str">
        <f aca="false">IF($C67="","",$J67-$K67-1-N($G67))</f>
        <v/>
      </c>
      <c r="M67" s="7" t="str">
        <f aca="false">IF($B67="","",INDEX(Course!$B$2:$B$19,MATCH($B67,Course!$A$2:$A$19,0)))</f>
        <v/>
      </c>
      <c r="N67" s="17" t="str">
        <f aca="false">IF($C67="","",IF($C67="H",0,IF($C67="G",INDEX(Baseline!$I$3:$I$102,MIN(MAX(ROUND($D67,0),1),100)),IF($C67="T",IF($M67=3,INDEX(Baseline!$B$3:$B$122,MATCH(MIN(MAX(ROUND(($D67)/5,0)*5,5),600),Baseline!$A$3:$A$122,0))-Inputs!$B$9,INDEX(Course!$N$2:$N$19,MATCH($B67,Course!$A$2:$A$19,0))),INDEX(Baseline!$B$3:$E$122,MATCH(MIN(MAX(ROUND(($D67)/5,0)*5,5),600),Baseline!$A$3:$A$122,0),MATCH($C67,Baseline!$B$2:$E$2,0))))))</f>
        <v/>
      </c>
      <c r="O67" s="17" t="str">
        <f aca="false">IF($C67="","",IF($E67="H",0,IF($E67="G",INDEX(Baseline!$I$3:$I$102,MIN(MAX(ROUND($F67,0),1),100)),IF($E67="T",IF($M67=3,INDEX(Baseline!$B$3:$B$122,MATCH(MIN(MAX(ROUND(($F67)/5,0)*5,5),600),Baseline!$A$3:$A$122,0))-Inputs!$B$9,INDEX(Course!$N$2:$N$19,MATCH($B67,Course!$A$2:$A$19,0))),INDEX(Baseline!$B$3:$E$122,MATCH(MIN(MAX(ROUND(($F67)/5,0)*5,5),600),Baseline!$A$3:$A$122,0),MATCH($E67,Baseline!$B$2:$E$2,0))))))</f>
        <v/>
      </c>
      <c r="P67" s="17" t="str">
        <f aca="false">IF($B67="","",INDEX(Course!$N$2:$N$19,MATCH($B67,Course!$A$2:$A$19,0)))</f>
        <v/>
      </c>
      <c r="Q67" s="17" t="str">
        <f aca="false">IF($B67="","",INDEX(Course!$P$2:$P$19,MATCH($B67,Course!$A$2:$A$19,0)))</f>
        <v/>
      </c>
      <c r="R67" s="17" t="str">
        <f aca="false">IF($C67="","",IF(OR($C67="G",$C67="H"),0,IF($C67="T",1,MIN(1,MAX(0,($N67-Inputs!$B$8)/MAX($P67-Inputs!$B$8,0.01))))))</f>
        <v/>
      </c>
      <c r="S67" s="17" t="str">
        <f aca="false">IF($C67="","",IF(OR($E67="G",$E67="H"),0,IF($E67="T",1,MIN(1,MAX(0,($O67-Inputs!$B$8)/MAX($P67-Inputs!$B$8,0.01))))))</f>
        <v/>
      </c>
    </row>
    <row r="68" customFormat="false" ht="15" hidden="false" customHeight="false" outlineLevel="0" collapsed="false">
      <c r="I68" s="7" t="str">
        <f aca="false">IF($C68="","",IF($C68="G","PUTT",IF(AND($C68="T",$M68&gt;3),"OTT",IF($D68&lt;=30,"ARG","APP"))))</f>
        <v/>
      </c>
      <c r="J68" s="17" t="str">
        <f aca="false">IF($C68="","",$N68+$Q68*$R68)</f>
        <v/>
      </c>
      <c r="K68" s="17" t="str">
        <f aca="false">IF($C68="","",$O68+$Q68*$S68)</f>
        <v/>
      </c>
      <c r="L68" s="17" t="str">
        <f aca="false">IF($C68="","",$J68-$K68-1-N($G68))</f>
        <v/>
      </c>
      <c r="M68" s="7" t="str">
        <f aca="false">IF($B68="","",INDEX(Course!$B$2:$B$19,MATCH($B68,Course!$A$2:$A$19,0)))</f>
        <v/>
      </c>
      <c r="N68" s="17" t="str">
        <f aca="false">IF($C68="","",IF($C68="H",0,IF($C68="G",INDEX(Baseline!$I$3:$I$102,MIN(MAX(ROUND($D68,0),1),100)),IF($C68="T",IF($M68=3,INDEX(Baseline!$B$3:$B$122,MATCH(MIN(MAX(ROUND(($D68)/5,0)*5,5),600),Baseline!$A$3:$A$122,0))-Inputs!$B$9,INDEX(Course!$N$2:$N$19,MATCH($B68,Course!$A$2:$A$19,0))),INDEX(Baseline!$B$3:$E$122,MATCH(MIN(MAX(ROUND(($D68)/5,0)*5,5),600),Baseline!$A$3:$A$122,0),MATCH($C68,Baseline!$B$2:$E$2,0))))))</f>
        <v/>
      </c>
      <c r="O68" s="17" t="str">
        <f aca="false">IF($C68="","",IF($E68="H",0,IF($E68="G",INDEX(Baseline!$I$3:$I$102,MIN(MAX(ROUND($F68,0),1),100)),IF($E68="T",IF($M68=3,INDEX(Baseline!$B$3:$B$122,MATCH(MIN(MAX(ROUND(($F68)/5,0)*5,5),600),Baseline!$A$3:$A$122,0))-Inputs!$B$9,INDEX(Course!$N$2:$N$19,MATCH($B68,Course!$A$2:$A$19,0))),INDEX(Baseline!$B$3:$E$122,MATCH(MIN(MAX(ROUND(($F68)/5,0)*5,5),600),Baseline!$A$3:$A$122,0),MATCH($E68,Baseline!$B$2:$E$2,0))))))</f>
        <v/>
      </c>
      <c r="P68" s="17" t="str">
        <f aca="false">IF($B68="","",INDEX(Course!$N$2:$N$19,MATCH($B68,Course!$A$2:$A$19,0)))</f>
        <v/>
      </c>
      <c r="Q68" s="17" t="str">
        <f aca="false">IF($B68="","",INDEX(Course!$P$2:$P$19,MATCH($B68,Course!$A$2:$A$19,0)))</f>
        <v/>
      </c>
      <c r="R68" s="17" t="str">
        <f aca="false">IF($C68="","",IF(OR($C68="G",$C68="H"),0,IF($C68="T",1,MIN(1,MAX(0,($N68-Inputs!$B$8)/MAX($P68-Inputs!$B$8,0.01))))))</f>
        <v/>
      </c>
      <c r="S68" s="17" t="str">
        <f aca="false">IF($C68="","",IF(OR($E68="G",$E68="H"),0,IF($E68="T",1,MIN(1,MAX(0,($O68-Inputs!$B$8)/MAX($P68-Inputs!$B$8,0.01))))))</f>
        <v/>
      </c>
    </row>
    <row r="69" customFormat="false" ht="15" hidden="false" customHeight="false" outlineLevel="0" collapsed="false">
      <c r="I69" s="7" t="str">
        <f aca="false">IF($C69="","",IF($C69="G","PUTT",IF(AND($C69="T",$M69&gt;3),"OTT",IF($D69&lt;=30,"ARG","APP"))))</f>
        <v/>
      </c>
      <c r="J69" s="17" t="str">
        <f aca="false">IF($C69="","",$N69+$Q69*$R69)</f>
        <v/>
      </c>
      <c r="K69" s="17" t="str">
        <f aca="false">IF($C69="","",$O69+$Q69*$S69)</f>
        <v/>
      </c>
      <c r="L69" s="17" t="str">
        <f aca="false">IF($C69="","",$J69-$K69-1-N($G69))</f>
        <v/>
      </c>
      <c r="M69" s="7" t="str">
        <f aca="false">IF($B69="","",INDEX(Course!$B$2:$B$19,MATCH($B69,Course!$A$2:$A$19,0)))</f>
        <v/>
      </c>
      <c r="N69" s="17" t="str">
        <f aca="false">IF($C69="","",IF($C69="H",0,IF($C69="G",INDEX(Baseline!$I$3:$I$102,MIN(MAX(ROUND($D69,0),1),100)),IF($C69="T",IF($M69=3,INDEX(Baseline!$B$3:$B$122,MATCH(MIN(MAX(ROUND(($D69)/5,0)*5,5),600),Baseline!$A$3:$A$122,0))-Inputs!$B$9,INDEX(Course!$N$2:$N$19,MATCH($B69,Course!$A$2:$A$19,0))),INDEX(Baseline!$B$3:$E$122,MATCH(MIN(MAX(ROUND(($D69)/5,0)*5,5),600),Baseline!$A$3:$A$122,0),MATCH($C69,Baseline!$B$2:$E$2,0))))))</f>
        <v/>
      </c>
      <c r="O69" s="17" t="str">
        <f aca="false">IF($C69="","",IF($E69="H",0,IF($E69="G",INDEX(Baseline!$I$3:$I$102,MIN(MAX(ROUND($F69,0),1),100)),IF($E69="T",IF($M69=3,INDEX(Baseline!$B$3:$B$122,MATCH(MIN(MAX(ROUND(($F69)/5,0)*5,5),600),Baseline!$A$3:$A$122,0))-Inputs!$B$9,INDEX(Course!$N$2:$N$19,MATCH($B69,Course!$A$2:$A$19,0))),INDEX(Baseline!$B$3:$E$122,MATCH(MIN(MAX(ROUND(($F69)/5,0)*5,5),600),Baseline!$A$3:$A$122,0),MATCH($E69,Baseline!$B$2:$E$2,0))))))</f>
        <v/>
      </c>
      <c r="P69" s="17" t="str">
        <f aca="false">IF($B69="","",INDEX(Course!$N$2:$N$19,MATCH($B69,Course!$A$2:$A$19,0)))</f>
        <v/>
      </c>
      <c r="Q69" s="17" t="str">
        <f aca="false">IF($B69="","",INDEX(Course!$P$2:$P$19,MATCH($B69,Course!$A$2:$A$19,0)))</f>
        <v/>
      </c>
      <c r="R69" s="17" t="str">
        <f aca="false">IF($C69="","",IF(OR($C69="G",$C69="H"),0,IF($C69="T",1,MIN(1,MAX(0,($N69-Inputs!$B$8)/MAX($P69-Inputs!$B$8,0.01))))))</f>
        <v/>
      </c>
      <c r="S69" s="17" t="str">
        <f aca="false">IF($C69="","",IF(OR($E69="G",$E69="H"),0,IF($E69="T",1,MIN(1,MAX(0,($O69-Inputs!$B$8)/MAX($P69-Inputs!$B$8,0.01))))))</f>
        <v/>
      </c>
    </row>
    <row r="70" customFormat="false" ht="15" hidden="false" customHeight="false" outlineLevel="0" collapsed="false">
      <c r="I70" s="7" t="str">
        <f aca="false">IF($C70="","",IF($C70="G","PUTT",IF(AND($C70="T",$M70&gt;3),"OTT",IF($D70&lt;=30,"ARG","APP"))))</f>
        <v/>
      </c>
      <c r="J70" s="17" t="str">
        <f aca="false">IF($C70="","",$N70+$Q70*$R70)</f>
        <v/>
      </c>
      <c r="K70" s="17" t="str">
        <f aca="false">IF($C70="","",$O70+$Q70*$S70)</f>
        <v/>
      </c>
      <c r="L70" s="17" t="str">
        <f aca="false">IF($C70="","",$J70-$K70-1-N($G70))</f>
        <v/>
      </c>
      <c r="M70" s="7" t="str">
        <f aca="false">IF($B70="","",INDEX(Course!$B$2:$B$19,MATCH($B70,Course!$A$2:$A$19,0)))</f>
        <v/>
      </c>
      <c r="N70" s="17" t="str">
        <f aca="false">IF($C70="","",IF($C70="H",0,IF($C70="G",INDEX(Baseline!$I$3:$I$102,MIN(MAX(ROUND($D70,0),1),100)),IF($C70="T",IF($M70=3,INDEX(Baseline!$B$3:$B$122,MATCH(MIN(MAX(ROUND(($D70)/5,0)*5,5),600),Baseline!$A$3:$A$122,0))-Inputs!$B$9,INDEX(Course!$N$2:$N$19,MATCH($B70,Course!$A$2:$A$19,0))),INDEX(Baseline!$B$3:$E$122,MATCH(MIN(MAX(ROUND(($D70)/5,0)*5,5),600),Baseline!$A$3:$A$122,0),MATCH($C70,Baseline!$B$2:$E$2,0))))))</f>
        <v/>
      </c>
      <c r="O70" s="17" t="str">
        <f aca="false">IF($C70="","",IF($E70="H",0,IF($E70="G",INDEX(Baseline!$I$3:$I$102,MIN(MAX(ROUND($F70,0),1),100)),IF($E70="T",IF($M70=3,INDEX(Baseline!$B$3:$B$122,MATCH(MIN(MAX(ROUND(($F70)/5,0)*5,5),600),Baseline!$A$3:$A$122,0))-Inputs!$B$9,INDEX(Course!$N$2:$N$19,MATCH($B70,Course!$A$2:$A$19,0))),INDEX(Baseline!$B$3:$E$122,MATCH(MIN(MAX(ROUND(($F70)/5,0)*5,5),600),Baseline!$A$3:$A$122,0),MATCH($E70,Baseline!$B$2:$E$2,0))))))</f>
        <v/>
      </c>
      <c r="P70" s="17" t="str">
        <f aca="false">IF($B70="","",INDEX(Course!$N$2:$N$19,MATCH($B70,Course!$A$2:$A$19,0)))</f>
        <v/>
      </c>
      <c r="Q70" s="17" t="str">
        <f aca="false">IF($B70="","",INDEX(Course!$P$2:$P$19,MATCH($B70,Course!$A$2:$A$19,0)))</f>
        <v/>
      </c>
      <c r="R70" s="17" t="str">
        <f aca="false">IF($C70="","",IF(OR($C70="G",$C70="H"),0,IF($C70="T",1,MIN(1,MAX(0,($N70-Inputs!$B$8)/MAX($P70-Inputs!$B$8,0.01))))))</f>
        <v/>
      </c>
      <c r="S70" s="17" t="str">
        <f aca="false">IF($C70="","",IF(OR($E70="G",$E70="H"),0,IF($E70="T",1,MIN(1,MAX(0,($O70-Inputs!$B$8)/MAX($P70-Inputs!$B$8,0.01))))))</f>
        <v/>
      </c>
    </row>
    <row r="71" customFormat="false" ht="15" hidden="false" customHeight="false" outlineLevel="0" collapsed="false">
      <c r="I71" s="7" t="str">
        <f aca="false">IF($C71="","",IF($C71="G","PUTT",IF(AND($C71="T",$M71&gt;3),"OTT",IF($D71&lt;=30,"ARG","APP"))))</f>
        <v/>
      </c>
      <c r="J71" s="17" t="str">
        <f aca="false">IF($C71="","",$N71+$Q71*$R71)</f>
        <v/>
      </c>
      <c r="K71" s="17" t="str">
        <f aca="false">IF($C71="","",$O71+$Q71*$S71)</f>
        <v/>
      </c>
      <c r="L71" s="17" t="str">
        <f aca="false">IF($C71="","",$J71-$K71-1-N($G71))</f>
        <v/>
      </c>
      <c r="M71" s="7" t="str">
        <f aca="false">IF($B71="","",INDEX(Course!$B$2:$B$19,MATCH($B71,Course!$A$2:$A$19,0)))</f>
        <v/>
      </c>
      <c r="N71" s="17" t="str">
        <f aca="false">IF($C71="","",IF($C71="H",0,IF($C71="G",INDEX(Baseline!$I$3:$I$102,MIN(MAX(ROUND($D71,0),1),100)),IF($C71="T",IF($M71=3,INDEX(Baseline!$B$3:$B$122,MATCH(MIN(MAX(ROUND(($D71)/5,0)*5,5),600),Baseline!$A$3:$A$122,0))-Inputs!$B$9,INDEX(Course!$N$2:$N$19,MATCH($B71,Course!$A$2:$A$19,0))),INDEX(Baseline!$B$3:$E$122,MATCH(MIN(MAX(ROUND(($D71)/5,0)*5,5),600),Baseline!$A$3:$A$122,0),MATCH($C71,Baseline!$B$2:$E$2,0))))))</f>
        <v/>
      </c>
      <c r="O71" s="17" t="str">
        <f aca="false">IF($C71="","",IF($E71="H",0,IF($E71="G",INDEX(Baseline!$I$3:$I$102,MIN(MAX(ROUND($F71,0),1),100)),IF($E71="T",IF($M71=3,INDEX(Baseline!$B$3:$B$122,MATCH(MIN(MAX(ROUND(($F71)/5,0)*5,5),600),Baseline!$A$3:$A$122,0))-Inputs!$B$9,INDEX(Course!$N$2:$N$19,MATCH($B71,Course!$A$2:$A$19,0))),INDEX(Baseline!$B$3:$E$122,MATCH(MIN(MAX(ROUND(($F71)/5,0)*5,5),600),Baseline!$A$3:$A$122,0),MATCH($E71,Baseline!$B$2:$E$2,0))))))</f>
        <v/>
      </c>
      <c r="P71" s="17" t="str">
        <f aca="false">IF($B71="","",INDEX(Course!$N$2:$N$19,MATCH($B71,Course!$A$2:$A$19,0)))</f>
        <v/>
      </c>
      <c r="Q71" s="17" t="str">
        <f aca="false">IF($B71="","",INDEX(Course!$P$2:$P$19,MATCH($B71,Course!$A$2:$A$19,0)))</f>
        <v/>
      </c>
      <c r="R71" s="17" t="str">
        <f aca="false">IF($C71="","",IF(OR($C71="G",$C71="H"),0,IF($C71="T",1,MIN(1,MAX(0,($N71-Inputs!$B$8)/MAX($P71-Inputs!$B$8,0.01))))))</f>
        <v/>
      </c>
      <c r="S71" s="17" t="str">
        <f aca="false">IF($C71="","",IF(OR($E71="G",$E71="H"),0,IF($E71="T",1,MIN(1,MAX(0,($O71-Inputs!$B$8)/MAX($P71-Inputs!$B$8,0.01))))))</f>
        <v/>
      </c>
    </row>
    <row r="72" customFormat="false" ht="15" hidden="false" customHeight="false" outlineLevel="0" collapsed="false">
      <c r="I72" s="7" t="str">
        <f aca="false">IF($C72="","",IF($C72="G","PUTT",IF(AND($C72="T",$M72&gt;3),"OTT",IF($D72&lt;=30,"ARG","APP"))))</f>
        <v/>
      </c>
      <c r="J72" s="17" t="str">
        <f aca="false">IF($C72="","",$N72+$Q72*$R72)</f>
        <v/>
      </c>
      <c r="K72" s="17" t="str">
        <f aca="false">IF($C72="","",$O72+$Q72*$S72)</f>
        <v/>
      </c>
      <c r="L72" s="17" t="str">
        <f aca="false">IF($C72="","",$J72-$K72-1-N($G72))</f>
        <v/>
      </c>
      <c r="M72" s="7" t="str">
        <f aca="false">IF($B72="","",INDEX(Course!$B$2:$B$19,MATCH($B72,Course!$A$2:$A$19,0)))</f>
        <v/>
      </c>
      <c r="N72" s="17" t="str">
        <f aca="false">IF($C72="","",IF($C72="H",0,IF($C72="G",INDEX(Baseline!$I$3:$I$102,MIN(MAX(ROUND($D72,0),1),100)),IF($C72="T",IF($M72=3,INDEX(Baseline!$B$3:$B$122,MATCH(MIN(MAX(ROUND(($D72)/5,0)*5,5),600),Baseline!$A$3:$A$122,0))-Inputs!$B$9,INDEX(Course!$N$2:$N$19,MATCH($B72,Course!$A$2:$A$19,0))),INDEX(Baseline!$B$3:$E$122,MATCH(MIN(MAX(ROUND(($D72)/5,0)*5,5),600),Baseline!$A$3:$A$122,0),MATCH($C72,Baseline!$B$2:$E$2,0))))))</f>
        <v/>
      </c>
      <c r="O72" s="17" t="str">
        <f aca="false">IF($C72="","",IF($E72="H",0,IF($E72="G",INDEX(Baseline!$I$3:$I$102,MIN(MAX(ROUND($F72,0),1),100)),IF($E72="T",IF($M72=3,INDEX(Baseline!$B$3:$B$122,MATCH(MIN(MAX(ROUND(($F72)/5,0)*5,5),600),Baseline!$A$3:$A$122,0))-Inputs!$B$9,INDEX(Course!$N$2:$N$19,MATCH($B72,Course!$A$2:$A$19,0))),INDEX(Baseline!$B$3:$E$122,MATCH(MIN(MAX(ROUND(($F72)/5,0)*5,5),600),Baseline!$A$3:$A$122,0),MATCH($E72,Baseline!$B$2:$E$2,0))))))</f>
        <v/>
      </c>
      <c r="P72" s="17" t="str">
        <f aca="false">IF($B72="","",INDEX(Course!$N$2:$N$19,MATCH($B72,Course!$A$2:$A$19,0)))</f>
        <v/>
      </c>
      <c r="Q72" s="17" t="str">
        <f aca="false">IF($B72="","",INDEX(Course!$P$2:$P$19,MATCH($B72,Course!$A$2:$A$19,0)))</f>
        <v/>
      </c>
      <c r="R72" s="17" t="str">
        <f aca="false">IF($C72="","",IF(OR($C72="G",$C72="H"),0,IF($C72="T",1,MIN(1,MAX(0,($N72-Inputs!$B$8)/MAX($P72-Inputs!$B$8,0.01))))))</f>
        <v/>
      </c>
      <c r="S72" s="17" t="str">
        <f aca="false">IF($C72="","",IF(OR($E72="G",$E72="H"),0,IF($E72="T",1,MIN(1,MAX(0,($O72-Inputs!$B$8)/MAX($P72-Inputs!$B$8,0.01))))))</f>
        <v/>
      </c>
    </row>
    <row r="73" customFormat="false" ht="15" hidden="false" customHeight="false" outlineLevel="0" collapsed="false">
      <c r="I73" s="7" t="str">
        <f aca="false">IF($C73="","",IF($C73="G","PUTT",IF(AND($C73="T",$M73&gt;3),"OTT",IF($D73&lt;=30,"ARG","APP"))))</f>
        <v/>
      </c>
      <c r="J73" s="17" t="str">
        <f aca="false">IF($C73="","",$N73+$Q73*$R73)</f>
        <v/>
      </c>
      <c r="K73" s="17" t="str">
        <f aca="false">IF($C73="","",$O73+$Q73*$S73)</f>
        <v/>
      </c>
      <c r="L73" s="17" t="str">
        <f aca="false">IF($C73="","",$J73-$K73-1-N($G73))</f>
        <v/>
      </c>
      <c r="M73" s="7" t="str">
        <f aca="false">IF($B73="","",INDEX(Course!$B$2:$B$19,MATCH($B73,Course!$A$2:$A$19,0)))</f>
        <v/>
      </c>
      <c r="N73" s="17" t="str">
        <f aca="false">IF($C73="","",IF($C73="H",0,IF($C73="G",INDEX(Baseline!$I$3:$I$102,MIN(MAX(ROUND($D73,0),1),100)),IF($C73="T",IF($M73=3,INDEX(Baseline!$B$3:$B$122,MATCH(MIN(MAX(ROUND(($D73)/5,0)*5,5),600),Baseline!$A$3:$A$122,0))-Inputs!$B$9,INDEX(Course!$N$2:$N$19,MATCH($B73,Course!$A$2:$A$19,0))),INDEX(Baseline!$B$3:$E$122,MATCH(MIN(MAX(ROUND(($D73)/5,0)*5,5),600),Baseline!$A$3:$A$122,0),MATCH($C73,Baseline!$B$2:$E$2,0))))))</f>
        <v/>
      </c>
      <c r="O73" s="17" t="str">
        <f aca="false">IF($C73="","",IF($E73="H",0,IF($E73="G",INDEX(Baseline!$I$3:$I$102,MIN(MAX(ROUND($F73,0),1),100)),IF($E73="T",IF($M73=3,INDEX(Baseline!$B$3:$B$122,MATCH(MIN(MAX(ROUND(($F73)/5,0)*5,5),600),Baseline!$A$3:$A$122,0))-Inputs!$B$9,INDEX(Course!$N$2:$N$19,MATCH($B73,Course!$A$2:$A$19,0))),INDEX(Baseline!$B$3:$E$122,MATCH(MIN(MAX(ROUND(($F73)/5,0)*5,5),600),Baseline!$A$3:$A$122,0),MATCH($E73,Baseline!$B$2:$E$2,0))))))</f>
        <v/>
      </c>
      <c r="P73" s="17" t="str">
        <f aca="false">IF($B73="","",INDEX(Course!$N$2:$N$19,MATCH($B73,Course!$A$2:$A$19,0)))</f>
        <v/>
      </c>
      <c r="Q73" s="17" t="str">
        <f aca="false">IF($B73="","",INDEX(Course!$P$2:$P$19,MATCH($B73,Course!$A$2:$A$19,0)))</f>
        <v/>
      </c>
      <c r="R73" s="17" t="str">
        <f aca="false">IF($C73="","",IF(OR($C73="G",$C73="H"),0,IF($C73="T",1,MIN(1,MAX(0,($N73-Inputs!$B$8)/MAX($P73-Inputs!$B$8,0.01))))))</f>
        <v/>
      </c>
      <c r="S73" s="17" t="str">
        <f aca="false">IF($C73="","",IF(OR($E73="G",$E73="H"),0,IF($E73="T",1,MIN(1,MAX(0,($O73-Inputs!$B$8)/MAX($P73-Inputs!$B$8,0.01))))))</f>
        <v/>
      </c>
    </row>
    <row r="74" customFormat="false" ht="15" hidden="false" customHeight="false" outlineLevel="0" collapsed="false">
      <c r="I74" s="7" t="str">
        <f aca="false">IF($C74="","",IF($C74="G","PUTT",IF(AND($C74="T",$M74&gt;3),"OTT",IF($D74&lt;=30,"ARG","APP"))))</f>
        <v/>
      </c>
      <c r="J74" s="17" t="str">
        <f aca="false">IF($C74="","",$N74+$Q74*$R74)</f>
        <v/>
      </c>
      <c r="K74" s="17" t="str">
        <f aca="false">IF($C74="","",$O74+$Q74*$S74)</f>
        <v/>
      </c>
      <c r="L74" s="17" t="str">
        <f aca="false">IF($C74="","",$J74-$K74-1-N($G74))</f>
        <v/>
      </c>
      <c r="M74" s="7" t="str">
        <f aca="false">IF($B74="","",INDEX(Course!$B$2:$B$19,MATCH($B74,Course!$A$2:$A$19,0)))</f>
        <v/>
      </c>
      <c r="N74" s="17" t="str">
        <f aca="false">IF($C74="","",IF($C74="H",0,IF($C74="G",INDEX(Baseline!$I$3:$I$102,MIN(MAX(ROUND($D74,0),1),100)),IF($C74="T",IF($M74=3,INDEX(Baseline!$B$3:$B$122,MATCH(MIN(MAX(ROUND(($D74)/5,0)*5,5),600),Baseline!$A$3:$A$122,0))-Inputs!$B$9,INDEX(Course!$N$2:$N$19,MATCH($B74,Course!$A$2:$A$19,0))),INDEX(Baseline!$B$3:$E$122,MATCH(MIN(MAX(ROUND(($D74)/5,0)*5,5),600),Baseline!$A$3:$A$122,0),MATCH($C74,Baseline!$B$2:$E$2,0))))))</f>
        <v/>
      </c>
      <c r="O74" s="17" t="str">
        <f aca="false">IF($C74="","",IF($E74="H",0,IF($E74="G",INDEX(Baseline!$I$3:$I$102,MIN(MAX(ROUND($F74,0),1),100)),IF($E74="T",IF($M74=3,INDEX(Baseline!$B$3:$B$122,MATCH(MIN(MAX(ROUND(($F74)/5,0)*5,5),600),Baseline!$A$3:$A$122,0))-Inputs!$B$9,INDEX(Course!$N$2:$N$19,MATCH($B74,Course!$A$2:$A$19,0))),INDEX(Baseline!$B$3:$E$122,MATCH(MIN(MAX(ROUND(($F74)/5,0)*5,5),600),Baseline!$A$3:$A$122,0),MATCH($E74,Baseline!$B$2:$E$2,0))))))</f>
        <v/>
      </c>
      <c r="P74" s="17" t="str">
        <f aca="false">IF($B74="","",INDEX(Course!$N$2:$N$19,MATCH($B74,Course!$A$2:$A$19,0)))</f>
        <v/>
      </c>
      <c r="Q74" s="17" t="str">
        <f aca="false">IF($B74="","",INDEX(Course!$P$2:$P$19,MATCH($B74,Course!$A$2:$A$19,0)))</f>
        <v/>
      </c>
      <c r="R74" s="17" t="str">
        <f aca="false">IF($C74="","",IF(OR($C74="G",$C74="H"),0,IF($C74="T",1,MIN(1,MAX(0,($N74-Inputs!$B$8)/MAX($P74-Inputs!$B$8,0.01))))))</f>
        <v/>
      </c>
      <c r="S74" s="17" t="str">
        <f aca="false">IF($C74="","",IF(OR($E74="G",$E74="H"),0,IF($E74="T",1,MIN(1,MAX(0,($O74-Inputs!$B$8)/MAX($P74-Inputs!$B$8,0.01))))))</f>
        <v/>
      </c>
    </row>
    <row r="75" customFormat="false" ht="15" hidden="false" customHeight="false" outlineLevel="0" collapsed="false">
      <c r="I75" s="7" t="str">
        <f aca="false">IF($C75="","",IF($C75="G","PUTT",IF(AND($C75="T",$M75&gt;3),"OTT",IF($D75&lt;=30,"ARG","APP"))))</f>
        <v/>
      </c>
      <c r="J75" s="17" t="str">
        <f aca="false">IF($C75="","",$N75+$Q75*$R75)</f>
        <v/>
      </c>
      <c r="K75" s="17" t="str">
        <f aca="false">IF($C75="","",$O75+$Q75*$S75)</f>
        <v/>
      </c>
      <c r="L75" s="17" t="str">
        <f aca="false">IF($C75="","",$J75-$K75-1-N($G75))</f>
        <v/>
      </c>
      <c r="M75" s="7" t="str">
        <f aca="false">IF($B75="","",INDEX(Course!$B$2:$B$19,MATCH($B75,Course!$A$2:$A$19,0)))</f>
        <v/>
      </c>
      <c r="N75" s="17" t="str">
        <f aca="false">IF($C75="","",IF($C75="H",0,IF($C75="G",INDEX(Baseline!$I$3:$I$102,MIN(MAX(ROUND($D75,0),1),100)),IF($C75="T",IF($M75=3,INDEX(Baseline!$B$3:$B$122,MATCH(MIN(MAX(ROUND(($D75)/5,0)*5,5),600),Baseline!$A$3:$A$122,0))-Inputs!$B$9,INDEX(Course!$N$2:$N$19,MATCH($B75,Course!$A$2:$A$19,0))),INDEX(Baseline!$B$3:$E$122,MATCH(MIN(MAX(ROUND(($D75)/5,0)*5,5),600),Baseline!$A$3:$A$122,0),MATCH($C75,Baseline!$B$2:$E$2,0))))))</f>
        <v/>
      </c>
      <c r="O75" s="17" t="str">
        <f aca="false">IF($C75="","",IF($E75="H",0,IF($E75="G",INDEX(Baseline!$I$3:$I$102,MIN(MAX(ROUND($F75,0),1),100)),IF($E75="T",IF($M75=3,INDEX(Baseline!$B$3:$B$122,MATCH(MIN(MAX(ROUND(($F75)/5,0)*5,5),600),Baseline!$A$3:$A$122,0))-Inputs!$B$9,INDEX(Course!$N$2:$N$19,MATCH($B75,Course!$A$2:$A$19,0))),INDEX(Baseline!$B$3:$E$122,MATCH(MIN(MAX(ROUND(($F75)/5,0)*5,5),600),Baseline!$A$3:$A$122,0),MATCH($E75,Baseline!$B$2:$E$2,0))))))</f>
        <v/>
      </c>
      <c r="P75" s="17" t="str">
        <f aca="false">IF($B75="","",INDEX(Course!$N$2:$N$19,MATCH($B75,Course!$A$2:$A$19,0)))</f>
        <v/>
      </c>
      <c r="Q75" s="17" t="str">
        <f aca="false">IF($B75="","",INDEX(Course!$P$2:$P$19,MATCH($B75,Course!$A$2:$A$19,0)))</f>
        <v/>
      </c>
      <c r="R75" s="17" t="str">
        <f aca="false">IF($C75="","",IF(OR($C75="G",$C75="H"),0,IF($C75="T",1,MIN(1,MAX(0,($N75-Inputs!$B$8)/MAX($P75-Inputs!$B$8,0.01))))))</f>
        <v/>
      </c>
      <c r="S75" s="17" t="str">
        <f aca="false">IF($C75="","",IF(OR($E75="G",$E75="H"),0,IF($E75="T",1,MIN(1,MAX(0,($O75-Inputs!$B$8)/MAX($P75-Inputs!$B$8,0.01))))))</f>
        <v/>
      </c>
    </row>
    <row r="76" customFormat="false" ht="15" hidden="false" customHeight="false" outlineLevel="0" collapsed="false">
      <c r="I76" s="7" t="str">
        <f aca="false">IF($C76="","",IF($C76="G","PUTT",IF(AND($C76="T",$M76&gt;3),"OTT",IF($D76&lt;=30,"ARG","APP"))))</f>
        <v/>
      </c>
      <c r="J76" s="17" t="str">
        <f aca="false">IF($C76="","",$N76+$Q76*$R76)</f>
        <v/>
      </c>
      <c r="K76" s="17" t="str">
        <f aca="false">IF($C76="","",$O76+$Q76*$S76)</f>
        <v/>
      </c>
      <c r="L76" s="17" t="str">
        <f aca="false">IF($C76="","",$J76-$K76-1-N($G76))</f>
        <v/>
      </c>
      <c r="M76" s="7" t="str">
        <f aca="false">IF($B76="","",INDEX(Course!$B$2:$B$19,MATCH($B76,Course!$A$2:$A$19,0)))</f>
        <v/>
      </c>
      <c r="N76" s="17" t="str">
        <f aca="false">IF($C76="","",IF($C76="H",0,IF($C76="G",INDEX(Baseline!$I$3:$I$102,MIN(MAX(ROUND($D76,0),1),100)),IF($C76="T",IF($M76=3,INDEX(Baseline!$B$3:$B$122,MATCH(MIN(MAX(ROUND(($D76)/5,0)*5,5),600),Baseline!$A$3:$A$122,0))-Inputs!$B$9,INDEX(Course!$N$2:$N$19,MATCH($B76,Course!$A$2:$A$19,0))),INDEX(Baseline!$B$3:$E$122,MATCH(MIN(MAX(ROUND(($D76)/5,0)*5,5),600),Baseline!$A$3:$A$122,0),MATCH($C76,Baseline!$B$2:$E$2,0))))))</f>
        <v/>
      </c>
      <c r="O76" s="17" t="str">
        <f aca="false">IF($C76="","",IF($E76="H",0,IF($E76="G",INDEX(Baseline!$I$3:$I$102,MIN(MAX(ROUND($F76,0),1),100)),IF($E76="T",IF($M76=3,INDEX(Baseline!$B$3:$B$122,MATCH(MIN(MAX(ROUND(($F76)/5,0)*5,5),600),Baseline!$A$3:$A$122,0))-Inputs!$B$9,INDEX(Course!$N$2:$N$19,MATCH($B76,Course!$A$2:$A$19,0))),INDEX(Baseline!$B$3:$E$122,MATCH(MIN(MAX(ROUND(($F76)/5,0)*5,5),600),Baseline!$A$3:$A$122,0),MATCH($E76,Baseline!$B$2:$E$2,0))))))</f>
        <v/>
      </c>
      <c r="P76" s="17" t="str">
        <f aca="false">IF($B76="","",INDEX(Course!$N$2:$N$19,MATCH($B76,Course!$A$2:$A$19,0)))</f>
        <v/>
      </c>
      <c r="Q76" s="17" t="str">
        <f aca="false">IF($B76="","",INDEX(Course!$P$2:$P$19,MATCH($B76,Course!$A$2:$A$19,0)))</f>
        <v/>
      </c>
      <c r="R76" s="17" t="str">
        <f aca="false">IF($C76="","",IF(OR($C76="G",$C76="H"),0,IF($C76="T",1,MIN(1,MAX(0,($N76-Inputs!$B$8)/MAX($P76-Inputs!$B$8,0.01))))))</f>
        <v/>
      </c>
      <c r="S76" s="17" t="str">
        <f aca="false">IF($C76="","",IF(OR($E76="G",$E76="H"),0,IF($E76="T",1,MIN(1,MAX(0,($O76-Inputs!$B$8)/MAX($P76-Inputs!$B$8,0.01))))))</f>
        <v/>
      </c>
    </row>
    <row r="77" customFormat="false" ht="15" hidden="false" customHeight="false" outlineLevel="0" collapsed="false">
      <c r="I77" s="7" t="str">
        <f aca="false">IF($C77="","",IF($C77="G","PUTT",IF(AND($C77="T",$M77&gt;3),"OTT",IF($D77&lt;=30,"ARG","APP"))))</f>
        <v/>
      </c>
      <c r="J77" s="17" t="str">
        <f aca="false">IF($C77="","",$N77+$Q77*$R77)</f>
        <v/>
      </c>
      <c r="K77" s="17" t="str">
        <f aca="false">IF($C77="","",$O77+$Q77*$S77)</f>
        <v/>
      </c>
      <c r="L77" s="17" t="str">
        <f aca="false">IF($C77="","",$J77-$K77-1-N($G77))</f>
        <v/>
      </c>
      <c r="M77" s="7" t="str">
        <f aca="false">IF($B77="","",INDEX(Course!$B$2:$B$19,MATCH($B77,Course!$A$2:$A$19,0)))</f>
        <v/>
      </c>
      <c r="N77" s="17" t="str">
        <f aca="false">IF($C77="","",IF($C77="H",0,IF($C77="G",INDEX(Baseline!$I$3:$I$102,MIN(MAX(ROUND($D77,0),1),100)),IF($C77="T",IF($M77=3,INDEX(Baseline!$B$3:$B$122,MATCH(MIN(MAX(ROUND(($D77)/5,0)*5,5),600),Baseline!$A$3:$A$122,0))-Inputs!$B$9,INDEX(Course!$N$2:$N$19,MATCH($B77,Course!$A$2:$A$19,0))),INDEX(Baseline!$B$3:$E$122,MATCH(MIN(MAX(ROUND(($D77)/5,0)*5,5),600),Baseline!$A$3:$A$122,0),MATCH($C77,Baseline!$B$2:$E$2,0))))))</f>
        <v/>
      </c>
      <c r="O77" s="17" t="str">
        <f aca="false">IF($C77="","",IF($E77="H",0,IF($E77="G",INDEX(Baseline!$I$3:$I$102,MIN(MAX(ROUND($F77,0),1),100)),IF($E77="T",IF($M77=3,INDEX(Baseline!$B$3:$B$122,MATCH(MIN(MAX(ROUND(($F77)/5,0)*5,5),600),Baseline!$A$3:$A$122,0))-Inputs!$B$9,INDEX(Course!$N$2:$N$19,MATCH($B77,Course!$A$2:$A$19,0))),INDEX(Baseline!$B$3:$E$122,MATCH(MIN(MAX(ROUND(($F77)/5,0)*5,5),600),Baseline!$A$3:$A$122,0),MATCH($E77,Baseline!$B$2:$E$2,0))))))</f>
        <v/>
      </c>
      <c r="P77" s="17" t="str">
        <f aca="false">IF($B77="","",INDEX(Course!$N$2:$N$19,MATCH($B77,Course!$A$2:$A$19,0)))</f>
        <v/>
      </c>
      <c r="Q77" s="17" t="str">
        <f aca="false">IF($B77="","",INDEX(Course!$P$2:$P$19,MATCH($B77,Course!$A$2:$A$19,0)))</f>
        <v/>
      </c>
      <c r="R77" s="17" t="str">
        <f aca="false">IF($C77="","",IF(OR($C77="G",$C77="H"),0,IF($C77="T",1,MIN(1,MAX(0,($N77-Inputs!$B$8)/MAX($P77-Inputs!$B$8,0.01))))))</f>
        <v/>
      </c>
      <c r="S77" s="17" t="str">
        <f aca="false">IF($C77="","",IF(OR($E77="G",$E77="H"),0,IF($E77="T",1,MIN(1,MAX(0,($O77-Inputs!$B$8)/MAX($P77-Inputs!$B$8,0.01))))))</f>
        <v/>
      </c>
    </row>
    <row r="78" customFormat="false" ht="15" hidden="false" customHeight="false" outlineLevel="0" collapsed="false">
      <c r="I78" s="7" t="str">
        <f aca="false">IF($C78="","",IF($C78="G","PUTT",IF(AND($C78="T",$M78&gt;3),"OTT",IF($D78&lt;=30,"ARG","APP"))))</f>
        <v/>
      </c>
      <c r="J78" s="17" t="str">
        <f aca="false">IF($C78="","",$N78+$Q78*$R78)</f>
        <v/>
      </c>
      <c r="K78" s="17" t="str">
        <f aca="false">IF($C78="","",$O78+$Q78*$S78)</f>
        <v/>
      </c>
      <c r="L78" s="17" t="str">
        <f aca="false">IF($C78="","",$J78-$K78-1-N($G78))</f>
        <v/>
      </c>
      <c r="M78" s="7" t="str">
        <f aca="false">IF($B78="","",INDEX(Course!$B$2:$B$19,MATCH($B78,Course!$A$2:$A$19,0)))</f>
        <v/>
      </c>
      <c r="N78" s="17" t="str">
        <f aca="false">IF($C78="","",IF($C78="H",0,IF($C78="G",INDEX(Baseline!$I$3:$I$102,MIN(MAX(ROUND($D78,0),1),100)),IF($C78="T",IF($M78=3,INDEX(Baseline!$B$3:$B$122,MATCH(MIN(MAX(ROUND(($D78)/5,0)*5,5),600),Baseline!$A$3:$A$122,0))-Inputs!$B$9,INDEX(Course!$N$2:$N$19,MATCH($B78,Course!$A$2:$A$19,0))),INDEX(Baseline!$B$3:$E$122,MATCH(MIN(MAX(ROUND(($D78)/5,0)*5,5),600),Baseline!$A$3:$A$122,0),MATCH($C78,Baseline!$B$2:$E$2,0))))))</f>
        <v/>
      </c>
      <c r="O78" s="17" t="str">
        <f aca="false">IF($C78="","",IF($E78="H",0,IF($E78="G",INDEX(Baseline!$I$3:$I$102,MIN(MAX(ROUND($F78,0),1),100)),IF($E78="T",IF($M78=3,INDEX(Baseline!$B$3:$B$122,MATCH(MIN(MAX(ROUND(($F78)/5,0)*5,5),600),Baseline!$A$3:$A$122,0))-Inputs!$B$9,INDEX(Course!$N$2:$N$19,MATCH($B78,Course!$A$2:$A$19,0))),INDEX(Baseline!$B$3:$E$122,MATCH(MIN(MAX(ROUND(($F78)/5,0)*5,5),600),Baseline!$A$3:$A$122,0),MATCH($E78,Baseline!$B$2:$E$2,0))))))</f>
        <v/>
      </c>
      <c r="P78" s="17" t="str">
        <f aca="false">IF($B78="","",INDEX(Course!$N$2:$N$19,MATCH($B78,Course!$A$2:$A$19,0)))</f>
        <v/>
      </c>
      <c r="Q78" s="17" t="str">
        <f aca="false">IF($B78="","",INDEX(Course!$P$2:$P$19,MATCH($B78,Course!$A$2:$A$19,0)))</f>
        <v/>
      </c>
      <c r="R78" s="17" t="str">
        <f aca="false">IF($C78="","",IF(OR($C78="G",$C78="H"),0,IF($C78="T",1,MIN(1,MAX(0,($N78-Inputs!$B$8)/MAX($P78-Inputs!$B$8,0.01))))))</f>
        <v/>
      </c>
      <c r="S78" s="17" t="str">
        <f aca="false">IF($C78="","",IF(OR($E78="G",$E78="H"),0,IF($E78="T",1,MIN(1,MAX(0,($O78-Inputs!$B$8)/MAX($P78-Inputs!$B$8,0.01))))))</f>
        <v/>
      </c>
    </row>
    <row r="79" customFormat="false" ht="15" hidden="false" customHeight="false" outlineLevel="0" collapsed="false">
      <c r="I79" s="7" t="str">
        <f aca="false">IF($C79="","",IF($C79="G","PUTT",IF(AND($C79="T",$M79&gt;3),"OTT",IF($D79&lt;=30,"ARG","APP"))))</f>
        <v/>
      </c>
      <c r="J79" s="17" t="str">
        <f aca="false">IF($C79="","",$N79+$Q79*$R79)</f>
        <v/>
      </c>
      <c r="K79" s="17" t="str">
        <f aca="false">IF($C79="","",$O79+$Q79*$S79)</f>
        <v/>
      </c>
      <c r="L79" s="17" t="str">
        <f aca="false">IF($C79="","",$J79-$K79-1-N($G79))</f>
        <v/>
      </c>
      <c r="M79" s="7" t="str">
        <f aca="false">IF($B79="","",INDEX(Course!$B$2:$B$19,MATCH($B79,Course!$A$2:$A$19,0)))</f>
        <v/>
      </c>
      <c r="N79" s="17" t="str">
        <f aca="false">IF($C79="","",IF($C79="H",0,IF($C79="G",INDEX(Baseline!$I$3:$I$102,MIN(MAX(ROUND($D79,0),1),100)),IF($C79="T",IF($M79=3,INDEX(Baseline!$B$3:$B$122,MATCH(MIN(MAX(ROUND(($D79)/5,0)*5,5),600),Baseline!$A$3:$A$122,0))-Inputs!$B$9,INDEX(Course!$N$2:$N$19,MATCH($B79,Course!$A$2:$A$19,0))),INDEX(Baseline!$B$3:$E$122,MATCH(MIN(MAX(ROUND(($D79)/5,0)*5,5),600),Baseline!$A$3:$A$122,0),MATCH($C79,Baseline!$B$2:$E$2,0))))))</f>
        <v/>
      </c>
      <c r="O79" s="17" t="str">
        <f aca="false">IF($C79="","",IF($E79="H",0,IF($E79="G",INDEX(Baseline!$I$3:$I$102,MIN(MAX(ROUND($F79,0),1),100)),IF($E79="T",IF($M79=3,INDEX(Baseline!$B$3:$B$122,MATCH(MIN(MAX(ROUND(($F79)/5,0)*5,5),600),Baseline!$A$3:$A$122,0))-Inputs!$B$9,INDEX(Course!$N$2:$N$19,MATCH($B79,Course!$A$2:$A$19,0))),INDEX(Baseline!$B$3:$E$122,MATCH(MIN(MAX(ROUND(($F79)/5,0)*5,5),600),Baseline!$A$3:$A$122,0),MATCH($E79,Baseline!$B$2:$E$2,0))))))</f>
        <v/>
      </c>
      <c r="P79" s="17" t="str">
        <f aca="false">IF($B79="","",INDEX(Course!$N$2:$N$19,MATCH($B79,Course!$A$2:$A$19,0)))</f>
        <v/>
      </c>
      <c r="Q79" s="17" t="str">
        <f aca="false">IF($B79="","",INDEX(Course!$P$2:$P$19,MATCH($B79,Course!$A$2:$A$19,0)))</f>
        <v/>
      </c>
      <c r="R79" s="17" t="str">
        <f aca="false">IF($C79="","",IF(OR($C79="G",$C79="H"),0,IF($C79="T",1,MIN(1,MAX(0,($N79-Inputs!$B$8)/MAX($P79-Inputs!$B$8,0.01))))))</f>
        <v/>
      </c>
      <c r="S79" s="17" t="str">
        <f aca="false">IF($C79="","",IF(OR($E79="G",$E79="H"),0,IF($E79="T",1,MIN(1,MAX(0,($O79-Inputs!$B$8)/MAX($P79-Inputs!$B$8,0.01))))))</f>
        <v/>
      </c>
    </row>
    <row r="80" customFormat="false" ht="15" hidden="false" customHeight="false" outlineLevel="0" collapsed="false">
      <c r="I80" s="7" t="str">
        <f aca="false">IF($C80="","",IF($C80="G","PUTT",IF(AND($C80="T",$M80&gt;3),"OTT",IF($D80&lt;=30,"ARG","APP"))))</f>
        <v/>
      </c>
      <c r="J80" s="17" t="str">
        <f aca="false">IF($C80="","",$N80+$Q80*$R80)</f>
        <v/>
      </c>
      <c r="K80" s="17" t="str">
        <f aca="false">IF($C80="","",$O80+$Q80*$S80)</f>
        <v/>
      </c>
      <c r="L80" s="17" t="str">
        <f aca="false">IF($C80="","",$J80-$K80-1-N($G80))</f>
        <v/>
      </c>
      <c r="M80" s="7" t="str">
        <f aca="false">IF($B80="","",INDEX(Course!$B$2:$B$19,MATCH($B80,Course!$A$2:$A$19,0)))</f>
        <v/>
      </c>
      <c r="N80" s="17" t="str">
        <f aca="false">IF($C80="","",IF($C80="H",0,IF($C80="G",INDEX(Baseline!$I$3:$I$102,MIN(MAX(ROUND($D80,0),1),100)),IF($C80="T",IF($M80=3,INDEX(Baseline!$B$3:$B$122,MATCH(MIN(MAX(ROUND(($D80)/5,0)*5,5),600),Baseline!$A$3:$A$122,0))-Inputs!$B$9,INDEX(Course!$N$2:$N$19,MATCH($B80,Course!$A$2:$A$19,0))),INDEX(Baseline!$B$3:$E$122,MATCH(MIN(MAX(ROUND(($D80)/5,0)*5,5),600),Baseline!$A$3:$A$122,0),MATCH($C80,Baseline!$B$2:$E$2,0))))))</f>
        <v/>
      </c>
      <c r="O80" s="17" t="str">
        <f aca="false">IF($C80="","",IF($E80="H",0,IF($E80="G",INDEX(Baseline!$I$3:$I$102,MIN(MAX(ROUND($F80,0),1),100)),IF($E80="T",IF($M80=3,INDEX(Baseline!$B$3:$B$122,MATCH(MIN(MAX(ROUND(($F80)/5,0)*5,5),600),Baseline!$A$3:$A$122,0))-Inputs!$B$9,INDEX(Course!$N$2:$N$19,MATCH($B80,Course!$A$2:$A$19,0))),INDEX(Baseline!$B$3:$E$122,MATCH(MIN(MAX(ROUND(($F80)/5,0)*5,5),600),Baseline!$A$3:$A$122,0),MATCH($E80,Baseline!$B$2:$E$2,0))))))</f>
        <v/>
      </c>
      <c r="P80" s="17" t="str">
        <f aca="false">IF($B80="","",INDEX(Course!$N$2:$N$19,MATCH($B80,Course!$A$2:$A$19,0)))</f>
        <v/>
      </c>
      <c r="Q80" s="17" t="str">
        <f aca="false">IF($B80="","",INDEX(Course!$P$2:$P$19,MATCH($B80,Course!$A$2:$A$19,0)))</f>
        <v/>
      </c>
      <c r="R80" s="17" t="str">
        <f aca="false">IF($C80="","",IF(OR($C80="G",$C80="H"),0,IF($C80="T",1,MIN(1,MAX(0,($N80-Inputs!$B$8)/MAX($P80-Inputs!$B$8,0.01))))))</f>
        <v/>
      </c>
      <c r="S80" s="17" t="str">
        <f aca="false">IF($C80="","",IF(OR($E80="G",$E80="H"),0,IF($E80="T",1,MIN(1,MAX(0,($O80-Inputs!$B$8)/MAX($P80-Inputs!$B$8,0.01))))))</f>
        <v/>
      </c>
    </row>
    <row r="81" customFormat="false" ht="15" hidden="false" customHeight="false" outlineLevel="0" collapsed="false">
      <c r="I81" s="7" t="str">
        <f aca="false">IF($C81="","",IF($C81="G","PUTT",IF(AND($C81="T",$M81&gt;3),"OTT",IF($D81&lt;=30,"ARG","APP"))))</f>
        <v/>
      </c>
      <c r="J81" s="17" t="str">
        <f aca="false">IF($C81="","",$N81+$Q81*$R81)</f>
        <v/>
      </c>
      <c r="K81" s="17" t="str">
        <f aca="false">IF($C81="","",$O81+$Q81*$S81)</f>
        <v/>
      </c>
      <c r="L81" s="17" t="str">
        <f aca="false">IF($C81="","",$J81-$K81-1-N($G81))</f>
        <v/>
      </c>
      <c r="M81" s="7" t="str">
        <f aca="false">IF($B81="","",INDEX(Course!$B$2:$B$19,MATCH($B81,Course!$A$2:$A$19,0)))</f>
        <v/>
      </c>
      <c r="N81" s="17" t="str">
        <f aca="false">IF($C81="","",IF($C81="H",0,IF($C81="G",INDEX(Baseline!$I$3:$I$102,MIN(MAX(ROUND($D81,0),1),100)),IF($C81="T",IF($M81=3,INDEX(Baseline!$B$3:$B$122,MATCH(MIN(MAX(ROUND(($D81)/5,0)*5,5),600),Baseline!$A$3:$A$122,0))-Inputs!$B$9,INDEX(Course!$N$2:$N$19,MATCH($B81,Course!$A$2:$A$19,0))),INDEX(Baseline!$B$3:$E$122,MATCH(MIN(MAX(ROUND(($D81)/5,0)*5,5),600),Baseline!$A$3:$A$122,0),MATCH($C81,Baseline!$B$2:$E$2,0))))))</f>
        <v/>
      </c>
      <c r="O81" s="17" t="str">
        <f aca="false">IF($C81="","",IF($E81="H",0,IF($E81="G",INDEX(Baseline!$I$3:$I$102,MIN(MAX(ROUND($F81,0),1),100)),IF($E81="T",IF($M81=3,INDEX(Baseline!$B$3:$B$122,MATCH(MIN(MAX(ROUND(($F81)/5,0)*5,5),600),Baseline!$A$3:$A$122,0))-Inputs!$B$9,INDEX(Course!$N$2:$N$19,MATCH($B81,Course!$A$2:$A$19,0))),INDEX(Baseline!$B$3:$E$122,MATCH(MIN(MAX(ROUND(($F81)/5,0)*5,5),600),Baseline!$A$3:$A$122,0),MATCH($E81,Baseline!$B$2:$E$2,0))))))</f>
        <v/>
      </c>
      <c r="P81" s="17" t="str">
        <f aca="false">IF($B81="","",INDEX(Course!$N$2:$N$19,MATCH($B81,Course!$A$2:$A$19,0)))</f>
        <v/>
      </c>
      <c r="Q81" s="17" t="str">
        <f aca="false">IF($B81="","",INDEX(Course!$P$2:$P$19,MATCH($B81,Course!$A$2:$A$19,0)))</f>
        <v/>
      </c>
      <c r="R81" s="17" t="str">
        <f aca="false">IF($C81="","",IF(OR($C81="G",$C81="H"),0,IF($C81="T",1,MIN(1,MAX(0,($N81-Inputs!$B$8)/MAX($P81-Inputs!$B$8,0.01))))))</f>
        <v/>
      </c>
      <c r="S81" s="17" t="str">
        <f aca="false">IF($C81="","",IF(OR($E81="G",$E81="H"),0,IF($E81="T",1,MIN(1,MAX(0,($O81-Inputs!$B$8)/MAX($P81-Inputs!$B$8,0.01))))))</f>
        <v/>
      </c>
    </row>
    <row r="82" customFormat="false" ht="15" hidden="false" customHeight="false" outlineLevel="0" collapsed="false">
      <c r="I82" s="7" t="str">
        <f aca="false">IF($C82="","",IF($C82="G","PUTT",IF(AND($C82="T",$M82&gt;3),"OTT",IF($D82&lt;=30,"ARG","APP"))))</f>
        <v/>
      </c>
      <c r="J82" s="17" t="str">
        <f aca="false">IF($C82="","",$N82+$Q82*$R82)</f>
        <v/>
      </c>
      <c r="K82" s="17" t="str">
        <f aca="false">IF($C82="","",$O82+$Q82*$S82)</f>
        <v/>
      </c>
      <c r="L82" s="17" t="str">
        <f aca="false">IF($C82="","",$J82-$K82-1-N($G82))</f>
        <v/>
      </c>
      <c r="M82" s="7" t="str">
        <f aca="false">IF($B82="","",INDEX(Course!$B$2:$B$19,MATCH($B82,Course!$A$2:$A$19,0)))</f>
        <v/>
      </c>
      <c r="N82" s="17" t="str">
        <f aca="false">IF($C82="","",IF($C82="H",0,IF($C82="G",INDEX(Baseline!$I$3:$I$102,MIN(MAX(ROUND($D82,0),1),100)),IF($C82="T",IF($M82=3,INDEX(Baseline!$B$3:$B$122,MATCH(MIN(MAX(ROUND(($D82)/5,0)*5,5),600),Baseline!$A$3:$A$122,0))-Inputs!$B$9,INDEX(Course!$N$2:$N$19,MATCH($B82,Course!$A$2:$A$19,0))),INDEX(Baseline!$B$3:$E$122,MATCH(MIN(MAX(ROUND(($D82)/5,0)*5,5),600),Baseline!$A$3:$A$122,0),MATCH($C82,Baseline!$B$2:$E$2,0))))))</f>
        <v/>
      </c>
      <c r="O82" s="17" t="str">
        <f aca="false">IF($C82="","",IF($E82="H",0,IF($E82="G",INDEX(Baseline!$I$3:$I$102,MIN(MAX(ROUND($F82,0),1),100)),IF($E82="T",IF($M82=3,INDEX(Baseline!$B$3:$B$122,MATCH(MIN(MAX(ROUND(($F82)/5,0)*5,5),600),Baseline!$A$3:$A$122,0))-Inputs!$B$9,INDEX(Course!$N$2:$N$19,MATCH($B82,Course!$A$2:$A$19,0))),INDEX(Baseline!$B$3:$E$122,MATCH(MIN(MAX(ROUND(($F82)/5,0)*5,5),600),Baseline!$A$3:$A$122,0),MATCH($E82,Baseline!$B$2:$E$2,0))))))</f>
        <v/>
      </c>
      <c r="P82" s="17" t="str">
        <f aca="false">IF($B82="","",INDEX(Course!$N$2:$N$19,MATCH($B82,Course!$A$2:$A$19,0)))</f>
        <v/>
      </c>
      <c r="Q82" s="17" t="str">
        <f aca="false">IF($B82="","",INDEX(Course!$P$2:$P$19,MATCH($B82,Course!$A$2:$A$19,0)))</f>
        <v/>
      </c>
      <c r="R82" s="17" t="str">
        <f aca="false">IF($C82="","",IF(OR($C82="G",$C82="H"),0,IF($C82="T",1,MIN(1,MAX(0,($N82-Inputs!$B$8)/MAX($P82-Inputs!$B$8,0.01))))))</f>
        <v/>
      </c>
      <c r="S82" s="17" t="str">
        <f aca="false">IF($C82="","",IF(OR($E82="G",$E82="H"),0,IF($E82="T",1,MIN(1,MAX(0,($O82-Inputs!$B$8)/MAX($P82-Inputs!$B$8,0.01))))))</f>
        <v/>
      </c>
    </row>
    <row r="83" customFormat="false" ht="15" hidden="false" customHeight="false" outlineLevel="0" collapsed="false">
      <c r="I83" s="7" t="str">
        <f aca="false">IF($C83="","",IF($C83="G","PUTT",IF(AND($C83="T",$M83&gt;3),"OTT",IF($D83&lt;=30,"ARG","APP"))))</f>
        <v/>
      </c>
      <c r="J83" s="17" t="str">
        <f aca="false">IF($C83="","",$N83+$Q83*$R83)</f>
        <v/>
      </c>
      <c r="K83" s="17" t="str">
        <f aca="false">IF($C83="","",$O83+$Q83*$S83)</f>
        <v/>
      </c>
      <c r="L83" s="17" t="str">
        <f aca="false">IF($C83="","",$J83-$K83-1-N($G83))</f>
        <v/>
      </c>
      <c r="M83" s="7" t="str">
        <f aca="false">IF($B83="","",INDEX(Course!$B$2:$B$19,MATCH($B83,Course!$A$2:$A$19,0)))</f>
        <v/>
      </c>
      <c r="N83" s="17" t="str">
        <f aca="false">IF($C83="","",IF($C83="H",0,IF($C83="G",INDEX(Baseline!$I$3:$I$102,MIN(MAX(ROUND($D83,0),1),100)),IF($C83="T",IF($M83=3,INDEX(Baseline!$B$3:$B$122,MATCH(MIN(MAX(ROUND(($D83)/5,0)*5,5),600),Baseline!$A$3:$A$122,0))-Inputs!$B$9,INDEX(Course!$N$2:$N$19,MATCH($B83,Course!$A$2:$A$19,0))),INDEX(Baseline!$B$3:$E$122,MATCH(MIN(MAX(ROUND(($D83)/5,0)*5,5),600),Baseline!$A$3:$A$122,0),MATCH($C83,Baseline!$B$2:$E$2,0))))))</f>
        <v/>
      </c>
      <c r="O83" s="17" t="str">
        <f aca="false">IF($C83="","",IF($E83="H",0,IF($E83="G",INDEX(Baseline!$I$3:$I$102,MIN(MAX(ROUND($F83,0),1),100)),IF($E83="T",IF($M83=3,INDEX(Baseline!$B$3:$B$122,MATCH(MIN(MAX(ROUND(($F83)/5,0)*5,5),600),Baseline!$A$3:$A$122,0))-Inputs!$B$9,INDEX(Course!$N$2:$N$19,MATCH($B83,Course!$A$2:$A$19,0))),INDEX(Baseline!$B$3:$E$122,MATCH(MIN(MAX(ROUND(($F83)/5,0)*5,5),600),Baseline!$A$3:$A$122,0),MATCH($E83,Baseline!$B$2:$E$2,0))))))</f>
        <v/>
      </c>
      <c r="P83" s="17" t="str">
        <f aca="false">IF($B83="","",INDEX(Course!$N$2:$N$19,MATCH($B83,Course!$A$2:$A$19,0)))</f>
        <v/>
      </c>
      <c r="Q83" s="17" t="str">
        <f aca="false">IF($B83="","",INDEX(Course!$P$2:$P$19,MATCH($B83,Course!$A$2:$A$19,0)))</f>
        <v/>
      </c>
      <c r="R83" s="17" t="str">
        <f aca="false">IF($C83="","",IF(OR($C83="G",$C83="H"),0,IF($C83="T",1,MIN(1,MAX(0,($N83-Inputs!$B$8)/MAX($P83-Inputs!$B$8,0.01))))))</f>
        <v/>
      </c>
      <c r="S83" s="17" t="str">
        <f aca="false">IF($C83="","",IF(OR($E83="G",$E83="H"),0,IF($E83="T",1,MIN(1,MAX(0,($O83-Inputs!$B$8)/MAX($P83-Inputs!$B$8,0.01))))))</f>
        <v/>
      </c>
    </row>
    <row r="84" customFormat="false" ht="15" hidden="false" customHeight="false" outlineLevel="0" collapsed="false">
      <c r="I84" s="7" t="str">
        <f aca="false">IF($C84="","",IF($C84="G","PUTT",IF(AND($C84="T",$M84&gt;3),"OTT",IF($D84&lt;=30,"ARG","APP"))))</f>
        <v/>
      </c>
      <c r="J84" s="17" t="str">
        <f aca="false">IF($C84="","",$N84+$Q84*$R84)</f>
        <v/>
      </c>
      <c r="K84" s="17" t="str">
        <f aca="false">IF($C84="","",$O84+$Q84*$S84)</f>
        <v/>
      </c>
      <c r="L84" s="17" t="str">
        <f aca="false">IF($C84="","",$J84-$K84-1-N($G84))</f>
        <v/>
      </c>
      <c r="M84" s="7" t="str">
        <f aca="false">IF($B84="","",INDEX(Course!$B$2:$B$19,MATCH($B84,Course!$A$2:$A$19,0)))</f>
        <v/>
      </c>
      <c r="N84" s="17" t="str">
        <f aca="false">IF($C84="","",IF($C84="H",0,IF($C84="G",INDEX(Baseline!$I$3:$I$102,MIN(MAX(ROUND($D84,0),1),100)),IF($C84="T",IF($M84=3,INDEX(Baseline!$B$3:$B$122,MATCH(MIN(MAX(ROUND(($D84)/5,0)*5,5),600),Baseline!$A$3:$A$122,0))-Inputs!$B$9,INDEX(Course!$N$2:$N$19,MATCH($B84,Course!$A$2:$A$19,0))),INDEX(Baseline!$B$3:$E$122,MATCH(MIN(MAX(ROUND(($D84)/5,0)*5,5),600),Baseline!$A$3:$A$122,0),MATCH($C84,Baseline!$B$2:$E$2,0))))))</f>
        <v/>
      </c>
      <c r="O84" s="17" t="str">
        <f aca="false">IF($C84="","",IF($E84="H",0,IF($E84="G",INDEX(Baseline!$I$3:$I$102,MIN(MAX(ROUND($F84,0),1),100)),IF($E84="T",IF($M84=3,INDEX(Baseline!$B$3:$B$122,MATCH(MIN(MAX(ROUND(($F84)/5,0)*5,5),600),Baseline!$A$3:$A$122,0))-Inputs!$B$9,INDEX(Course!$N$2:$N$19,MATCH($B84,Course!$A$2:$A$19,0))),INDEX(Baseline!$B$3:$E$122,MATCH(MIN(MAX(ROUND(($F84)/5,0)*5,5),600),Baseline!$A$3:$A$122,0),MATCH($E84,Baseline!$B$2:$E$2,0))))))</f>
        <v/>
      </c>
      <c r="P84" s="17" t="str">
        <f aca="false">IF($B84="","",INDEX(Course!$N$2:$N$19,MATCH($B84,Course!$A$2:$A$19,0)))</f>
        <v/>
      </c>
      <c r="Q84" s="17" t="str">
        <f aca="false">IF($B84="","",INDEX(Course!$P$2:$P$19,MATCH($B84,Course!$A$2:$A$19,0)))</f>
        <v/>
      </c>
      <c r="R84" s="17" t="str">
        <f aca="false">IF($C84="","",IF(OR($C84="G",$C84="H"),0,IF($C84="T",1,MIN(1,MAX(0,($N84-Inputs!$B$8)/MAX($P84-Inputs!$B$8,0.01))))))</f>
        <v/>
      </c>
      <c r="S84" s="17" t="str">
        <f aca="false">IF($C84="","",IF(OR($E84="G",$E84="H"),0,IF($E84="T",1,MIN(1,MAX(0,($O84-Inputs!$B$8)/MAX($P84-Inputs!$B$8,0.01))))))</f>
        <v/>
      </c>
    </row>
    <row r="85" customFormat="false" ht="15" hidden="false" customHeight="false" outlineLevel="0" collapsed="false">
      <c r="I85" s="7" t="str">
        <f aca="false">IF($C85="","",IF($C85="G","PUTT",IF(AND($C85="T",$M85&gt;3),"OTT",IF($D85&lt;=30,"ARG","APP"))))</f>
        <v/>
      </c>
      <c r="J85" s="17" t="str">
        <f aca="false">IF($C85="","",$N85+$Q85*$R85)</f>
        <v/>
      </c>
      <c r="K85" s="17" t="str">
        <f aca="false">IF($C85="","",$O85+$Q85*$S85)</f>
        <v/>
      </c>
      <c r="L85" s="17" t="str">
        <f aca="false">IF($C85="","",$J85-$K85-1-N($G85))</f>
        <v/>
      </c>
      <c r="M85" s="7" t="str">
        <f aca="false">IF($B85="","",INDEX(Course!$B$2:$B$19,MATCH($B85,Course!$A$2:$A$19,0)))</f>
        <v/>
      </c>
      <c r="N85" s="17" t="str">
        <f aca="false">IF($C85="","",IF($C85="H",0,IF($C85="G",INDEX(Baseline!$I$3:$I$102,MIN(MAX(ROUND($D85,0),1),100)),IF($C85="T",IF($M85=3,INDEX(Baseline!$B$3:$B$122,MATCH(MIN(MAX(ROUND(($D85)/5,0)*5,5),600),Baseline!$A$3:$A$122,0))-Inputs!$B$9,INDEX(Course!$N$2:$N$19,MATCH($B85,Course!$A$2:$A$19,0))),INDEX(Baseline!$B$3:$E$122,MATCH(MIN(MAX(ROUND(($D85)/5,0)*5,5),600),Baseline!$A$3:$A$122,0),MATCH($C85,Baseline!$B$2:$E$2,0))))))</f>
        <v/>
      </c>
      <c r="O85" s="17" t="str">
        <f aca="false">IF($C85="","",IF($E85="H",0,IF($E85="G",INDEX(Baseline!$I$3:$I$102,MIN(MAX(ROUND($F85,0),1),100)),IF($E85="T",IF($M85=3,INDEX(Baseline!$B$3:$B$122,MATCH(MIN(MAX(ROUND(($F85)/5,0)*5,5),600),Baseline!$A$3:$A$122,0))-Inputs!$B$9,INDEX(Course!$N$2:$N$19,MATCH($B85,Course!$A$2:$A$19,0))),INDEX(Baseline!$B$3:$E$122,MATCH(MIN(MAX(ROUND(($F85)/5,0)*5,5),600),Baseline!$A$3:$A$122,0),MATCH($E85,Baseline!$B$2:$E$2,0))))))</f>
        <v/>
      </c>
      <c r="P85" s="17" t="str">
        <f aca="false">IF($B85="","",INDEX(Course!$N$2:$N$19,MATCH($B85,Course!$A$2:$A$19,0)))</f>
        <v/>
      </c>
      <c r="Q85" s="17" t="str">
        <f aca="false">IF($B85="","",INDEX(Course!$P$2:$P$19,MATCH($B85,Course!$A$2:$A$19,0)))</f>
        <v/>
      </c>
      <c r="R85" s="17" t="str">
        <f aca="false">IF($C85="","",IF(OR($C85="G",$C85="H"),0,IF($C85="T",1,MIN(1,MAX(0,($N85-Inputs!$B$8)/MAX($P85-Inputs!$B$8,0.01))))))</f>
        <v/>
      </c>
      <c r="S85" s="17" t="str">
        <f aca="false">IF($C85="","",IF(OR($E85="G",$E85="H"),0,IF($E85="T",1,MIN(1,MAX(0,($O85-Inputs!$B$8)/MAX($P85-Inputs!$B$8,0.01))))))</f>
        <v/>
      </c>
    </row>
    <row r="86" customFormat="false" ht="15" hidden="false" customHeight="false" outlineLevel="0" collapsed="false">
      <c r="I86" s="7" t="str">
        <f aca="false">IF($C86="","",IF($C86="G","PUTT",IF(AND($C86="T",$M86&gt;3),"OTT",IF($D86&lt;=30,"ARG","APP"))))</f>
        <v/>
      </c>
      <c r="J86" s="17" t="str">
        <f aca="false">IF($C86="","",$N86+$Q86*$R86)</f>
        <v/>
      </c>
      <c r="K86" s="17" t="str">
        <f aca="false">IF($C86="","",$O86+$Q86*$S86)</f>
        <v/>
      </c>
      <c r="L86" s="17" t="str">
        <f aca="false">IF($C86="","",$J86-$K86-1-N($G86))</f>
        <v/>
      </c>
      <c r="M86" s="7" t="str">
        <f aca="false">IF($B86="","",INDEX(Course!$B$2:$B$19,MATCH($B86,Course!$A$2:$A$19,0)))</f>
        <v/>
      </c>
      <c r="N86" s="17" t="str">
        <f aca="false">IF($C86="","",IF($C86="H",0,IF($C86="G",INDEX(Baseline!$I$3:$I$102,MIN(MAX(ROUND($D86,0),1),100)),IF($C86="T",IF($M86=3,INDEX(Baseline!$B$3:$B$122,MATCH(MIN(MAX(ROUND(($D86)/5,0)*5,5),600),Baseline!$A$3:$A$122,0))-Inputs!$B$9,INDEX(Course!$N$2:$N$19,MATCH($B86,Course!$A$2:$A$19,0))),INDEX(Baseline!$B$3:$E$122,MATCH(MIN(MAX(ROUND(($D86)/5,0)*5,5),600),Baseline!$A$3:$A$122,0),MATCH($C86,Baseline!$B$2:$E$2,0))))))</f>
        <v/>
      </c>
      <c r="O86" s="17" t="str">
        <f aca="false">IF($C86="","",IF($E86="H",0,IF($E86="G",INDEX(Baseline!$I$3:$I$102,MIN(MAX(ROUND($F86,0),1),100)),IF($E86="T",IF($M86=3,INDEX(Baseline!$B$3:$B$122,MATCH(MIN(MAX(ROUND(($F86)/5,0)*5,5),600),Baseline!$A$3:$A$122,0))-Inputs!$B$9,INDEX(Course!$N$2:$N$19,MATCH($B86,Course!$A$2:$A$19,0))),INDEX(Baseline!$B$3:$E$122,MATCH(MIN(MAX(ROUND(($F86)/5,0)*5,5),600),Baseline!$A$3:$A$122,0),MATCH($E86,Baseline!$B$2:$E$2,0))))))</f>
        <v/>
      </c>
      <c r="P86" s="17" t="str">
        <f aca="false">IF($B86="","",INDEX(Course!$N$2:$N$19,MATCH($B86,Course!$A$2:$A$19,0)))</f>
        <v/>
      </c>
      <c r="Q86" s="17" t="str">
        <f aca="false">IF($B86="","",INDEX(Course!$P$2:$P$19,MATCH($B86,Course!$A$2:$A$19,0)))</f>
        <v/>
      </c>
      <c r="R86" s="17" t="str">
        <f aca="false">IF($C86="","",IF(OR($C86="G",$C86="H"),0,IF($C86="T",1,MIN(1,MAX(0,($N86-Inputs!$B$8)/MAX($P86-Inputs!$B$8,0.01))))))</f>
        <v/>
      </c>
      <c r="S86" s="17" t="str">
        <f aca="false">IF($C86="","",IF(OR($E86="G",$E86="H"),0,IF($E86="T",1,MIN(1,MAX(0,($O86-Inputs!$B$8)/MAX($P86-Inputs!$B$8,0.01))))))</f>
        <v/>
      </c>
    </row>
    <row r="87" customFormat="false" ht="15" hidden="false" customHeight="false" outlineLevel="0" collapsed="false">
      <c r="I87" s="7" t="str">
        <f aca="false">IF($C87="","",IF($C87="G","PUTT",IF(AND($C87="T",$M87&gt;3),"OTT",IF($D87&lt;=30,"ARG","APP"))))</f>
        <v/>
      </c>
      <c r="J87" s="17" t="str">
        <f aca="false">IF($C87="","",$N87+$Q87*$R87)</f>
        <v/>
      </c>
      <c r="K87" s="17" t="str">
        <f aca="false">IF($C87="","",$O87+$Q87*$S87)</f>
        <v/>
      </c>
      <c r="L87" s="17" t="str">
        <f aca="false">IF($C87="","",$J87-$K87-1-N($G87))</f>
        <v/>
      </c>
      <c r="M87" s="7" t="str">
        <f aca="false">IF($B87="","",INDEX(Course!$B$2:$B$19,MATCH($B87,Course!$A$2:$A$19,0)))</f>
        <v/>
      </c>
      <c r="N87" s="17" t="str">
        <f aca="false">IF($C87="","",IF($C87="H",0,IF($C87="G",INDEX(Baseline!$I$3:$I$102,MIN(MAX(ROUND($D87,0),1),100)),IF($C87="T",IF($M87=3,INDEX(Baseline!$B$3:$B$122,MATCH(MIN(MAX(ROUND(($D87)/5,0)*5,5),600),Baseline!$A$3:$A$122,0))-Inputs!$B$9,INDEX(Course!$N$2:$N$19,MATCH($B87,Course!$A$2:$A$19,0))),INDEX(Baseline!$B$3:$E$122,MATCH(MIN(MAX(ROUND(($D87)/5,0)*5,5),600),Baseline!$A$3:$A$122,0),MATCH($C87,Baseline!$B$2:$E$2,0))))))</f>
        <v/>
      </c>
      <c r="O87" s="17" t="str">
        <f aca="false">IF($C87="","",IF($E87="H",0,IF($E87="G",INDEX(Baseline!$I$3:$I$102,MIN(MAX(ROUND($F87,0),1),100)),IF($E87="T",IF($M87=3,INDEX(Baseline!$B$3:$B$122,MATCH(MIN(MAX(ROUND(($F87)/5,0)*5,5),600),Baseline!$A$3:$A$122,0))-Inputs!$B$9,INDEX(Course!$N$2:$N$19,MATCH($B87,Course!$A$2:$A$19,0))),INDEX(Baseline!$B$3:$E$122,MATCH(MIN(MAX(ROUND(($F87)/5,0)*5,5),600),Baseline!$A$3:$A$122,0),MATCH($E87,Baseline!$B$2:$E$2,0))))))</f>
        <v/>
      </c>
      <c r="P87" s="17" t="str">
        <f aca="false">IF($B87="","",INDEX(Course!$N$2:$N$19,MATCH($B87,Course!$A$2:$A$19,0)))</f>
        <v/>
      </c>
      <c r="Q87" s="17" t="str">
        <f aca="false">IF($B87="","",INDEX(Course!$P$2:$P$19,MATCH($B87,Course!$A$2:$A$19,0)))</f>
        <v/>
      </c>
      <c r="R87" s="17" t="str">
        <f aca="false">IF($C87="","",IF(OR($C87="G",$C87="H"),0,IF($C87="T",1,MIN(1,MAX(0,($N87-Inputs!$B$8)/MAX($P87-Inputs!$B$8,0.01))))))</f>
        <v/>
      </c>
      <c r="S87" s="17" t="str">
        <f aca="false">IF($C87="","",IF(OR($E87="G",$E87="H"),0,IF($E87="T",1,MIN(1,MAX(0,($O87-Inputs!$B$8)/MAX($P87-Inputs!$B$8,0.01))))))</f>
        <v/>
      </c>
    </row>
    <row r="88" customFormat="false" ht="15" hidden="false" customHeight="false" outlineLevel="0" collapsed="false">
      <c r="I88" s="7" t="str">
        <f aca="false">IF($C88="","",IF($C88="G","PUTT",IF(AND($C88="T",$M88&gt;3),"OTT",IF($D88&lt;=30,"ARG","APP"))))</f>
        <v/>
      </c>
      <c r="J88" s="17" t="str">
        <f aca="false">IF($C88="","",$N88+$Q88*$R88)</f>
        <v/>
      </c>
      <c r="K88" s="17" t="str">
        <f aca="false">IF($C88="","",$O88+$Q88*$S88)</f>
        <v/>
      </c>
      <c r="L88" s="17" t="str">
        <f aca="false">IF($C88="","",$J88-$K88-1-N($G88))</f>
        <v/>
      </c>
      <c r="M88" s="7" t="str">
        <f aca="false">IF($B88="","",INDEX(Course!$B$2:$B$19,MATCH($B88,Course!$A$2:$A$19,0)))</f>
        <v/>
      </c>
      <c r="N88" s="17" t="str">
        <f aca="false">IF($C88="","",IF($C88="H",0,IF($C88="G",INDEX(Baseline!$I$3:$I$102,MIN(MAX(ROUND($D88,0),1),100)),IF($C88="T",IF($M88=3,INDEX(Baseline!$B$3:$B$122,MATCH(MIN(MAX(ROUND(($D88)/5,0)*5,5),600),Baseline!$A$3:$A$122,0))-Inputs!$B$9,INDEX(Course!$N$2:$N$19,MATCH($B88,Course!$A$2:$A$19,0))),INDEX(Baseline!$B$3:$E$122,MATCH(MIN(MAX(ROUND(($D88)/5,0)*5,5),600),Baseline!$A$3:$A$122,0),MATCH($C88,Baseline!$B$2:$E$2,0))))))</f>
        <v/>
      </c>
      <c r="O88" s="17" t="str">
        <f aca="false">IF($C88="","",IF($E88="H",0,IF($E88="G",INDEX(Baseline!$I$3:$I$102,MIN(MAX(ROUND($F88,0),1),100)),IF($E88="T",IF($M88=3,INDEX(Baseline!$B$3:$B$122,MATCH(MIN(MAX(ROUND(($F88)/5,0)*5,5),600),Baseline!$A$3:$A$122,0))-Inputs!$B$9,INDEX(Course!$N$2:$N$19,MATCH($B88,Course!$A$2:$A$19,0))),INDEX(Baseline!$B$3:$E$122,MATCH(MIN(MAX(ROUND(($F88)/5,0)*5,5),600),Baseline!$A$3:$A$122,0),MATCH($E88,Baseline!$B$2:$E$2,0))))))</f>
        <v/>
      </c>
      <c r="P88" s="17" t="str">
        <f aca="false">IF($B88="","",INDEX(Course!$N$2:$N$19,MATCH($B88,Course!$A$2:$A$19,0)))</f>
        <v/>
      </c>
      <c r="Q88" s="17" t="str">
        <f aca="false">IF($B88="","",INDEX(Course!$P$2:$P$19,MATCH($B88,Course!$A$2:$A$19,0)))</f>
        <v/>
      </c>
      <c r="R88" s="17" t="str">
        <f aca="false">IF($C88="","",IF(OR($C88="G",$C88="H"),0,IF($C88="T",1,MIN(1,MAX(0,($N88-Inputs!$B$8)/MAX($P88-Inputs!$B$8,0.01))))))</f>
        <v/>
      </c>
      <c r="S88" s="17" t="str">
        <f aca="false">IF($C88="","",IF(OR($E88="G",$E88="H"),0,IF($E88="T",1,MIN(1,MAX(0,($O88-Inputs!$B$8)/MAX($P88-Inputs!$B$8,0.01))))))</f>
        <v/>
      </c>
    </row>
    <row r="89" customFormat="false" ht="15" hidden="false" customHeight="false" outlineLevel="0" collapsed="false">
      <c r="I89" s="7" t="str">
        <f aca="false">IF($C89="","",IF($C89="G","PUTT",IF(AND($C89="T",$M89&gt;3),"OTT",IF($D89&lt;=30,"ARG","APP"))))</f>
        <v/>
      </c>
      <c r="J89" s="17" t="str">
        <f aca="false">IF($C89="","",$N89+$Q89*$R89)</f>
        <v/>
      </c>
      <c r="K89" s="17" t="str">
        <f aca="false">IF($C89="","",$O89+$Q89*$S89)</f>
        <v/>
      </c>
      <c r="L89" s="17" t="str">
        <f aca="false">IF($C89="","",$J89-$K89-1-N($G89))</f>
        <v/>
      </c>
      <c r="M89" s="7" t="str">
        <f aca="false">IF($B89="","",INDEX(Course!$B$2:$B$19,MATCH($B89,Course!$A$2:$A$19,0)))</f>
        <v/>
      </c>
      <c r="N89" s="17" t="str">
        <f aca="false">IF($C89="","",IF($C89="H",0,IF($C89="G",INDEX(Baseline!$I$3:$I$102,MIN(MAX(ROUND($D89,0),1),100)),IF($C89="T",IF($M89=3,INDEX(Baseline!$B$3:$B$122,MATCH(MIN(MAX(ROUND(($D89)/5,0)*5,5),600),Baseline!$A$3:$A$122,0))-Inputs!$B$9,INDEX(Course!$N$2:$N$19,MATCH($B89,Course!$A$2:$A$19,0))),INDEX(Baseline!$B$3:$E$122,MATCH(MIN(MAX(ROUND(($D89)/5,0)*5,5),600),Baseline!$A$3:$A$122,0),MATCH($C89,Baseline!$B$2:$E$2,0))))))</f>
        <v/>
      </c>
      <c r="O89" s="17" t="str">
        <f aca="false">IF($C89="","",IF($E89="H",0,IF($E89="G",INDEX(Baseline!$I$3:$I$102,MIN(MAX(ROUND($F89,0),1),100)),IF($E89="T",IF($M89=3,INDEX(Baseline!$B$3:$B$122,MATCH(MIN(MAX(ROUND(($F89)/5,0)*5,5),600),Baseline!$A$3:$A$122,0))-Inputs!$B$9,INDEX(Course!$N$2:$N$19,MATCH($B89,Course!$A$2:$A$19,0))),INDEX(Baseline!$B$3:$E$122,MATCH(MIN(MAX(ROUND(($F89)/5,0)*5,5),600),Baseline!$A$3:$A$122,0),MATCH($E89,Baseline!$B$2:$E$2,0))))))</f>
        <v/>
      </c>
      <c r="P89" s="17" t="str">
        <f aca="false">IF($B89="","",INDEX(Course!$N$2:$N$19,MATCH($B89,Course!$A$2:$A$19,0)))</f>
        <v/>
      </c>
      <c r="Q89" s="17" t="str">
        <f aca="false">IF($B89="","",INDEX(Course!$P$2:$P$19,MATCH($B89,Course!$A$2:$A$19,0)))</f>
        <v/>
      </c>
      <c r="R89" s="17" t="str">
        <f aca="false">IF($C89="","",IF(OR($C89="G",$C89="H"),0,IF($C89="T",1,MIN(1,MAX(0,($N89-Inputs!$B$8)/MAX($P89-Inputs!$B$8,0.01))))))</f>
        <v/>
      </c>
      <c r="S89" s="17" t="str">
        <f aca="false">IF($C89="","",IF(OR($E89="G",$E89="H"),0,IF($E89="T",1,MIN(1,MAX(0,($O89-Inputs!$B$8)/MAX($P89-Inputs!$B$8,0.01))))))</f>
        <v/>
      </c>
    </row>
    <row r="90" customFormat="false" ht="15" hidden="false" customHeight="false" outlineLevel="0" collapsed="false">
      <c r="I90" s="7" t="str">
        <f aca="false">IF($C90="","",IF($C90="G","PUTT",IF(AND($C90="T",$M90&gt;3),"OTT",IF($D90&lt;=30,"ARG","APP"))))</f>
        <v/>
      </c>
      <c r="J90" s="17" t="str">
        <f aca="false">IF($C90="","",$N90+$Q90*$R90)</f>
        <v/>
      </c>
      <c r="K90" s="17" t="str">
        <f aca="false">IF($C90="","",$O90+$Q90*$S90)</f>
        <v/>
      </c>
      <c r="L90" s="17" t="str">
        <f aca="false">IF($C90="","",$J90-$K90-1-N($G90))</f>
        <v/>
      </c>
      <c r="M90" s="7" t="str">
        <f aca="false">IF($B90="","",INDEX(Course!$B$2:$B$19,MATCH($B90,Course!$A$2:$A$19,0)))</f>
        <v/>
      </c>
      <c r="N90" s="17" t="str">
        <f aca="false">IF($C90="","",IF($C90="H",0,IF($C90="G",INDEX(Baseline!$I$3:$I$102,MIN(MAX(ROUND($D90,0),1),100)),IF($C90="T",IF($M90=3,INDEX(Baseline!$B$3:$B$122,MATCH(MIN(MAX(ROUND(($D90)/5,0)*5,5),600),Baseline!$A$3:$A$122,0))-Inputs!$B$9,INDEX(Course!$N$2:$N$19,MATCH($B90,Course!$A$2:$A$19,0))),INDEX(Baseline!$B$3:$E$122,MATCH(MIN(MAX(ROUND(($D90)/5,0)*5,5),600),Baseline!$A$3:$A$122,0),MATCH($C90,Baseline!$B$2:$E$2,0))))))</f>
        <v/>
      </c>
      <c r="O90" s="17" t="str">
        <f aca="false">IF($C90="","",IF($E90="H",0,IF($E90="G",INDEX(Baseline!$I$3:$I$102,MIN(MAX(ROUND($F90,0),1),100)),IF($E90="T",IF($M90=3,INDEX(Baseline!$B$3:$B$122,MATCH(MIN(MAX(ROUND(($F90)/5,0)*5,5),600),Baseline!$A$3:$A$122,0))-Inputs!$B$9,INDEX(Course!$N$2:$N$19,MATCH($B90,Course!$A$2:$A$19,0))),INDEX(Baseline!$B$3:$E$122,MATCH(MIN(MAX(ROUND(($F90)/5,0)*5,5),600),Baseline!$A$3:$A$122,0),MATCH($E90,Baseline!$B$2:$E$2,0))))))</f>
        <v/>
      </c>
      <c r="P90" s="17" t="str">
        <f aca="false">IF($B90="","",INDEX(Course!$N$2:$N$19,MATCH($B90,Course!$A$2:$A$19,0)))</f>
        <v/>
      </c>
      <c r="Q90" s="17" t="str">
        <f aca="false">IF($B90="","",INDEX(Course!$P$2:$P$19,MATCH($B90,Course!$A$2:$A$19,0)))</f>
        <v/>
      </c>
      <c r="R90" s="17" t="str">
        <f aca="false">IF($C90="","",IF(OR($C90="G",$C90="H"),0,IF($C90="T",1,MIN(1,MAX(0,($N90-Inputs!$B$8)/MAX($P90-Inputs!$B$8,0.01))))))</f>
        <v/>
      </c>
      <c r="S90" s="17" t="str">
        <f aca="false">IF($C90="","",IF(OR($E90="G",$E90="H"),0,IF($E90="T",1,MIN(1,MAX(0,($O90-Inputs!$B$8)/MAX($P90-Inputs!$B$8,0.01))))))</f>
        <v/>
      </c>
    </row>
    <row r="91" customFormat="false" ht="15" hidden="false" customHeight="false" outlineLevel="0" collapsed="false">
      <c r="I91" s="7" t="str">
        <f aca="false">IF($C91="","",IF($C91="G","PUTT",IF(AND($C91="T",$M91&gt;3),"OTT",IF($D91&lt;=30,"ARG","APP"))))</f>
        <v/>
      </c>
      <c r="J91" s="17" t="str">
        <f aca="false">IF($C91="","",$N91+$Q91*$R91)</f>
        <v/>
      </c>
      <c r="K91" s="17" t="str">
        <f aca="false">IF($C91="","",$O91+$Q91*$S91)</f>
        <v/>
      </c>
      <c r="L91" s="17" t="str">
        <f aca="false">IF($C91="","",$J91-$K91-1-N($G91))</f>
        <v/>
      </c>
      <c r="M91" s="7" t="str">
        <f aca="false">IF($B91="","",INDEX(Course!$B$2:$B$19,MATCH($B91,Course!$A$2:$A$19,0)))</f>
        <v/>
      </c>
      <c r="N91" s="17" t="str">
        <f aca="false">IF($C91="","",IF($C91="H",0,IF($C91="G",INDEX(Baseline!$I$3:$I$102,MIN(MAX(ROUND($D91,0),1),100)),IF($C91="T",IF($M91=3,INDEX(Baseline!$B$3:$B$122,MATCH(MIN(MAX(ROUND(($D91)/5,0)*5,5),600),Baseline!$A$3:$A$122,0))-Inputs!$B$9,INDEX(Course!$N$2:$N$19,MATCH($B91,Course!$A$2:$A$19,0))),INDEX(Baseline!$B$3:$E$122,MATCH(MIN(MAX(ROUND(($D91)/5,0)*5,5),600),Baseline!$A$3:$A$122,0),MATCH($C91,Baseline!$B$2:$E$2,0))))))</f>
        <v/>
      </c>
      <c r="O91" s="17" t="str">
        <f aca="false">IF($C91="","",IF($E91="H",0,IF($E91="G",INDEX(Baseline!$I$3:$I$102,MIN(MAX(ROUND($F91,0),1),100)),IF($E91="T",IF($M91=3,INDEX(Baseline!$B$3:$B$122,MATCH(MIN(MAX(ROUND(($F91)/5,0)*5,5),600),Baseline!$A$3:$A$122,0))-Inputs!$B$9,INDEX(Course!$N$2:$N$19,MATCH($B91,Course!$A$2:$A$19,0))),INDEX(Baseline!$B$3:$E$122,MATCH(MIN(MAX(ROUND(($F91)/5,0)*5,5),600),Baseline!$A$3:$A$122,0),MATCH($E91,Baseline!$B$2:$E$2,0))))))</f>
        <v/>
      </c>
      <c r="P91" s="17" t="str">
        <f aca="false">IF($B91="","",INDEX(Course!$N$2:$N$19,MATCH($B91,Course!$A$2:$A$19,0)))</f>
        <v/>
      </c>
      <c r="Q91" s="17" t="str">
        <f aca="false">IF($B91="","",INDEX(Course!$P$2:$P$19,MATCH($B91,Course!$A$2:$A$19,0)))</f>
        <v/>
      </c>
      <c r="R91" s="17" t="str">
        <f aca="false">IF($C91="","",IF(OR($C91="G",$C91="H"),0,IF($C91="T",1,MIN(1,MAX(0,($N91-Inputs!$B$8)/MAX($P91-Inputs!$B$8,0.01))))))</f>
        <v/>
      </c>
      <c r="S91" s="17" t="str">
        <f aca="false">IF($C91="","",IF(OR($E91="G",$E91="H"),0,IF($E91="T",1,MIN(1,MAX(0,($O91-Inputs!$B$8)/MAX($P91-Inputs!$B$8,0.01))))))</f>
        <v/>
      </c>
    </row>
    <row r="92" customFormat="false" ht="15" hidden="false" customHeight="false" outlineLevel="0" collapsed="false">
      <c r="I92" s="7" t="str">
        <f aca="false">IF($C92="","",IF($C92="G","PUTT",IF(AND($C92="T",$M92&gt;3),"OTT",IF($D92&lt;=30,"ARG","APP"))))</f>
        <v/>
      </c>
      <c r="J92" s="17" t="str">
        <f aca="false">IF($C92="","",$N92+$Q92*$R92)</f>
        <v/>
      </c>
      <c r="K92" s="17" t="str">
        <f aca="false">IF($C92="","",$O92+$Q92*$S92)</f>
        <v/>
      </c>
      <c r="L92" s="17" t="str">
        <f aca="false">IF($C92="","",$J92-$K92-1-N($G92))</f>
        <v/>
      </c>
      <c r="M92" s="7" t="str">
        <f aca="false">IF($B92="","",INDEX(Course!$B$2:$B$19,MATCH($B92,Course!$A$2:$A$19,0)))</f>
        <v/>
      </c>
      <c r="N92" s="17" t="str">
        <f aca="false">IF($C92="","",IF($C92="H",0,IF($C92="G",INDEX(Baseline!$I$3:$I$102,MIN(MAX(ROUND($D92,0),1),100)),IF($C92="T",IF($M92=3,INDEX(Baseline!$B$3:$B$122,MATCH(MIN(MAX(ROUND(($D92)/5,0)*5,5),600),Baseline!$A$3:$A$122,0))-Inputs!$B$9,INDEX(Course!$N$2:$N$19,MATCH($B92,Course!$A$2:$A$19,0))),INDEX(Baseline!$B$3:$E$122,MATCH(MIN(MAX(ROUND(($D92)/5,0)*5,5),600),Baseline!$A$3:$A$122,0),MATCH($C92,Baseline!$B$2:$E$2,0))))))</f>
        <v/>
      </c>
      <c r="O92" s="17" t="str">
        <f aca="false">IF($C92="","",IF($E92="H",0,IF($E92="G",INDEX(Baseline!$I$3:$I$102,MIN(MAX(ROUND($F92,0),1),100)),IF($E92="T",IF($M92=3,INDEX(Baseline!$B$3:$B$122,MATCH(MIN(MAX(ROUND(($F92)/5,0)*5,5),600),Baseline!$A$3:$A$122,0))-Inputs!$B$9,INDEX(Course!$N$2:$N$19,MATCH($B92,Course!$A$2:$A$19,0))),INDEX(Baseline!$B$3:$E$122,MATCH(MIN(MAX(ROUND(($F92)/5,0)*5,5),600),Baseline!$A$3:$A$122,0),MATCH($E92,Baseline!$B$2:$E$2,0))))))</f>
        <v/>
      </c>
      <c r="P92" s="17" t="str">
        <f aca="false">IF($B92="","",INDEX(Course!$N$2:$N$19,MATCH($B92,Course!$A$2:$A$19,0)))</f>
        <v/>
      </c>
      <c r="Q92" s="17" t="str">
        <f aca="false">IF($B92="","",INDEX(Course!$P$2:$P$19,MATCH($B92,Course!$A$2:$A$19,0)))</f>
        <v/>
      </c>
      <c r="R92" s="17" t="str">
        <f aca="false">IF($C92="","",IF(OR($C92="G",$C92="H"),0,IF($C92="T",1,MIN(1,MAX(0,($N92-Inputs!$B$8)/MAX($P92-Inputs!$B$8,0.01))))))</f>
        <v/>
      </c>
      <c r="S92" s="17" t="str">
        <f aca="false">IF($C92="","",IF(OR($E92="G",$E92="H"),0,IF($E92="T",1,MIN(1,MAX(0,($O92-Inputs!$B$8)/MAX($P92-Inputs!$B$8,0.01))))))</f>
        <v/>
      </c>
    </row>
    <row r="93" customFormat="false" ht="15" hidden="false" customHeight="false" outlineLevel="0" collapsed="false">
      <c r="I93" s="7" t="str">
        <f aca="false">IF($C93="","",IF($C93="G","PUTT",IF(AND($C93="T",$M93&gt;3),"OTT",IF($D93&lt;=30,"ARG","APP"))))</f>
        <v/>
      </c>
      <c r="J93" s="17" t="str">
        <f aca="false">IF($C93="","",$N93+$Q93*$R93)</f>
        <v/>
      </c>
      <c r="K93" s="17" t="str">
        <f aca="false">IF($C93="","",$O93+$Q93*$S93)</f>
        <v/>
      </c>
      <c r="L93" s="17" t="str">
        <f aca="false">IF($C93="","",$J93-$K93-1-N($G93))</f>
        <v/>
      </c>
      <c r="M93" s="7" t="str">
        <f aca="false">IF($B93="","",INDEX(Course!$B$2:$B$19,MATCH($B93,Course!$A$2:$A$19,0)))</f>
        <v/>
      </c>
      <c r="N93" s="17" t="str">
        <f aca="false">IF($C93="","",IF($C93="H",0,IF($C93="G",INDEX(Baseline!$I$3:$I$102,MIN(MAX(ROUND($D93,0),1),100)),IF($C93="T",IF($M93=3,INDEX(Baseline!$B$3:$B$122,MATCH(MIN(MAX(ROUND(($D93)/5,0)*5,5),600),Baseline!$A$3:$A$122,0))-Inputs!$B$9,INDEX(Course!$N$2:$N$19,MATCH($B93,Course!$A$2:$A$19,0))),INDEX(Baseline!$B$3:$E$122,MATCH(MIN(MAX(ROUND(($D93)/5,0)*5,5),600),Baseline!$A$3:$A$122,0),MATCH($C93,Baseline!$B$2:$E$2,0))))))</f>
        <v/>
      </c>
      <c r="O93" s="17" t="str">
        <f aca="false">IF($C93="","",IF($E93="H",0,IF($E93="G",INDEX(Baseline!$I$3:$I$102,MIN(MAX(ROUND($F93,0),1),100)),IF($E93="T",IF($M93=3,INDEX(Baseline!$B$3:$B$122,MATCH(MIN(MAX(ROUND(($F93)/5,0)*5,5),600),Baseline!$A$3:$A$122,0))-Inputs!$B$9,INDEX(Course!$N$2:$N$19,MATCH($B93,Course!$A$2:$A$19,0))),INDEX(Baseline!$B$3:$E$122,MATCH(MIN(MAX(ROUND(($F93)/5,0)*5,5),600),Baseline!$A$3:$A$122,0),MATCH($E93,Baseline!$B$2:$E$2,0))))))</f>
        <v/>
      </c>
      <c r="P93" s="17" t="str">
        <f aca="false">IF($B93="","",INDEX(Course!$N$2:$N$19,MATCH($B93,Course!$A$2:$A$19,0)))</f>
        <v/>
      </c>
      <c r="Q93" s="17" t="str">
        <f aca="false">IF($B93="","",INDEX(Course!$P$2:$P$19,MATCH($B93,Course!$A$2:$A$19,0)))</f>
        <v/>
      </c>
      <c r="R93" s="17" t="str">
        <f aca="false">IF($C93="","",IF(OR($C93="G",$C93="H"),0,IF($C93="T",1,MIN(1,MAX(0,($N93-Inputs!$B$8)/MAX($P93-Inputs!$B$8,0.01))))))</f>
        <v/>
      </c>
      <c r="S93" s="17" t="str">
        <f aca="false">IF($C93="","",IF(OR($E93="G",$E93="H"),0,IF($E93="T",1,MIN(1,MAX(0,($O93-Inputs!$B$8)/MAX($P93-Inputs!$B$8,0.01))))))</f>
        <v/>
      </c>
    </row>
    <row r="94" customFormat="false" ht="15" hidden="false" customHeight="false" outlineLevel="0" collapsed="false">
      <c r="I94" s="7" t="str">
        <f aca="false">IF($C94="","",IF($C94="G","PUTT",IF(AND($C94="T",$M94&gt;3),"OTT",IF($D94&lt;=30,"ARG","APP"))))</f>
        <v/>
      </c>
      <c r="J94" s="17" t="str">
        <f aca="false">IF($C94="","",$N94+$Q94*$R94)</f>
        <v/>
      </c>
      <c r="K94" s="17" t="str">
        <f aca="false">IF($C94="","",$O94+$Q94*$S94)</f>
        <v/>
      </c>
      <c r="L94" s="17" t="str">
        <f aca="false">IF($C94="","",$J94-$K94-1-N($G94))</f>
        <v/>
      </c>
      <c r="M94" s="7" t="str">
        <f aca="false">IF($B94="","",INDEX(Course!$B$2:$B$19,MATCH($B94,Course!$A$2:$A$19,0)))</f>
        <v/>
      </c>
      <c r="N94" s="17" t="str">
        <f aca="false">IF($C94="","",IF($C94="H",0,IF($C94="G",INDEX(Baseline!$I$3:$I$102,MIN(MAX(ROUND($D94,0),1),100)),IF($C94="T",IF($M94=3,INDEX(Baseline!$B$3:$B$122,MATCH(MIN(MAX(ROUND(($D94)/5,0)*5,5),600),Baseline!$A$3:$A$122,0))-Inputs!$B$9,INDEX(Course!$N$2:$N$19,MATCH($B94,Course!$A$2:$A$19,0))),INDEX(Baseline!$B$3:$E$122,MATCH(MIN(MAX(ROUND(($D94)/5,0)*5,5),600),Baseline!$A$3:$A$122,0),MATCH($C94,Baseline!$B$2:$E$2,0))))))</f>
        <v/>
      </c>
      <c r="O94" s="17" t="str">
        <f aca="false">IF($C94="","",IF($E94="H",0,IF($E94="G",INDEX(Baseline!$I$3:$I$102,MIN(MAX(ROUND($F94,0),1),100)),IF($E94="T",IF($M94=3,INDEX(Baseline!$B$3:$B$122,MATCH(MIN(MAX(ROUND(($F94)/5,0)*5,5),600),Baseline!$A$3:$A$122,0))-Inputs!$B$9,INDEX(Course!$N$2:$N$19,MATCH($B94,Course!$A$2:$A$19,0))),INDEX(Baseline!$B$3:$E$122,MATCH(MIN(MAX(ROUND(($F94)/5,0)*5,5),600),Baseline!$A$3:$A$122,0),MATCH($E94,Baseline!$B$2:$E$2,0))))))</f>
        <v/>
      </c>
      <c r="P94" s="17" t="str">
        <f aca="false">IF($B94="","",INDEX(Course!$N$2:$N$19,MATCH($B94,Course!$A$2:$A$19,0)))</f>
        <v/>
      </c>
      <c r="Q94" s="17" t="str">
        <f aca="false">IF($B94="","",INDEX(Course!$P$2:$P$19,MATCH($B94,Course!$A$2:$A$19,0)))</f>
        <v/>
      </c>
      <c r="R94" s="17" t="str">
        <f aca="false">IF($C94="","",IF(OR($C94="G",$C94="H"),0,IF($C94="T",1,MIN(1,MAX(0,($N94-Inputs!$B$8)/MAX($P94-Inputs!$B$8,0.01))))))</f>
        <v/>
      </c>
      <c r="S94" s="17" t="str">
        <f aca="false">IF($C94="","",IF(OR($E94="G",$E94="H"),0,IF($E94="T",1,MIN(1,MAX(0,($O94-Inputs!$B$8)/MAX($P94-Inputs!$B$8,0.01))))))</f>
        <v/>
      </c>
    </row>
    <row r="95" customFormat="false" ht="15" hidden="false" customHeight="false" outlineLevel="0" collapsed="false">
      <c r="I95" s="7" t="str">
        <f aca="false">IF($C95="","",IF($C95="G","PUTT",IF(AND($C95="T",$M95&gt;3),"OTT",IF($D95&lt;=30,"ARG","APP"))))</f>
        <v/>
      </c>
      <c r="J95" s="17" t="str">
        <f aca="false">IF($C95="","",$N95+$Q95*$R95)</f>
        <v/>
      </c>
      <c r="K95" s="17" t="str">
        <f aca="false">IF($C95="","",$O95+$Q95*$S95)</f>
        <v/>
      </c>
      <c r="L95" s="17" t="str">
        <f aca="false">IF($C95="","",$J95-$K95-1-N($G95))</f>
        <v/>
      </c>
      <c r="M95" s="7" t="str">
        <f aca="false">IF($B95="","",INDEX(Course!$B$2:$B$19,MATCH($B95,Course!$A$2:$A$19,0)))</f>
        <v/>
      </c>
      <c r="N95" s="17" t="str">
        <f aca="false">IF($C95="","",IF($C95="H",0,IF($C95="G",INDEX(Baseline!$I$3:$I$102,MIN(MAX(ROUND($D95,0),1),100)),IF($C95="T",IF($M95=3,INDEX(Baseline!$B$3:$B$122,MATCH(MIN(MAX(ROUND(($D95)/5,0)*5,5),600),Baseline!$A$3:$A$122,0))-Inputs!$B$9,INDEX(Course!$N$2:$N$19,MATCH($B95,Course!$A$2:$A$19,0))),INDEX(Baseline!$B$3:$E$122,MATCH(MIN(MAX(ROUND(($D95)/5,0)*5,5),600),Baseline!$A$3:$A$122,0),MATCH($C95,Baseline!$B$2:$E$2,0))))))</f>
        <v/>
      </c>
      <c r="O95" s="17" t="str">
        <f aca="false">IF($C95="","",IF($E95="H",0,IF($E95="G",INDEX(Baseline!$I$3:$I$102,MIN(MAX(ROUND($F95,0),1),100)),IF($E95="T",IF($M95=3,INDEX(Baseline!$B$3:$B$122,MATCH(MIN(MAX(ROUND(($F95)/5,0)*5,5),600),Baseline!$A$3:$A$122,0))-Inputs!$B$9,INDEX(Course!$N$2:$N$19,MATCH($B95,Course!$A$2:$A$19,0))),INDEX(Baseline!$B$3:$E$122,MATCH(MIN(MAX(ROUND(($F95)/5,0)*5,5),600),Baseline!$A$3:$A$122,0),MATCH($E95,Baseline!$B$2:$E$2,0))))))</f>
        <v/>
      </c>
      <c r="P95" s="17" t="str">
        <f aca="false">IF($B95="","",INDEX(Course!$N$2:$N$19,MATCH($B95,Course!$A$2:$A$19,0)))</f>
        <v/>
      </c>
      <c r="Q95" s="17" t="str">
        <f aca="false">IF($B95="","",INDEX(Course!$P$2:$P$19,MATCH($B95,Course!$A$2:$A$19,0)))</f>
        <v/>
      </c>
      <c r="R95" s="17" t="str">
        <f aca="false">IF($C95="","",IF(OR($C95="G",$C95="H"),0,IF($C95="T",1,MIN(1,MAX(0,($N95-Inputs!$B$8)/MAX($P95-Inputs!$B$8,0.01))))))</f>
        <v/>
      </c>
      <c r="S95" s="17" t="str">
        <f aca="false">IF($C95="","",IF(OR($E95="G",$E95="H"),0,IF($E95="T",1,MIN(1,MAX(0,($O95-Inputs!$B$8)/MAX($P95-Inputs!$B$8,0.01))))))</f>
        <v/>
      </c>
    </row>
    <row r="96" customFormat="false" ht="15" hidden="false" customHeight="false" outlineLevel="0" collapsed="false">
      <c r="I96" s="7" t="str">
        <f aca="false">IF($C96="","",IF($C96="G","PUTT",IF(AND($C96="T",$M96&gt;3),"OTT",IF($D96&lt;=30,"ARG","APP"))))</f>
        <v/>
      </c>
      <c r="J96" s="17" t="str">
        <f aca="false">IF($C96="","",$N96+$Q96*$R96)</f>
        <v/>
      </c>
      <c r="K96" s="17" t="str">
        <f aca="false">IF($C96="","",$O96+$Q96*$S96)</f>
        <v/>
      </c>
      <c r="L96" s="17" t="str">
        <f aca="false">IF($C96="","",$J96-$K96-1-N($G96))</f>
        <v/>
      </c>
      <c r="M96" s="7" t="str">
        <f aca="false">IF($B96="","",INDEX(Course!$B$2:$B$19,MATCH($B96,Course!$A$2:$A$19,0)))</f>
        <v/>
      </c>
      <c r="N96" s="17" t="str">
        <f aca="false">IF($C96="","",IF($C96="H",0,IF($C96="G",INDEX(Baseline!$I$3:$I$102,MIN(MAX(ROUND($D96,0),1),100)),IF($C96="T",IF($M96=3,INDEX(Baseline!$B$3:$B$122,MATCH(MIN(MAX(ROUND(($D96)/5,0)*5,5),600),Baseline!$A$3:$A$122,0))-Inputs!$B$9,INDEX(Course!$N$2:$N$19,MATCH($B96,Course!$A$2:$A$19,0))),INDEX(Baseline!$B$3:$E$122,MATCH(MIN(MAX(ROUND(($D96)/5,0)*5,5),600),Baseline!$A$3:$A$122,0),MATCH($C96,Baseline!$B$2:$E$2,0))))))</f>
        <v/>
      </c>
      <c r="O96" s="17" t="str">
        <f aca="false">IF($C96="","",IF($E96="H",0,IF($E96="G",INDEX(Baseline!$I$3:$I$102,MIN(MAX(ROUND($F96,0),1),100)),IF($E96="T",IF($M96=3,INDEX(Baseline!$B$3:$B$122,MATCH(MIN(MAX(ROUND(($F96)/5,0)*5,5),600),Baseline!$A$3:$A$122,0))-Inputs!$B$9,INDEX(Course!$N$2:$N$19,MATCH($B96,Course!$A$2:$A$19,0))),INDEX(Baseline!$B$3:$E$122,MATCH(MIN(MAX(ROUND(($F96)/5,0)*5,5),600),Baseline!$A$3:$A$122,0),MATCH($E96,Baseline!$B$2:$E$2,0))))))</f>
        <v/>
      </c>
      <c r="P96" s="17" t="str">
        <f aca="false">IF($B96="","",INDEX(Course!$N$2:$N$19,MATCH($B96,Course!$A$2:$A$19,0)))</f>
        <v/>
      </c>
      <c r="Q96" s="17" t="str">
        <f aca="false">IF($B96="","",INDEX(Course!$P$2:$P$19,MATCH($B96,Course!$A$2:$A$19,0)))</f>
        <v/>
      </c>
      <c r="R96" s="17" t="str">
        <f aca="false">IF($C96="","",IF(OR($C96="G",$C96="H"),0,IF($C96="T",1,MIN(1,MAX(0,($N96-Inputs!$B$8)/MAX($P96-Inputs!$B$8,0.01))))))</f>
        <v/>
      </c>
      <c r="S96" s="17" t="str">
        <f aca="false">IF($C96="","",IF(OR($E96="G",$E96="H"),0,IF($E96="T",1,MIN(1,MAX(0,($O96-Inputs!$B$8)/MAX($P96-Inputs!$B$8,0.01))))))</f>
        <v/>
      </c>
    </row>
    <row r="97" customFormat="false" ht="15" hidden="false" customHeight="false" outlineLevel="0" collapsed="false">
      <c r="I97" s="7" t="str">
        <f aca="false">IF($C97="","",IF($C97="G","PUTT",IF(AND($C97="T",$M97&gt;3),"OTT",IF($D97&lt;=30,"ARG","APP"))))</f>
        <v/>
      </c>
      <c r="J97" s="17" t="str">
        <f aca="false">IF($C97="","",$N97+$Q97*$R97)</f>
        <v/>
      </c>
      <c r="K97" s="17" t="str">
        <f aca="false">IF($C97="","",$O97+$Q97*$S97)</f>
        <v/>
      </c>
      <c r="L97" s="17" t="str">
        <f aca="false">IF($C97="","",$J97-$K97-1-N($G97))</f>
        <v/>
      </c>
      <c r="M97" s="7" t="str">
        <f aca="false">IF($B97="","",INDEX(Course!$B$2:$B$19,MATCH($B97,Course!$A$2:$A$19,0)))</f>
        <v/>
      </c>
      <c r="N97" s="17" t="str">
        <f aca="false">IF($C97="","",IF($C97="H",0,IF($C97="G",INDEX(Baseline!$I$3:$I$102,MIN(MAX(ROUND($D97,0),1),100)),IF($C97="T",IF($M97=3,INDEX(Baseline!$B$3:$B$122,MATCH(MIN(MAX(ROUND(($D97)/5,0)*5,5),600),Baseline!$A$3:$A$122,0))-Inputs!$B$9,INDEX(Course!$N$2:$N$19,MATCH($B97,Course!$A$2:$A$19,0))),INDEX(Baseline!$B$3:$E$122,MATCH(MIN(MAX(ROUND(($D97)/5,0)*5,5),600),Baseline!$A$3:$A$122,0),MATCH($C97,Baseline!$B$2:$E$2,0))))))</f>
        <v/>
      </c>
      <c r="O97" s="17" t="str">
        <f aca="false">IF($C97="","",IF($E97="H",0,IF($E97="G",INDEX(Baseline!$I$3:$I$102,MIN(MAX(ROUND($F97,0),1),100)),IF($E97="T",IF($M97=3,INDEX(Baseline!$B$3:$B$122,MATCH(MIN(MAX(ROUND(($F97)/5,0)*5,5),600),Baseline!$A$3:$A$122,0))-Inputs!$B$9,INDEX(Course!$N$2:$N$19,MATCH($B97,Course!$A$2:$A$19,0))),INDEX(Baseline!$B$3:$E$122,MATCH(MIN(MAX(ROUND(($F97)/5,0)*5,5),600),Baseline!$A$3:$A$122,0),MATCH($E97,Baseline!$B$2:$E$2,0))))))</f>
        <v/>
      </c>
      <c r="P97" s="17" t="str">
        <f aca="false">IF($B97="","",INDEX(Course!$N$2:$N$19,MATCH($B97,Course!$A$2:$A$19,0)))</f>
        <v/>
      </c>
      <c r="Q97" s="17" t="str">
        <f aca="false">IF($B97="","",INDEX(Course!$P$2:$P$19,MATCH($B97,Course!$A$2:$A$19,0)))</f>
        <v/>
      </c>
      <c r="R97" s="17" t="str">
        <f aca="false">IF($C97="","",IF(OR($C97="G",$C97="H"),0,IF($C97="T",1,MIN(1,MAX(0,($N97-Inputs!$B$8)/MAX($P97-Inputs!$B$8,0.01))))))</f>
        <v/>
      </c>
      <c r="S97" s="17" t="str">
        <f aca="false">IF($C97="","",IF(OR($E97="G",$E97="H"),0,IF($E97="T",1,MIN(1,MAX(0,($O97-Inputs!$B$8)/MAX($P97-Inputs!$B$8,0.01))))))</f>
        <v/>
      </c>
    </row>
    <row r="98" customFormat="false" ht="15" hidden="false" customHeight="false" outlineLevel="0" collapsed="false">
      <c r="I98" s="7" t="str">
        <f aca="false">IF($C98="","",IF($C98="G","PUTT",IF(AND($C98="T",$M98&gt;3),"OTT",IF($D98&lt;=30,"ARG","APP"))))</f>
        <v/>
      </c>
      <c r="J98" s="17" t="str">
        <f aca="false">IF($C98="","",$N98+$Q98*$R98)</f>
        <v/>
      </c>
      <c r="K98" s="17" t="str">
        <f aca="false">IF($C98="","",$O98+$Q98*$S98)</f>
        <v/>
      </c>
      <c r="L98" s="17" t="str">
        <f aca="false">IF($C98="","",$J98-$K98-1-N($G98))</f>
        <v/>
      </c>
      <c r="M98" s="7" t="str">
        <f aca="false">IF($B98="","",INDEX(Course!$B$2:$B$19,MATCH($B98,Course!$A$2:$A$19,0)))</f>
        <v/>
      </c>
      <c r="N98" s="17" t="str">
        <f aca="false">IF($C98="","",IF($C98="H",0,IF($C98="G",INDEX(Baseline!$I$3:$I$102,MIN(MAX(ROUND($D98,0),1),100)),IF($C98="T",IF($M98=3,INDEX(Baseline!$B$3:$B$122,MATCH(MIN(MAX(ROUND(($D98)/5,0)*5,5),600),Baseline!$A$3:$A$122,0))-Inputs!$B$9,INDEX(Course!$N$2:$N$19,MATCH($B98,Course!$A$2:$A$19,0))),INDEX(Baseline!$B$3:$E$122,MATCH(MIN(MAX(ROUND(($D98)/5,0)*5,5),600),Baseline!$A$3:$A$122,0),MATCH($C98,Baseline!$B$2:$E$2,0))))))</f>
        <v/>
      </c>
      <c r="O98" s="17" t="str">
        <f aca="false">IF($C98="","",IF($E98="H",0,IF($E98="G",INDEX(Baseline!$I$3:$I$102,MIN(MAX(ROUND($F98,0),1),100)),IF($E98="T",IF($M98=3,INDEX(Baseline!$B$3:$B$122,MATCH(MIN(MAX(ROUND(($F98)/5,0)*5,5),600),Baseline!$A$3:$A$122,0))-Inputs!$B$9,INDEX(Course!$N$2:$N$19,MATCH($B98,Course!$A$2:$A$19,0))),INDEX(Baseline!$B$3:$E$122,MATCH(MIN(MAX(ROUND(($F98)/5,0)*5,5),600),Baseline!$A$3:$A$122,0),MATCH($E98,Baseline!$B$2:$E$2,0))))))</f>
        <v/>
      </c>
      <c r="P98" s="17" t="str">
        <f aca="false">IF($B98="","",INDEX(Course!$N$2:$N$19,MATCH($B98,Course!$A$2:$A$19,0)))</f>
        <v/>
      </c>
      <c r="Q98" s="17" t="str">
        <f aca="false">IF($B98="","",INDEX(Course!$P$2:$P$19,MATCH($B98,Course!$A$2:$A$19,0)))</f>
        <v/>
      </c>
      <c r="R98" s="17" t="str">
        <f aca="false">IF($C98="","",IF(OR($C98="G",$C98="H"),0,IF($C98="T",1,MIN(1,MAX(0,($N98-Inputs!$B$8)/MAX($P98-Inputs!$B$8,0.01))))))</f>
        <v/>
      </c>
      <c r="S98" s="17" t="str">
        <f aca="false">IF($C98="","",IF(OR($E98="G",$E98="H"),0,IF($E98="T",1,MIN(1,MAX(0,($O98-Inputs!$B$8)/MAX($P98-Inputs!$B$8,0.01))))))</f>
        <v/>
      </c>
    </row>
    <row r="99" customFormat="false" ht="15" hidden="false" customHeight="false" outlineLevel="0" collapsed="false">
      <c r="I99" s="7" t="str">
        <f aca="false">IF($C99="","",IF($C99="G","PUTT",IF(AND($C99="T",$M99&gt;3),"OTT",IF($D99&lt;=30,"ARG","APP"))))</f>
        <v/>
      </c>
      <c r="J99" s="17" t="str">
        <f aca="false">IF($C99="","",$N99+$Q99*$R99)</f>
        <v/>
      </c>
      <c r="K99" s="17" t="str">
        <f aca="false">IF($C99="","",$O99+$Q99*$S99)</f>
        <v/>
      </c>
      <c r="L99" s="17" t="str">
        <f aca="false">IF($C99="","",$J99-$K99-1-N($G99))</f>
        <v/>
      </c>
      <c r="M99" s="7" t="str">
        <f aca="false">IF($B99="","",INDEX(Course!$B$2:$B$19,MATCH($B99,Course!$A$2:$A$19,0)))</f>
        <v/>
      </c>
      <c r="N99" s="17" t="str">
        <f aca="false">IF($C99="","",IF($C99="H",0,IF($C99="G",INDEX(Baseline!$I$3:$I$102,MIN(MAX(ROUND($D99,0),1),100)),IF($C99="T",IF($M99=3,INDEX(Baseline!$B$3:$B$122,MATCH(MIN(MAX(ROUND(($D99)/5,0)*5,5),600),Baseline!$A$3:$A$122,0))-Inputs!$B$9,INDEX(Course!$N$2:$N$19,MATCH($B99,Course!$A$2:$A$19,0))),INDEX(Baseline!$B$3:$E$122,MATCH(MIN(MAX(ROUND(($D99)/5,0)*5,5),600),Baseline!$A$3:$A$122,0),MATCH($C99,Baseline!$B$2:$E$2,0))))))</f>
        <v/>
      </c>
      <c r="O99" s="17" t="str">
        <f aca="false">IF($C99="","",IF($E99="H",0,IF($E99="G",INDEX(Baseline!$I$3:$I$102,MIN(MAX(ROUND($F99,0),1),100)),IF($E99="T",IF($M99=3,INDEX(Baseline!$B$3:$B$122,MATCH(MIN(MAX(ROUND(($F99)/5,0)*5,5),600),Baseline!$A$3:$A$122,0))-Inputs!$B$9,INDEX(Course!$N$2:$N$19,MATCH($B99,Course!$A$2:$A$19,0))),INDEX(Baseline!$B$3:$E$122,MATCH(MIN(MAX(ROUND(($F99)/5,0)*5,5),600),Baseline!$A$3:$A$122,0),MATCH($E99,Baseline!$B$2:$E$2,0))))))</f>
        <v/>
      </c>
      <c r="P99" s="17" t="str">
        <f aca="false">IF($B99="","",INDEX(Course!$N$2:$N$19,MATCH($B99,Course!$A$2:$A$19,0)))</f>
        <v/>
      </c>
      <c r="Q99" s="17" t="str">
        <f aca="false">IF($B99="","",INDEX(Course!$P$2:$P$19,MATCH($B99,Course!$A$2:$A$19,0)))</f>
        <v/>
      </c>
      <c r="R99" s="17" t="str">
        <f aca="false">IF($C99="","",IF(OR($C99="G",$C99="H"),0,IF($C99="T",1,MIN(1,MAX(0,($N99-Inputs!$B$8)/MAX($P99-Inputs!$B$8,0.01))))))</f>
        <v/>
      </c>
      <c r="S99" s="17" t="str">
        <f aca="false">IF($C99="","",IF(OR($E99="G",$E99="H"),0,IF($E99="T",1,MIN(1,MAX(0,($O99-Inputs!$B$8)/MAX($P99-Inputs!$B$8,0.01))))))</f>
        <v/>
      </c>
    </row>
    <row r="100" customFormat="false" ht="15" hidden="false" customHeight="false" outlineLevel="0" collapsed="false">
      <c r="I100" s="7" t="str">
        <f aca="false">IF($C100="","",IF($C100="G","PUTT",IF(AND($C100="T",$M100&gt;3),"OTT",IF($D100&lt;=30,"ARG","APP"))))</f>
        <v/>
      </c>
      <c r="J100" s="17" t="str">
        <f aca="false">IF($C100="","",$N100+$Q100*$R100)</f>
        <v/>
      </c>
      <c r="K100" s="17" t="str">
        <f aca="false">IF($C100="","",$O100+$Q100*$S100)</f>
        <v/>
      </c>
      <c r="L100" s="17" t="str">
        <f aca="false">IF($C100="","",$J100-$K100-1-N($G100))</f>
        <v/>
      </c>
      <c r="M100" s="7" t="str">
        <f aca="false">IF($B100="","",INDEX(Course!$B$2:$B$19,MATCH($B100,Course!$A$2:$A$19,0)))</f>
        <v/>
      </c>
      <c r="N100" s="17" t="str">
        <f aca="false">IF($C100="","",IF($C100="H",0,IF($C100="G",INDEX(Baseline!$I$3:$I$102,MIN(MAX(ROUND($D100,0),1),100)),IF($C100="T",IF($M100=3,INDEX(Baseline!$B$3:$B$122,MATCH(MIN(MAX(ROUND(($D100)/5,0)*5,5),600),Baseline!$A$3:$A$122,0))-Inputs!$B$9,INDEX(Course!$N$2:$N$19,MATCH($B100,Course!$A$2:$A$19,0))),INDEX(Baseline!$B$3:$E$122,MATCH(MIN(MAX(ROUND(($D100)/5,0)*5,5),600),Baseline!$A$3:$A$122,0),MATCH($C100,Baseline!$B$2:$E$2,0))))))</f>
        <v/>
      </c>
      <c r="O100" s="17" t="str">
        <f aca="false">IF($C100="","",IF($E100="H",0,IF($E100="G",INDEX(Baseline!$I$3:$I$102,MIN(MAX(ROUND($F100,0),1),100)),IF($E100="T",IF($M100=3,INDEX(Baseline!$B$3:$B$122,MATCH(MIN(MAX(ROUND(($F100)/5,0)*5,5),600),Baseline!$A$3:$A$122,0))-Inputs!$B$9,INDEX(Course!$N$2:$N$19,MATCH($B100,Course!$A$2:$A$19,0))),INDEX(Baseline!$B$3:$E$122,MATCH(MIN(MAX(ROUND(($F100)/5,0)*5,5),600),Baseline!$A$3:$A$122,0),MATCH($E100,Baseline!$B$2:$E$2,0))))))</f>
        <v/>
      </c>
      <c r="P100" s="17" t="str">
        <f aca="false">IF($B100="","",INDEX(Course!$N$2:$N$19,MATCH($B100,Course!$A$2:$A$19,0)))</f>
        <v/>
      </c>
      <c r="Q100" s="17" t="str">
        <f aca="false">IF($B100="","",INDEX(Course!$P$2:$P$19,MATCH($B100,Course!$A$2:$A$19,0)))</f>
        <v/>
      </c>
      <c r="R100" s="17" t="str">
        <f aca="false">IF($C100="","",IF(OR($C100="G",$C100="H"),0,IF($C100="T",1,MIN(1,MAX(0,($N100-Inputs!$B$8)/MAX($P100-Inputs!$B$8,0.01))))))</f>
        <v/>
      </c>
      <c r="S100" s="17" t="str">
        <f aca="false">IF($C100="","",IF(OR($E100="G",$E100="H"),0,IF($E100="T",1,MIN(1,MAX(0,($O100-Inputs!$B$8)/MAX($P100-Inputs!$B$8,0.01))))))</f>
        <v/>
      </c>
    </row>
    <row r="101" customFormat="false" ht="15" hidden="false" customHeight="false" outlineLevel="0" collapsed="false">
      <c r="I101" s="7" t="str">
        <f aca="false">IF($C101="","",IF($C101="G","PUTT",IF(AND($C101="T",$M101&gt;3),"OTT",IF($D101&lt;=30,"ARG","APP"))))</f>
        <v/>
      </c>
      <c r="J101" s="17" t="str">
        <f aca="false">IF($C101="","",$N101+$Q101*$R101)</f>
        <v/>
      </c>
      <c r="K101" s="17" t="str">
        <f aca="false">IF($C101="","",$O101+$Q101*$S101)</f>
        <v/>
      </c>
      <c r="L101" s="17" t="str">
        <f aca="false">IF($C101="","",$J101-$K101-1-N($G101))</f>
        <v/>
      </c>
      <c r="M101" s="7" t="str">
        <f aca="false">IF($B101="","",INDEX(Course!$B$2:$B$19,MATCH($B101,Course!$A$2:$A$19,0)))</f>
        <v/>
      </c>
      <c r="N101" s="17" t="str">
        <f aca="false">IF($C101="","",IF($C101="H",0,IF($C101="G",INDEX(Baseline!$I$3:$I$102,MIN(MAX(ROUND($D101,0),1),100)),IF($C101="T",IF($M101=3,INDEX(Baseline!$B$3:$B$122,MATCH(MIN(MAX(ROUND(($D101)/5,0)*5,5),600),Baseline!$A$3:$A$122,0))-Inputs!$B$9,INDEX(Course!$N$2:$N$19,MATCH($B101,Course!$A$2:$A$19,0))),INDEX(Baseline!$B$3:$E$122,MATCH(MIN(MAX(ROUND(($D101)/5,0)*5,5),600),Baseline!$A$3:$A$122,0),MATCH($C101,Baseline!$B$2:$E$2,0))))))</f>
        <v/>
      </c>
      <c r="O101" s="17" t="str">
        <f aca="false">IF($C101="","",IF($E101="H",0,IF($E101="G",INDEX(Baseline!$I$3:$I$102,MIN(MAX(ROUND($F101,0),1),100)),IF($E101="T",IF($M101=3,INDEX(Baseline!$B$3:$B$122,MATCH(MIN(MAX(ROUND(($F101)/5,0)*5,5),600),Baseline!$A$3:$A$122,0))-Inputs!$B$9,INDEX(Course!$N$2:$N$19,MATCH($B101,Course!$A$2:$A$19,0))),INDEX(Baseline!$B$3:$E$122,MATCH(MIN(MAX(ROUND(($F101)/5,0)*5,5),600),Baseline!$A$3:$A$122,0),MATCH($E101,Baseline!$B$2:$E$2,0))))))</f>
        <v/>
      </c>
      <c r="P101" s="17" t="str">
        <f aca="false">IF($B101="","",INDEX(Course!$N$2:$N$19,MATCH($B101,Course!$A$2:$A$19,0)))</f>
        <v/>
      </c>
      <c r="Q101" s="17" t="str">
        <f aca="false">IF($B101="","",INDEX(Course!$P$2:$P$19,MATCH($B101,Course!$A$2:$A$19,0)))</f>
        <v/>
      </c>
      <c r="R101" s="17" t="str">
        <f aca="false">IF($C101="","",IF(OR($C101="G",$C101="H"),0,IF($C101="T",1,MIN(1,MAX(0,($N101-Inputs!$B$8)/MAX($P101-Inputs!$B$8,0.01))))))</f>
        <v/>
      </c>
      <c r="S101" s="17" t="str">
        <f aca="false">IF($C101="","",IF(OR($E101="G",$E101="H"),0,IF($E101="T",1,MIN(1,MAX(0,($O101-Inputs!$B$8)/MAX($P101-Inputs!$B$8,0.01))))))</f>
        <v/>
      </c>
    </row>
    <row r="102" customFormat="false" ht="15" hidden="false" customHeight="false" outlineLevel="0" collapsed="false">
      <c r="I102" s="7" t="str">
        <f aca="false">IF($C102="","",IF($C102="G","PUTT",IF(AND($C102="T",$M102&gt;3),"OTT",IF($D102&lt;=30,"ARG","APP"))))</f>
        <v/>
      </c>
      <c r="J102" s="17" t="str">
        <f aca="false">IF($C102="","",$N102+$Q102*$R102)</f>
        <v/>
      </c>
      <c r="K102" s="17" t="str">
        <f aca="false">IF($C102="","",$O102+$Q102*$S102)</f>
        <v/>
      </c>
      <c r="L102" s="17" t="str">
        <f aca="false">IF($C102="","",$J102-$K102-1-N($G102))</f>
        <v/>
      </c>
      <c r="M102" s="7" t="str">
        <f aca="false">IF($B102="","",INDEX(Course!$B$2:$B$19,MATCH($B102,Course!$A$2:$A$19,0)))</f>
        <v/>
      </c>
      <c r="N102" s="17" t="str">
        <f aca="false">IF($C102="","",IF($C102="H",0,IF($C102="G",INDEX(Baseline!$I$3:$I$102,MIN(MAX(ROUND($D102,0),1),100)),IF($C102="T",IF($M102=3,INDEX(Baseline!$B$3:$B$122,MATCH(MIN(MAX(ROUND(($D102)/5,0)*5,5),600),Baseline!$A$3:$A$122,0))-Inputs!$B$9,INDEX(Course!$N$2:$N$19,MATCH($B102,Course!$A$2:$A$19,0))),INDEX(Baseline!$B$3:$E$122,MATCH(MIN(MAX(ROUND(($D102)/5,0)*5,5),600),Baseline!$A$3:$A$122,0),MATCH($C102,Baseline!$B$2:$E$2,0))))))</f>
        <v/>
      </c>
      <c r="O102" s="17" t="str">
        <f aca="false">IF($C102="","",IF($E102="H",0,IF($E102="G",INDEX(Baseline!$I$3:$I$102,MIN(MAX(ROUND($F102,0),1),100)),IF($E102="T",IF($M102=3,INDEX(Baseline!$B$3:$B$122,MATCH(MIN(MAX(ROUND(($F102)/5,0)*5,5),600),Baseline!$A$3:$A$122,0))-Inputs!$B$9,INDEX(Course!$N$2:$N$19,MATCH($B102,Course!$A$2:$A$19,0))),INDEX(Baseline!$B$3:$E$122,MATCH(MIN(MAX(ROUND(($F102)/5,0)*5,5),600),Baseline!$A$3:$A$122,0),MATCH($E102,Baseline!$B$2:$E$2,0))))))</f>
        <v/>
      </c>
      <c r="P102" s="17" t="str">
        <f aca="false">IF($B102="","",INDEX(Course!$N$2:$N$19,MATCH($B102,Course!$A$2:$A$19,0)))</f>
        <v/>
      </c>
      <c r="Q102" s="17" t="str">
        <f aca="false">IF($B102="","",INDEX(Course!$P$2:$P$19,MATCH($B102,Course!$A$2:$A$19,0)))</f>
        <v/>
      </c>
      <c r="R102" s="17" t="str">
        <f aca="false">IF($C102="","",IF(OR($C102="G",$C102="H"),0,IF($C102="T",1,MIN(1,MAX(0,($N102-Inputs!$B$8)/MAX($P102-Inputs!$B$8,0.01))))))</f>
        <v/>
      </c>
      <c r="S102" s="17" t="str">
        <f aca="false">IF($C102="","",IF(OR($E102="G",$E102="H"),0,IF($E102="T",1,MIN(1,MAX(0,($O102-Inputs!$B$8)/MAX($P102-Inputs!$B$8,0.01))))))</f>
        <v/>
      </c>
    </row>
    <row r="103" customFormat="false" ht="15" hidden="false" customHeight="false" outlineLevel="0" collapsed="false">
      <c r="I103" s="7" t="str">
        <f aca="false">IF($C103="","",IF($C103="G","PUTT",IF(AND($C103="T",$M103&gt;3),"OTT",IF($D103&lt;=30,"ARG","APP"))))</f>
        <v/>
      </c>
      <c r="J103" s="17" t="str">
        <f aca="false">IF($C103="","",$N103+$Q103*$R103)</f>
        <v/>
      </c>
      <c r="K103" s="17" t="str">
        <f aca="false">IF($C103="","",$O103+$Q103*$S103)</f>
        <v/>
      </c>
      <c r="L103" s="17" t="str">
        <f aca="false">IF($C103="","",$J103-$K103-1-N($G103))</f>
        <v/>
      </c>
      <c r="M103" s="7" t="str">
        <f aca="false">IF($B103="","",INDEX(Course!$B$2:$B$19,MATCH($B103,Course!$A$2:$A$19,0)))</f>
        <v/>
      </c>
      <c r="N103" s="17" t="str">
        <f aca="false">IF($C103="","",IF($C103="H",0,IF($C103="G",INDEX(Baseline!$I$3:$I$102,MIN(MAX(ROUND($D103,0),1),100)),IF($C103="T",IF($M103=3,INDEX(Baseline!$B$3:$B$122,MATCH(MIN(MAX(ROUND(($D103)/5,0)*5,5),600),Baseline!$A$3:$A$122,0))-Inputs!$B$9,INDEX(Course!$N$2:$N$19,MATCH($B103,Course!$A$2:$A$19,0))),INDEX(Baseline!$B$3:$E$122,MATCH(MIN(MAX(ROUND(($D103)/5,0)*5,5),600),Baseline!$A$3:$A$122,0),MATCH($C103,Baseline!$B$2:$E$2,0))))))</f>
        <v/>
      </c>
      <c r="O103" s="17" t="str">
        <f aca="false">IF($C103="","",IF($E103="H",0,IF($E103="G",INDEX(Baseline!$I$3:$I$102,MIN(MAX(ROUND($F103,0),1),100)),IF($E103="T",IF($M103=3,INDEX(Baseline!$B$3:$B$122,MATCH(MIN(MAX(ROUND(($F103)/5,0)*5,5),600),Baseline!$A$3:$A$122,0))-Inputs!$B$9,INDEX(Course!$N$2:$N$19,MATCH($B103,Course!$A$2:$A$19,0))),INDEX(Baseline!$B$3:$E$122,MATCH(MIN(MAX(ROUND(($F103)/5,0)*5,5),600),Baseline!$A$3:$A$122,0),MATCH($E103,Baseline!$B$2:$E$2,0))))))</f>
        <v/>
      </c>
      <c r="P103" s="17" t="str">
        <f aca="false">IF($B103="","",INDEX(Course!$N$2:$N$19,MATCH($B103,Course!$A$2:$A$19,0)))</f>
        <v/>
      </c>
      <c r="Q103" s="17" t="str">
        <f aca="false">IF($B103="","",INDEX(Course!$P$2:$P$19,MATCH($B103,Course!$A$2:$A$19,0)))</f>
        <v/>
      </c>
      <c r="R103" s="17" t="str">
        <f aca="false">IF($C103="","",IF(OR($C103="G",$C103="H"),0,IF($C103="T",1,MIN(1,MAX(0,($N103-Inputs!$B$8)/MAX($P103-Inputs!$B$8,0.01))))))</f>
        <v/>
      </c>
      <c r="S103" s="17" t="str">
        <f aca="false">IF($C103="","",IF(OR($E103="G",$E103="H"),0,IF($E103="T",1,MIN(1,MAX(0,($O103-Inputs!$B$8)/MAX($P103-Inputs!$B$8,0.01))))))</f>
        <v/>
      </c>
    </row>
    <row r="104" customFormat="false" ht="15" hidden="false" customHeight="false" outlineLevel="0" collapsed="false">
      <c r="I104" s="7" t="str">
        <f aca="false">IF($C104="","",IF($C104="G","PUTT",IF(AND($C104="T",$M104&gt;3),"OTT",IF($D104&lt;=30,"ARG","APP"))))</f>
        <v/>
      </c>
      <c r="J104" s="17" t="str">
        <f aca="false">IF($C104="","",$N104+$Q104*$R104)</f>
        <v/>
      </c>
      <c r="K104" s="17" t="str">
        <f aca="false">IF($C104="","",$O104+$Q104*$S104)</f>
        <v/>
      </c>
      <c r="L104" s="17" t="str">
        <f aca="false">IF($C104="","",$J104-$K104-1-N($G104))</f>
        <v/>
      </c>
      <c r="M104" s="7" t="str">
        <f aca="false">IF($B104="","",INDEX(Course!$B$2:$B$19,MATCH($B104,Course!$A$2:$A$19,0)))</f>
        <v/>
      </c>
      <c r="N104" s="17" t="str">
        <f aca="false">IF($C104="","",IF($C104="H",0,IF($C104="G",INDEX(Baseline!$I$3:$I$102,MIN(MAX(ROUND($D104,0),1),100)),IF($C104="T",IF($M104=3,INDEX(Baseline!$B$3:$B$122,MATCH(MIN(MAX(ROUND(($D104)/5,0)*5,5),600),Baseline!$A$3:$A$122,0))-Inputs!$B$9,INDEX(Course!$N$2:$N$19,MATCH($B104,Course!$A$2:$A$19,0))),INDEX(Baseline!$B$3:$E$122,MATCH(MIN(MAX(ROUND(($D104)/5,0)*5,5),600),Baseline!$A$3:$A$122,0),MATCH($C104,Baseline!$B$2:$E$2,0))))))</f>
        <v/>
      </c>
      <c r="O104" s="17" t="str">
        <f aca="false">IF($C104="","",IF($E104="H",0,IF($E104="G",INDEX(Baseline!$I$3:$I$102,MIN(MAX(ROUND($F104,0),1),100)),IF($E104="T",IF($M104=3,INDEX(Baseline!$B$3:$B$122,MATCH(MIN(MAX(ROUND(($F104)/5,0)*5,5),600),Baseline!$A$3:$A$122,0))-Inputs!$B$9,INDEX(Course!$N$2:$N$19,MATCH($B104,Course!$A$2:$A$19,0))),INDEX(Baseline!$B$3:$E$122,MATCH(MIN(MAX(ROUND(($F104)/5,0)*5,5),600),Baseline!$A$3:$A$122,0),MATCH($E104,Baseline!$B$2:$E$2,0))))))</f>
        <v/>
      </c>
      <c r="P104" s="17" t="str">
        <f aca="false">IF($B104="","",INDEX(Course!$N$2:$N$19,MATCH($B104,Course!$A$2:$A$19,0)))</f>
        <v/>
      </c>
      <c r="Q104" s="17" t="str">
        <f aca="false">IF($B104="","",INDEX(Course!$P$2:$P$19,MATCH($B104,Course!$A$2:$A$19,0)))</f>
        <v/>
      </c>
      <c r="R104" s="17" t="str">
        <f aca="false">IF($C104="","",IF(OR($C104="G",$C104="H"),0,IF($C104="T",1,MIN(1,MAX(0,($N104-Inputs!$B$8)/MAX($P104-Inputs!$B$8,0.01))))))</f>
        <v/>
      </c>
      <c r="S104" s="17" t="str">
        <f aca="false">IF($C104="","",IF(OR($E104="G",$E104="H"),0,IF($E104="T",1,MIN(1,MAX(0,($O104-Inputs!$B$8)/MAX($P104-Inputs!$B$8,0.01))))))</f>
        <v/>
      </c>
    </row>
    <row r="105" customFormat="false" ht="15" hidden="false" customHeight="false" outlineLevel="0" collapsed="false">
      <c r="I105" s="7" t="str">
        <f aca="false">IF($C105="","",IF($C105="G","PUTT",IF(AND($C105="T",$M105&gt;3),"OTT",IF($D105&lt;=30,"ARG","APP"))))</f>
        <v/>
      </c>
      <c r="J105" s="17" t="str">
        <f aca="false">IF($C105="","",$N105+$Q105*$R105)</f>
        <v/>
      </c>
      <c r="K105" s="17" t="str">
        <f aca="false">IF($C105="","",$O105+$Q105*$S105)</f>
        <v/>
      </c>
      <c r="L105" s="17" t="str">
        <f aca="false">IF($C105="","",$J105-$K105-1-N($G105))</f>
        <v/>
      </c>
      <c r="M105" s="7" t="str">
        <f aca="false">IF($B105="","",INDEX(Course!$B$2:$B$19,MATCH($B105,Course!$A$2:$A$19,0)))</f>
        <v/>
      </c>
      <c r="N105" s="17" t="str">
        <f aca="false">IF($C105="","",IF($C105="H",0,IF($C105="G",INDEX(Baseline!$I$3:$I$102,MIN(MAX(ROUND($D105,0),1),100)),IF($C105="T",IF($M105=3,INDEX(Baseline!$B$3:$B$122,MATCH(MIN(MAX(ROUND(($D105)/5,0)*5,5),600),Baseline!$A$3:$A$122,0))-Inputs!$B$9,INDEX(Course!$N$2:$N$19,MATCH($B105,Course!$A$2:$A$19,0))),INDEX(Baseline!$B$3:$E$122,MATCH(MIN(MAX(ROUND(($D105)/5,0)*5,5),600),Baseline!$A$3:$A$122,0),MATCH($C105,Baseline!$B$2:$E$2,0))))))</f>
        <v/>
      </c>
      <c r="O105" s="17" t="str">
        <f aca="false">IF($C105="","",IF($E105="H",0,IF($E105="G",INDEX(Baseline!$I$3:$I$102,MIN(MAX(ROUND($F105,0),1),100)),IF($E105="T",IF($M105=3,INDEX(Baseline!$B$3:$B$122,MATCH(MIN(MAX(ROUND(($F105)/5,0)*5,5),600),Baseline!$A$3:$A$122,0))-Inputs!$B$9,INDEX(Course!$N$2:$N$19,MATCH($B105,Course!$A$2:$A$19,0))),INDEX(Baseline!$B$3:$E$122,MATCH(MIN(MAX(ROUND(($F105)/5,0)*5,5),600),Baseline!$A$3:$A$122,0),MATCH($E105,Baseline!$B$2:$E$2,0))))))</f>
        <v/>
      </c>
      <c r="P105" s="17" t="str">
        <f aca="false">IF($B105="","",INDEX(Course!$N$2:$N$19,MATCH($B105,Course!$A$2:$A$19,0)))</f>
        <v/>
      </c>
      <c r="Q105" s="17" t="str">
        <f aca="false">IF($B105="","",INDEX(Course!$P$2:$P$19,MATCH($B105,Course!$A$2:$A$19,0)))</f>
        <v/>
      </c>
      <c r="R105" s="17" t="str">
        <f aca="false">IF($C105="","",IF(OR($C105="G",$C105="H"),0,IF($C105="T",1,MIN(1,MAX(0,($N105-Inputs!$B$8)/MAX($P105-Inputs!$B$8,0.01))))))</f>
        <v/>
      </c>
      <c r="S105" s="17" t="str">
        <f aca="false">IF($C105="","",IF(OR($E105="G",$E105="H"),0,IF($E105="T",1,MIN(1,MAX(0,($O105-Inputs!$B$8)/MAX($P105-Inputs!$B$8,0.01))))))</f>
        <v/>
      </c>
    </row>
    <row r="106" customFormat="false" ht="15" hidden="false" customHeight="false" outlineLevel="0" collapsed="false">
      <c r="I106" s="7" t="str">
        <f aca="false">IF($C106="","",IF($C106="G","PUTT",IF(AND($C106="T",$M106&gt;3),"OTT",IF($D106&lt;=30,"ARG","APP"))))</f>
        <v/>
      </c>
      <c r="J106" s="17" t="str">
        <f aca="false">IF($C106="","",$N106+$Q106*$R106)</f>
        <v/>
      </c>
      <c r="K106" s="17" t="str">
        <f aca="false">IF($C106="","",$O106+$Q106*$S106)</f>
        <v/>
      </c>
      <c r="L106" s="17" t="str">
        <f aca="false">IF($C106="","",$J106-$K106-1-N($G106))</f>
        <v/>
      </c>
      <c r="M106" s="7" t="str">
        <f aca="false">IF($B106="","",INDEX(Course!$B$2:$B$19,MATCH($B106,Course!$A$2:$A$19,0)))</f>
        <v/>
      </c>
      <c r="N106" s="17" t="str">
        <f aca="false">IF($C106="","",IF($C106="H",0,IF($C106="G",INDEX(Baseline!$I$3:$I$102,MIN(MAX(ROUND($D106,0),1),100)),IF($C106="T",IF($M106=3,INDEX(Baseline!$B$3:$B$122,MATCH(MIN(MAX(ROUND(($D106)/5,0)*5,5),600),Baseline!$A$3:$A$122,0))-Inputs!$B$9,INDEX(Course!$N$2:$N$19,MATCH($B106,Course!$A$2:$A$19,0))),INDEX(Baseline!$B$3:$E$122,MATCH(MIN(MAX(ROUND(($D106)/5,0)*5,5),600),Baseline!$A$3:$A$122,0),MATCH($C106,Baseline!$B$2:$E$2,0))))))</f>
        <v/>
      </c>
      <c r="O106" s="17" t="str">
        <f aca="false">IF($C106="","",IF($E106="H",0,IF($E106="G",INDEX(Baseline!$I$3:$I$102,MIN(MAX(ROUND($F106,0),1),100)),IF($E106="T",IF($M106=3,INDEX(Baseline!$B$3:$B$122,MATCH(MIN(MAX(ROUND(($F106)/5,0)*5,5),600),Baseline!$A$3:$A$122,0))-Inputs!$B$9,INDEX(Course!$N$2:$N$19,MATCH($B106,Course!$A$2:$A$19,0))),INDEX(Baseline!$B$3:$E$122,MATCH(MIN(MAX(ROUND(($F106)/5,0)*5,5),600),Baseline!$A$3:$A$122,0),MATCH($E106,Baseline!$B$2:$E$2,0))))))</f>
        <v/>
      </c>
      <c r="P106" s="17" t="str">
        <f aca="false">IF($B106="","",INDEX(Course!$N$2:$N$19,MATCH($B106,Course!$A$2:$A$19,0)))</f>
        <v/>
      </c>
      <c r="Q106" s="17" t="str">
        <f aca="false">IF($B106="","",INDEX(Course!$P$2:$P$19,MATCH($B106,Course!$A$2:$A$19,0)))</f>
        <v/>
      </c>
      <c r="R106" s="17" t="str">
        <f aca="false">IF($C106="","",IF(OR($C106="G",$C106="H"),0,IF($C106="T",1,MIN(1,MAX(0,($N106-Inputs!$B$8)/MAX($P106-Inputs!$B$8,0.01))))))</f>
        <v/>
      </c>
      <c r="S106" s="17" t="str">
        <f aca="false">IF($C106="","",IF(OR($E106="G",$E106="H"),0,IF($E106="T",1,MIN(1,MAX(0,($O106-Inputs!$B$8)/MAX($P106-Inputs!$B$8,0.01))))))</f>
        <v/>
      </c>
    </row>
    <row r="107" customFormat="false" ht="15" hidden="false" customHeight="false" outlineLevel="0" collapsed="false">
      <c r="I107" s="7" t="str">
        <f aca="false">IF($C107="","",IF($C107="G","PUTT",IF(AND($C107="T",$M107&gt;3),"OTT",IF($D107&lt;=30,"ARG","APP"))))</f>
        <v/>
      </c>
      <c r="J107" s="17" t="str">
        <f aca="false">IF($C107="","",$N107+$Q107*$R107)</f>
        <v/>
      </c>
      <c r="K107" s="17" t="str">
        <f aca="false">IF($C107="","",$O107+$Q107*$S107)</f>
        <v/>
      </c>
      <c r="L107" s="17" t="str">
        <f aca="false">IF($C107="","",$J107-$K107-1-N($G107))</f>
        <v/>
      </c>
      <c r="M107" s="7" t="str">
        <f aca="false">IF($B107="","",INDEX(Course!$B$2:$B$19,MATCH($B107,Course!$A$2:$A$19,0)))</f>
        <v/>
      </c>
      <c r="N107" s="17" t="str">
        <f aca="false">IF($C107="","",IF($C107="H",0,IF($C107="G",INDEX(Baseline!$I$3:$I$102,MIN(MAX(ROUND($D107,0),1),100)),IF($C107="T",IF($M107=3,INDEX(Baseline!$B$3:$B$122,MATCH(MIN(MAX(ROUND(($D107)/5,0)*5,5),600),Baseline!$A$3:$A$122,0))-Inputs!$B$9,INDEX(Course!$N$2:$N$19,MATCH($B107,Course!$A$2:$A$19,0))),INDEX(Baseline!$B$3:$E$122,MATCH(MIN(MAX(ROUND(($D107)/5,0)*5,5),600),Baseline!$A$3:$A$122,0),MATCH($C107,Baseline!$B$2:$E$2,0))))))</f>
        <v/>
      </c>
      <c r="O107" s="17" t="str">
        <f aca="false">IF($C107="","",IF($E107="H",0,IF($E107="G",INDEX(Baseline!$I$3:$I$102,MIN(MAX(ROUND($F107,0),1),100)),IF($E107="T",IF($M107=3,INDEX(Baseline!$B$3:$B$122,MATCH(MIN(MAX(ROUND(($F107)/5,0)*5,5),600),Baseline!$A$3:$A$122,0))-Inputs!$B$9,INDEX(Course!$N$2:$N$19,MATCH($B107,Course!$A$2:$A$19,0))),INDEX(Baseline!$B$3:$E$122,MATCH(MIN(MAX(ROUND(($F107)/5,0)*5,5),600),Baseline!$A$3:$A$122,0),MATCH($E107,Baseline!$B$2:$E$2,0))))))</f>
        <v/>
      </c>
      <c r="P107" s="17" t="str">
        <f aca="false">IF($B107="","",INDEX(Course!$N$2:$N$19,MATCH($B107,Course!$A$2:$A$19,0)))</f>
        <v/>
      </c>
      <c r="Q107" s="17" t="str">
        <f aca="false">IF($B107="","",INDEX(Course!$P$2:$P$19,MATCH($B107,Course!$A$2:$A$19,0)))</f>
        <v/>
      </c>
      <c r="R107" s="17" t="str">
        <f aca="false">IF($C107="","",IF(OR($C107="G",$C107="H"),0,IF($C107="T",1,MIN(1,MAX(0,($N107-Inputs!$B$8)/MAX($P107-Inputs!$B$8,0.01))))))</f>
        <v/>
      </c>
      <c r="S107" s="17" t="str">
        <f aca="false">IF($C107="","",IF(OR($E107="G",$E107="H"),0,IF($E107="T",1,MIN(1,MAX(0,($O107-Inputs!$B$8)/MAX($P107-Inputs!$B$8,0.01))))))</f>
        <v/>
      </c>
    </row>
    <row r="108" customFormat="false" ht="15" hidden="false" customHeight="false" outlineLevel="0" collapsed="false">
      <c r="I108" s="7" t="str">
        <f aca="false">IF($C108="","",IF($C108="G","PUTT",IF(AND($C108="T",$M108&gt;3),"OTT",IF($D108&lt;=30,"ARG","APP"))))</f>
        <v/>
      </c>
      <c r="J108" s="17" t="str">
        <f aca="false">IF($C108="","",$N108+$Q108*$R108)</f>
        <v/>
      </c>
      <c r="K108" s="17" t="str">
        <f aca="false">IF($C108="","",$O108+$Q108*$S108)</f>
        <v/>
      </c>
      <c r="L108" s="17" t="str">
        <f aca="false">IF($C108="","",$J108-$K108-1-N($G108))</f>
        <v/>
      </c>
      <c r="M108" s="7" t="str">
        <f aca="false">IF($B108="","",INDEX(Course!$B$2:$B$19,MATCH($B108,Course!$A$2:$A$19,0)))</f>
        <v/>
      </c>
      <c r="N108" s="17" t="str">
        <f aca="false">IF($C108="","",IF($C108="H",0,IF($C108="G",INDEX(Baseline!$I$3:$I$102,MIN(MAX(ROUND($D108,0),1),100)),IF($C108="T",IF($M108=3,INDEX(Baseline!$B$3:$B$122,MATCH(MIN(MAX(ROUND(($D108)/5,0)*5,5),600),Baseline!$A$3:$A$122,0))-Inputs!$B$9,INDEX(Course!$N$2:$N$19,MATCH($B108,Course!$A$2:$A$19,0))),INDEX(Baseline!$B$3:$E$122,MATCH(MIN(MAX(ROUND(($D108)/5,0)*5,5),600),Baseline!$A$3:$A$122,0),MATCH($C108,Baseline!$B$2:$E$2,0))))))</f>
        <v/>
      </c>
      <c r="O108" s="17" t="str">
        <f aca="false">IF($C108="","",IF($E108="H",0,IF($E108="G",INDEX(Baseline!$I$3:$I$102,MIN(MAX(ROUND($F108,0),1),100)),IF($E108="T",IF($M108=3,INDEX(Baseline!$B$3:$B$122,MATCH(MIN(MAX(ROUND(($F108)/5,0)*5,5),600),Baseline!$A$3:$A$122,0))-Inputs!$B$9,INDEX(Course!$N$2:$N$19,MATCH($B108,Course!$A$2:$A$19,0))),INDEX(Baseline!$B$3:$E$122,MATCH(MIN(MAX(ROUND(($F108)/5,0)*5,5),600),Baseline!$A$3:$A$122,0),MATCH($E108,Baseline!$B$2:$E$2,0))))))</f>
        <v/>
      </c>
      <c r="P108" s="17" t="str">
        <f aca="false">IF($B108="","",INDEX(Course!$N$2:$N$19,MATCH($B108,Course!$A$2:$A$19,0)))</f>
        <v/>
      </c>
      <c r="Q108" s="17" t="str">
        <f aca="false">IF($B108="","",INDEX(Course!$P$2:$P$19,MATCH($B108,Course!$A$2:$A$19,0)))</f>
        <v/>
      </c>
      <c r="R108" s="17" t="str">
        <f aca="false">IF($C108="","",IF(OR($C108="G",$C108="H"),0,IF($C108="T",1,MIN(1,MAX(0,($N108-Inputs!$B$8)/MAX($P108-Inputs!$B$8,0.01))))))</f>
        <v/>
      </c>
      <c r="S108" s="17" t="str">
        <f aca="false">IF($C108="","",IF(OR($E108="G",$E108="H"),0,IF($E108="T",1,MIN(1,MAX(0,($O108-Inputs!$B$8)/MAX($P108-Inputs!$B$8,0.01))))))</f>
        <v/>
      </c>
    </row>
    <row r="109" customFormat="false" ht="15" hidden="false" customHeight="false" outlineLevel="0" collapsed="false">
      <c r="I109" s="7" t="str">
        <f aca="false">IF($C109="","",IF($C109="G","PUTT",IF(AND($C109="T",$M109&gt;3),"OTT",IF($D109&lt;=30,"ARG","APP"))))</f>
        <v/>
      </c>
      <c r="J109" s="17" t="str">
        <f aca="false">IF($C109="","",$N109+$Q109*$R109)</f>
        <v/>
      </c>
      <c r="K109" s="17" t="str">
        <f aca="false">IF($C109="","",$O109+$Q109*$S109)</f>
        <v/>
      </c>
      <c r="L109" s="17" t="str">
        <f aca="false">IF($C109="","",$J109-$K109-1-N($G109))</f>
        <v/>
      </c>
      <c r="M109" s="7" t="str">
        <f aca="false">IF($B109="","",INDEX(Course!$B$2:$B$19,MATCH($B109,Course!$A$2:$A$19,0)))</f>
        <v/>
      </c>
      <c r="N109" s="17" t="str">
        <f aca="false">IF($C109="","",IF($C109="H",0,IF($C109="G",INDEX(Baseline!$I$3:$I$102,MIN(MAX(ROUND($D109,0),1),100)),IF($C109="T",IF($M109=3,INDEX(Baseline!$B$3:$B$122,MATCH(MIN(MAX(ROUND(($D109)/5,0)*5,5),600),Baseline!$A$3:$A$122,0))-Inputs!$B$9,INDEX(Course!$N$2:$N$19,MATCH($B109,Course!$A$2:$A$19,0))),INDEX(Baseline!$B$3:$E$122,MATCH(MIN(MAX(ROUND(($D109)/5,0)*5,5),600),Baseline!$A$3:$A$122,0),MATCH($C109,Baseline!$B$2:$E$2,0))))))</f>
        <v/>
      </c>
      <c r="O109" s="17" t="str">
        <f aca="false">IF($C109="","",IF($E109="H",0,IF($E109="G",INDEX(Baseline!$I$3:$I$102,MIN(MAX(ROUND($F109,0),1),100)),IF($E109="T",IF($M109=3,INDEX(Baseline!$B$3:$B$122,MATCH(MIN(MAX(ROUND(($F109)/5,0)*5,5),600),Baseline!$A$3:$A$122,0))-Inputs!$B$9,INDEX(Course!$N$2:$N$19,MATCH($B109,Course!$A$2:$A$19,0))),INDEX(Baseline!$B$3:$E$122,MATCH(MIN(MAX(ROUND(($F109)/5,0)*5,5),600),Baseline!$A$3:$A$122,0),MATCH($E109,Baseline!$B$2:$E$2,0))))))</f>
        <v/>
      </c>
      <c r="P109" s="17" t="str">
        <f aca="false">IF($B109="","",INDEX(Course!$N$2:$N$19,MATCH($B109,Course!$A$2:$A$19,0)))</f>
        <v/>
      </c>
      <c r="Q109" s="17" t="str">
        <f aca="false">IF($B109="","",INDEX(Course!$P$2:$P$19,MATCH($B109,Course!$A$2:$A$19,0)))</f>
        <v/>
      </c>
      <c r="R109" s="17" t="str">
        <f aca="false">IF($C109="","",IF(OR($C109="G",$C109="H"),0,IF($C109="T",1,MIN(1,MAX(0,($N109-Inputs!$B$8)/MAX($P109-Inputs!$B$8,0.01))))))</f>
        <v/>
      </c>
      <c r="S109" s="17" t="str">
        <f aca="false">IF($C109="","",IF(OR($E109="G",$E109="H"),0,IF($E109="T",1,MIN(1,MAX(0,($O109-Inputs!$B$8)/MAX($P109-Inputs!$B$8,0.01))))))</f>
        <v/>
      </c>
    </row>
    <row r="110" customFormat="false" ht="15" hidden="false" customHeight="false" outlineLevel="0" collapsed="false">
      <c r="I110" s="7" t="str">
        <f aca="false">IF($C110="","",IF($C110="G","PUTT",IF(AND($C110="T",$M110&gt;3),"OTT",IF($D110&lt;=30,"ARG","APP"))))</f>
        <v/>
      </c>
      <c r="J110" s="17" t="str">
        <f aca="false">IF($C110="","",$N110+$Q110*$R110)</f>
        <v/>
      </c>
      <c r="K110" s="17" t="str">
        <f aca="false">IF($C110="","",$O110+$Q110*$S110)</f>
        <v/>
      </c>
      <c r="L110" s="17" t="str">
        <f aca="false">IF($C110="","",$J110-$K110-1-N($G110))</f>
        <v/>
      </c>
      <c r="M110" s="7" t="str">
        <f aca="false">IF($B110="","",INDEX(Course!$B$2:$B$19,MATCH($B110,Course!$A$2:$A$19,0)))</f>
        <v/>
      </c>
      <c r="N110" s="17" t="str">
        <f aca="false">IF($C110="","",IF($C110="H",0,IF($C110="G",INDEX(Baseline!$I$3:$I$102,MIN(MAX(ROUND($D110,0),1),100)),IF($C110="T",IF($M110=3,INDEX(Baseline!$B$3:$B$122,MATCH(MIN(MAX(ROUND(($D110)/5,0)*5,5),600),Baseline!$A$3:$A$122,0))-Inputs!$B$9,INDEX(Course!$N$2:$N$19,MATCH($B110,Course!$A$2:$A$19,0))),INDEX(Baseline!$B$3:$E$122,MATCH(MIN(MAX(ROUND(($D110)/5,0)*5,5),600),Baseline!$A$3:$A$122,0),MATCH($C110,Baseline!$B$2:$E$2,0))))))</f>
        <v/>
      </c>
      <c r="O110" s="17" t="str">
        <f aca="false">IF($C110="","",IF($E110="H",0,IF($E110="G",INDEX(Baseline!$I$3:$I$102,MIN(MAX(ROUND($F110,0),1),100)),IF($E110="T",IF($M110=3,INDEX(Baseline!$B$3:$B$122,MATCH(MIN(MAX(ROUND(($F110)/5,0)*5,5),600),Baseline!$A$3:$A$122,0))-Inputs!$B$9,INDEX(Course!$N$2:$N$19,MATCH($B110,Course!$A$2:$A$19,0))),INDEX(Baseline!$B$3:$E$122,MATCH(MIN(MAX(ROUND(($F110)/5,0)*5,5),600),Baseline!$A$3:$A$122,0),MATCH($E110,Baseline!$B$2:$E$2,0))))))</f>
        <v/>
      </c>
      <c r="P110" s="17" t="str">
        <f aca="false">IF($B110="","",INDEX(Course!$N$2:$N$19,MATCH($B110,Course!$A$2:$A$19,0)))</f>
        <v/>
      </c>
      <c r="Q110" s="17" t="str">
        <f aca="false">IF($B110="","",INDEX(Course!$P$2:$P$19,MATCH($B110,Course!$A$2:$A$19,0)))</f>
        <v/>
      </c>
      <c r="R110" s="17" t="str">
        <f aca="false">IF($C110="","",IF(OR($C110="G",$C110="H"),0,IF($C110="T",1,MIN(1,MAX(0,($N110-Inputs!$B$8)/MAX($P110-Inputs!$B$8,0.01))))))</f>
        <v/>
      </c>
      <c r="S110" s="17" t="str">
        <f aca="false">IF($C110="","",IF(OR($E110="G",$E110="H"),0,IF($E110="T",1,MIN(1,MAX(0,($O110-Inputs!$B$8)/MAX($P110-Inputs!$B$8,0.01))))))</f>
        <v/>
      </c>
    </row>
    <row r="111" customFormat="false" ht="15" hidden="false" customHeight="false" outlineLevel="0" collapsed="false">
      <c r="I111" s="7" t="str">
        <f aca="false">IF($C111="","",IF($C111="G","PUTT",IF(AND($C111="T",$M111&gt;3),"OTT",IF($D111&lt;=30,"ARG","APP"))))</f>
        <v/>
      </c>
      <c r="J111" s="17" t="str">
        <f aca="false">IF($C111="","",$N111+$Q111*$R111)</f>
        <v/>
      </c>
      <c r="K111" s="17" t="str">
        <f aca="false">IF($C111="","",$O111+$Q111*$S111)</f>
        <v/>
      </c>
      <c r="L111" s="17" t="str">
        <f aca="false">IF($C111="","",$J111-$K111-1-N($G111))</f>
        <v/>
      </c>
      <c r="M111" s="7" t="str">
        <f aca="false">IF($B111="","",INDEX(Course!$B$2:$B$19,MATCH($B111,Course!$A$2:$A$19,0)))</f>
        <v/>
      </c>
      <c r="N111" s="17" t="str">
        <f aca="false">IF($C111="","",IF($C111="H",0,IF($C111="G",INDEX(Baseline!$I$3:$I$102,MIN(MAX(ROUND($D111,0),1),100)),IF($C111="T",IF($M111=3,INDEX(Baseline!$B$3:$B$122,MATCH(MIN(MAX(ROUND(($D111)/5,0)*5,5),600),Baseline!$A$3:$A$122,0))-Inputs!$B$9,INDEX(Course!$N$2:$N$19,MATCH($B111,Course!$A$2:$A$19,0))),INDEX(Baseline!$B$3:$E$122,MATCH(MIN(MAX(ROUND(($D111)/5,0)*5,5),600),Baseline!$A$3:$A$122,0),MATCH($C111,Baseline!$B$2:$E$2,0))))))</f>
        <v/>
      </c>
      <c r="O111" s="17" t="str">
        <f aca="false">IF($C111="","",IF($E111="H",0,IF($E111="G",INDEX(Baseline!$I$3:$I$102,MIN(MAX(ROUND($F111,0),1),100)),IF($E111="T",IF($M111=3,INDEX(Baseline!$B$3:$B$122,MATCH(MIN(MAX(ROUND(($F111)/5,0)*5,5),600),Baseline!$A$3:$A$122,0))-Inputs!$B$9,INDEX(Course!$N$2:$N$19,MATCH($B111,Course!$A$2:$A$19,0))),INDEX(Baseline!$B$3:$E$122,MATCH(MIN(MAX(ROUND(($F111)/5,0)*5,5),600),Baseline!$A$3:$A$122,0),MATCH($E111,Baseline!$B$2:$E$2,0))))))</f>
        <v/>
      </c>
      <c r="P111" s="17" t="str">
        <f aca="false">IF($B111="","",INDEX(Course!$N$2:$N$19,MATCH($B111,Course!$A$2:$A$19,0)))</f>
        <v/>
      </c>
      <c r="Q111" s="17" t="str">
        <f aca="false">IF($B111="","",INDEX(Course!$P$2:$P$19,MATCH($B111,Course!$A$2:$A$19,0)))</f>
        <v/>
      </c>
      <c r="R111" s="17" t="str">
        <f aca="false">IF($C111="","",IF(OR($C111="G",$C111="H"),0,IF($C111="T",1,MIN(1,MAX(0,($N111-Inputs!$B$8)/MAX($P111-Inputs!$B$8,0.01))))))</f>
        <v/>
      </c>
      <c r="S111" s="17" t="str">
        <f aca="false">IF($C111="","",IF(OR($E111="G",$E111="H"),0,IF($E111="T",1,MIN(1,MAX(0,($O111-Inputs!$B$8)/MAX($P111-Inputs!$B$8,0.01))))))</f>
        <v/>
      </c>
    </row>
    <row r="112" customFormat="false" ht="15" hidden="false" customHeight="false" outlineLevel="0" collapsed="false">
      <c r="I112" s="7" t="str">
        <f aca="false">IF($C112="","",IF($C112="G","PUTT",IF(AND($C112="T",$M112&gt;3),"OTT",IF($D112&lt;=30,"ARG","APP"))))</f>
        <v/>
      </c>
      <c r="J112" s="17" t="str">
        <f aca="false">IF($C112="","",$N112+$Q112*$R112)</f>
        <v/>
      </c>
      <c r="K112" s="17" t="str">
        <f aca="false">IF($C112="","",$O112+$Q112*$S112)</f>
        <v/>
      </c>
      <c r="L112" s="17" t="str">
        <f aca="false">IF($C112="","",$J112-$K112-1-N($G112))</f>
        <v/>
      </c>
      <c r="M112" s="7" t="str">
        <f aca="false">IF($B112="","",INDEX(Course!$B$2:$B$19,MATCH($B112,Course!$A$2:$A$19,0)))</f>
        <v/>
      </c>
      <c r="N112" s="17" t="str">
        <f aca="false">IF($C112="","",IF($C112="H",0,IF($C112="G",INDEX(Baseline!$I$3:$I$102,MIN(MAX(ROUND($D112,0),1),100)),IF($C112="T",IF($M112=3,INDEX(Baseline!$B$3:$B$122,MATCH(MIN(MAX(ROUND(($D112)/5,0)*5,5),600),Baseline!$A$3:$A$122,0))-Inputs!$B$9,INDEX(Course!$N$2:$N$19,MATCH($B112,Course!$A$2:$A$19,0))),INDEX(Baseline!$B$3:$E$122,MATCH(MIN(MAX(ROUND(($D112)/5,0)*5,5),600),Baseline!$A$3:$A$122,0),MATCH($C112,Baseline!$B$2:$E$2,0))))))</f>
        <v/>
      </c>
      <c r="O112" s="17" t="str">
        <f aca="false">IF($C112="","",IF($E112="H",0,IF($E112="G",INDEX(Baseline!$I$3:$I$102,MIN(MAX(ROUND($F112,0),1),100)),IF($E112="T",IF($M112=3,INDEX(Baseline!$B$3:$B$122,MATCH(MIN(MAX(ROUND(($F112)/5,0)*5,5),600),Baseline!$A$3:$A$122,0))-Inputs!$B$9,INDEX(Course!$N$2:$N$19,MATCH($B112,Course!$A$2:$A$19,0))),INDEX(Baseline!$B$3:$E$122,MATCH(MIN(MAX(ROUND(($F112)/5,0)*5,5),600),Baseline!$A$3:$A$122,0),MATCH($E112,Baseline!$B$2:$E$2,0))))))</f>
        <v/>
      </c>
      <c r="P112" s="17" t="str">
        <f aca="false">IF($B112="","",INDEX(Course!$N$2:$N$19,MATCH($B112,Course!$A$2:$A$19,0)))</f>
        <v/>
      </c>
      <c r="Q112" s="17" t="str">
        <f aca="false">IF($B112="","",INDEX(Course!$P$2:$P$19,MATCH($B112,Course!$A$2:$A$19,0)))</f>
        <v/>
      </c>
      <c r="R112" s="17" t="str">
        <f aca="false">IF($C112="","",IF(OR($C112="G",$C112="H"),0,IF($C112="T",1,MIN(1,MAX(0,($N112-Inputs!$B$8)/MAX($P112-Inputs!$B$8,0.01))))))</f>
        <v/>
      </c>
      <c r="S112" s="17" t="str">
        <f aca="false">IF($C112="","",IF(OR($E112="G",$E112="H"),0,IF($E112="T",1,MIN(1,MAX(0,($O112-Inputs!$B$8)/MAX($P112-Inputs!$B$8,0.01))))))</f>
        <v/>
      </c>
    </row>
    <row r="113" customFormat="false" ht="15" hidden="false" customHeight="false" outlineLevel="0" collapsed="false">
      <c r="I113" s="7" t="str">
        <f aca="false">IF($C113="","",IF($C113="G","PUTT",IF(AND($C113="T",$M113&gt;3),"OTT",IF($D113&lt;=30,"ARG","APP"))))</f>
        <v/>
      </c>
      <c r="J113" s="17" t="str">
        <f aca="false">IF($C113="","",$N113+$Q113*$R113)</f>
        <v/>
      </c>
      <c r="K113" s="17" t="str">
        <f aca="false">IF($C113="","",$O113+$Q113*$S113)</f>
        <v/>
      </c>
      <c r="L113" s="17" t="str">
        <f aca="false">IF($C113="","",$J113-$K113-1-N($G113))</f>
        <v/>
      </c>
      <c r="M113" s="7" t="str">
        <f aca="false">IF($B113="","",INDEX(Course!$B$2:$B$19,MATCH($B113,Course!$A$2:$A$19,0)))</f>
        <v/>
      </c>
      <c r="N113" s="17" t="str">
        <f aca="false">IF($C113="","",IF($C113="H",0,IF($C113="G",INDEX(Baseline!$I$3:$I$102,MIN(MAX(ROUND($D113,0),1),100)),IF($C113="T",IF($M113=3,INDEX(Baseline!$B$3:$B$122,MATCH(MIN(MAX(ROUND(($D113)/5,0)*5,5),600),Baseline!$A$3:$A$122,0))-Inputs!$B$9,INDEX(Course!$N$2:$N$19,MATCH($B113,Course!$A$2:$A$19,0))),INDEX(Baseline!$B$3:$E$122,MATCH(MIN(MAX(ROUND(($D113)/5,0)*5,5),600),Baseline!$A$3:$A$122,0),MATCH($C113,Baseline!$B$2:$E$2,0))))))</f>
        <v/>
      </c>
      <c r="O113" s="17" t="str">
        <f aca="false">IF($C113="","",IF($E113="H",0,IF($E113="G",INDEX(Baseline!$I$3:$I$102,MIN(MAX(ROUND($F113,0),1),100)),IF($E113="T",IF($M113=3,INDEX(Baseline!$B$3:$B$122,MATCH(MIN(MAX(ROUND(($F113)/5,0)*5,5),600),Baseline!$A$3:$A$122,0))-Inputs!$B$9,INDEX(Course!$N$2:$N$19,MATCH($B113,Course!$A$2:$A$19,0))),INDEX(Baseline!$B$3:$E$122,MATCH(MIN(MAX(ROUND(($F113)/5,0)*5,5),600),Baseline!$A$3:$A$122,0),MATCH($E113,Baseline!$B$2:$E$2,0))))))</f>
        <v/>
      </c>
      <c r="P113" s="17" t="str">
        <f aca="false">IF($B113="","",INDEX(Course!$N$2:$N$19,MATCH($B113,Course!$A$2:$A$19,0)))</f>
        <v/>
      </c>
      <c r="Q113" s="17" t="str">
        <f aca="false">IF($B113="","",INDEX(Course!$P$2:$P$19,MATCH($B113,Course!$A$2:$A$19,0)))</f>
        <v/>
      </c>
      <c r="R113" s="17" t="str">
        <f aca="false">IF($C113="","",IF(OR($C113="G",$C113="H"),0,IF($C113="T",1,MIN(1,MAX(0,($N113-Inputs!$B$8)/MAX($P113-Inputs!$B$8,0.01))))))</f>
        <v/>
      </c>
      <c r="S113" s="17" t="str">
        <f aca="false">IF($C113="","",IF(OR($E113="G",$E113="H"),0,IF($E113="T",1,MIN(1,MAX(0,($O113-Inputs!$B$8)/MAX($P113-Inputs!$B$8,0.01))))))</f>
        <v/>
      </c>
    </row>
    <row r="114" customFormat="false" ht="15" hidden="false" customHeight="false" outlineLevel="0" collapsed="false">
      <c r="I114" s="7" t="str">
        <f aca="false">IF($C114="","",IF($C114="G","PUTT",IF(AND($C114="T",$M114&gt;3),"OTT",IF($D114&lt;=30,"ARG","APP"))))</f>
        <v/>
      </c>
      <c r="J114" s="17" t="str">
        <f aca="false">IF($C114="","",$N114+$Q114*$R114)</f>
        <v/>
      </c>
      <c r="K114" s="17" t="str">
        <f aca="false">IF($C114="","",$O114+$Q114*$S114)</f>
        <v/>
      </c>
      <c r="L114" s="17" t="str">
        <f aca="false">IF($C114="","",$J114-$K114-1-N($G114))</f>
        <v/>
      </c>
      <c r="M114" s="7" t="str">
        <f aca="false">IF($B114="","",INDEX(Course!$B$2:$B$19,MATCH($B114,Course!$A$2:$A$19,0)))</f>
        <v/>
      </c>
      <c r="N114" s="17" t="str">
        <f aca="false">IF($C114="","",IF($C114="H",0,IF($C114="G",INDEX(Baseline!$I$3:$I$102,MIN(MAX(ROUND($D114,0),1),100)),IF($C114="T",IF($M114=3,INDEX(Baseline!$B$3:$B$122,MATCH(MIN(MAX(ROUND(($D114)/5,0)*5,5),600),Baseline!$A$3:$A$122,0))-Inputs!$B$9,INDEX(Course!$N$2:$N$19,MATCH($B114,Course!$A$2:$A$19,0))),INDEX(Baseline!$B$3:$E$122,MATCH(MIN(MAX(ROUND(($D114)/5,0)*5,5),600),Baseline!$A$3:$A$122,0),MATCH($C114,Baseline!$B$2:$E$2,0))))))</f>
        <v/>
      </c>
      <c r="O114" s="17" t="str">
        <f aca="false">IF($C114="","",IF($E114="H",0,IF($E114="G",INDEX(Baseline!$I$3:$I$102,MIN(MAX(ROUND($F114,0),1),100)),IF($E114="T",IF($M114=3,INDEX(Baseline!$B$3:$B$122,MATCH(MIN(MAX(ROUND(($F114)/5,0)*5,5),600),Baseline!$A$3:$A$122,0))-Inputs!$B$9,INDEX(Course!$N$2:$N$19,MATCH($B114,Course!$A$2:$A$19,0))),INDEX(Baseline!$B$3:$E$122,MATCH(MIN(MAX(ROUND(($F114)/5,0)*5,5),600),Baseline!$A$3:$A$122,0),MATCH($E114,Baseline!$B$2:$E$2,0))))))</f>
        <v/>
      </c>
      <c r="P114" s="17" t="str">
        <f aca="false">IF($B114="","",INDEX(Course!$N$2:$N$19,MATCH($B114,Course!$A$2:$A$19,0)))</f>
        <v/>
      </c>
      <c r="Q114" s="17" t="str">
        <f aca="false">IF($B114="","",INDEX(Course!$P$2:$P$19,MATCH($B114,Course!$A$2:$A$19,0)))</f>
        <v/>
      </c>
      <c r="R114" s="17" t="str">
        <f aca="false">IF($C114="","",IF(OR($C114="G",$C114="H"),0,IF($C114="T",1,MIN(1,MAX(0,($N114-Inputs!$B$8)/MAX($P114-Inputs!$B$8,0.01))))))</f>
        <v/>
      </c>
      <c r="S114" s="17" t="str">
        <f aca="false">IF($C114="","",IF(OR($E114="G",$E114="H"),0,IF($E114="T",1,MIN(1,MAX(0,($O114-Inputs!$B$8)/MAX($P114-Inputs!$B$8,0.01))))))</f>
        <v/>
      </c>
    </row>
    <row r="115" customFormat="false" ht="15" hidden="false" customHeight="false" outlineLevel="0" collapsed="false">
      <c r="I115" s="7" t="str">
        <f aca="false">IF($C115="","",IF($C115="G","PUTT",IF(AND($C115="T",$M115&gt;3),"OTT",IF($D115&lt;=30,"ARG","APP"))))</f>
        <v/>
      </c>
      <c r="J115" s="17" t="str">
        <f aca="false">IF($C115="","",$N115+$Q115*$R115)</f>
        <v/>
      </c>
      <c r="K115" s="17" t="str">
        <f aca="false">IF($C115="","",$O115+$Q115*$S115)</f>
        <v/>
      </c>
      <c r="L115" s="17" t="str">
        <f aca="false">IF($C115="","",$J115-$K115-1-N($G115))</f>
        <v/>
      </c>
      <c r="M115" s="7" t="str">
        <f aca="false">IF($B115="","",INDEX(Course!$B$2:$B$19,MATCH($B115,Course!$A$2:$A$19,0)))</f>
        <v/>
      </c>
      <c r="N115" s="17" t="str">
        <f aca="false">IF($C115="","",IF($C115="H",0,IF($C115="G",INDEX(Baseline!$I$3:$I$102,MIN(MAX(ROUND($D115,0),1),100)),IF($C115="T",IF($M115=3,INDEX(Baseline!$B$3:$B$122,MATCH(MIN(MAX(ROUND(($D115)/5,0)*5,5),600),Baseline!$A$3:$A$122,0))-Inputs!$B$9,INDEX(Course!$N$2:$N$19,MATCH($B115,Course!$A$2:$A$19,0))),INDEX(Baseline!$B$3:$E$122,MATCH(MIN(MAX(ROUND(($D115)/5,0)*5,5),600),Baseline!$A$3:$A$122,0),MATCH($C115,Baseline!$B$2:$E$2,0))))))</f>
        <v/>
      </c>
      <c r="O115" s="17" t="str">
        <f aca="false">IF($C115="","",IF($E115="H",0,IF($E115="G",INDEX(Baseline!$I$3:$I$102,MIN(MAX(ROUND($F115,0),1),100)),IF($E115="T",IF($M115=3,INDEX(Baseline!$B$3:$B$122,MATCH(MIN(MAX(ROUND(($F115)/5,0)*5,5),600),Baseline!$A$3:$A$122,0))-Inputs!$B$9,INDEX(Course!$N$2:$N$19,MATCH($B115,Course!$A$2:$A$19,0))),INDEX(Baseline!$B$3:$E$122,MATCH(MIN(MAX(ROUND(($F115)/5,0)*5,5),600),Baseline!$A$3:$A$122,0),MATCH($E115,Baseline!$B$2:$E$2,0))))))</f>
        <v/>
      </c>
      <c r="P115" s="17" t="str">
        <f aca="false">IF($B115="","",INDEX(Course!$N$2:$N$19,MATCH($B115,Course!$A$2:$A$19,0)))</f>
        <v/>
      </c>
      <c r="Q115" s="17" t="str">
        <f aca="false">IF($B115="","",INDEX(Course!$P$2:$P$19,MATCH($B115,Course!$A$2:$A$19,0)))</f>
        <v/>
      </c>
      <c r="R115" s="17" t="str">
        <f aca="false">IF($C115="","",IF(OR($C115="G",$C115="H"),0,IF($C115="T",1,MIN(1,MAX(0,($N115-Inputs!$B$8)/MAX($P115-Inputs!$B$8,0.01))))))</f>
        <v/>
      </c>
      <c r="S115" s="17" t="str">
        <f aca="false">IF($C115="","",IF(OR($E115="G",$E115="H"),0,IF($E115="T",1,MIN(1,MAX(0,($O115-Inputs!$B$8)/MAX($P115-Inputs!$B$8,0.01))))))</f>
        <v/>
      </c>
    </row>
    <row r="116" customFormat="false" ht="15" hidden="false" customHeight="false" outlineLevel="0" collapsed="false">
      <c r="I116" s="7" t="str">
        <f aca="false">IF($C116="","",IF($C116="G","PUTT",IF(AND($C116="T",$M116&gt;3),"OTT",IF($D116&lt;=30,"ARG","APP"))))</f>
        <v/>
      </c>
      <c r="J116" s="17" t="str">
        <f aca="false">IF($C116="","",$N116+$Q116*$R116)</f>
        <v/>
      </c>
      <c r="K116" s="17" t="str">
        <f aca="false">IF($C116="","",$O116+$Q116*$S116)</f>
        <v/>
      </c>
      <c r="L116" s="17" t="str">
        <f aca="false">IF($C116="","",$J116-$K116-1-N($G116))</f>
        <v/>
      </c>
      <c r="M116" s="7" t="str">
        <f aca="false">IF($B116="","",INDEX(Course!$B$2:$B$19,MATCH($B116,Course!$A$2:$A$19,0)))</f>
        <v/>
      </c>
      <c r="N116" s="17" t="str">
        <f aca="false">IF($C116="","",IF($C116="H",0,IF($C116="G",INDEX(Baseline!$I$3:$I$102,MIN(MAX(ROUND($D116,0),1),100)),IF($C116="T",IF($M116=3,INDEX(Baseline!$B$3:$B$122,MATCH(MIN(MAX(ROUND(($D116)/5,0)*5,5),600),Baseline!$A$3:$A$122,0))-Inputs!$B$9,INDEX(Course!$N$2:$N$19,MATCH($B116,Course!$A$2:$A$19,0))),INDEX(Baseline!$B$3:$E$122,MATCH(MIN(MAX(ROUND(($D116)/5,0)*5,5),600),Baseline!$A$3:$A$122,0),MATCH($C116,Baseline!$B$2:$E$2,0))))))</f>
        <v/>
      </c>
      <c r="O116" s="17" t="str">
        <f aca="false">IF($C116="","",IF($E116="H",0,IF($E116="G",INDEX(Baseline!$I$3:$I$102,MIN(MAX(ROUND($F116,0),1),100)),IF($E116="T",IF($M116=3,INDEX(Baseline!$B$3:$B$122,MATCH(MIN(MAX(ROUND(($F116)/5,0)*5,5),600),Baseline!$A$3:$A$122,0))-Inputs!$B$9,INDEX(Course!$N$2:$N$19,MATCH($B116,Course!$A$2:$A$19,0))),INDEX(Baseline!$B$3:$E$122,MATCH(MIN(MAX(ROUND(($F116)/5,0)*5,5),600),Baseline!$A$3:$A$122,0),MATCH($E116,Baseline!$B$2:$E$2,0))))))</f>
        <v/>
      </c>
      <c r="P116" s="17" t="str">
        <f aca="false">IF($B116="","",INDEX(Course!$N$2:$N$19,MATCH($B116,Course!$A$2:$A$19,0)))</f>
        <v/>
      </c>
      <c r="Q116" s="17" t="str">
        <f aca="false">IF($B116="","",INDEX(Course!$P$2:$P$19,MATCH($B116,Course!$A$2:$A$19,0)))</f>
        <v/>
      </c>
      <c r="R116" s="17" t="str">
        <f aca="false">IF($C116="","",IF(OR($C116="G",$C116="H"),0,IF($C116="T",1,MIN(1,MAX(0,($N116-Inputs!$B$8)/MAX($P116-Inputs!$B$8,0.01))))))</f>
        <v/>
      </c>
      <c r="S116" s="17" t="str">
        <f aca="false">IF($C116="","",IF(OR($E116="G",$E116="H"),0,IF($E116="T",1,MIN(1,MAX(0,($O116-Inputs!$B$8)/MAX($P116-Inputs!$B$8,0.01))))))</f>
        <v/>
      </c>
    </row>
    <row r="117" customFormat="false" ht="15" hidden="false" customHeight="false" outlineLevel="0" collapsed="false">
      <c r="I117" s="7" t="str">
        <f aca="false">IF($C117="","",IF($C117="G","PUTT",IF(AND($C117="T",$M117&gt;3),"OTT",IF($D117&lt;=30,"ARG","APP"))))</f>
        <v/>
      </c>
      <c r="J117" s="17" t="str">
        <f aca="false">IF($C117="","",$N117+$Q117*$R117)</f>
        <v/>
      </c>
      <c r="K117" s="17" t="str">
        <f aca="false">IF($C117="","",$O117+$Q117*$S117)</f>
        <v/>
      </c>
      <c r="L117" s="17" t="str">
        <f aca="false">IF($C117="","",$J117-$K117-1-N($G117))</f>
        <v/>
      </c>
      <c r="M117" s="7" t="str">
        <f aca="false">IF($B117="","",INDEX(Course!$B$2:$B$19,MATCH($B117,Course!$A$2:$A$19,0)))</f>
        <v/>
      </c>
      <c r="N117" s="17" t="str">
        <f aca="false">IF($C117="","",IF($C117="H",0,IF($C117="G",INDEX(Baseline!$I$3:$I$102,MIN(MAX(ROUND($D117,0),1),100)),IF($C117="T",IF($M117=3,INDEX(Baseline!$B$3:$B$122,MATCH(MIN(MAX(ROUND(($D117)/5,0)*5,5),600),Baseline!$A$3:$A$122,0))-Inputs!$B$9,INDEX(Course!$N$2:$N$19,MATCH($B117,Course!$A$2:$A$19,0))),INDEX(Baseline!$B$3:$E$122,MATCH(MIN(MAX(ROUND(($D117)/5,0)*5,5),600),Baseline!$A$3:$A$122,0),MATCH($C117,Baseline!$B$2:$E$2,0))))))</f>
        <v/>
      </c>
      <c r="O117" s="17" t="str">
        <f aca="false">IF($C117="","",IF($E117="H",0,IF($E117="G",INDEX(Baseline!$I$3:$I$102,MIN(MAX(ROUND($F117,0),1),100)),IF($E117="T",IF($M117=3,INDEX(Baseline!$B$3:$B$122,MATCH(MIN(MAX(ROUND(($F117)/5,0)*5,5),600),Baseline!$A$3:$A$122,0))-Inputs!$B$9,INDEX(Course!$N$2:$N$19,MATCH($B117,Course!$A$2:$A$19,0))),INDEX(Baseline!$B$3:$E$122,MATCH(MIN(MAX(ROUND(($F117)/5,0)*5,5),600),Baseline!$A$3:$A$122,0),MATCH($E117,Baseline!$B$2:$E$2,0))))))</f>
        <v/>
      </c>
      <c r="P117" s="17" t="str">
        <f aca="false">IF($B117="","",INDEX(Course!$N$2:$N$19,MATCH($B117,Course!$A$2:$A$19,0)))</f>
        <v/>
      </c>
      <c r="Q117" s="17" t="str">
        <f aca="false">IF($B117="","",INDEX(Course!$P$2:$P$19,MATCH($B117,Course!$A$2:$A$19,0)))</f>
        <v/>
      </c>
      <c r="R117" s="17" t="str">
        <f aca="false">IF($C117="","",IF(OR($C117="G",$C117="H"),0,IF($C117="T",1,MIN(1,MAX(0,($N117-Inputs!$B$8)/MAX($P117-Inputs!$B$8,0.01))))))</f>
        <v/>
      </c>
      <c r="S117" s="17" t="str">
        <f aca="false">IF($C117="","",IF(OR($E117="G",$E117="H"),0,IF($E117="T",1,MIN(1,MAX(0,($O117-Inputs!$B$8)/MAX($P117-Inputs!$B$8,0.01))))))</f>
        <v/>
      </c>
    </row>
    <row r="118" customFormat="false" ht="15" hidden="false" customHeight="false" outlineLevel="0" collapsed="false">
      <c r="I118" s="7" t="str">
        <f aca="false">IF($C118="","",IF($C118="G","PUTT",IF(AND($C118="T",$M118&gt;3),"OTT",IF($D118&lt;=30,"ARG","APP"))))</f>
        <v/>
      </c>
      <c r="J118" s="17" t="str">
        <f aca="false">IF($C118="","",$N118+$Q118*$R118)</f>
        <v/>
      </c>
      <c r="K118" s="17" t="str">
        <f aca="false">IF($C118="","",$O118+$Q118*$S118)</f>
        <v/>
      </c>
      <c r="L118" s="17" t="str">
        <f aca="false">IF($C118="","",$J118-$K118-1-N($G118))</f>
        <v/>
      </c>
      <c r="M118" s="7" t="str">
        <f aca="false">IF($B118="","",INDEX(Course!$B$2:$B$19,MATCH($B118,Course!$A$2:$A$19,0)))</f>
        <v/>
      </c>
      <c r="N118" s="17" t="str">
        <f aca="false">IF($C118="","",IF($C118="H",0,IF($C118="G",INDEX(Baseline!$I$3:$I$102,MIN(MAX(ROUND($D118,0),1),100)),IF($C118="T",IF($M118=3,INDEX(Baseline!$B$3:$B$122,MATCH(MIN(MAX(ROUND(($D118)/5,0)*5,5),600),Baseline!$A$3:$A$122,0))-Inputs!$B$9,INDEX(Course!$N$2:$N$19,MATCH($B118,Course!$A$2:$A$19,0))),INDEX(Baseline!$B$3:$E$122,MATCH(MIN(MAX(ROUND(($D118)/5,0)*5,5),600),Baseline!$A$3:$A$122,0),MATCH($C118,Baseline!$B$2:$E$2,0))))))</f>
        <v/>
      </c>
      <c r="O118" s="17" t="str">
        <f aca="false">IF($C118="","",IF($E118="H",0,IF($E118="G",INDEX(Baseline!$I$3:$I$102,MIN(MAX(ROUND($F118,0),1),100)),IF($E118="T",IF($M118=3,INDEX(Baseline!$B$3:$B$122,MATCH(MIN(MAX(ROUND(($F118)/5,0)*5,5),600),Baseline!$A$3:$A$122,0))-Inputs!$B$9,INDEX(Course!$N$2:$N$19,MATCH($B118,Course!$A$2:$A$19,0))),INDEX(Baseline!$B$3:$E$122,MATCH(MIN(MAX(ROUND(($F118)/5,0)*5,5),600),Baseline!$A$3:$A$122,0),MATCH($E118,Baseline!$B$2:$E$2,0))))))</f>
        <v/>
      </c>
      <c r="P118" s="17" t="str">
        <f aca="false">IF($B118="","",INDEX(Course!$N$2:$N$19,MATCH($B118,Course!$A$2:$A$19,0)))</f>
        <v/>
      </c>
      <c r="Q118" s="17" t="str">
        <f aca="false">IF($B118="","",INDEX(Course!$P$2:$P$19,MATCH($B118,Course!$A$2:$A$19,0)))</f>
        <v/>
      </c>
      <c r="R118" s="17" t="str">
        <f aca="false">IF($C118="","",IF(OR($C118="G",$C118="H"),0,IF($C118="T",1,MIN(1,MAX(0,($N118-Inputs!$B$8)/MAX($P118-Inputs!$B$8,0.01))))))</f>
        <v/>
      </c>
      <c r="S118" s="17" t="str">
        <f aca="false">IF($C118="","",IF(OR($E118="G",$E118="H"),0,IF($E118="T",1,MIN(1,MAX(0,($O118-Inputs!$B$8)/MAX($P118-Inputs!$B$8,0.01))))))</f>
        <v/>
      </c>
    </row>
    <row r="119" customFormat="false" ht="15" hidden="false" customHeight="false" outlineLevel="0" collapsed="false">
      <c r="I119" s="7" t="str">
        <f aca="false">IF($C119="","",IF($C119="G","PUTT",IF(AND($C119="T",$M119&gt;3),"OTT",IF($D119&lt;=30,"ARG","APP"))))</f>
        <v/>
      </c>
      <c r="J119" s="17" t="str">
        <f aca="false">IF($C119="","",$N119+$Q119*$R119)</f>
        <v/>
      </c>
      <c r="K119" s="17" t="str">
        <f aca="false">IF($C119="","",$O119+$Q119*$S119)</f>
        <v/>
      </c>
      <c r="L119" s="17" t="str">
        <f aca="false">IF($C119="","",$J119-$K119-1-N($G119))</f>
        <v/>
      </c>
      <c r="M119" s="7" t="str">
        <f aca="false">IF($B119="","",INDEX(Course!$B$2:$B$19,MATCH($B119,Course!$A$2:$A$19,0)))</f>
        <v/>
      </c>
      <c r="N119" s="17" t="str">
        <f aca="false">IF($C119="","",IF($C119="H",0,IF($C119="G",INDEX(Baseline!$I$3:$I$102,MIN(MAX(ROUND($D119,0),1),100)),IF($C119="T",IF($M119=3,INDEX(Baseline!$B$3:$B$122,MATCH(MIN(MAX(ROUND(($D119)/5,0)*5,5),600),Baseline!$A$3:$A$122,0))-Inputs!$B$9,INDEX(Course!$N$2:$N$19,MATCH($B119,Course!$A$2:$A$19,0))),INDEX(Baseline!$B$3:$E$122,MATCH(MIN(MAX(ROUND(($D119)/5,0)*5,5),600),Baseline!$A$3:$A$122,0),MATCH($C119,Baseline!$B$2:$E$2,0))))))</f>
        <v/>
      </c>
      <c r="O119" s="17" t="str">
        <f aca="false">IF($C119="","",IF($E119="H",0,IF($E119="G",INDEX(Baseline!$I$3:$I$102,MIN(MAX(ROUND($F119,0),1),100)),IF($E119="T",IF($M119=3,INDEX(Baseline!$B$3:$B$122,MATCH(MIN(MAX(ROUND(($F119)/5,0)*5,5),600),Baseline!$A$3:$A$122,0))-Inputs!$B$9,INDEX(Course!$N$2:$N$19,MATCH($B119,Course!$A$2:$A$19,0))),INDEX(Baseline!$B$3:$E$122,MATCH(MIN(MAX(ROUND(($F119)/5,0)*5,5),600),Baseline!$A$3:$A$122,0),MATCH($E119,Baseline!$B$2:$E$2,0))))))</f>
        <v/>
      </c>
      <c r="P119" s="17" t="str">
        <f aca="false">IF($B119="","",INDEX(Course!$N$2:$N$19,MATCH($B119,Course!$A$2:$A$19,0)))</f>
        <v/>
      </c>
      <c r="Q119" s="17" t="str">
        <f aca="false">IF($B119="","",INDEX(Course!$P$2:$P$19,MATCH($B119,Course!$A$2:$A$19,0)))</f>
        <v/>
      </c>
      <c r="R119" s="17" t="str">
        <f aca="false">IF($C119="","",IF(OR($C119="G",$C119="H"),0,IF($C119="T",1,MIN(1,MAX(0,($N119-Inputs!$B$8)/MAX($P119-Inputs!$B$8,0.01))))))</f>
        <v/>
      </c>
      <c r="S119" s="17" t="str">
        <f aca="false">IF($C119="","",IF(OR($E119="G",$E119="H"),0,IF($E119="T",1,MIN(1,MAX(0,($O119-Inputs!$B$8)/MAX($P119-Inputs!$B$8,0.01))))))</f>
        <v/>
      </c>
    </row>
    <row r="120" customFormat="false" ht="15" hidden="false" customHeight="false" outlineLevel="0" collapsed="false">
      <c r="I120" s="7" t="str">
        <f aca="false">IF($C120="","",IF($C120="G","PUTT",IF(AND($C120="T",$M120&gt;3),"OTT",IF($D120&lt;=30,"ARG","APP"))))</f>
        <v/>
      </c>
      <c r="J120" s="17" t="str">
        <f aca="false">IF($C120="","",$N120+$Q120*$R120)</f>
        <v/>
      </c>
      <c r="K120" s="17" t="str">
        <f aca="false">IF($C120="","",$O120+$Q120*$S120)</f>
        <v/>
      </c>
      <c r="L120" s="17" t="str">
        <f aca="false">IF($C120="","",$J120-$K120-1-N($G120))</f>
        <v/>
      </c>
      <c r="M120" s="7" t="str">
        <f aca="false">IF($B120="","",INDEX(Course!$B$2:$B$19,MATCH($B120,Course!$A$2:$A$19,0)))</f>
        <v/>
      </c>
      <c r="N120" s="17" t="str">
        <f aca="false">IF($C120="","",IF($C120="H",0,IF($C120="G",INDEX(Baseline!$I$3:$I$102,MIN(MAX(ROUND($D120,0),1),100)),IF($C120="T",IF($M120=3,INDEX(Baseline!$B$3:$B$122,MATCH(MIN(MAX(ROUND(($D120)/5,0)*5,5),600),Baseline!$A$3:$A$122,0))-Inputs!$B$9,INDEX(Course!$N$2:$N$19,MATCH($B120,Course!$A$2:$A$19,0))),INDEX(Baseline!$B$3:$E$122,MATCH(MIN(MAX(ROUND(($D120)/5,0)*5,5),600),Baseline!$A$3:$A$122,0),MATCH($C120,Baseline!$B$2:$E$2,0))))))</f>
        <v/>
      </c>
      <c r="O120" s="17" t="str">
        <f aca="false">IF($C120="","",IF($E120="H",0,IF($E120="G",INDEX(Baseline!$I$3:$I$102,MIN(MAX(ROUND($F120,0),1),100)),IF($E120="T",IF($M120=3,INDEX(Baseline!$B$3:$B$122,MATCH(MIN(MAX(ROUND(($F120)/5,0)*5,5),600),Baseline!$A$3:$A$122,0))-Inputs!$B$9,INDEX(Course!$N$2:$N$19,MATCH($B120,Course!$A$2:$A$19,0))),INDEX(Baseline!$B$3:$E$122,MATCH(MIN(MAX(ROUND(($F120)/5,0)*5,5),600),Baseline!$A$3:$A$122,0),MATCH($E120,Baseline!$B$2:$E$2,0))))))</f>
        <v/>
      </c>
      <c r="P120" s="17" t="str">
        <f aca="false">IF($B120="","",INDEX(Course!$N$2:$N$19,MATCH($B120,Course!$A$2:$A$19,0)))</f>
        <v/>
      </c>
      <c r="Q120" s="17" t="str">
        <f aca="false">IF($B120="","",INDEX(Course!$P$2:$P$19,MATCH($B120,Course!$A$2:$A$19,0)))</f>
        <v/>
      </c>
      <c r="R120" s="17" t="str">
        <f aca="false">IF($C120="","",IF(OR($C120="G",$C120="H"),0,IF($C120="T",1,MIN(1,MAX(0,($N120-Inputs!$B$8)/MAX($P120-Inputs!$B$8,0.01))))))</f>
        <v/>
      </c>
      <c r="S120" s="17" t="str">
        <f aca="false">IF($C120="","",IF(OR($E120="G",$E120="H"),0,IF($E120="T",1,MIN(1,MAX(0,($O120-Inputs!$B$8)/MAX($P120-Inputs!$B$8,0.01))))))</f>
        <v/>
      </c>
    </row>
    <row r="121" customFormat="false" ht="15" hidden="false" customHeight="false" outlineLevel="0" collapsed="false">
      <c r="I121" s="7" t="str">
        <f aca="false">IF($C121="","",IF($C121="G","PUTT",IF(AND($C121="T",$M121&gt;3),"OTT",IF($D121&lt;=30,"ARG","APP"))))</f>
        <v/>
      </c>
      <c r="J121" s="17" t="str">
        <f aca="false">IF($C121="","",$N121+$Q121*$R121)</f>
        <v/>
      </c>
      <c r="K121" s="17" t="str">
        <f aca="false">IF($C121="","",$O121+$Q121*$S121)</f>
        <v/>
      </c>
      <c r="L121" s="17" t="str">
        <f aca="false">IF($C121="","",$J121-$K121-1-N($G121))</f>
        <v/>
      </c>
      <c r="M121" s="7" t="str">
        <f aca="false">IF($B121="","",INDEX(Course!$B$2:$B$19,MATCH($B121,Course!$A$2:$A$19,0)))</f>
        <v/>
      </c>
      <c r="N121" s="17" t="str">
        <f aca="false">IF($C121="","",IF($C121="H",0,IF($C121="G",INDEX(Baseline!$I$3:$I$102,MIN(MAX(ROUND($D121,0),1),100)),IF($C121="T",IF($M121=3,INDEX(Baseline!$B$3:$B$122,MATCH(MIN(MAX(ROUND(($D121)/5,0)*5,5),600),Baseline!$A$3:$A$122,0))-Inputs!$B$9,INDEX(Course!$N$2:$N$19,MATCH($B121,Course!$A$2:$A$19,0))),INDEX(Baseline!$B$3:$E$122,MATCH(MIN(MAX(ROUND(($D121)/5,0)*5,5),600),Baseline!$A$3:$A$122,0),MATCH($C121,Baseline!$B$2:$E$2,0))))))</f>
        <v/>
      </c>
      <c r="O121" s="17" t="str">
        <f aca="false">IF($C121="","",IF($E121="H",0,IF($E121="G",INDEX(Baseline!$I$3:$I$102,MIN(MAX(ROUND($F121,0),1),100)),IF($E121="T",IF($M121=3,INDEX(Baseline!$B$3:$B$122,MATCH(MIN(MAX(ROUND(($F121)/5,0)*5,5),600),Baseline!$A$3:$A$122,0))-Inputs!$B$9,INDEX(Course!$N$2:$N$19,MATCH($B121,Course!$A$2:$A$19,0))),INDEX(Baseline!$B$3:$E$122,MATCH(MIN(MAX(ROUND(($F121)/5,0)*5,5),600),Baseline!$A$3:$A$122,0),MATCH($E121,Baseline!$B$2:$E$2,0))))))</f>
        <v/>
      </c>
      <c r="P121" s="17" t="str">
        <f aca="false">IF($B121="","",INDEX(Course!$N$2:$N$19,MATCH($B121,Course!$A$2:$A$19,0)))</f>
        <v/>
      </c>
      <c r="Q121" s="17" t="str">
        <f aca="false">IF($B121="","",INDEX(Course!$P$2:$P$19,MATCH($B121,Course!$A$2:$A$19,0)))</f>
        <v/>
      </c>
      <c r="R121" s="17" t="str">
        <f aca="false">IF($C121="","",IF(OR($C121="G",$C121="H"),0,IF($C121="T",1,MIN(1,MAX(0,($N121-Inputs!$B$8)/MAX($P121-Inputs!$B$8,0.01))))))</f>
        <v/>
      </c>
      <c r="S121" s="17" t="str">
        <f aca="false">IF($C121="","",IF(OR($E121="G",$E121="H"),0,IF($E121="T",1,MIN(1,MAX(0,($O121-Inputs!$B$8)/MAX($P121-Inputs!$B$8,0.01))))))</f>
        <v/>
      </c>
    </row>
    <row r="122" customFormat="false" ht="15" hidden="false" customHeight="false" outlineLevel="0" collapsed="false">
      <c r="I122" s="7" t="str">
        <f aca="false">IF($C122="","",IF($C122="G","PUTT",IF(AND($C122="T",$M122&gt;3),"OTT",IF($D122&lt;=30,"ARG","APP"))))</f>
        <v/>
      </c>
      <c r="J122" s="17" t="str">
        <f aca="false">IF($C122="","",$N122+$Q122*$R122)</f>
        <v/>
      </c>
      <c r="K122" s="17" t="str">
        <f aca="false">IF($C122="","",$O122+$Q122*$S122)</f>
        <v/>
      </c>
      <c r="L122" s="17" t="str">
        <f aca="false">IF($C122="","",$J122-$K122-1-N($G122))</f>
        <v/>
      </c>
      <c r="M122" s="7" t="str">
        <f aca="false">IF($B122="","",INDEX(Course!$B$2:$B$19,MATCH($B122,Course!$A$2:$A$19,0)))</f>
        <v/>
      </c>
      <c r="N122" s="17" t="str">
        <f aca="false">IF($C122="","",IF($C122="H",0,IF($C122="G",INDEX(Baseline!$I$3:$I$102,MIN(MAX(ROUND($D122,0),1),100)),IF($C122="T",IF($M122=3,INDEX(Baseline!$B$3:$B$122,MATCH(MIN(MAX(ROUND(($D122)/5,0)*5,5),600),Baseline!$A$3:$A$122,0))-Inputs!$B$9,INDEX(Course!$N$2:$N$19,MATCH($B122,Course!$A$2:$A$19,0))),INDEX(Baseline!$B$3:$E$122,MATCH(MIN(MAX(ROUND(($D122)/5,0)*5,5),600),Baseline!$A$3:$A$122,0),MATCH($C122,Baseline!$B$2:$E$2,0))))))</f>
        <v/>
      </c>
      <c r="O122" s="17" t="str">
        <f aca="false">IF($C122="","",IF($E122="H",0,IF($E122="G",INDEX(Baseline!$I$3:$I$102,MIN(MAX(ROUND($F122,0),1),100)),IF($E122="T",IF($M122=3,INDEX(Baseline!$B$3:$B$122,MATCH(MIN(MAX(ROUND(($F122)/5,0)*5,5),600),Baseline!$A$3:$A$122,0))-Inputs!$B$9,INDEX(Course!$N$2:$N$19,MATCH($B122,Course!$A$2:$A$19,0))),INDEX(Baseline!$B$3:$E$122,MATCH(MIN(MAX(ROUND(($F122)/5,0)*5,5),600),Baseline!$A$3:$A$122,0),MATCH($E122,Baseline!$B$2:$E$2,0))))))</f>
        <v/>
      </c>
      <c r="P122" s="17" t="str">
        <f aca="false">IF($B122="","",INDEX(Course!$N$2:$N$19,MATCH($B122,Course!$A$2:$A$19,0)))</f>
        <v/>
      </c>
      <c r="Q122" s="17" t="str">
        <f aca="false">IF($B122="","",INDEX(Course!$P$2:$P$19,MATCH($B122,Course!$A$2:$A$19,0)))</f>
        <v/>
      </c>
      <c r="R122" s="17" t="str">
        <f aca="false">IF($C122="","",IF(OR($C122="G",$C122="H"),0,IF($C122="T",1,MIN(1,MAX(0,($N122-Inputs!$B$8)/MAX($P122-Inputs!$B$8,0.01))))))</f>
        <v/>
      </c>
      <c r="S122" s="17" t="str">
        <f aca="false">IF($C122="","",IF(OR($E122="G",$E122="H"),0,IF($E122="T",1,MIN(1,MAX(0,($O122-Inputs!$B$8)/MAX($P122-Inputs!$B$8,0.01))))))</f>
        <v/>
      </c>
    </row>
    <row r="123" customFormat="false" ht="15" hidden="false" customHeight="false" outlineLevel="0" collapsed="false">
      <c r="I123" s="7" t="str">
        <f aca="false">IF($C123="","",IF($C123="G","PUTT",IF(AND($C123="T",$M123&gt;3),"OTT",IF($D123&lt;=30,"ARG","APP"))))</f>
        <v/>
      </c>
      <c r="J123" s="17" t="str">
        <f aca="false">IF($C123="","",$N123+$Q123*$R123)</f>
        <v/>
      </c>
      <c r="K123" s="17" t="str">
        <f aca="false">IF($C123="","",$O123+$Q123*$S123)</f>
        <v/>
      </c>
      <c r="L123" s="17" t="str">
        <f aca="false">IF($C123="","",$J123-$K123-1-N($G123))</f>
        <v/>
      </c>
      <c r="M123" s="7" t="str">
        <f aca="false">IF($B123="","",INDEX(Course!$B$2:$B$19,MATCH($B123,Course!$A$2:$A$19,0)))</f>
        <v/>
      </c>
      <c r="N123" s="17" t="str">
        <f aca="false">IF($C123="","",IF($C123="H",0,IF($C123="G",INDEX(Baseline!$I$3:$I$102,MIN(MAX(ROUND($D123,0),1),100)),IF($C123="T",IF($M123=3,INDEX(Baseline!$B$3:$B$122,MATCH(MIN(MAX(ROUND(($D123)/5,0)*5,5),600),Baseline!$A$3:$A$122,0))-Inputs!$B$9,INDEX(Course!$N$2:$N$19,MATCH($B123,Course!$A$2:$A$19,0))),INDEX(Baseline!$B$3:$E$122,MATCH(MIN(MAX(ROUND(($D123)/5,0)*5,5),600),Baseline!$A$3:$A$122,0),MATCH($C123,Baseline!$B$2:$E$2,0))))))</f>
        <v/>
      </c>
      <c r="O123" s="17" t="str">
        <f aca="false">IF($C123="","",IF($E123="H",0,IF($E123="G",INDEX(Baseline!$I$3:$I$102,MIN(MAX(ROUND($F123,0),1),100)),IF($E123="T",IF($M123=3,INDEX(Baseline!$B$3:$B$122,MATCH(MIN(MAX(ROUND(($F123)/5,0)*5,5),600),Baseline!$A$3:$A$122,0))-Inputs!$B$9,INDEX(Course!$N$2:$N$19,MATCH($B123,Course!$A$2:$A$19,0))),INDEX(Baseline!$B$3:$E$122,MATCH(MIN(MAX(ROUND(($F123)/5,0)*5,5),600),Baseline!$A$3:$A$122,0),MATCH($E123,Baseline!$B$2:$E$2,0))))))</f>
        <v/>
      </c>
      <c r="P123" s="17" t="str">
        <f aca="false">IF($B123="","",INDEX(Course!$N$2:$N$19,MATCH($B123,Course!$A$2:$A$19,0)))</f>
        <v/>
      </c>
      <c r="Q123" s="17" t="str">
        <f aca="false">IF($B123="","",INDEX(Course!$P$2:$P$19,MATCH($B123,Course!$A$2:$A$19,0)))</f>
        <v/>
      </c>
      <c r="R123" s="17" t="str">
        <f aca="false">IF($C123="","",IF(OR($C123="G",$C123="H"),0,IF($C123="T",1,MIN(1,MAX(0,($N123-Inputs!$B$8)/MAX($P123-Inputs!$B$8,0.01))))))</f>
        <v/>
      </c>
      <c r="S123" s="17" t="str">
        <f aca="false">IF($C123="","",IF(OR($E123="G",$E123="H"),0,IF($E123="T",1,MIN(1,MAX(0,($O123-Inputs!$B$8)/MAX($P123-Inputs!$B$8,0.01))))))</f>
        <v/>
      </c>
    </row>
    <row r="124" customFormat="false" ht="15" hidden="false" customHeight="false" outlineLevel="0" collapsed="false">
      <c r="I124" s="7" t="str">
        <f aca="false">IF($C124="","",IF($C124="G","PUTT",IF(AND($C124="T",$M124&gt;3),"OTT",IF($D124&lt;=30,"ARG","APP"))))</f>
        <v/>
      </c>
      <c r="J124" s="17" t="str">
        <f aca="false">IF($C124="","",$N124+$Q124*$R124)</f>
        <v/>
      </c>
      <c r="K124" s="17" t="str">
        <f aca="false">IF($C124="","",$O124+$Q124*$S124)</f>
        <v/>
      </c>
      <c r="L124" s="17" t="str">
        <f aca="false">IF($C124="","",$J124-$K124-1-N($G124))</f>
        <v/>
      </c>
      <c r="M124" s="7" t="str">
        <f aca="false">IF($B124="","",INDEX(Course!$B$2:$B$19,MATCH($B124,Course!$A$2:$A$19,0)))</f>
        <v/>
      </c>
      <c r="N124" s="17" t="str">
        <f aca="false">IF($C124="","",IF($C124="H",0,IF($C124="G",INDEX(Baseline!$I$3:$I$102,MIN(MAX(ROUND($D124,0),1),100)),IF($C124="T",IF($M124=3,INDEX(Baseline!$B$3:$B$122,MATCH(MIN(MAX(ROUND(($D124)/5,0)*5,5),600),Baseline!$A$3:$A$122,0))-Inputs!$B$9,INDEX(Course!$N$2:$N$19,MATCH($B124,Course!$A$2:$A$19,0))),INDEX(Baseline!$B$3:$E$122,MATCH(MIN(MAX(ROUND(($D124)/5,0)*5,5),600),Baseline!$A$3:$A$122,0),MATCH($C124,Baseline!$B$2:$E$2,0))))))</f>
        <v/>
      </c>
      <c r="O124" s="17" t="str">
        <f aca="false">IF($C124="","",IF($E124="H",0,IF($E124="G",INDEX(Baseline!$I$3:$I$102,MIN(MAX(ROUND($F124,0),1),100)),IF($E124="T",IF($M124=3,INDEX(Baseline!$B$3:$B$122,MATCH(MIN(MAX(ROUND(($F124)/5,0)*5,5),600),Baseline!$A$3:$A$122,0))-Inputs!$B$9,INDEX(Course!$N$2:$N$19,MATCH($B124,Course!$A$2:$A$19,0))),INDEX(Baseline!$B$3:$E$122,MATCH(MIN(MAX(ROUND(($F124)/5,0)*5,5),600),Baseline!$A$3:$A$122,0),MATCH($E124,Baseline!$B$2:$E$2,0))))))</f>
        <v/>
      </c>
      <c r="P124" s="17" t="str">
        <f aca="false">IF($B124="","",INDEX(Course!$N$2:$N$19,MATCH($B124,Course!$A$2:$A$19,0)))</f>
        <v/>
      </c>
      <c r="Q124" s="17" t="str">
        <f aca="false">IF($B124="","",INDEX(Course!$P$2:$P$19,MATCH($B124,Course!$A$2:$A$19,0)))</f>
        <v/>
      </c>
      <c r="R124" s="17" t="str">
        <f aca="false">IF($C124="","",IF(OR($C124="G",$C124="H"),0,IF($C124="T",1,MIN(1,MAX(0,($N124-Inputs!$B$8)/MAX($P124-Inputs!$B$8,0.01))))))</f>
        <v/>
      </c>
      <c r="S124" s="17" t="str">
        <f aca="false">IF($C124="","",IF(OR($E124="G",$E124="H"),0,IF($E124="T",1,MIN(1,MAX(0,($O124-Inputs!$B$8)/MAX($P124-Inputs!$B$8,0.01))))))</f>
        <v/>
      </c>
    </row>
    <row r="125" customFormat="false" ht="15" hidden="false" customHeight="false" outlineLevel="0" collapsed="false">
      <c r="I125" s="7" t="str">
        <f aca="false">IF($C125="","",IF($C125="G","PUTT",IF(AND($C125="T",$M125&gt;3),"OTT",IF($D125&lt;=30,"ARG","APP"))))</f>
        <v/>
      </c>
      <c r="J125" s="17" t="str">
        <f aca="false">IF($C125="","",$N125+$Q125*$R125)</f>
        <v/>
      </c>
      <c r="K125" s="17" t="str">
        <f aca="false">IF($C125="","",$O125+$Q125*$S125)</f>
        <v/>
      </c>
      <c r="L125" s="17" t="str">
        <f aca="false">IF($C125="","",$J125-$K125-1-N($G125))</f>
        <v/>
      </c>
      <c r="M125" s="7" t="str">
        <f aca="false">IF($B125="","",INDEX(Course!$B$2:$B$19,MATCH($B125,Course!$A$2:$A$19,0)))</f>
        <v/>
      </c>
      <c r="N125" s="17" t="str">
        <f aca="false">IF($C125="","",IF($C125="H",0,IF($C125="G",INDEX(Baseline!$I$3:$I$102,MIN(MAX(ROUND($D125,0),1),100)),IF($C125="T",IF($M125=3,INDEX(Baseline!$B$3:$B$122,MATCH(MIN(MAX(ROUND(($D125)/5,0)*5,5),600),Baseline!$A$3:$A$122,0))-Inputs!$B$9,INDEX(Course!$N$2:$N$19,MATCH($B125,Course!$A$2:$A$19,0))),INDEX(Baseline!$B$3:$E$122,MATCH(MIN(MAX(ROUND(($D125)/5,0)*5,5),600),Baseline!$A$3:$A$122,0),MATCH($C125,Baseline!$B$2:$E$2,0))))))</f>
        <v/>
      </c>
      <c r="O125" s="17" t="str">
        <f aca="false">IF($C125="","",IF($E125="H",0,IF($E125="G",INDEX(Baseline!$I$3:$I$102,MIN(MAX(ROUND($F125,0),1),100)),IF($E125="T",IF($M125=3,INDEX(Baseline!$B$3:$B$122,MATCH(MIN(MAX(ROUND(($F125)/5,0)*5,5),600),Baseline!$A$3:$A$122,0))-Inputs!$B$9,INDEX(Course!$N$2:$N$19,MATCH($B125,Course!$A$2:$A$19,0))),INDEX(Baseline!$B$3:$E$122,MATCH(MIN(MAX(ROUND(($F125)/5,0)*5,5),600),Baseline!$A$3:$A$122,0),MATCH($E125,Baseline!$B$2:$E$2,0))))))</f>
        <v/>
      </c>
      <c r="P125" s="17" t="str">
        <f aca="false">IF($B125="","",INDEX(Course!$N$2:$N$19,MATCH($B125,Course!$A$2:$A$19,0)))</f>
        <v/>
      </c>
      <c r="Q125" s="17" t="str">
        <f aca="false">IF($B125="","",INDEX(Course!$P$2:$P$19,MATCH($B125,Course!$A$2:$A$19,0)))</f>
        <v/>
      </c>
      <c r="R125" s="17" t="str">
        <f aca="false">IF($C125="","",IF(OR($C125="G",$C125="H"),0,IF($C125="T",1,MIN(1,MAX(0,($N125-Inputs!$B$8)/MAX($P125-Inputs!$B$8,0.01))))))</f>
        <v/>
      </c>
      <c r="S125" s="17" t="str">
        <f aca="false">IF($C125="","",IF(OR($E125="G",$E125="H"),0,IF($E125="T",1,MIN(1,MAX(0,($O125-Inputs!$B$8)/MAX($P125-Inputs!$B$8,0.01))))))</f>
        <v/>
      </c>
    </row>
    <row r="126" customFormat="false" ht="15" hidden="false" customHeight="false" outlineLevel="0" collapsed="false">
      <c r="I126" s="7" t="str">
        <f aca="false">IF($C126="","",IF($C126="G","PUTT",IF(AND($C126="T",$M126&gt;3),"OTT",IF($D126&lt;=30,"ARG","APP"))))</f>
        <v/>
      </c>
      <c r="J126" s="17" t="str">
        <f aca="false">IF($C126="","",$N126+$Q126*$R126)</f>
        <v/>
      </c>
      <c r="K126" s="17" t="str">
        <f aca="false">IF($C126="","",$O126+$Q126*$S126)</f>
        <v/>
      </c>
      <c r="L126" s="17" t="str">
        <f aca="false">IF($C126="","",$J126-$K126-1-N($G126))</f>
        <v/>
      </c>
      <c r="M126" s="7" t="str">
        <f aca="false">IF($B126="","",INDEX(Course!$B$2:$B$19,MATCH($B126,Course!$A$2:$A$19,0)))</f>
        <v/>
      </c>
      <c r="N126" s="17" t="str">
        <f aca="false">IF($C126="","",IF($C126="H",0,IF($C126="G",INDEX(Baseline!$I$3:$I$102,MIN(MAX(ROUND($D126,0),1),100)),IF($C126="T",IF($M126=3,INDEX(Baseline!$B$3:$B$122,MATCH(MIN(MAX(ROUND(($D126)/5,0)*5,5),600),Baseline!$A$3:$A$122,0))-Inputs!$B$9,INDEX(Course!$N$2:$N$19,MATCH($B126,Course!$A$2:$A$19,0))),INDEX(Baseline!$B$3:$E$122,MATCH(MIN(MAX(ROUND(($D126)/5,0)*5,5),600),Baseline!$A$3:$A$122,0),MATCH($C126,Baseline!$B$2:$E$2,0))))))</f>
        <v/>
      </c>
      <c r="O126" s="17" t="str">
        <f aca="false">IF($C126="","",IF($E126="H",0,IF($E126="G",INDEX(Baseline!$I$3:$I$102,MIN(MAX(ROUND($F126,0),1),100)),IF($E126="T",IF($M126=3,INDEX(Baseline!$B$3:$B$122,MATCH(MIN(MAX(ROUND(($F126)/5,0)*5,5),600),Baseline!$A$3:$A$122,0))-Inputs!$B$9,INDEX(Course!$N$2:$N$19,MATCH($B126,Course!$A$2:$A$19,0))),INDEX(Baseline!$B$3:$E$122,MATCH(MIN(MAX(ROUND(($F126)/5,0)*5,5),600),Baseline!$A$3:$A$122,0),MATCH($E126,Baseline!$B$2:$E$2,0))))))</f>
        <v/>
      </c>
      <c r="P126" s="17" t="str">
        <f aca="false">IF($B126="","",INDEX(Course!$N$2:$N$19,MATCH($B126,Course!$A$2:$A$19,0)))</f>
        <v/>
      </c>
      <c r="Q126" s="17" t="str">
        <f aca="false">IF($B126="","",INDEX(Course!$P$2:$P$19,MATCH($B126,Course!$A$2:$A$19,0)))</f>
        <v/>
      </c>
      <c r="R126" s="17" t="str">
        <f aca="false">IF($C126="","",IF(OR($C126="G",$C126="H"),0,IF($C126="T",1,MIN(1,MAX(0,($N126-Inputs!$B$8)/MAX($P126-Inputs!$B$8,0.01))))))</f>
        <v/>
      </c>
      <c r="S126" s="17" t="str">
        <f aca="false">IF($C126="","",IF(OR($E126="G",$E126="H"),0,IF($E126="T",1,MIN(1,MAX(0,($O126-Inputs!$B$8)/MAX($P126-Inputs!$B$8,0.01))))))</f>
        <v/>
      </c>
    </row>
    <row r="127" customFormat="false" ht="15" hidden="false" customHeight="false" outlineLevel="0" collapsed="false">
      <c r="I127" s="7" t="str">
        <f aca="false">IF($C127="","",IF($C127="G","PUTT",IF(AND($C127="T",$M127&gt;3),"OTT",IF($D127&lt;=30,"ARG","APP"))))</f>
        <v/>
      </c>
      <c r="J127" s="17" t="str">
        <f aca="false">IF($C127="","",$N127+$Q127*$R127)</f>
        <v/>
      </c>
      <c r="K127" s="17" t="str">
        <f aca="false">IF($C127="","",$O127+$Q127*$S127)</f>
        <v/>
      </c>
      <c r="L127" s="17" t="str">
        <f aca="false">IF($C127="","",$J127-$K127-1-N($G127))</f>
        <v/>
      </c>
      <c r="M127" s="7" t="str">
        <f aca="false">IF($B127="","",INDEX(Course!$B$2:$B$19,MATCH($B127,Course!$A$2:$A$19,0)))</f>
        <v/>
      </c>
      <c r="N127" s="17" t="str">
        <f aca="false">IF($C127="","",IF($C127="H",0,IF($C127="G",INDEX(Baseline!$I$3:$I$102,MIN(MAX(ROUND($D127,0),1),100)),IF($C127="T",IF($M127=3,INDEX(Baseline!$B$3:$B$122,MATCH(MIN(MAX(ROUND(($D127)/5,0)*5,5),600),Baseline!$A$3:$A$122,0))-Inputs!$B$9,INDEX(Course!$N$2:$N$19,MATCH($B127,Course!$A$2:$A$19,0))),INDEX(Baseline!$B$3:$E$122,MATCH(MIN(MAX(ROUND(($D127)/5,0)*5,5),600),Baseline!$A$3:$A$122,0),MATCH($C127,Baseline!$B$2:$E$2,0))))))</f>
        <v/>
      </c>
      <c r="O127" s="17" t="str">
        <f aca="false">IF($C127="","",IF($E127="H",0,IF($E127="G",INDEX(Baseline!$I$3:$I$102,MIN(MAX(ROUND($F127,0),1),100)),IF($E127="T",IF($M127=3,INDEX(Baseline!$B$3:$B$122,MATCH(MIN(MAX(ROUND(($F127)/5,0)*5,5),600),Baseline!$A$3:$A$122,0))-Inputs!$B$9,INDEX(Course!$N$2:$N$19,MATCH($B127,Course!$A$2:$A$19,0))),INDEX(Baseline!$B$3:$E$122,MATCH(MIN(MAX(ROUND(($F127)/5,0)*5,5),600),Baseline!$A$3:$A$122,0),MATCH($E127,Baseline!$B$2:$E$2,0))))))</f>
        <v/>
      </c>
      <c r="P127" s="17" t="str">
        <f aca="false">IF($B127="","",INDEX(Course!$N$2:$N$19,MATCH($B127,Course!$A$2:$A$19,0)))</f>
        <v/>
      </c>
      <c r="Q127" s="17" t="str">
        <f aca="false">IF($B127="","",INDEX(Course!$P$2:$P$19,MATCH($B127,Course!$A$2:$A$19,0)))</f>
        <v/>
      </c>
      <c r="R127" s="17" t="str">
        <f aca="false">IF($C127="","",IF(OR($C127="G",$C127="H"),0,IF($C127="T",1,MIN(1,MAX(0,($N127-Inputs!$B$8)/MAX($P127-Inputs!$B$8,0.01))))))</f>
        <v/>
      </c>
      <c r="S127" s="17" t="str">
        <f aca="false">IF($C127="","",IF(OR($E127="G",$E127="H"),0,IF($E127="T",1,MIN(1,MAX(0,($O127-Inputs!$B$8)/MAX($P127-Inputs!$B$8,0.01))))))</f>
        <v/>
      </c>
    </row>
    <row r="128" customFormat="false" ht="15" hidden="false" customHeight="false" outlineLevel="0" collapsed="false">
      <c r="I128" s="7" t="str">
        <f aca="false">IF($C128="","",IF($C128="G","PUTT",IF(AND($C128="T",$M128&gt;3),"OTT",IF($D128&lt;=30,"ARG","APP"))))</f>
        <v/>
      </c>
      <c r="J128" s="17" t="str">
        <f aca="false">IF($C128="","",$N128+$Q128*$R128)</f>
        <v/>
      </c>
      <c r="K128" s="17" t="str">
        <f aca="false">IF($C128="","",$O128+$Q128*$S128)</f>
        <v/>
      </c>
      <c r="L128" s="17" t="str">
        <f aca="false">IF($C128="","",$J128-$K128-1-N($G128))</f>
        <v/>
      </c>
      <c r="M128" s="7" t="str">
        <f aca="false">IF($B128="","",INDEX(Course!$B$2:$B$19,MATCH($B128,Course!$A$2:$A$19,0)))</f>
        <v/>
      </c>
      <c r="N128" s="17" t="str">
        <f aca="false">IF($C128="","",IF($C128="H",0,IF($C128="G",INDEX(Baseline!$I$3:$I$102,MIN(MAX(ROUND($D128,0),1),100)),IF($C128="T",IF($M128=3,INDEX(Baseline!$B$3:$B$122,MATCH(MIN(MAX(ROUND(($D128)/5,0)*5,5),600),Baseline!$A$3:$A$122,0))-Inputs!$B$9,INDEX(Course!$N$2:$N$19,MATCH($B128,Course!$A$2:$A$19,0))),INDEX(Baseline!$B$3:$E$122,MATCH(MIN(MAX(ROUND(($D128)/5,0)*5,5),600),Baseline!$A$3:$A$122,0),MATCH($C128,Baseline!$B$2:$E$2,0))))))</f>
        <v/>
      </c>
      <c r="O128" s="17" t="str">
        <f aca="false">IF($C128="","",IF($E128="H",0,IF($E128="G",INDEX(Baseline!$I$3:$I$102,MIN(MAX(ROUND($F128,0),1),100)),IF($E128="T",IF($M128=3,INDEX(Baseline!$B$3:$B$122,MATCH(MIN(MAX(ROUND(($F128)/5,0)*5,5),600),Baseline!$A$3:$A$122,0))-Inputs!$B$9,INDEX(Course!$N$2:$N$19,MATCH($B128,Course!$A$2:$A$19,0))),INDEX(Baseline!$B$3:$E$122,MATCH(MIN(MAX(ROUND(($F128)/5,0)*5,5),600),Baseline!$A$3:$A$122,0),MATCH($E128,Baseline!$B$2:$E$2,0))))))</f>
        <v/>
      </c>
      <c r="P128" s="17" t="str">
        <f aca="false">IF($B128="","",INDEX(Course!$N$2:$N$19,MATCH($B128,Course!$A$2:$A$19,0)))</f>
        <v/>
      </c>
      <c r="Q128" s="17" t="str">
        <f aca="false">IF($B128="","",INDEX(Course!$P$2:$P$19,MATCH($B128,Course!$A$2:$A$19,0)))</f>
        <v/>
      </c>
      <c r="R128" s="17" t="str">
        <f aca="false">IF($C128="","",IF(OR($C128="G",$C128="H"),0,IF($C128="T",1,MIN(1,MAX(0,($N128-Inputs!$B$8)/MAX($P128-Inputs!$B$8,0.01))))))</f>
        <v/>
      </c>
      <c r="S128" s="17" t="str">
        <f aca="false">IF($C128="","",IF(OR($E128="G",$E128="H"),0,IF($E128="T",1,MIN(1,MAX(0,($O128-Inputs!$B$8)/MAX($P128-Inputs!$B$8,0.01))))))</f>
        <v/>
      </c>
    </row>
    <row r="129" customFormat="false" ht="15" hidden="false" customHeight="false" outlineLevel="0" collapsed="false">
      <c r="I129" s="7" t="str">
        <f aca="false">IF($C129="","",IF($C129="G","PUTT",IF(AND($C129="T",$M129&gt;3),"OTT",IF($D129&lt;=30,"ARG","APP"))))</f>
        <v/>
      </c>
      <c r="J129" s="17" t="str">
        <f aca="false">IF($C129="","",$N129+$Q129*$R129)</f>
        <v/>
      </c>
      <c r="K129" s="17" t="str">
        <f aca="false">IF($C129="","",$O129+$Q129*$S129)</f>
        <v/>
      </c>
      <c r="L129" s="17" t="str">
        <f aca="false">IF($C129="","",$J129-$K129-1-N($G129))</f>
        <v/>
      </c>
      <c r="M129" s="7" t="str">
        <f aca="false">IF($B129="","",INDEX(Course!$B$2:$B$19,MATCH($B129,Course!$A$2:$A$19,0)))</f>
        <v/>
      </c>
      <c r="N129" s="17" t="str">
        <f aca="false">IF($C129="","",IF($C129="H",0,IF($C129="G",INDEX(Baseline!$I$3:$I$102,MIN(MAX(ROUND($D129,0),1),100)),IF($C129="T",IF($M129=3,INDEX(Baseline!$B$3:$B$122,MATCH(MIN(MAX(ROUND(($D129)/5,0)*5,5),600),Baseline!$A$3:$A$122,0))-Inputs!$B$9,INDEX(Course!$N$2:$N$19,MATCH($B129,Course!$A$2:$A$19,0))),INDEX(Baseline!$B$3:$E$122,MATCH(MIN(MAX(ROUND(($D129)/5,0)*5,5),600),Baseline!$A$3:$A$122,0),MATCH($C129,Baseline!$B$2:$E$2,0))))))</f>
        <v/>
      </c>
      <c r="O129" s="17" t="str">
        <f aca="false">IF($C129="","",IF($E129="H",0,IF($E129="G",INDEX(Baseline!$I$3:$I$102,MIN(MAX(ROUND($F129,0),1),100)),IF($E129="T",IF($M129=3,INDEX(Baseline!$B$3:$B$122,MATCH(MIN(MAX(ROUND(($F129)/5,0)*5,5),600),Baseline!$A$3:$A$122,0))-Inputs!$B$9,INDEX(Course!$N$2:$N$19,MATCH($B129,Course!$A$2:$A$19,0))),INDEX(Baseline!$B$3:$E$122,MATCH(MIN(MAX(ROUND(($F129)/5,0)*5,5),600),Baseline!$A$3:$A$122,0),MATCH($E129,Baseline!$B$2:$E$2,0))))))</f>
        <v/>
      </c>
      <c r="P129" s="17" t="str">
        <f aca="false">IF($B129="","",INDEX(Course!$N$2:$N$19,MATCH($B129,Course!$A$2:$A$19,0)))</f>
        <v/>
      </c>
      <c r="Q129" s="17" t="str">
        <f aca="false">IF($B129="","",INDEX(Course!$P$2:$P$19,MATCH($B129,Course!$A$2:$A$19,0)))</f>
        <v/>
      </c>
      <c r="R129" s="17" t="str">
        <f aca="false">IF($C129="","",IF(OR($C129="G",$C129="H"),0,IF($C129="T",1,MIN(1,MAX(0,($N129-Inputs!$B$8)/MAX($P129-Inputs!$B$8,0.01))))))</f>
        <v/>
      </c>
      <c r="S129" s="17" t="str">
        <f aca="false">IF($C129="","",IF(OR($E129="G",$E129="H"),0,IF($E129="T",1,MIN(1,MAX(0,($O129-Inputs!$B$8)/MAX($P129-Inputs!$B$8,0.01))))))</f>
        <v/>
      </c>
    </row>
    <row r="130" customFormat="false" ht="15" hidden="false" customHeight="false" outlineLevel="0" collapsed="false">
      <c r="I130" s="7" t="str">
        <f aca="false">IF($C130="","",IF($C130="G","PUTT",IF(AND($C130="T",$M130&gt;3),"OTT",IF($D130&lt;=30,"ARG","APP"))))</f>
        <v/>
      </c>
      <c r="J130" s="17" t="str">
        <f aca="false">IF($C130="","",$N130+$Q130*$R130)</f>
        <v/>
      </c>
      <c r="K130" s="17" t="str">
        <f aca="false">IF($C130="","",$O130+$Q130*$S130)</f>
        <v/>
      </c>
      <c r="L130" s="17" t="str">
        <f aca="false">IF($C130="","",$J130-$K130-1-N($G130))</f>
        <v/>
      </c>
      <c r="M130" s="7" t="str">
        <f aca="false">IF($B130="","",INDEX(Course!$B$2:$B$19,MATCH($B130,Course!$A$2:$A$19,0)))</f>
        <v/>
      </c>
      <c r="N130" s="17" t="str">
        <f aca="false">IF($C130="","",IF($C130="H",0,IF($C130="G",INDEX(Baseline!$I$3:$I$102,MIN(MAX(ROUND($D130,0),1),100)),IF($C130="T",IF($M130=3,INDEX(Baseline!$B$3:$B$122,MATCH(MIN(MAX(ROUND(($D130)/5,0)*5,5),600),Baseline!$A$3:$A$122,0))-Inputs!$B$9,INDEX(Course!$N$2:$N$19,MATCH($B130,Course!$A$2:$A$19,0))),INDEX(Baseline!$B$3:$E$122,MATCH(MIN(MAX(ROUND(($D130)/5,0)*5,5),600),Baseline!$A$3:$A$122,0),MATCH($C130,Baseline!$B$2:$E$2,0))))))</f>
        <v/>
      </c>
      <c r="O130" s="17" t="str">
        <f aca="false">IF($C130="","",IF($E130="H",0,IF($E130="G",INDEX(Baseline!$I$3:$I$102,MIN(MAX(ROUND($F130,0),1),100)),IF($E130="T",IF($M130=3,INDEX(Baseline!$B$3:$B$122,MATCH(MIN(MAX(ROUND(($F130)/5,0)*5,5),600),Baseline!$A$3:$A$122,0))-Inputs!$B$9,INDEX(Course!$N$2:$N$19,MATCH($B130,Course!$A$2:$A$19,0))),INDEX(Baseline!$B$3:$E$122,MATCH(MIN(MAX(ROUND(($F130)/5,0)*5,5),600),Baseline!$A$3:$A$122,0),MATCH($E130,Baseline!$B$2:$E$2,0))))))</f>
        <v/>
      </c>
      <c r="P130" s="17" t="str">
        <f aca="false">IF($B130="","",INDEX(Course!$N$2:$N$19,MATCH($B130,Course!$A$2:$A$19,0)))</f>
        <v/>
      </c>
      <c r="Q130" s="17" t="str">
        <f aca="false">IF($B130="","",INDEX(Course!$P$2:$P$19,MATCH($B130,Course!$A$2:$A$19,0)))</f>
        <v/>
      </c>
      <c r="R130" s="17" t="str">
        <f aca="false">IF($C130="","",IF(OR($C130="G",$C130="H"),0,IF($C130="T",1,MIN(1,MAX(0,($N130-Inputs!$B$8)/MAX($P130-Inputs!$B$8,0.01))))))</f>
        <v/>
      </c>
      <c r="S130" s="17" t="str">
        <f aca="false">IF($C130="","",IF(OR($E130="G",$E130="H"),0,IF($E130="T",1,MIN(1,MAX(0,($O130-Inputs!$B$8)/MAX($P130-Inputs!$B$8,0.01))))))</f>
        <v/>
      </c>
    </row>
    <row r="131" customFormat="false" ht="15" hidden="false" customHeight="false" outlineLevel="0" collapsed="false">
      <c r="I131" s="7" t="str">
        <f aca="false">IF($C131="","",IF($C131="G","PUTT",IF(AND($C131="T",$M131&gt;3),"OTT",IF($D131&lt;=30,"ARG","APP"))))</f>
        <v/>
      </c>
      <c r="J131" s="17" t="str">
        <f aca="false">IF($C131="","",$N131+$Q131*$R131)</f>
        <v/>
      </c>
      <c r="K131" s="17" t="str">
        <f aca="false">IF($C131="","",$O131+$Q131*$S131)</f>
        <v/>
      </c>
      <c r="L131" s="17" t="str">
        <f aca="false">IF($C131="","",$J131-$K131-1-N($G131))</f>
        <v/>
      </c>
      <c r="M131" s="7" t="str">
        <f aca="false">IF($B131="","",INDEX(Course!$B$2:$B$19,MATCH($B131,Course!$A$2:$A$19,0)))</f>
        <v/>
      </c>
      <c r="N131" s="17" t="str">
        <f aca="false">IF($C131="","",IF($C131="H",0,IF($C131="G",INDEX(Baseline!$I$3:$I$102,MIN(MAX(ROUND($D131,0),1),100)),IF($C131="T",IF($M131=3,INDEX(Baseline!$B$3:$B$122,MATCH(MIN(MAX(ROUND(($D131)/5,0)*5,5),600),Baseline!$A$3:$A$122,0))-Inputs!$B$9,INDEX(Course!$N$2:$N$19,MATCH($B131,Course!$A$2:$A$19,0))),INDEX(Baseline!$B$3:$E$122,MATCH(MIN(MAX(ROUND(($D131)/5,0)*5,5),600),Baseline!$A$3:$A$122,0),MATCH($C131,Baseline!$B$2:$E$2,0))))))</f>
        <v/>
      </c>
      <c r="O131" s="17" t="str">
        <f aca="false">IF($C131="","",IF($E131="H",0,IF($E131="G",INDEX(Baseline!$I$3:$I$102,MIN(MAX(ROUND($F131,0),1),100)),IF($E131="T",IF($M131=3,INDEX(Baseline!$B$3:$B$122,MATCH(MIN(MAX(ROUND(($F131)/5,0)*5,5),600),Baseline!$A$3:$A$122,0))-Inputs!$B$9,INDEX(Course!$N$2:$N$19,MATCH($B131,Course!$A$2:$A$19,0))),INDEX(Baseline!$B$3:$E$122,MATCH(MIN(MAX(ROUND(($F131)/5,0)*5,5),600),Baseline!$A$3:$A$122,0),MATCH($E131,Baseline!$B$2:$E$2,0))))))</f>
        <v/>
      </c>
      <c r="P131" s="17" t="str">
        <f aca="false">IF($B131="","",INDEX(Course!$N$2:$N$19,MATCH($B131,Course!$A$2:$A$19,0)))</f>
        <v/>
      </c>
      <c r="Q131" s="17" t="str">
        <f aca="false">IF($B131="","",INDEX(Course!$P$2:$P$19,MATCH($B131,Course!$A$2:$A$19,0)))</f>
        <v/>
      </c>
      <c r="R131" s="17" t="str">
        <f aca="false">IF($C131="","",IF(OR($C131="G",$C131="H"),0,IF($C131="T",1,MIN(1,MAX(0,($N131-Inputs!$B$8)/MAX($P131-Inputs!$B$8,0.01))))))</f>
        <v/>
      </c>
      <c r="S131" s="17" t="str">
        <f aca="false">IF($C131="","",IF(OR($E131="G",$E131="H"),0,IF($E131="T",1,MIN(1,MAX(0,($O131-Inputs!$B$8)/MAX($P131-Inputs!$B$8,0.01))))))</f>
        <v/>
      </c>
    </row>
    <row r="132" customFormat="false" ht="15" hidden="false" customHeight="false" outlineLevel="0" collapsed="false">
      <c r="I132" s="7" t="str">
        <f aca="false">IF($C132="","",IF($C132="G","PUTT",IF(AND($C132="T",$M132&gt;3),"OTT",IF($D132&lt;=30,"ARG","APP"))))</f>
        <v/>
      </c>
      <c r="J132" s="17" t="str">
        <f aca="false">IF($C132="","",$N132+$Q132*$R132)</f>
        <v/>
      </c>
      <c r="K132" s="17" t="str">
        <f aca="false">IF($C132="","",$O132+$Q132*$S132)</f>
        <v/>
      </c>
      <c r="L132" s="17" t="str">
        <f aca="false">IF($C132="","",$J132-$K132-1-N($G132))</f>
        <v/>
      </c>
      <c r="M132" s="7" t="str">
        <f aca="false">IF($B132="","",INDEX(Course!$B$2:$B$19,MATCH($B132,Course!$A$2:$A$19,0)))</f>
        <v/>
      </c>
      <c r="N132" s="17" t="str">
        <f aca="false">IF($C132="","",IF($C132="H",0,IF($C132="G",INDEX(Baseline!$I$3:$I$102,MIN(MAX(ROUND($D132,0),1),100)),IF($C132="T",IF($M132=3,INDEX(Baseline!$B$3:$B$122,MATCH(MIN(MAX(ROUND(($D132)/5,0)*5,5),600),Baseline!$A$3:$A$122,0))-Inputs!$B$9,INDEX(Course!$N$2:$N$19,MATCH($B132,Course!$A$2:$A$19,0))),INDEX(Baseline!$B$3:$E$122,MATCH(MIN(MAX(ROUND(($D132)/5,0)*5,5),600),Baseline!$A$3:$A$122,0),MATCH($C132,Baseline!$B$2:$E$2,0))))))</f>
        <v/>
      </c>
      <c r="O132" s="17" t="str">
        <f aca="false">IF($C132="","",IF($E132="H",0,IF($E132="G",INDEX(Baseline!$I$3:$I$102,MIN(MAX(ROUND($F132,0),1),100)),IF($E132="T",IF($M132=3,INDEX(Baseline!$B$3:$B$122,MATCH(MIN(MAX(ROUND(($F132)/5,0)*5,5),600),Baseline!$A$3:$A$122,0))-Inputs!$B$9,INDEX(Course!$N$2:$N$19,MATCH($B132,Course!$A$2:$A$19,0))),INDEX(Baseline!$B$3:$E$122,MATCH(MIN(MAX(ROUND(($F132)/5,0)*5,5),600),Baseline!$A$3:$A$122,0),MATCH($E132,Baseline!$B$2:$E$2,0))))))</f>
        <v/>
      </c>
      <c r="P132" s="17" t="str">
        <f aca="false">IF($B132="","",INDEX(Course!$N$2:$N$19,MATCH($B132,Course!$A$2:$A$19,0)))</f>
        <v/>
      </c>
      <c r="Q132" s="17" t="str">
        <f aca="false">IF($B132="","",INDEX(Course!$P$2:$P$19,MATCH($B132,Course!$A$2:$A$19,0)))</f>
        <v/>
      </c>
      <c r="R132" s="17" t="str">
        <f aca="false">IF($C132="","",IF(OR($C132="G",$C132="H"),0,IF($C132="T",1,MIN(1,MAX(0,($N132-Inputs!$B$8)/MAX($P132-Inputs!$B$8,0.01))))))</f>
        <v/>
      </c>
      <c r="S132" s="17" t="str">
        <f aca="false">IF($C132="","",IF(OR($E132="G",$E132="H"),0,IF($E132="T",1,MIN(1,MAX(0,($O132-Inputs!$B$8)/MAX($P132-Inputs!$B$8,0.01))))))</f>
        <v/>
      </c>
    </row>
    <row r="133" customFormat="false" ht="15" hidden="false" customHeight="false" outlineLevel="0" collapsed="false">
      <c r="I133" s="7" t="str">
        <f aca="false">IF($C133="","",IF($C133="G","PUTT",IF(AND($C133="T",$M133&gt;3),"OTT",IF($D133&lt;=30,"ARG","APP"))))</f>
        <v/>
      </c>
      <c r="J133" s="17" t="str">
        <f aca="false">IF($C133="","",$N133+$Q133*$R133)</f>
        <v/>
      </c>
      <c r="K133" s="17" t="str">
        <f aca="false">IF($C133="","",$O133+$Q133*$S133)</f>
        <v/>
      </c>
      <c r="L133" s="17" t="str">
        <f aca="false">IF($C133="","",$J133-$K133-1-N($G133))</f>
        <v/>
      </c>
      <c r="M133" s="7" t="str">
        <f aca="false">IF($B133="","",INDEX(Course!$B$2:$B$19,MATCH($B133,Course!$A$2:$A$19,0)))</f>
        <v/>
      </c>
      <c r="N133" s="17" t="str">
        <f aca="false">IF($C133="","",IF($C133="H",0,IF($C133="G",INDEX(Baseline!$I$3:$I$102,MIN(MAX(ROUND($D133,0),1),100)),IF($C133="T",IF($M133=3,INDEX(Baseline!$B$3:$B$122,MATCH(MIN(MAX(ROUND(($D133)/5,0)*5,5),600),Baseline!$A$3:$A$122,0))-Inputs!$B$9,INDEX(Course!$N$2:$N$19,MATCH($B133,Course!$A$2:$A$19,0))),INDEX(Baseline!$B$3:$E$122,MATCH(MIN(MAX(ROUND(($D133)/5,0)*5,5),600),Baseline!$A$3:$A$122,0),MATCH($C133,Baseline!$B$2:$E$2,0))))))</f>
        <v/>
      </c>
      <c r="O133" s="17" t="str">
        <f aca="false">IF($C133="","",IF($E133="H",0,IF($E133="G",INDEX(Baseline!$I$3:$I$102,MIN(MAX(ROUND($F133,0),1),100)),IF($E133="T",IF($M133=3,INDEX(Baseline!$B$3:$B$122,MATCH(MIN(MAX(ROUND(($F133)/5,0)*5,5),600),Baseline!$A$3:$A$122,0))-Inputs!$B$9,INDEX(Course!$N$2:$N$19,MATCH($B133,Course!$A$2:$A$19,0))),INDEX(Baseline!$B$3:$E$122,MATCH(MIN(MAX(ROUND(($F133)/5,0)*5,5),600),Baseline!$A$3:$A$122,0),MATCH($E133,Baseline!$B$2:$E$2,0))))))</f>
        <v/>
      </c>
      <c r="P133" s="17" t="str">
        <f aca="false">IF($B133="","",INDEX(Course!$N$2:$N$19,MATCH($B133,Course!$A$2:$A$19,0)))</f>
        <v/>
      </c>
      <c r="Q133" s="17" t="str">
        <f aca="false">IF($B133="","",INDEX(Course!$P$2:$P$19,MATCH($B133,Course!$A$2:$A$19,0)))</f>
        <v/>
      </c>
      <c r="R133" s="17" t="str">
        <f aca="false">IF($C133="","",IF(OR($C133="G",$C133="H"),0,IF($C133="T",1,MIN(1,MAX(0,($N133-Inputs!$B$8)/MAX($P133-Inputs!$B$8,0.01))))))</f>
        <v/>
      </c>
      <c r="S133" s="17" t="str">
        <f aca="false">IF($C133="","",IF(OR($E133="G",$E133="H"),0,IF($E133="T",1,MIN(1,MAX(0,($O133-Inputs!$B$8)/MAX($P133-Inputs!$B$8,0.01))))))</f>
        <v/>
      </c>
    </row>
    <row r="134" customFormat="false" ht="15" hidden="false" customHeight="false" outlineLevel="0" collapsed="false">
      <c r="I134" s="7" t="str">
        <f aca="false">IF($C134="","",IF($C134="G","PUTT",IF(AND($C134="T",$M134&gt;3),"OTT",IF($D134&lt;=30,"ARG","APP"))))</f>
        <v/>
      </c>
      <c r="J134" s="17" t="str">
        <f aca="false">IF($C134="","",$N134+$Q134*$R134)</f>
        <v/>
      </c>
      <c r="K134" s="17" t="str">
        <f aca="false">IF($C134="","",$O134+$Q134*$S134)</f>
        <v/>
      </c>
      <c r="L134" s="17" t="str">
        <f aca="false">IF($C134="","",$J134-$K134-1-N($G134))</f>
        <v/>
      </c>
      <c r="M134" s="7" t="str">
        <f aca="false">IF($B134="","",INDEX(Course!$B$2:$B$19,MATCH($B134,Course!$A$2:$A$19,0)))</f>
        <v/>
      </c>
      <c r="N134" s="17" t="str">
        <f aca="false">IF($C134="","",IF($C134="H",0,IF($C134="G",INDEX(Baseline!$I$3:$I$102,MIN(MAX(ROUND($D134,0),1),100)),IF($C134="T",IF($M134=3,INDEX(Baseline!$B$3:$B$122,MATCH(MIN(MAX(ROUND(($D134)/5,0)*5,5),600),Baseline!$A$3:$A$122,0))-Inputs!$B$9,INDEX(Course!$N$2:$N$19,MATCH($B134,Course!$A$2:$A$19,0))),INDEX(Baseline!$B$3:$E$122,MATCH(MIN(MAX(ROUND(($D134)/5,0)*5,5),600),Baseline!$A$3:$A$122,0),MATCH($C134,Baseline!$B$2:$E$2,0))))))</f>
        <v/>
      </c>
      <c r="O134" s="17" t="str">
        <f aca="false">IF($C134="","",IF($E134="H",0,IF($E134="G",INDEX(Baseline!$I$3:$I$102,MIN(MAX(ROUND($F134,0),1),100)),IF($E134="T",IF($M134=3,INDEX(Baseline!$B$3:$B$122,MATCH(MIN(MAX(ROUND(($F134)/5,0)*5,5),600),Baseline!$A$3:$A$122,0))-Inputs!$B$9,INDEX(Course!$N$2:$N$19,MATCH($B134,Course!$A$2:$A$19,0))),INDEX(Baseline!$B$3:$E$122,MATCH(MIN(MAX(ROUND(($F134)/5,0)*5,5),600),Baseline!$A$3:$A$122,0),MATCH($E134,Baseline!$B$2:$E$2,0))))))</f>
        <v/>
      </c>
      <c r="P134" s="17" t="str">
        <f aca="false">IF($B134="","",INDEX(Course!$N$2:$N$19,MATCH($B134,Course!$A$2:$A$19,0)))</f>
        <v/>
      </c>
      <c r="Q134" s="17" t="str">
        <f aca="false">IF($B134="","",INDEX(Course!$P$2:$P$19,MATCH($B134,Course!$A$2:$A$19,0)))</f>
        <v/>
      </c>
      <c r="R134" s="17" t="str">
        <f aca="false">IF($C134="","",IF(OR($C134="G",$C134="H"),0,IF($C134="T",1,MIN(1,MAX(0,($N134-Inputs!$B$8)/MAX($P134-Inputs!$B$8,0.01))))))</f>
        <v/>
      </c>
      <c r="S134" s="17" t="str">
        <f aca="false">IF($C134="","",IF(OR($E134="G",$E134="H"),0,IF($E134="T",1,MIN(1,MAX(0,($O134-Inputs!$B$8)/MAX($P134-Inputs!$B$8,0.01))))))</f>
        <v/>
      </c>
    </row>
    <row r="135" customFormat="false" ht="15" hidden="false" customHeight="false" outlineLevel="0" collapsed="false">
      <c r="I135" s="7" t="str">
        <f aca="false">IF($C135="","",IF($C135="G","PUTT",IF(AND($C135="T",$M135&gt;3),"OTT",IF($D135&lt;=30,"ARG","APP"))))</f>
        <v/>
      </c>
      <c r="J135" s="17" t="str">
        <f aca="false">IF($C135="","",$N135+$Q135*$R135)</f>
        <v/>
      </c>
      <c r="K135" s="17" t="str">
        <f aca="false">IF($C135="","",$O135+$Q135*$S135)</f>
        <v/>
      </c>
      <c r="L135" s="17" t="str">
        <f aca="false">IF($C135="","",$J135-$K135-1-N($G135))</f>
        <v/>
      </c>
      <c r="M135" s="7" t="str">
        <f aca="false">IF($B135="","",INDEX(Course!$B$2:$B$19,MATCH($B135,Course!$A$2:$A$19,0)))</f>
        <v/>
      </c>
      <c r="N135" s="17" t="str">
        <f aca="false">IF($C135="","",IF($C135="H",0,IF($C135="G",INDEX(Baseline!$I$3:$I$102,MIN(MAX(ROUND($D135,0),1),100)),IF($C135="T",IF($M135=3,INDEX(Baseline!$B$3:$B$122,MATCH(MIN(MAX(ROUND(($D135)/5,0)*5,5),600),Baseline!$A$3:$A$122,0))-Inputs!$B$9,INDEX(Course!$N$2:$N$19,MATCH($B135,Course!$A$2:$A$19,0))),INDEX(Baseline!$B$3:$E$122,MATCH(MIN(MAX(ROUND(($D135)/5,0)*5,5),600),Baseline!$A$3:$A$122,0),MATCH($C135,Baseline!$B$2:$E$2,0))))))</f>
        <v/>
      </c>
      <c r="O135" s="17" t="str">
        <f aca="false">IF($C135="","",IF($E135="H",0,IF($E135="G",INDEX(Baseline!$I$3:$I$102,MIN(MAX(ROUND($F135,0),1),100)),IF($E135="T",IF($M135=3,INDEX(Baseline!$B$3:$B$122,MATCH(MIN(MAX(ROUND(($F135)/5,0)*5,5),600),Baseline!$A$3:$A$122,0))-Inputs!$B$9,INDEX(Course!$N$2:$N$19,MATCH($B135,Course!$A$2:$A$19,0))),INDEX(Baseline!$B$3:$E$122,MATCH(MIN(MAX(ROUND(($F135)/5,0)*5,5),600),Baseline!$A$3:$A$122,0),MATCH($E135,Baseline!$B$2:$E$2,0))))))</f>
        <v/>
      </c>
      <c r="P135" s="17" t="str">
        <f aca="false">IF($B135="","",INDEX(Course!$N$2:$N$19,MATCH($B135,Course!$A$2:$A$19,0)))</f>
        <v/>
      </c>
      <c r="Q135" s="17" t="str">
        <f aca="false">IF($B135="","",INDEX(Course!$P$2:$P$19,MATCH($B135,Course!$A$2:$A$19,0)))</f>
        <v/>
      </c>
      <c r="R135" s="17" t="str">
        <f aca="false">IF($C135="","",IF(OR($C135="G",$C135="H"),0,IF($C135="T",1,MIN(1,MAX(0,($N135-Inputs!$B$8)/MAX($P135-Inputs!$B$8,0.01))))))</f>
        <v/>
      </c>
      <c r="S135" s="17" t="str">
        <f aca="false">IF($C135="","",IF(OR($E135="G",$E135="H"),0,IF($E135="T",1,MIN(1,MAX(0,($O135-Inputs!$B$8)/MAX($P135-Inputs!$B$8,0.01))))))</f>
        <v/>
      </c>
    </row>
    <row r="136" customFormat="false" ht="15" hidden="false" customHeight="false" outlineLevel="0" collapsed="false">
      <c r="I136" s="7" t="str">
        <f aca="false">IF($C136="","",IF($C136="G","PUTT",IF(AND($C136="T",$M136&gt;3),"OTT",IF($D136&lt;=30,"ARG","APP"))))</f>
        <v/>
      </c>
      <c r="J136" s="17" t="str">
        <f aca="false">IF($C136="","",$N136+$Q136*$R136)</f>
        <v/>
      </c>
      <c r="K136" s="17" t="str">
        <f aca="false">IF($C136="","",$O136+$Q136*$S136)</f>
        <v/>
      </c>
      <c r="L136" s="17" t="str">
        <f aca="false">IF($C136="","",$J136-$K136-1-N($G136))</f>
        <v/>
      </c>
      <c r="M136" s="7" t="str">
        <f aca="false">IF($B136="","",INDEX(Course!$B$2:$B$19,MATCH($B136,Course!$A$2:$A$19,0)))</f>
        <v/>
      </c>
      <c r="N136" s="17" t="str">
        <f aca="false">IF($C136="","",IF($C136="H",0,IF($C136="G",INDEX(Baseline!$I$3:$I$102,MIN(MAX(ROUND($D136,0),1),100)),IF($C136="T",IF($M136=3,INDEX(Baseline!$B$3:$B$122,MATCH(MIN(MAX(ROUND(($D136)/5,0)*5,5),600),Baseline!$A$3:$A$122,0))-Inputs!$B$9,INDEX(Course!$N$2:$N$19,MATCH($B136,Course!$A$2:$A$19,0))),INDEX(Baseline!$B$3:$E$122,MATCH(MIN(MAX(ROUND(($D136)/5,0)*5,5),600),Baseline!$A$3:$A$122,0),MATCH($C136,Baseline!$B$2:$E$2,0))))))</f>
        <v/>
      </c>
      <c r="O136" s="17" t="str">
        <f aca="false">IF($C136="","",IF($E136="H",0,IF($E136="G",INDEX(Baseline!$I$3:$I$102,MIN(MAX(ROUND($F136,0),1),100)),IF($E136="T",IF($M136=3,INDEX(Baseline!$B$3:$B$122,MATCH(MIN(MAX(ROUND(($F136)/5,0)*5,5),600),Baseline!$A$3:$A$122,0))-Inputs!$B$9,INDEX(Course!$N$2:$N$19,MATCH($B136,Course!$A$2:$A$19,0))),INDEX(Baseline!$B$3:$E$122,MATCH(MIN(MAX(ROUND(($F136)/5,0)*5,5),600),Baseline!$A$3:$A$122,0),MATCH($E136,Baseline!$B$2:$E$2,0))))))</f>
        <v/>
      </c>
      <c r="P136" s="17" t="str">
        <f aca="false">IF($B136="","",INDEX(Course!$N$2:$N$19,MATCH($B136,Course!$A$2:$A$19,0)))</f>
        <v/>
      </c>
      <c r="Q136" s="17" t="str">
        <f aca="false">IF($B136="","",INDEX(Course!$P$2:$P$19,MATCH($B136,Course!$A$2:$A$19,0)))</f>
        <v/>
      </c>
      <c r="R136" s="17" t="str">
        <f aca="false">IF($C136="","",IF(OR($C136="G",$C136="H"),0,IF($C136="T",1,MIN(1,MAX(0,($N136-Inputs!$B$8)/MAX($P136-Inputs!$B$8,0.01))))))</f>
        <v/>
      </c>
      <c r="S136" s="17" t="str">
        <f aca="false">IF($C136="","",IF(OR($E136="G",$E136="H"),0,IF($E136="T",1,MIN(1,MAX(0,($O136-Inputs!$B$8)/MAX($P136-Inputs!$B$8,0.01))))))</f>
        <v/>
      </c>
    </row>
    <row r="137" customFormat="false" ht="15" hidden="false" customHeight="false" outlineLevel="0" collapsed="false">
      <c r="I137" s="7" t="str">
        <f aca="false">IF($C137="","",IF($C137="G","PUTT",IF(AND($C137="T",$M137&gt;3),"OTT",IF($D137&lt;=30,"ARG","APP"))))</f>
        <v/>
      </c>
      <c r="J137" s="17" t="str">
        <f aca="false">IF($C137="","",$N137+$Q137*$R137)</f>
        <v/>
      </c>
      <c r="K137" s="17" t="str">
        <f aca="false">IF($C137="","",$O137+$Q137*$S137)</f>
        <v/>
      </c>
      <c r="L137" s="17" t="str">
        <f aca="false">IF($C137="","",$J137-$K137-1-N($G137))</f>
        <v/>
      </c>
      <c r="M137" s="7" t="str">
        <f aca="false">IF($B137="","",INDEX(Course!$B$2:$B$19,MATCH($B137,Course!$A$2:$A$19,0)))</f>
        <v/>
      </c>
      <c r="N137" s="17" t="str">
        <f aca="false">IF($C137="","",IF($C137="H",0,IF($C137="G",INDEX(Baseline!$I$3:$I$102,MIN(MAX(ROUND($D137,0),1),100)),IF($C137="T",IF($M137=3,INDEX(Baseline!$B$3:$B$122,MATCH(MIN(MAX(ROUND(($D137)/5,0)*5,5),600),Baseline!$A$3:$A$122,0))-Inputs!$B$9,INDEX(Course!$N$2:$N$19,MATCH($B137,Course!$A$2:$A$19,0))),INDEX(Baseline!$B$3:$E$122,MATCH(MIN(MAX(ROUND(($D137)/5,0)*5,5),600),Baseline!$A$3:$A$122,0),MATCH($C137,Baseline!$B$2:$E$2,0))))))</f>
        <v/>
      </c>
      <c r="O137" s="17" t="str">
        <f aca="false">IF($C137="","",IF($E137="H",0,IF($E137="G",INDEX(Baseline!$I$3:$I$102,MIN(MAX(ROUND($F137,0),1),100)),IF($E137="T",IF($M137=3,INDEX(Baseline!$B$3:$B$122,MATCH(MIN(MAX(ROUND(($F137)/5,0)*5,5),600),Baseline!$A$3:$A$122,0))-Inputs!$B$9,INDEX(Course!$N$2:$N$19,MATCH($B137,Course!$A$2:$A$19,0))),INDEX(Baseline!$B$3:$E$122,MATCH(MIN(MAX(ROUND(($F137)/5,0)*5,5),600),Baseline!$A$3:$A$122,0),MATCH($E137,Baseline!$B$2:$E$2,0))))))</f>
        <v/>
      </c>
      <c r="P137" s="17" t="str">
        <f aca="false">IF($B137="","",INDEX(Course!$N$2:$N$19,MATCH($B137,Course!$A$2:$A$19,0)))</f>
        <v/>
      </c>
      <c r="Q137" s="17" t="str">
        <f aca="false">IF($B137="","",INDEX(Course!$P$2:$P$19,MATCH($B137,Course!$A$2:$A$19,0)))</f>
        <v/>
      </c>
      <c r="R137" s="17" t="str">
        <f aca="false">IF($C137="","",IF(OR($C137="G",$C137="H"),0,IF($C137="T",1,MIN(1,MAX(0,($N137-Inputs!$B$8)/MAX($P137-Inputs!$B$8,0.01))))))</f>
        <v/>
      </c>
      <c r="S137" s="17" t="str">
        <f aca="false">IF($C137="","",IF(OR($E137="G",$E137="H"),0,IF($E137="T",1,MIN(1,MAX(0,($O137-Inputs!$B$8)/MAX($P137-Inputs!$B$8,0.01))))))</f>
        <v/>
      </c>
    </row>
    <row r="138" customFormat="false" ht="15" hidden="false" customHeight="false" outlineLevel="0" collapsed="false">
      <c r="I138" s="7" t="str">
        <f aca="false">IF($C138="","",IF($C138="G","PUTT",IF(AND($C138="T",$M138&gt;3),"OTT",IF($D138&lt;=30,"ARG","APP"))))</f>
        <v/>
      </c>
      <c r="J138" s="17" t="str">
        <f aca="false">IF($C138="","",$N138+$Q138*$R138)</f>
        <v/>
      </c>
      <c r="K138" s="17" t="str">
        <f aca="false">IF($C138="","",$O138+$Q138*$S138)</f>
        <v/>
      </c>
      <c r="L138" s="17" t="str">
        <f aca="false">IF($C138="","",$J138-$K138-1-N($G138))</f>
        <v/>
      </c>
      <c r="M138" s="7" t="str">
        <f aca="false">IF($B138="","",INDEX(Course!$B$2:$B$19,MATCH($B138,Course!$A$2:$A$19,0)))</f>
        <v/>
      </c>
      <c r="N138" s="17" t="str">
        <f aca="false">IF($C138="","",IF($C138="H",0,IF($C138="G",INDEX(Baseline!$I$3:$I$102,MIN(MAX(ROUND($D138,0),1),100)),IF($C138="T",IF($M138=3,INDEX(Baseline!$B$3:$B$122,MATCH(MIN(MAX(ROUND(($D138)/5,0)*5,5),600),Baseline!$A$3:$A$122,0))-Inputs!$B$9,INDEX(Course!$N$2:$N$19,MATCH($B138,Course!$A$2:$A$19,0))),INDEX(Baseline!$B$3:$E$122,MATCH(MIN(MAX(ROUND(($D138)/5,0)*5,5),600),Baseline!$A$3:$A$122,0),MATCH($C138,Baseline!$B$2:$E$2,0))))))</f>
        <v/>
      </c>
      <c r="O138" s="17" t="str">
        <f aca="false">IF($C138="","",IF($E138="H",0,IF($E138="G",INDEX(Baseline!$I$3:$I$102,MIN(MAX(ROUND($F138,0),1),100)),IF($E138="T",IF($M138=3,INDEX(Baseline!$B$3:$B$122,MATCH(MIN(MAX(ROUND(($F138)/5,0)*5,5),600),Baseline!$A$3:$A$122,0))-Inputs!$B$9,INDEX(Course!$N$2:$N$19,MATCH($B138,Course!$A$2:$A$19,0))),INDEX(Baseline!$B$3:$E$122,MATCH(MIN(MAX(ROUND(($F138)/5,0)*5,5),600),Baseline!$A$3:$A$122,0),MATCH($E138,Baseline!$B$2:$E$2,0))))))</f>
        <v/>
      </c>
      <c r="P138" s="17" t="str">
        <f aca="false">IF($B138="","",INDEX(Course!$N$2:$N$19,MATCH($B138,Course!$A$2:$A$19,0)))</f>
        <v/>
      </c>
      <c r="Q138" s="17" t="str">
        <f aca="false">IF($B138="","",INDEX(Course!$P$2:$P$19,MATCH($B138,Course!$A$2:$A$19,0)))</f>
        <v/>
      </c>
      <c r="R138" s="17" t="str">
        <f aca="false">IF($C138="","",IF(OR($C138="G",$C138="H"),0,IF($C138="T",1,MIN(1,MAX(0,($N138-Inputs!$B$8)/MAX($P138-Inputs!$B$8,0.01))))))</f>
        <v/>
      </c>
      <c r="S138" s="17" t="str">
        <f aca="false">IF($C138="","",IF(OR($E138="G",$E138="H"),0,IF($E138="T",1,MIN(1,MAX(0,($O138-Inputs!$B$8)/MAX($P138-Inputs!$B$8,0.01))))))</f>
        <v/>
      </c>
    </row>
    <row r="139" customFormat="false" ht="15" hidden="false" customHeight="false" outlineLevel="0" collapsed="false">
      <c r="I139" s="7" t="str">
        <f aca="false">IF($C139="","",IF($C139="G","PUTT",IF(AND($C139="T",$M139&gt;3),"OTT",IF($D139&lt;=30,"ARG","APP"))))</f>
        <v/>
      </c>
      <c r="J139" s="17" t="str">
        <f aca="false">IF($C139="","",$N139+$Q139*$R139)</f>
        <v/>
      </c>
      <c r="K139" s="17" t="str">
        <f aca="false">IF($C139="","",$O139+$Q139*$S139)</f>
        <v/>
      </c>
      <c r="L139" s="17" t="str">
        <f aca="false">IF($C139="","",$J139-$K139-1-N($G139))</f>
        <v/>
      </c>
      <c r="M139" s="7" t="str">
        <f aca="false">IF($B139="","",INDEX(Course!$B$2:$B$19,MATCH($B139,Course!$A$2:$A$19,0)))</f>
        <v/>
      </c>
      <c r="N139" s="17" t="str">
        <f aca="false">IF($C139="","",IF($C139="H",0,IF($C139="G",INDEX(Baseline!$I$3:$I$102,MIN(MAX(ROUND($D139,0),1),100)),IF($C139="T",IF($M139=3,INDEX(Baseline!$B$3:$B$122,MATCH(MIN(MAX(ROUND(($D139)/5,0)*5,5),600),Baseline!$A$3:$A$122,0))-Inputs!$B$9,INDEX(Course!$N$2:$N$19,MATCH($B139,Course!$A$2:$A$19,0))),INDEX(Baseline!$B$3:$E$122,MATCH(MIN(MAX(ROUND(($D139)/5,0)*5,5),600),Baseline!$A$3:$A$122,0),MATCH($C139,Baseline!$B$2:$E$2,0))))))</f>
        <v/>
      </c>
      <c r="O139" s="17" t="str">
        <f aca="false">IF($C139="","",IF($E139="H",0,IF($E139="G",INDEX(Baseline!$I$3:$I$102,MIN(MAX(ROUND($F139,0),1),100)),IF($E139="T",IF($M139=3,INDEX(Baseline!$B$3:$B$122,MATCH(MIN(MAX(ROUND(($F139)/5,0)*5,5),600),Baseline!$A$3:$A$122,0))-Inputs!$B$9,INDEX(Course!$N$2:$N$19,MATCH($B139,Course!$A$2:$A$19,0))),INDEX(Baseline!$B$3:$E$122,MATCH(MIN(MAX(ROUND(($F139)/5,0)*5,5),600),Baseline!$A$3:$A$122,0),MATCH($E139,Baseline!$B$2:$E$2,0))))))</f>
        <v/>
      </c>
      <c r="P139" s="17" t="str">
        <f aca="false">IF($B139="","",INDEX(Course!$N$2:$N$19,MATCH($B139,Course!$A$2:$A$19,0)))</f>
        <v/>
      </c>
      <c r="Q139" s="17" t="str">
        <f aca="false">IF($B139="","",INDEX(Course!$P$2:$P$19,MATCH($B139,Course!$A$2:$A$19,0)))</f>
        <v/>
      </c>
      <c r="R139" s="17" t="str">
        <f aca="false">IF($C139="","",IF(OR($C139="G",$C139="H"),0,IF($C139="T",1,MIN(1,MAX(0,($N139-Inputs!$B$8)/MAX($P139-Inputs!$B$8,0.01))))))</f>
        <v/>
      </c>
      <c r="S139" s="17" t="str">
        <f aca="false">IF($C139="","",IF(OR($E139="G",$E139="H"),0,IF($E139="T",1,MIN(1,MAX(0,($O139-Inputs!$B$8)/MAX($P139-Inputs!$B$8,0.01))))))</f>
        <v/>
      </c>
    </row>
    <row r="140" customFormat="false" ht="15" hidden="false" customHeight="false" outlineLevel="0" collapsed="false">
      <c r="I140" s="7" t="str">
        <f aca="false">IF($C140="","",IF($C140="G","PUTT",IF(AND($C140="T",$M140&gt;3),"OTT",IF($D140&lt;=30,"ARG","APP"))))</f>
        <v/>
      </c>
      <c r="J140" s="17" t="str">
        <f aca="false">IF($C140="","",$N140+$Q140*$R140)</f>
        <v/>
      </c>
      <c r="K140" s="17" t="str">
        <f aca="false">IF($C140="","",$O140+$Q140*$S140)</f>
        <v/>
      </c>
      <c r="L140" s="17" t="str">
        <f aca="false">IF($C140="","",$J140-$K140-1-N($G140))</f>
        <v/>
      </c>
      <c r="M140" s="7" t="str">
        <f aca="false">IF($B140="","",INDEX(Course!$B$2:$B$19,MATCH($B140,Course!$A$2:$A$19,0)))</f>
        <v/>
      </c>
      <c r="N140" s="17" t="str">
        <f aca="false">IF($C140="","",IF($C140="H",0,IF($C140="G",INDEX(Baseline!$I$3:$I$102,MIN(MAX(ROUND($D140,0),1),100)),IF($C140="T",IF($M140=3,INDEX(Baseline!$B$3:$B$122,MATCH(MIN(MAX(ROUND(($D140)/5,0)*5,5),600),Baseline!$A$3:$A$122,0))-Inputs!$B$9,INDEX(Course!$N$2:$N$19,MATCH($B140,Course!$A$2:$A$19,0))),INDEX(Baseline!$B$3:$E$122,MATCH(MIN(MAX(ROUND(($D140)/5,0)*5,5),600),Baseline!$A$3:$A$122,0),MATCH($C140,Baseline!$B$2:$E$2,0))))))</f>
        <v/>
      </c>
      <c r="O140" s="17" t="str">
        <f aca="false">IF($C140="","",IF($E140="H",0,IF($E140="G",INDEX(Baseline!$I$3:$I$102,MIN(MAX(ROUND($F140,0),1),100)),IF($E140="T",IF($M140=3,INDEX(Baseline!$B$3:$B$122,MATCH(MIN(MAX(ROUND(($F140)/5,0)*5,5),600),Baseline!$A$3:$A$122,0))-Inputs!$B$9,INDEX(Course!$N$2:$N$19,MATCH($B140,Course!$A$2:$A$19,0))),INDEX(Baseline!$B$3:$E$122,MATCH(MIN(MAX(ROUND(($F140)/5,0)*5,5),600),Baseline!$A$3:$A$122,0),MATCH($E140,Baseline!$B$2:$E$2,0))))))</f>
        <v/>
      </c>
      <c r="P140" s="17" t="str">
        <f aca="false">IF($B140="","",INDEX(Course!$N$2:$N$19,MATCH($B140,Course!$A$2:$A$19,0)))</f>
        <v/>
      </c>
      <c r="Q140" s="17" t="str">
        <f aca="false">IF($B140="","",INDEX(Course!$P$2:$P$19,MATCH($B140,Course!$A$2:$A$19,0)))</f>
        <v/>
      </c>
      <c r="R140" s="17" t="str">
        <f aca="false">IF($C140="","",IF(OR($C140="G",$C140="H"),0,IF($C140="T",1,MIN(1,MAX(0,($N140-Inputs!$B$8)/MAX($P140-Inputs!$B$8,0.01))))))</f>
        <v/>
      </c>
      <c r="S140" s="17" t="str">
        <f aca="false">IF($C140="","",IF(OR($E140="G",$E140="H"),0,IF($E140="T",1,MIN(1,MAX(0,($O140-Inputs!$B$8)/MAX($P140-Inputs!$B$8,0.01))))))</f>
        <v/>
      </c>
    </row>
    <row r="141" customFormat="false" ht="15" hidden="false" customHeight="false" outlineLevel="0" collapsed="false">
      <c r="I141" s="7" t="str">
        <f aca="false">IF($C141="","",IF($C141="G","PUTT",IF(AND($C141="T",$M141&gt;3),"OTT",IF($D141&lt;=30,"ARG","APP"))))</f>
        <v/>
      </c>
      <c r="J141" s="17" t="str">
        <f aca="false">IF($C141="","",$N141+$Q141*$R141)</f>
        <v/>
      </c>
      <c r="K141" s="17" t="str">
        <f aca="false">IF($C141="","",$O141+$Q141*$S141)</f>
        <v/>
      </c>
      <c r="L141" s="17" t="str">
        <f aca="false">IF($C141="","",$J141-$K141-1-N($G141))</f>
        <v/>
      </c>
      <c r="M141" s="7" t="str">
        <f aca="false">IF($B141="","",INDEX(Course!$B$2:$B$19,MATCH($B141,Course!$A$2:$A$19,0)))</f>
        <v/>
      </c>
      <c r="N141" s="17" t="str">
        <f aca="false">IF($C141="","",IF($C141="H",0,IF($C141="G",INDEX(Baseline!$I$3:$I$102,MIN(MAX(ROUND($D141,0),1),100)),IF($C141="T",IF($M141=3,INDEX(Baseline!$B$3:$B$122,MATCH(MIN(MAX(ROUND(($D141)/5,0)*5,5),600),Baseline!$A$3:$A$122,0))-Inputs!$B$9,INDEX(Course!$N$2:$N$19,MATCH($B141,Course!$A$2:$A$19,0))),INDEX(Baseline!$B$3:$E$122,MATCH(MIN(MAX(ROUND(($D141)/5,0)*5,5),600),Baseline!$A$3:$A$122,0),MATCH($C141,Baseline!$B$2:$E$2,0))))))</f>
        <v/>
      </c>
      <c r="O141" s="17" t="str">
        <f aca="false">IF($C141="","",IF($E141="H",0,IF($E141="G",INDEX(Baseline!$I$3:$I$102,MIN(MAX(ROUND($F141,0),1),100)),IF($E141="T",IF($M141=3,INDEX(Baseline!$B$3:$B$122,MATCH(MIN(MAX(ROUND(($F141)/5,0)*5,5),600),Baseline!$A$3:$A$122,0))-Inputs!$B$9,INDEX(Course!$N$2:$N$19,MATCH($B141,Course!$A$2:$A$19,0))),INDEX(Baseline!$B$3:$E$122,MATCH(MIN(MAX(ROUND(($F141)/5,0)*5,5),600),Baseline!$A$3:$A$122,0),MATCH($E141,Baseline!$B$2:$E$2,0))))))</f>
        <v/>
      </c>
      <c r="P141" s="17" t="str">
        <f aca="false">IF($B141="","",INDEX(Course!$N$2:$N$19,MATCH($B141,Course!$A$2:$A$19,0)))</f>
        <v/>
      </c>
      <c r="Q141" s="17" t="str">
        <f aca="false">IF($B141="","",INDEX(Course!$P$2:$P$19,MATCH($B141,Course!$A$2:$A$19,0)))</f>
        <v/>
      </c>
      <c r="R141" s="17" t="str">
        <f aca="false">IF($C141="","",IF(OR($C141="G",$C141="H"),0,IF($C141="T",1,MIN(1,MAX(0,($N141-Inputs!$B$8)/MAX($P141-Inputs!$B$8,0.01))))))</f>
        <v/>
      </c>
      <c r="S141" s="17" t="str">
        <f aca="false">IF($C141="","",IF(OR($E141="G",$E141="H"),0,IF($E141="T",1,MIN(1,MAX(0,($O141-Inputs!$B$8)/MAX($P141-Inputs!$B$8,0.01))))))</f>
        <v/>
      </c>
    </row>
    <row r="142" customFormat="false" ht="15" hidden="false" customHeight="false" outlineLevel="0" collapsed="false">
      <c r="I142" s="7" t="str">
        <f aca="false">IF($C142="","",IF($C142="G","PUTT",IF(AND($C142="T",$M142&gt;3),"OTT",IF($D142&lt;=30,"ARG","APP"))))</f>
        <v/>
      </c>
      <c r="J142" s="17" t="str">
        <f aca="false">IF($C142="","",$N142+$Q142*$R142)</f>
        <v/>
      </c>
      <c r="K142" s="17" t="str">
        <f aca="false">IF($C142="","",$O142+$Q142*$S142)</f>
        <v/>
      </c>
      <c r="L142" s="17" t="str">
        <f aca="false">IF($C142="","",$J142-$K142-1-N($G142))</f>
        <v/>
      </c>
      <c r="M142" s="7" t="str">
        <f aca="false">IF($B142="","",INDEX(Course!$B$2:$B$19,MATCH($B142,Course!$A$2:$A$19,0)))</f>
        <v/>
      </c>
      <c r="N142" s="17" t="str">
        <f aca="false">IF($C142="","",IF($C142="H",0,IF($C142="G",INDEX(Baseline!$I$3:$I$102,MIN(MAX(ROUND($D142,0),1),100)),IF($C142="T",IF($M142=3,INDEX(Baseline!$B$3:$B$122,MATCH(MIN(MAX(ROUND(($D142)/5,0)*5,5),600),Baseline!$A$3:$A$122,0))-Inputs!$B$9,INDEX(Course!$N$2:$N$19,MATCH($B142,Course!$A$2:$A$19,0))),INDEX(Baseline!$B$3:$E$122,MATCH(MIN(MAX(ROUND(($D142)/5,0)*5,5),600),Baseline!$A$3:$A$122,0),MATCH($C142,Baseline!$B$2:$E$2,0))))))</f>
        <v/>
      </c>
      <c r="O142" s="17" t="str">
        <f aca="false">IF($C142="","",IF($E142="H",0,IF($E142="G",INDEX(Baseline!$I$3:$I$102,MIN(MAX(ROUND($F142,0),1),100)),IF($E142="T",IF($M142=3,INDEX(Baseline!$B$3:$B$122,MATCH(MIN(MAX(ROUND(($F142)/5,0)*5,5),600),Baseline!$A$3:$A$122,0))-Inputs!$B$9,INDEX(Course!$N$2:$N$19,MATCH($B142,Course!$A$2:$A$19,0))),INDEX(Baseline!$B$3:$E$122,MATCH(MIN(MAX(ROUND(($F142)/5,0)*5,5),600),Baseline!$A$3:$A$122,0),MATCH($E142,Baseline!$B$2:$E$2,0))))))</f>
        <v/>
      </c>
      <c r="P142" s="17" t="str">
        <f aca="false">IF($B142="","",INDEX(Course!$N$2:$N$19,MATCH($B142,Course!$A$2:$A$19,0)))</f>
        <v/>
      </c>
      <c r="Q142" s="17" t="str">
        <f aca="false">IF($B142="","",INDEX(Course!$P$2:$P$19,MATCH($B142,Course!$A$2:$A$19,0)))</f>
        <v/>
      </c>
      <c r="R142" s="17" t="str">
        <f aca="false">IF($C142="","",IF(OR($C142="G",$C142="H"),0,IF($C142="T",1,MIN(1,MAX(0,($N142-Inputs!$B$8)/MAX($P142-Inputs!$B$8,0.01))))))</f>
        <v/>
      </c>
      <c r="S142" s="17" t="str">
        <f aca="false">IF($C142="","",IF(OR($E142="G",$E142="H"),0,IF($E142="T",1,MIN(1,MAX(0,($O142-Inputs!$B$8)/MAX($P142-Inputs!$B$8,0.01))))))</f>
        <v/>
      </c>
    </row>
    <row r="143" customFormat="false" ht="15" hidden="false" customHeight="false" outlineLevel="0" collapsed="false">
      <c r="I143" s="7" t="str">
        <f aca="false">IF($C143="","",IF($C143="G","PUTT",IF(AND($C143="T",$M143&gt;3),"OTT",IF($D143&lt;=30,"ARG","APP"))))</f>
        <v/>
      </c>
      <c r="J143" s="17" t="str">
        <f aca="false">IF($C143="","",$N143+$Q143*$R143)</f>
        <v/>
      </c>
      <c r="K143" s="17" t="str">
        <f aca="false">IF($C143="","",$O143+$Q143*$S143)</f>
        <v/>
      </c>
      <c r="L143" s="17" t="str">
        <f aca="false">IF($C143="","",$J143-$K143-1-N($G143))</f>
        <v/>
      </c>
      <c r="M143" s="7" t="str">
        <f aca="false">IF($B143="","",INDEX(Course!$B$2:$B$19,MATCH($B143,Course!$A$2:$A$19,0)))</f>
        <v/>
      </c>
      <c r="N143" s="17" t="str">
        <f aca="false">IF($C143="","",IF($C143="H",0,IF($C143="G",INDEX(Baseline!$I$3:$I$102,MIN(MAX(ROUND($D143,0),1),100)),IF($C143="T",IF($M143=3,INDEX(Baseline!$B$3:$B$122,MATCH(MIN(MAX(ROUND(($D143)/5,0)*5,5),600),Baseline!$A$3:$A$122,0))-Inputs!$B$9,INDEX(Course!$N$2:$N$19,MATCH($B143,Course!$A$2:$A$19,0))),INDEX(Baseline!$B$3:$E$122,MATCH(MIN(MAX(ROUND(($D143)/5,0)*5,5),600),Baseline!$A$3:$A$122,0),MATCH($C143,Baseline!$B$2:$E$2,0))))))</f>
        <v/>
      </c>
      <c r="O143" s="17" t="str">
        <f aca="false">IF($C143="","",IF($E143="H",0,IF($E143="G",INDEX(Baseline!$I$3:$I$102,MIN(MAX(ROUND($F143,0),1),100)),IF($E143="T",IF($M143=3,INDEX(Baseline!$B$3:$B$122,MATCH(MIN(MAX(ROUND(($F143)/5,0)*5,5),600),Baseline!$A$3:$A$122,0))-Inputs!$B$9,INDEX(Course!$N$2:$N$19,MATCH($B143,Course!$A$2:$A$19,0))),INDEX(Baseline!$B$3:$E$122,MATCH(MIN(MAX(ROUND(($F143)/5,0)*5,5),600),Baseline!$A$3:$A$122,0),MATCH($E143,Baseline!$B$2:$E$2,0))))))</f>
        <v/>
      </c>
      <c r="P143" s="17" t="str">
        <f aca="false">IF($B143="","",INDEX(Course!$N$2:$N$19,MATCH($B143,Course!$A$2:$A$19,0)))</f>
        <v/>
      </c>
      <c r="Q143" s="17" t="str">
        <f aca="false">IF($B143="","",INDEX(Course!$P$2:$P$19,MATCH($B143,Course!$A$2:$A$19,0)))</f>
        <v/>
      </c>
      <c r="R143" s="17" t="str">
        <f aca="false">IF($C143="","",IF(OR($C143="G",$C143="H"),0,IF($C143="T",1,MIN(1,MAX(0,($N143-Inputs!$B$8)/MAX($P143-Inputs!$B$8,0.01))))))</f>
        <v/>
      </c>
      <c r="S143" s="17" t="str">
        <f aca="false">IF($C143="","",IF(OR($E143="G",$E143="H"),0,IF($E143="T",1,MIN(1,MAX(0,($O143-Inputs!$B$8)/MAX($P143-Inputs!$B$8,0.01))))))</f>
        <v/>
      </c>
    </row>
    <row r="144" customFormat="false" ht="15" hidden="false" customHeight="false" outlineLevel="0" collapsed="false">
      <c r="I144" s="7" t="str">
        <f aca="false">IF($C144="","",IF($C144="G","PUTT",IF(AND($C144="T",$M144&gt;3),"OTT",IF($D144&lt;=30,"ARG","APP"))))</f>
        <v/>
      </c>
      <c r="J144" s="17" t="str">
        <f aca="false">IF($C144="","",$N144+$Q144*$R144)</f>
        <v/>
      </c>
      <c r="K144" s="17" t="str">
        <f aca="false">IF($C144="","",$O144+$Q144*$S144)</f>
        <v/>
      </c>
      <c r="L144" s="17" t="str">
        <f aca="false">IF($C144="","",$J144-$K144-1-N($G144))</f>
        <v/>
      </c>
      <c r="M144" s="7" t="str">
        <f aca="false">IF($B144="","",INDEX(Course!$B$2:$B$19,MATCH($B144,Course!$A$2:$A$19,0)))</f>
        <v/>
      </c>
      <c r="N144" s="17" t="str">
        <f aca="false">IF($C144="","",IF($C144="H",0,IF($C144="G",INDEX(Baseline!$I$3:$I$102,MIN(MAX(ROUND($D144,0),1),100)),IF($C144="T",IF($M144=3,INDEX(Baseline!$B$3:$B$122,MATCH(MIN(MAX(ROUND(($D144)/5,0)*5,5),600),Baseline!$A$3:$A$122,0))-Inputs!$B$9,INDEX(Course!$N$2:$N$19,MATCH($B144,Course!$A$2:$A$19,0))),INDEX(Baseline!$B$3:$E$122,MATCH(MIN(MAX(ROUND(($D144)/5,0)*5,5),600),Baseline!$A$3:$A$122,0),MATCH($C144,Baseline!$B$2:$E$2,0))))))</f>
        <v/>
      </c>
      <c r="O144" s="17" t="str">
        <f aca="false">IF($C144="","",IF($E144="H",0,IF($E144="G",INDEX(Baseline!$I$3:$I$102,MIN(MAX(ROUND($F144,0),1),100)),IF($E144="T",IF($M144=3,INDEX(Baseline!$B$3:$B$122,MATCH(MIN(MAX(ROUND(($F144)/5,0)*5,5),600),Baseline!$A$3:$A$122,0))-Inputs!$B$9,INDEX(Course!$N$2:$N$19,MATCH($B144,Course!$A$2:$A$19,0))),INDEX(Baseline!$B$3:$E$122,MATCH(MIN(MAX(ROUND(($F144)/5,0)*5,5),600),Baseline!$A$3:$A$122,0),MATCH($E144,Baseline!$B$2:$E$2,0))))))</f>
        <v/>
      </c>
      <c r="P144" s="17" t="str">
        <f aca="false">IF($B144="","",INDEX(Course!$N$2:$N$19,MATCH($B144,Course!$A$2:$A$19,0)))</f>
        <v/>
      </c>
      <c r="Q144" s="17" t="str">
        <f aca="false">IF($B144="","",INDEX(Course!$P$2:$P$19,MATCH($B144,Course!$A$2:$A$19,0)))</f>
        <v/>
      </c>
      <c r="R144" s="17" t="str">
        <f aca="false">IF($C144="","",IF(OR($C144="G",$C144="H"),0,IF($C144="T",1,MIN(1,MAX(0,($N144-Inputs!$B$8)/MAX($P144-Inputs!$B$8,0.01))))))</f>
        <v/>
      </c>
      <c r="S144" s="17" t="str">
        <f aca="false">IF($C144="","",IF(OR($E144="G",$E144="H"),0,IF($E144="T",1,MIN(1,MAX(0,($O144-Inputs!$B$8)/MAX($P144-Inputs!$B$8,0.01))))))</f>
        <v/>
      </c>
    </row>
    <row r="145" customFormat="false" ht="15" hidden="false" customHeight="false" outlineLevel="0" collapsed="false">
      <c r="I145" s="7" t="str">
        <f aca="false">IF($C145="","",IF($C145="G","PUTT",IF(AND($C145="T",$M145&gt;3),"OTT",IF($D145&lt;=30,"ARG","APP"))))</f>
        <v/>
      </c>
      <c r="J145" s="17" t="str">
        <f aca="false">IF($C145="","",$N145+$Q145*$R145)</f>
        <v/>
      </c>
      <c r="K145" s="17" t="str">
        <f aca="false">IF($C145="","",$O145+$Q145*$S145)</f>
        <v/>
      </c>
      <c r="L145" s="17" t="str">
        <f aca="false">IF($C145="","",$J145-$K145-1-N($G145))</f>
        <v/>
      </c>
      <c r="M145" s="7" t="str">
        <f aca="false">IF($B145="","",INDEX(Course!$B$2:$B$19,MATCH($B145,Course!$A$2:$A$19,0)))</f>
        <v/>
      </c>
      <c r="N145" s="17" t="str">
        <f aca="false">IF($C145="","",IF($C145="H",0,IF($C145="G",INDEX(Baseline!$I$3:$I$102,MIN(MAX(ROUND($D145,0),1),100)),IF($C145="T",IF($M145=3,INDEX(Baseline!$B$3:$B$122,MATCH(MIN(MAX(ROUND(($D145)/5,0)*5,5),600),Baseline!$A$3:$A$122,0))-Inputs!$B$9,INDEX(Course!$N$2:$N$19,MATCH($B145,Course!$A$2:$A$19,0))),INDEX(Baseline!$B$3:$E$122,MATCH(MIN(MAX(ROUND(($D145)/5,0)*5,5),600),Baseline!$A$3:$A$122,0),MATCH($C145,Baseline!$B$2:$E$2,0))))))</f>
        <v/>
      </c>
      <c r="O145" s="17" t="str">
        <f aca="false">IF($C145="","",IF($E145="H",0,IF($E145="G",INDEX(Baseline!$I$3:$I$102,MIN(MAX(ROUND($F145,0),1),100)),IF($E145="T",IF($M145=3,INDEX(Baseline!$B$3:$B$122,MATCH(MIN(MAX(ROUND(($F145)/5,0)*5,5),600),Baseline!$A$3:$A$122,0))-Inputs!$B$9,INDEX(Course!$N$2:$N$19,MATCH($B145,Course!$A$2:$A$19,0))),INDEX(Baseline!$B$3:$E$122,MATCH(MIN(MAX(ROUND(($F145)/5,0)*5,5),600),Baseline!$A$3:$A$122,0),MATCH($E145,Baseline!$B$2:$E$2,0))))))</f>
        <v/>
      </c>
      <c r="P145" s="17" t="str">
        <f aca="false">IF($B145="","",INDEX(Course!$N$2:$N$19,MATCH($B145,Course!$A$2:$A$19,0)))</f>
        <v/>
      </c>
      <c r="Q145" s="17" t="str">
        <f aca="false">IF($B145="","",INDEX(Course!$P$2:$P$19,MATCH($B145,Course!$A$2:$A$19,0)))</f>
        <v/>
      </c>
      <c r="R145" s="17" t="str">
        <f aca="false">IF($C145="","",IF(OR($C145="G",$C145="H"),0,IF($C145="T",1,MIN(1,MAX(0,($N145-Inputs!$B$8)/MAX($P145-Inputs!$B$8,0.01))))))</f>
        <v/>
      </c>
      <c r="S145" s="17" t="str">
        <f aca="false">IF($C145="","",IF(OR($E145="G",$E145="H"),0,IF($E145="T",1,MIN(1,MAX(0,($O145-Inputs!$B$8)/MAX($P145-Inputs!$B$8,0.01))))))</f>
        <v/>
      </c>
    </row>
    <row r="146" customFormat="false" ht="15" hidden="false" customHeight="false" outlineLevel="0" collapsed="false">
      <c r="I146" s="7" t="str">
        <f aca="false">IF($C146="","",IF($C146="G","PUTT",IF(AND($C146="T",$M146&gt;3),"OTT",IF($D146&lt;=30,"ARG","APP"))))</f>
        <v/>
      </c>
      <c r="J146" s="17" t="str">
        <f aca="false">IF($C146="","",$N146+$Q146*$R146)</f>
        <v/>
      </c>
      <c r="K146" s="17" t="str">
        <f aca="false">IF($C146="","",$O146+$Q146*$S146)</f>
        <v/>
      </c>
      <c r="L146" s="17" t="str">
        <f aca="false">IF($C146="","",$J146-$K146-1-N($G146))</f>
        <v/>
      </c>
      <c r="M146" s="7" t="str">
        <f aca="false">IF($B146="","",INDEX(Course!$B$2:$B$19,MATCH($B146,Course!$A$2:$A$19,0)))</f>
        <v/>
      </c>
      <c r="N146" s="17" t="str">
        <f aca="false">IF($C146="","",IF($C146="H",0,IF($C146="G",INDEX(Baseline!$I$3:$I$102,MIN(MAX(ROUND($D146,0),1),100)),IF($C146="T",IF($M146=3,INDEX(Baseline!$B$3:$B$122,MATCH(MIN(MAX(ROUND(($D146)/5,0)*5,5),600),Baseline!$A$3:$A$122,0))-Inputs!$B$9,INDEX(Course!$N$2:$N$19,MATCH($B146,Course!$A$2:$A$19,0))),INDEX(Baseline!$B$3:$E$122,MATCH(MIN(MAX(ROUND(($D146)/5,0)*5,5),600),Baseline!$A$3:$A$122,0),MATCH($C146,Baseline!$B$2:$E$2,0))))))</f>
        <v/>
      </c>
      <c r="O146" s="17" t="str">
        <f aca="false">IF($C146="","",IF($E146="H",0,IF($E146="G",INDEX(Baseline!$I$3:$I$102,MIN(MAX(ROUND($F146,0),1),100)),IF($E146="T",IF($M146=3,INDEX(Baseline!$B$3:$B$122,MATCH(MIN(MAX(ROUND(($F146)/5,0)*5,5),600),Baseline!$A$3:$A$122,0))-Inputs!$B$9,INDEX(Course!$N$2:$N$19,MATCH($B146,Course!$A$2:$A$19,0))),INDEX(Baseline!$B$3:$E$122,MATCH(MIN(MAX(ROUND(($F146)/5,0)*5,5),600),Baseline!$A$3:$A$122,0),MATCH($E146,Baseline!$B$2:$E$2,0))))))</f>
        <v/>
      </c>
      <c r="P146" s="17" t="str">
        <f aca="false">IF($B146="","",INDEX(Course!$N$2:$N$19,MATCH($B146,Course!$A$2:$A$19,0)))</f>
        <v/>
      </c>
      <c r="Q146" s="17" t="str">
        <f aca="false">IF($B146="","",INDEX(Course!$P$2:$P$19,MATCH($B146,Course!$A$2:$A$19,0)))</f>
        <v/>
      </c>
      <c r="R146" s="17" t="str">
        <f aca="false">IF($C146="","",IF(OR($C146="G",$C146="H"),0,IF($C146="T",1,MIN(1,MAX(0,($N146-Inputs!$B$8)/MAX($P146-Inputs!$B$8,0.01))))))</f>
        <v/>
      </c>
      <c r="S146" s="17" t="str">
        <f aca="false">IF($C146="","",IF(OR($E146="G",$E146="H"),0,IF($E146="T",1,MIN(1,MAX(0,($O146-Inputs!$B$8)/MAX($P146-Inputs!$B$8,0.01))))))</f>
        <v/>
      </c>
    </row>
    <row r="147" customFormat="false" ht="15" hidden="false" customHeight="false" outlineLevel="0" collapsed="false">
      <c r="I147" s="7" t="str">
        <f aca="false">IF($C147="","",IF($C147="G","PUTT",IF(AND($C147="T",$M147&gt;3),"OTT",IF($D147&lt;=30,"ARG","APP"))))</f>
        <v/>
      </c>
      <c r="J147" s="17" t="str">
        <f aca="false">IF($C147="","",$N147+$Q147*$R147)</f>
        <v/>
      </c>
      <c r="K147" s="17" t="str">
        <f aca="false">IF($C147="","",$O147+$Q147*$S147)</f>
        <v/>
      </c>
      <c r="L147" s="17" t="str">
        <f aca="false">IF($C147="","",$J147-$K147-1-N($G147))</f>
        <v/>
      </c>
      <c r="M147" s="7" t="str">
        <f aca="false">IF($B147="","",INDEX(Course!$B$2:$B$19,MATCH($B147,Course!$A$2:$A$19,0)))</f>
        <v/>
      </c>
      <c r="N147" s="17" t="str">
        <f aca="false">IF($C147="","",IF($C147="H",0,IF($C147="G",INDEX(Baseline!$I$3:$I$102,MIN(MAX(ROUND($D147,0),1),100)),IF($C147="T",IF($M147=3,INDEX(Baseline!$B$3:$B$122,MATCH(MIN(MAX(ROUND(($D147)/5,0)*5,5),600),Baseline!$A$3:$A$122,0))-Inputs!$B$9,INDEX(Course!$N$2:$N$19,MATCH($B147,Course!$A$2:$A$19,0))),INDEX(Baseline!$B$3:$E$122,MATCH(MIN(MAX(ROUND(($D147)/5,0)*5,5),600),Baseline!$A$3:$A$122,0),MATCH($C147,Baseline!$B$2:$E$2,0))))))</f>
        <v/>
      </c>
      <c r="O147" s="17" t="str">
        <f aca="false">IF($C147="","",IF($E147="H",0,IF($E147="G",INDEX(Baseline!$I$3:$I$102,MIN(MAX(ROUND($F147,0),1),100)),IF($E147="T",IF($M147=3,INDEX(Baseline!$B$3:$B$122,MATCH(MIN(MAX(ROUND(($F147)/5,0)*5,5),600),Baseline!$A$3:$A$122,0))-Inputs!$B$9,INDEX(Course!$N$2:$N$19,MATCH($B147,Course!$A$2:$A$19,0))),INDEX(Baseline!$B$3:$E$122,MATCH(MIN(MAX(ROUND(($F147)/5,0)*5,5),600),Baseline!$A$3:$A$122,0),MATCH($E147,Baseline!$B$2:$E$2,0))))))</f>
        <v/>
      </c>
      <c r="P147" s="17" t="str">
        <f aca="false">IF($B147="","",INDEX(Course!$N$2:$N$19,MATCH($B147,Course!$A$2:$A$19,0)))</f>
        <v/>
      </c>
      <c r="Q147" s="17" t="str">
        <f aca="false">IF($B147="","",INDEX(Course!$P$2:$P$19,MATCH($B147,Course!$A$2:$A$19,0)))</f>
        <v/>
      </c>
      <c r="R147" s="17" t="str">
        <f aca="false">IF($C147="","",IF(OR($C147="G",$C147="H"),0,IF($C147="T",1,MIN(1,MAX(0,($N147-Inputs!$B$8)/MAX($P147-Inputs!$B$8,0.01))))))</f>
        <v/>
      </c>
      <c r="S147" s="17" t="str">
        <f aca="false">IF($C147="","",IF(OR($E147="G",$E147="H"),0,IF($E147="T",1,MIN(1,MAX(0,($O147-Inputs!$B$8)/MAX($P147-Inputs!$B$8,0.01))))))</f>
        <v/>
      </c>
    </row>
    <row r="148" customFormat="false" ht="15" hidden="false" customHeight="false" outlineLevel="0" collapsed="false">
      <c r="I148" s="7" t="str">
        <f aca="false">IF($C148="","",IF($C148="G","PUTT",IF(AND($C148="T",$M148&gt;3),"OTT",IF($D148&lt;=30,"ARG","APP"))))</f>
        <v/>
      </c>
      <c r="J148" s="17" t="str">
        <f aca="false">IF($C148="","",$N148+$Q148*$R148)</f>
        <v/>
      </c>
      <c r="K148" s="17" t="str">
        <f aca="false">IF($C148="","",$O148+$Q148*$S148)</f>
        <v/>
      </c>
      <c r="L148" s="17" t="str">
        <f aca="false">IF($C148="","",$J148-$K148-1-N($G148))</f>
        <v/>
      </c>
      <c r="M148" s="7" t="str">
        <f aca="false">IF($B148="","",INDEX(Course!$B$2:$B$19,MATCH($B148,Course!$A$2:$A$19,0)))</f>
        <v/>
      </c>
      <c r="N148" s="17" t="str">
        <f aca="false">IF($C148="","",IF($C148="H",0,IF($C148="G",INDEX(Baseline!$I$3:$I$102,MIN(MAX(ROUND($D148,0),1),100)),IF($C148="T",IF($M148=3,INDEX(Baseline!$B$3:$B$122,MATCH(MIN(MAX(ROUND(($D148)/5,0)*5,5),600),Baseline!$A$3:$A$122,0))-Inputs!$B$9,INDEX(Course!$N$2:$N$19,MATCH($B148,Course!$A$2:$A$19,0))),INDEX(Baseline!$B$3:$E$122,MATCH(MIN(MAX(ROUND(($D148)/5,0)*5,5),600),Baseline!$A$3:$A$122,0),MATCH($C148,Baseline!$B$2:$E$2,0))))))</f>
        <v/>
      </c>
      <c r="O148" s="17" t="str">
        <f aca="false">IF($C148="","",IF($E148="H",0,IF($E148="G",INDEX(Baseline!$I$3:$I$102,MIN(MAX(ROUND($F148,0),1),100)),IF($E148="T",IF($M148=3,INDEX(Baseline!$B$3:$B$122,MATCH(MIN(MAX(ROUND(($F148)/5,0)*5,5),600),Baseline!$A$3:$A$122,0))-Inputs!$B$9,INDEX(Course!$N$2:$N$19,MATCH($B148,Course!$A$2:$A$19,0))),INDEX(Baseline!$B$3:$E$122,MATCH(MIN(MAX(ROUND(($F148)/5,0)*5,5),600),Baseline!$A$3:$A$122,0),MATCH($E148,Baseline!$B$2:$E$2,0))))))</f>
        <v/>
      </c>
      <c r="P148" s="17" t="str">
        <f aca="false">IF($B148="","",INDEX(Course!$N$2:$N$19,MATCH($B148,Course!$A$2:$A$19,0)))</f>
        <v/>
      </c>
      <c r="Q148" s="17" t="str">
        <f aca="false">IF($B148="","",INDEX(Course!$P$2:$P$19,MATCH($B148,Course!$A$2:$A$19,0)))</f>
        <v/>
      </c>
      <c r="R148" s="17" t="str">
        <f aca="false">IF($C148="","",IF(OR($C148="G",$C148="H"),0,IF($C148="T",1,MIN(1,MAX(0,($N148-Inputs!$B$8)/MAX($P148-Inputs!$B$8,0.01))))))</f>
        <v/>
      </c>
      <c r="S148" s="17" t="str">
        <f aca="false">IF($C148="","",IF(OR($E148="G",$E148="H"),0,IF($E148="T",1,MIN(1,MAX(0,($O148-Inputs!$B$8)/MAX($P148-Inputs!$B$8,0.01))))))</f>
        <v/>
      </c>
    </row>
    <row r="149" customFormat="false" ht="15" hidden="false" customHeight="false" outlineLevel="0" collapsed="false">
      <c r="I149" s="7" t="str">
        <f aca="false">IF($C149="","",IF($C149="G","PUTT",IF(AND($C149="T",$M149&gt;3),"OTT",IF($D149&lt;=30,"ARG","APP"))))</f>
        <v/>
      </c>
      <c r="J149" s="17" t="str">
        <f aca="false">IF($C149="","",$N149+$Q149*$R149)</f>
        <v/>
      </c>
      <c r="K149" s="17" t="str">
        <f aca="false">IF($C149="","",$O149+$Q149*$S149)</f>
        <v/>
      </c>
      <c r="L149" s="17" t="str">
        <f aca="false">IF($C149="","",$J149-$K149-1-N($G149))</f>
        <v/>
      </c>
      <c r="M149" s="7" t="str">
        <f aca="false">IF($B149="","",INDEX(Course!$B$2:$B$19,MATCH($B149,Course!$A$2:$A$19,0)))</f>
        <v/>
      </c>
      <c r="N149" s="17" t="str">
        <f aca="false">IF($C149="","",IF($C149="H",0,IF($C149="G",INDEX(Baseline!$I$3:$I$102,MIN(MAX(ROUND($D149,0),1),100)),IF($C149="T",IF($M149=3,INDEX(Baseline!$B$3:$B$122,MATCH(MIN(MAX(ROUND(($D149)/5,0)*5,5),600),Baseline!$A$3:$A$122,0))-Inputs!$B$9,INDEX(Course!$N$2:$N$19,MATCH($B149,Course!$A$2:$A$19,0))),INDEX(Baseline!$B$3:$E$122,MATCH(MIN(MAX(ROUND(($D149)/5,0)*5,5),600),Baseline!$A$3:$A$122,0),MATCH($C149,Baseline!$B$2:$E$2,0))))))</f>
        <v/>
      </c>
      <c r="O149" s="17" t="str">
        <f aca="false">IF($C149="","",IF($E149="H",0,IF($E149="G",INDEX(Baseline!$I$3:$I$102,MIN(MAX(ROUND($F149,0),1),100)),IF($E149="T",IF($M149=3,INDEX(Baseline!$B$3:$B$122,MATCH(MIN(MAX(ROUND(($F149)/5,0)*5,5),600),Baseline!$A$3:$A$122,0))-Inputs!$B$9,INDEX(Course!$N$2:$N$19,MATCH($B149,Course!$A$2:$A$19,0))),INDEX(Baseline!$B$3:$E$122,MATCH(MIN(MAX(ROUND(($F149)/5,0)*5,5),600),Baseline!$A$3:$A$122,0),MATCH($E149,Baseline!$B$2:$E$2,0))))))</f>
        <v/>
      </c>
      <c r="P149" s="17" t="str">
        <f aca="false">IF($B149="","",INDEX(Course!$N$2:$N$19,MATCH($B149,Course!$A$2:$A$19,0)))</f>
        <v/>
      </c>
      <c r="Q149" s="17" t="str">
        <f aca="false">IF($B149="","",INDEX(Course!$P$2:$P$19,MATCH($B149,Course!$A$2:$A$19,0)))</f>
        <v/>
      </c>
      <c r="R149" s="17" t="str">
        <f aca="false">IF($C149="","",IF(OR($C149="G",$C149="H"),0,IF($C149="T",1,MIN(1,MAX(0,($N149-Inputs!$B$8)/MAX($P149-Inputs!$B$8,0.01))))))</f>
        <v/>
      </c>
      <c r="S149" s="17" t="str">
        <f aca="false">IF($C149="","",IF(OR($E149="G",$E149="H"),0,IF($E149="T",1,MIN(1,MAX(0,($O149-Inputs!$B$8)/MAX($P149-Inputs!$B$8,0.01))))))</f>
        <v/>
      </c>
    </row>
    <row r="150" customFormat="false" ht="15" hidden="false" customHeight="false" outlineLevel="0" collapsed="false">
      <c r="I150" s="7" t="str">
        <f aca="false">IF($C150="","",IF($C150="G","PUTT",IF(AND($C150="T",$M150&gt;3),"OTT",IF($D150&lt;=30,"ARG","APP"))))</f>
        <v/>
      </c>
      <c r="J150" s="17" t="str">
        <f aca="false">IF($C150="","",$N150+$Q150*$R150)</f>
        <v/>
      </c>
      <c r="K150" s="17" t="str">
        <f aca="false">IF($C150="","",$O150+$Q150*$S150)</f>
        <v/>
      </c>
      <c r="L150" s="17" t="str">
        <f aca="false">IF($C150="","",$J150-$K150-1-N($G150))</f>
        <v/>
      </c>
      <c r="M150" s="7" t="str">
        <f aca="false">IF($B150="","",INDEX(Course!$B$2:$B$19,MATCH($B150,Course!$A$2:$A$19,0)))</f>
        <v/>
      </c>
      <c r="N150" s="17" t="str">
        <f aca="false">IF($C150="","",IF($C150="H",0,IF($C150="G",INDEX(Baseline!$I$3:$I$102,MIN(MAX(ROUND($D150,0),1),100)),IF($C150="T",IF($M150=3,INDEX(Baseline!$B$3:$B$122,MATCH(MIN(MAX(ROUND(($D150)/5,0)*5,5),600),Baseline!$A$3:$A$122,0))-Inputs!$B$9,INDEX(Course!$N$2:$N$19,MATCH($B150,Course!$A$2:$A$19,0))),INDEX(Baseline!$B$3:$E$122,MATCH(MIN(MAX(ROUND(($D150)/5,0)*5,5),600),Baseline!$A$3:$A$122,0),MATCH($C150,Baseline!$B$2:$E$2,0))))))</f>
        <v/>
      </c>
      <c r="O150" s="17" t="str">
        <f aca="false">IF($C150="","",IF($E150="H",0,IF($E150="G",INDEX(Baseline!$I$3:$I$102,MIN(MAX(ROUND($F150,0),1),100)),IF($E150="T",IF($M150=3,INDEX(Baseline!$B$3:$B$122,MATCH(MIN(MAX(ROUND(($F150)/5,0)*5,5),600),Baseline!$A$3:$A$122,0))-Inputs!$B$9,INDEX(Course!$N$2:$N$19,MATCH($B150,Course!$A$2:$A$19,0))),INDEX(Baseline!$B$3:$E$122,MATCH(MIN(MAX(ROUND(($F150)/5,0)*5,5),600),Baseline!$A$3:$A$122,0),MATCH($E150,Baseline!$B$2:$E$2,0))))))</f>
        <v/>
      </c>
      <c r="P150" s="17" t="str">
        <f aca="false">IF($B150="","",INDEX(Course!$N$2:$N$19,MATCH($B150,Course!$A$2:$A$19,0)))</f>
        <v/>
      </c>
      <c r="Q150" s="17" t="str">
        <f aca="false">IF($B150="","",INDEX(Course!$P$2:$P$19,MATCH($B150,Course!$A$2:$A$19,0)))</f>
        <v/>
      </c>
      <c r="R150" s="17" t="str">
        <f aca="false">IF($C150="","",IF(OR($C150="G",$C150="H"),0,IF($C150="T",1,MIN(1,MAX(0,($N150-Inputs!$B$8)/MAX($P150-Inputs!$B$8,0.01))))))</f>
        <v/>
      </c>
      <c r="S150" s="17" t="str">
        <f aca="false">IF($C150="","",IF(OR($E150="G",$E150="H"),0,IF($E150="T",1,MIN(1,MAX(0,($O150-Inputs!$B$8)/MAX($P150-Inputs!$B$8,0.01))))))</f>
        <v/>
      </c>
    </row>
    <row r="151" customFormat="false" ht="15" hidden="false" customHeight="false" outlineLevel="0" collapsed="false">
      <c r="I151" s="7" t="str">
        <f aca="false">IF($C151="","",IF($C151="G","PUTT",IF(AND($C151="T",$M151&gt;3),"OTT",IF($D151&lt;=30,"ARG","APP"))))</f>
        <v/>
      </c>
      <c r="J151" s="17" t="str">
        <f aca="false">IF($C151="","",$N151+$Q151*$R151)</f>
        <v/>
      </c>
      <c r="K151" s="17" t="str">
        <f aca="false">IF($C151="","",$O151+$Q151*$S151)</f>
        <v/>
      </c>
      <c r="L151" s="17" t="str">
        <f aca="false">IF($C151="","",$J151-$K151-1-N($G151))</f>
        <v/>
      </c>
      <c r="M151" s="7" t="str">
        <f aca="false">IF($B151="","",INDEX(Course!$B$2:$B$19,MATCH($B151,Course!$A$2:$A$19,0)))</f>
        <v/>
      </c>
      <c r="N151" s="17" t="str">
        <f aca="false">IF($C151="","",IF($C151="H",0,IF($C151="G",INDEX(Baseline!$I$3:$I$102,MIN(MAX(ROUND($D151,0),1),100)),IF($C151="T",IF($M151=3,INDEX(Baseline!$B$3:$B$122,MATCH(MIN(MAX(ROUND(($D151)/5,0)*5,5),600),Baseline!$A$3:$A$122,0))-Inputs!$B$9,INDEX(Course!$N$2:$N$19,MATCH($B151,Course!$A$2:$A$19,0))),INDEX(Baseline!$B$3:$E$122,MATCH(MIN(MAX(ROUND(($D151)/5,0)*5,5),600),Baseline!$A$3:$A$122,0),MATCH($C151,Baseline!$B$2:$E$2,0))))))</f>
        <v/>
      </c>
      <c r="O151" s="17" t="str">
        <f aca="false">IF($C151="","",IF($E151="H",0,IF($E151="G",INDEX(Baseline!$I$3:$I$102,MIN(MAX(ROUND($F151,0),1),100)),IF($E151="T",IF($M151=3,INDEX(Baseline!$B$3:$B$122,MATCH(MIN(MAX(ROUND(($F151)/5,0)*5,5),600),Baseline!$A$3:$A$122,0))-Inputs!$B$9,INDEX(Course!$N$2:$N$19,MATCH($B151,Course!$A$2:$A$19,0))),INDEX(Baseline!$B$3:$E$122,MATCH(MIN(MAX(ROUND(($F151)/5,0)*5,5),600),Baseline!$A$3:$A$122,0),MATCH($E151,Baseline!$B$2:$E$2,0))))))</f>
        <v/>
      </c>
      <c r="P151" s="17" t="str">
        <f aca="false">IF($B151="","",INDEX(Course!$N$2:$N$19,MATCH($B151,Course!$A$2:$A$19,0)))</f>
        <v/>
      </c>
      <c r="Q151" s="17" t="str">
        <f aca="false">IF($B151="","",INDEX(Course!$P$2:$P$19,MATCH($B151,Course!$A$2:$A$19,0)))</f>
        <v/>
      </c>
      <c r="R151" s="17" t="str">
        <f aca="false">IF($C151="","",IF(OR($C151="G",$C151="H"),0,IF($C151="T",1,MIN(1,MAX(0,($N151-Inputs!$B$8)/MAX($P151-Inputs!$B$8,0.01))))))</f>
        <v/>
      </c>
      <c r="S151" s="17" t="str">
        <f aca="false">IF($C151="","",IF(OR($E151="G",$E151="H"),0,IF($E151="T",1,MIN(1,MAX(0,($O151-Inputs!$B$8)/MAX($P151-Inputs!$B$8,0.01))))))</f>
        <v/>
      </c>
    </row>
    <row r="152" customFormat="false" ht="15" hidden="false" customHeight="false" outlineLevel="0" collapsed="false">
      <c r="I152" s="7" t="str">
        <f aca="false">IF($C152="","",IF($C152="G","PUTT",IF(AND($C152="T",$M152&gt;3),"OTT",IF($D152&lt;=30,"ARG","APP"))))</f>
        <v/>
      </c>
      <c r="J152" s="17" t="str">
        <f aca="false">IF($C152="","",$N152+$Q152*$R152)</f>
        <v/>
      </c>
      <c r="K152" s="17" t="str">
        <f aca="false">IF($C152="","",$O152+$Q152*$S152)</f>
        <v/>
      </c>
      <c r="L152" s="17" t="str">
        <f aca="false">IF($C152="","",$J152-$K152-1-N($G152))</f>
        <v/>
      </c>
      <c r="M152" s="7" t="str">
        <f aca="false">IF($B152="","",INDEX(Course!$B$2:$B$19,MATCH($B152,Course!$A$2:$A$19,0)))</f>
        <v/>
      </c>
      <c r="N152" s="17" t="str">
        <f aca="false">IF($C152="","",IF($C152="H",0,IF($C152="G",INDEX(Baseline!$I$3:$I$102,MIN(MAX(ROUND($D152,0),1),100)),IF($C152="T",IF($M152=3,INDEX(Baseline!$B$3:$B$122,MATCH(MIN(MAX(ROUND(($D152)/5,0)*5,5),600),Baseline!$A$3:$A$122,0))-Inputs!$B$9,INDEX(Course!$N$2:$N$19,MATCH($B152,Course!$A$2:$A$19,0))),INDEX(Baseline!$B$3:$E$122,MATCH(MIN(MAX(ROUND(($D152)/5,0)*5,5),600),Baseline!$A$3:$A$122,0),MATCH($C152,Baseline!$B$2:$E$2,0))))))</f>
        <v/>
      </c>
      <c r="O152" s="17" t="str">
        <f aca="false">IF($C152="","",IF($E152="H",0,IF($E152="G",INDEX(Baseline!$I$3:$I$102,MIN(MAX(ROUND($F152,0),1),100)),IF($E152="T",IF($M152=3,INDEX(Baseline!$B$3:$B$122,MATCH(MIN(MAX(ROUND(($F152)/5,0)*5,5),600),Baseline!$A$3:$A$122,0))-Inputs!$B$9,INDEX(Course!$N$2:$N$19,MATCH($B152,Course!$A$2:$A$19,0))),INDEX(Baseline!$B$3:$E$122,MATCH(MIN(MAX(ROUND(($F152)/5,0)*5,5),600),Baseline!$A$3:$A$122,0),MATCH($E152,Baseline!$B$2:$E$2,0))))))</f>
        <v/>
      </c>
      <c r="P152" s="17" t="str">
        <f aca="false">IF($B152="","",INDEX(Course!$N$2:$N$19,MATCH($B152,Course!$A$2:$A$19,0)))</f>
        <v/>
      </c>
      <c r="Q152" s="17" t="str">
        <f aca="false">IF($B152="","",INDEX(Course!$P$2:$P$19,MATCH($B152,Course!$A$2:$A$19,0)))</f>
        <v/>
      </c>
      <c r="R152" s="17" t="str">
        <f aca="false">IF($C152="","",IF(OR($C152="G",$C152="H"),0,IF($C152="T",1,MIN(1,MAX(0,($N152-Inputs!$B$8)/MAX($P152-Inputs!$B$8,0.01))))))</f>
        <v/>
      </c>
      <c r="S152" s="17" t="str">
        <f aca="false">IF($C152="","",IF(OR($E152="G",$E152="H"),0,IF($E152="T",1,MIN(1,MAX(0,($O152-Inputs!$B$8)/MAX($P152-Inputs!$B$8,0.01))))))</f>
        <v/>
      </c>
    </row>
    <row r="153" customFormat="false" ht="15" hidden="false" customHeight="false" outlineLevel="0" collapsed="false">
      <c r="I153" s="7" t="str">
        <f aca="false">IF($C153="","",IF($C153="G","PUTT",IF(AND($C153="T",$M153&gt;3),"OTT",IF($D153&lt;=30,"ARG","APP"))))</f>
        <v/>
      </c>
      <c r="J153" s="17" t="str">
        <f aca="false">IF($C153="","",$N153+$Q153*$R153)</f>
        <v/>
      </c>
      <c r="K153" s="17" t="str">
        <f aca="false">IF($C153="","",$O153+$Q153*$S153)</f>
        <v/>
      </c>
      <c r="L153" s="17" t="str">
        <f aca="false">IF($C153="","",$J153-$K153-1-N($G153))</f>
        <v/>
      </c>
      <c r="M153" s="7" t="str">
        <f aca="false">IF($B153="","",INDEX(Course!$B$2:$B$19,MATCH($B153,Course!$A$2:$A$19,0)))</f>
        <v/>
      </c>
      <c r="N153" s="17" t="str">
        <f aca="false">IF($C153="","",IF($C153="H",0,IF($C153="G",INDEX(Baseline!$I$3:$I$102,MIN(MAX(ROUND($D153,0),1),100)),IF($C153="T",IF($M153=3,INDEX(Baseline!$B$3:$B$122,MATCH(MIN(MAX(ROUND(($D153)/5,0)*5,5),600),Baseline!$A$3:$A$122,0))-Inputs!$B$9,INDEX(Course!$N$2:$N$19,MATCH($B153,Course!$A$2:$A$19,0))),INDEX(Baseline!$B$3:$E$122,MATCH(MIN(MAX(ROUND(($D153)/5,0)*5,5),600),Baseline!$A$3:$A$122,0),MATCH($C153,Baseline!$B$2:$E$2,0))))))</f>
        <v/>
      </c>
      <c r="O153" s="17" t="str">
        <f aca="false">IF($C153="","",IF($E153="H",0,IF($E153="G",INDEX(Baseline!$I$3:$I$102,MIN(MAX(ROUND($F153,0),1),100)),IF($E153="T",IF($M153=3,INDEX(Baseline!$B$3:$B$122,MATCH(MIN(MAX(ROUND(($F153)/5,0)*5,5),600),Baseline!$A$3:$A$122,0))-Inputs!$B$9,INDEX(Course!$N$2:$N$19,MATCH($B153,Course!$A$2:$A$19,0))),INDEX(Baseline!$B$3:$E$122,MATCH(MIN(MAX(ROUND(($F153)/5,0)*5,5),600),Baseline!$A$3:$A$122,0),MATCH($E153,Baseline!$B$2:$E$2,0))))))</f>
        <v/>
      </c>
      <c r="P153" s="17" t="str">
        <f aca="false">IF($B153="","",INDEX(Course!$N$2:$N$19,MATCH($B153,Course!$A$2:$A$19,0)))</f>
        <v/>
      </c>
      <c r="Q153" s="17" t="str">
        <f aca="false">IF($B153="","",INDEX(Course!$P$2:$P$19,MATCH($B153,Course!$A$2:$A$19,0)))</f>
        <v/>
      </c>
      <c r="R153" s="17" t="str">
        <f aca="false">IF($C153="","",IF(OR($C153="G",$C153="H"),0,IF($C153="T",1,MIN(1,MAX(0,($N153-Inputs!$B$8)/MAX($P153-Inputs!$B$8,0.01))))))</f>
        <v/>
      </c>
      <c r="S153" s="17" t="str">
        <f aca="false">IF($C153="","",IF(OR($E153="G",$E153="H"),0,IF($E153="T",1,MIN(1,MAX(0,($O153-Inputs!$B$8)/MAX($P153-Inputs!$B$8,0.01))))))</f>
        <v/>
      </c>
    </row>
    <row r="154" customFormat="false" ht="15" hidden="false" customHeight="false" outlineLevel="0" collapsed="false">
      <c r="I154" s="7" t="str">
        <f aca="false">IF($C154="","",IF($C154="G","PUTT",IF(AND($C154="T",$M154&gt;3),"OTT",IF($D154&lt;=30,"ARG","APP"))))</f>
        <v/>
      </c>
      <c r="J154" s="17" t="str">
        <f aca="false">IF($C154="","",$N154+$Q154*$R154)</f>
        <v/>
      </c>
      <c r="K154" s="17" t="str">
        <f aca="false">IF($C154="","",$O154+$Q154*$S154)</f>
        <v/>
      </c>
      <c r="L154" s="17" t="str">
        <f aca="false">IF($C154="","",$J154-$K154-1-N($G154))</f>
        <v/>
      </c>
      <c r="M154" s="7" t="str">
        <f aca="false">IF($B154="","",INDEX(Course!$B$2:$B$19,MATCH($B154,Course!$A$2:$A$19,0)))</f>
        <v/>
      </c>
      <c r="N154" s="17" t="str">
        <f aca="false">IF($C154="","",IF($C154="H",0,IF($C154="G",INDEX(Baseline!$I$3:$I$102,MIN(MAX(ROUND($D154,0),1),100)),IF($C154="T",IF($M154=3,INDEX(Baseline!$B$3:$B$122,MATCH(MIN(MAX(ROUND(($D154)/5,0)*5,5),600),Baseline!$A$3:$A$122,0))-Inputs!$B$9,INDEX(Course!$N$2:$N$19,MATCH($B154,Course!$A$2:$A$19,0))),INDEX(Baseline!$B$3:$E$122,MATCH(MIN(MAX(ROUND(($D154)/5,0)*5,5),600),Baseline!$A$3:$A$122,0),MATCH($C154,Baseline!$B$2:$E$2,0))))))</f>
        <v/>
      </c>
      <c r="O154" s="17" t="str">
        <f aca="false">IF($C154="","",IF($E154="H",0,IF($E154="G",INDEX(Baseline!$I$3:$I$102,MIN(MAX(ROUND($F154,0),1),100)),IF($E154="T",IF($M154=3,INDEX(Baseline!$B$3:$B$122,MATCH(MIN(MAX(ROUND(($F154)/5,0)*5,5),600),Baseline!$A$3:$A$122,0))-Inputs!$B$9,INDEX(Course!$N$2:$N$19,MATCH($B154,Course!$A$2:$A$19,0))),INDEX(Baseline!$B$3:$E$122,MATCH(MIN(MAX(ROUND(($F154)/5,0)*5,5),600),Baseline!$A$3:$A$122,0),MATCH($E154,Baseline!$B$2:$E$2,0))))))</f>
        <v/>
      </c>
      <c r="P154" s="17" t="str">
        <f aca="false">IF($B154="","",INDEX(Course!$N$2:$N$19,MATCH($B154,Course!$A$2:$A$19,0)))</f>
        <v/>
      </c>
      <c r="Q154" s="17" t="str">
        <f aca="false">IF($B154="","",INDEX(Course!$P$2:$P$19,MATCH($B154,Course!$A$2:$A$19,0)))</f>
        <v/>
      </c>
      <c r="R154" s="17" t="str">
        <f aca="false">IF($C154="","",IF(OR($C154="G",$C154="H"),0,IF($C154="T",1,MIN(1,MAX(0,($N154-Inputs!$B$8)/MAX($P154-Inputs!$B$8,0.01))))))</f>
        <v/>
      </c>
      <c r="S154" s="17" t="str">
        <f aca="false">IF($C154="","",IF(OR($E154="G",$E154="H"),0,IF($E154="T",1,MIN(1,MAX(0,($O154-Inputs!$B$8)/MAX($P154-Inputs!$B$8,0.01))))))</f>
        <v/>
      </c>
    </row>
    <row r="155" customFormat="false" ht="15" hidden="false" customHeight="false" outlineLevel="0" collapsed="false">
      <c r="I155" s="7" t="str">
        <f aca="false">IF($C155="","",IF($C155="G","PUTT",IF(AND($C155="T",$M155&gt;3),"OTT",IF($D155&lt;=30,"ARG","APP"))))</f>
        <v/>
      </c>
      <c r="J155" s="17" t="str">
        <f aca="false">IF($C155="","",$N155+$Q155*$R155)</f>
        <v/>
      </c>
      <c r="K155" s="17" t="str">
        <f aca="false">IF($C155="","",$O155+$Q155*$S155)</f>
        <v/>
      </c>
      <c r="L155" s="17" t="str">
        <f aca="false">IF($C155="","",$J155-$K155-1-N($G155))</f>
        <v/>
      </c>
      <c r="M155" s="7" t="str">
        <f aca="false">IF($B155="","",INDEX(Course!$B$2:$B$19,MATCH($B155,Course!$A$2:$A$19,0)))</f>
        <v/>
      </c>
      <c r="N155" s="17" t="str">
        <f aca="false">IF($C155="","",IF($C155="H",0,IF($C155="G",INDEX(Baseline!$I$3:$I$102,MIN(MAX(ROUND($D155,0),1),100)),IF($C155="T",IF($M155=3,INDEX(Baseline!$B$3:$B$122,MATCH(MIN(MAX(ROUND(($D155)/5,0)*5,5),600),Baseline!$A$3:$A$122,0))-Inputs!$B$9,INDEX(Course!$N$2:$N$19,MATCH($B155,Course!$A$2:$A$19,0))),INDEX(Baseline!$B$3:$E$122,MATCH(MIN(MAX(ROUND(($D155)/5,0)*5,5),600),Baseline!$A$3:$A$122,0),MATCH($C155,Baseline!$B$2:$E$2,0))))))</f>
        <v/>
      </c>
      <c r="O155" s="17" t="str">
        <f aca="false">IF($C155="","",IF($E155="H",0,IF($E155="G",INDEX(Baseline!$I$3:$I$102,MIN(MAX(ROUND($F155,0),1),100)),IF($E155="T",IF($M155=3,INDEX(Baseline!$B$3:$B$122,MATCH(MIN(MAX(ROUND(($F155)/5,0)*5,5),600),Baseline!$A$3:$A$122,0))-Inputs!$B$9,INDEX(Course!$N$2:$N$19,MATCH($B155,Course!$A$2:$A$19,0))),INDEX(Baseline!$B$3:$E$122,MATCH(MIN(MAX(ROUND(($F155)/5,0)*5,5),600),Baseline!$A$3:$A$122,0),MATCH($E155,Baseline!$B$2:$E$2,0))))))</f>
        <v/>
      </c>
      <c r="P155" s="17" t="str">
        <f aca="false">IF($B155="","",INDEX(Course!$N$2:$N$19,MATCH($B155,Course!$A$2:$A$19,0)))</f>
        <v/>
      </c>
      <c r="Q155" s="17" t="str">
        <f aca="false">IF($B155="","",INDEX(Course!$P$2:$P$19,MATCH($B155,Course!$A$2:$A$19,0)))</f>
        <v/>
      </c>
      <c r="R155" s="17" t="str">
        <f aca="false">IF($C155="","",IF(OR($C155="G",$C155="H"),0,IF($C155="T",1,MIN(1,MAX(0,($N155-Inputs!$B$8)/MAX($P155-Inputs!$B$8,0.01))))))</f>
        <v/>
      </c>
      <c r="S155" s="17" t="str">
        <f aca="false">IF($C155="","",IF(OR($E155="G",$E155="H"),0,IF($E155="T",1,MIN(1,MAX(0,($O155-Inputs!$B$8)/MAX($P155-Inputs!$B$8,0.01))))))</f>
        <v/>
      </c>
    </row>
    <row r="156" customFormat="false" ht="15" hidden="false" customHeight="false" outlineLevel="0" collapsed="false">
      <c r="I156" s="7" t="str">
        <f aca="false">IF($C156="","",IF($C156="G","PUTT",IF(AND($C156="T",$M156&gt;3),"OTT",IF($D156&lt;=30,"ARG","APP"))))</f>
        <v/>
      </c>
      <c r="J156" s="17" t="str">
        <f aca="false">IF($C156="","",$N156+$Q156*$R156)</f>
        <v/>
      </c>
      <c r="K156" s="17" t="str">
        <f aca="false">IF($C156="","",$O156+$Q156*$S156)</f>
        <v/>
      </c>
      <c r="L156" s="17" t="str">
        <f aca="false">IF($C156="","",$J156-$K156-1-N($G156))</f>
        <v/>
      </c>
      <c r="M156" s="7" t="str">
        <f aca="false">IF($B156="","",INDEX(Course!$B$2:$B$19,MATCH($B156,Course!$A$2:$A$19,0)))</f>
        <v/>
      </c>
      <c r="N156" s="17" t="str">
        <f aca="false">IF($C156="","",IF($C156="H",0,IF($C156="G",INDEX(Baseline!$I$3:$I$102,MIN(MAX(ROUND($D156,0),1),100)),IF($C156="T",IF($M156=3,INDEX(Baseline!$B$3:$B$122,MATCH(MIN(MAX(ROUND(($D156)/5,0)*5,5),600),Baseline!$A$3:$A$122,0))-Inputs!$B$9,INDEX(Course!$N$2:$N$19,MATCH($B156,Course!$A$2:$A$19,0))),INDEX(Baseline!$B$3:$E$122,MATCH(MIN(MAX(ROUND(($D156)/5,0)*5,5),600),Baseline!$A$3:$A$122,0),MATCH($C156,Baseline!$B$2:$E$2,0))))))</f>
        <v/>
      </c>
      <c r="O156" s="17" t="str">
        <f aca="false">IF($C156="","",IF($E156="H",0,IF($E156="G",INDEX(Baseline!$I$3:$I$102,MIN(MAX(ROUND($F156,0),1),100)),IF($E156="T",IF($M156=3,INDEX(Baseline!$B$3:$B$122,MATCH(MIN(MAX(ROUND(($F156)/5,0)*5,5),600),Baseline!$A$3:$A$122,0))-Inputs!$B$9,INDEX(Course!$N$2:$N$19,MATCH($B156,Course!$A$2:$A$19,0))),INDEX(Baseline!$B$3:$E$122,MATCH(MIN(MAX(ROUND(($F156)/5,0)*5,5),600),Baseline!$A$3:$A$122,0),MATCH($E156,Baseline!$B$2:$E$2,0))))))</f>
        <v/>
      </c>
      <c r="P156" s="17" t="str">
        <f aca="false">IF($B156="","",INDEX(Course!$N$2:$N$19,MATCH($B156,Course!$A$2:$A$19,0)))</f>
        <v/>
      </c>
      <c r="Q156" s="17" t="str">
        <f aca="false">IF($B156="","",INDEX(Course!$P$2:$P$19,MATCH($B156,Course!$A$2:$A$19,0)))</f>
        <v/>
      </c>
      <c r="R156" s="17" t="str">
        <f aca="false">IF($C156="","",IF(OR($C156="G",$C156="H"),0,IF($C156="T",1,MIN(1,MAX(0,($N156-Inputs!$B$8)/MAX($P156-Inputs!$B$8,0.01))))))</f>
        <v/>
      </c>
      <c r="S156" s="17" t="str">
        <f aca="false">IF($C156="","",IF(OR($E156="G",$E156="H"),0,IF($E156="T",1,MIN(1,MAX(0,($O156-Inputs!$B$8)/MAX($P156-Inputs!$B$8,0.01))))))</f>
        <v/>
      </c>
    </row>
    <row r="157" customFormat="false" ht="15" hidden="false" customHeight="false" outlineLevel="0" collapsed="false">
      <c r="I157" s="7" t="str">
        <f aca="false">IF($C157="","",IF($C157="G","PUTT",IF(AND($C157="T",$M157&gt;3),"OTT",IF($D157&lt;=30,"ARG","APP"))))</f>
        <v/>
      </c>
      <c r="J157" s="17" t="str">
        <f aca="false">IF($C157="","",$N157+$Q157*$R157)</f>
        <v/>
      </c>
      <c r="K157" s="17" t="str">
        <f aca="false">IF($C157="","",$O157+$Q157*$S157)</f>
        <v/>
      </c>
      <c r="L157" s="17" t="str">
        <f aca="false">IF($C157="","",$J157-$K157-1-N($G157))</f>
        <v/>
      </c>
      <c r="M157" s="7" t="str">
        <f aca="false">IF($B157="","",INDEX(Course!$B$2:$B$19,MATCH($B157,Course!$A$2:$A$19,0)))</f>
        <v/>
      </c>
      <c r="N157" s="17" t="str">
        <f aca="false">IF($C157="","",IF($C157="H",0,IF($C157="G",INDEX(Baseline!$I$3:$I$102,MIN(MAX(ROUND($D157,0),1),100)),IF($C157="T",IF($M157=3,INDEX(Baseline!$B$3:$B$122,MATCH(MIN(MAX(ROUND(($D157)/5,0)*5,5),600),Baseline!$A$3:$A$122,0))-Inputs!$B$9,INDEX(Course!$N$2:$N$19,MATCH($B157,Course!$A$2:$A$19,0))),INDEX(Baseline!$B$3:$E$122,MATCH(MIN(MAX(ROUND(($D157)/5,0)*5,5),600),Baseline!$A$3:$A$122,0),MATCH($C157,Baseline!$B$2:$E$2,0))))))</f>
        <v/>
      </c>
      <c r="O157" s="17" t="str">
        <f aca="false">IF($C157="","",IF($E157="H",0,IF($E157="G",INDEX(Baseline!$I$3:$I$102,MIN(MAX(ROUND($F157,0),1),100)),IF($E157="T",IF($M157=3,INDEX(Baseline!$B$3:$B$122,MATCH(MIN(MAX(ROUND(($F157)/5,0)*5,5),600),Baseline!$A$3:$A$122,0))-Inputs!$B$9,INDEX(Course!$N$2:$N$19,MATCH($B157,Course!$A$2:$A$19,0))),INDEX(Baseline!$B$3:$E$122,MATCH(MIN(MAX(ROUND(($F157)/5,0)*5,5),600),Baseline!$A$3:$A$122,0),MATCH($E157,Baseline!$B$2:$E$2,0))))))</f>
        <v/>
      </c>
      <c r="P157" s="17" t="str">
        <f aca="false">IF($B157="","",INDEX(Course!$N$2:$N$19,MATCH($B157,Course!$A$2:$A$19,0)))</f>
        <v/>
      </c>
      <c r="Q157" s="17" t="str">
        <f aca="false">IF($B157="","",INDEX(Course!$P$2:$P$19,MATCH($B157,Course!$A$2:$A$19,0)))</f>
        <v/>
      </c>
      <c r="R157" s="17" t="str">
        <f aca="false">IF($C157="","",IF(OR($C157="G",$C157="H"),0,IF($C157="T",1,MIN(1,MAX(0,($N157-Inputs!$B$8)/MAX($P157-Inputs!$B$8,0.01))))))</f>
        <v/>
      </c>
      <c r="S157" s="17" t="str">
        <f aca="false">IF($C157="","",IF(OR($E157="G",$E157="H"),0,IF($E157="T",1,MIN(1,MAX(0,($O157-Inputs!$B$8)/MAX($P157-Inputs!$B$8,0.01))))))</f>
        <v/>
      </c>
    </row>
    <row r="158" customFormat="false" ht="15" hidden="false" customHeight="false" outlineLevel="0" collapsed="false">
      <c r="I158" s="7" t="str">
        <f aca="false">IF($C158="","",IF($C158="G","PUTT",IF(AND($C158="T",$M158&gt;3),"OTT",IF($D158&lt;=30,"ARG","APP"))))</f>
        <v/>
      </c>
      <c r="J158" s="17" t="str">
        <f aca="false">IF($C158="","",$N158+$Q158*$R158)</f>
        <v/>
      </c>
      <c r="K158" s="17" t="str">
        <f aca="false">IF($C158="","",$O158+$Q158*$S158)</f>
        <v/>
      </c>
      <c r="L158" s="17" t="str">
        <f aca="false">IF($C158="","",$J158-$K158-1-N($G158))</f>
        <v/>
      </c>
      <c r="M158" s="7" t="str">
        <f aca="false">IF($B158="","",INDEX(Course!$B$2:$B$19,MATCH($B158,Course!$A$2:$A$19,0)))</f>
        <v/>
      </c>
      <c r="N158" s="17" t="str">
        <f aca="false">IF($C158="","",IF($C158="H",0,IF($C158="G",INDEX(Baseline!$I$3:$I$102,MIN(MAX(ROUND($D158,0),1),100)),IF($C158="T",IF($M158=3,INDEX(Baseline!$B$3:$B$122,MATCH(MIN(MAX(ROUND(($D158)/5,0)*5,5),600),Baseline!$A$3:$A$122,0))-Inputs!$B$9,INDEX(Course!$N$2:$N$19,MATCH($B158,Course!$A$2:$A$19,0))),INDEX(Baseline!$B$3:$E$122,MATCH(MIN(MAX(ROUND(($D158)/5,0)*5,5),600),Baseline!$A$3:$A$122,0),MATCH($C158,Baseline!$B$2:$E$2,0))))))</f>
        <v/>
      </c>
      <c r="O158" s="17" t="str">
        <f aca="false">IF($C158="","",IF($E158="H",0,IF($E158="G",INDEX(Baseline!$I$3:$I$102,MIN(MAX(ROUND($F158,0),1),100)),IF($E158="T",IF($M158=3,INDEX(Baseline!$B$3:$B$122,MATCH(MIN(MAX(ROUND(($F158)/5,0)*5,5),600),Baseline!$A$3:$A$122,0))-Inputs!$B$9,INDEX(Course!$N$2:$N$19,MATCH($B158,Course!$A$2:$A$19,0))),INDEX(Baseline!$B$3:$E$122,MATCH(MIN(MAX(ROUND(($F158)/5,0)*5,5),600),Baseline!$A$3:$A$122,0),MATCH($E158,Baseline!$B$2:$E$2,0))))))</f>
        <v/>
      </c>
      <c r="P158" s="17" t="str">
        <f aca="false">IF($B158="","",INDEX(Course!$N$2:$N$19,MATCH($B158,Course!$A$2:$A$19,0)))</f>
        <v/>
      </c>
      <c r="Q158" s="17" t="str">
        <f aca="false">IF($B158="","",INDEX(Course!$P$2:$P$19,MATCH($B158,Course!$A$2:$A$19,0)))</f>
        <v/>
      </c>
      <c r="R158" s="17" t="str">
        <f aca="false">IF($C158="","",IF(OR($C158="G",$C158="H"),0,IF($C158="T",1,MIN(1,MAX(0,($N158-Inputs!$B$8)/MAX($P158-Inputs!$B$8,0.01))))))</f>
        <v/>
      </c>
      <c r="S158" s="17" t="str">
        <f aca="false">IF($C158="","",IF(OR($E158="G",$E158="H"),0,IF($E158="T",1,MIN(1,MAX(0,($O158-Inputs!$B$8)/MAX($P158-Inputs!$B$8,0.01))))))</f>
        <v/>
      </c>
    </row>
    <row r="159" customFormat="false" ht="15" hidden="false" customHeight="false" outlineLevel="0" collapsed="false">
      <c r="I159" s="7" t="str">
        <f aca="false">IF($C159="","",IF($C159="G","PUTT",IF(AND($C159="T",$M159&gt;3),"OTT",IF($D159&lt;=30,"ARG","APP"))))</f>
        <v/>
      </c>
      <c r="J159" s="17" t="str">
        <f aca="false">IF($C159="","",$N159+$Q159*$R159)</f>
        <v/>
      </c>
      <c r="K159" s="17" t="str">
        <f aca="false">IF($C159="","",$O159+$Q159*$S159)</f>
        <v/>
      </c>
      <c r="L159" s="17" t="str">
        <f aca="false">IF($C159="","",$J159-$K159-1-N($G159))</f>
        <v/>
      </c>
      <c r="M159" s="7" t="str">
        <f aca="false">IF($B159="","",INDEX(Course!$B$2:$B$19,MATCH($B159,Course!$A$2:$A$19,0)))</f>
        <v/>
      </c>
      <c r="N159" s="17" t="str">
        <f aca="false">IF($C159="","",IF($C159="H",0,IF($C159="G",INDEX(Baseline!$I$3:$I$102,MIN(MAX(ROUND($D159,0),1),100)),IF($C159="T",IF($M159=3,INDEX(Baseline!$B$3:$B$122,MATCH(MIN(MAX(ROUND(($D159)/5,0)*5,5),600),Baseline!$A$3:$A$122,0))-Inputs!$B$9,INDEX(Course!$N$2:$N$19,MATCH($B159,Course!$A$2:$A$19,0))),INDEX(Baseline!$B$3:$E$122,MATCH(MIN(MAX(ROUND(($D159)/5,0)*5,5),600),Baseline!$A$3:$A$122,0),MATCH($C159,Baseline!$B$2:$E$2,0))))))</f>
        <v/>
      </c>
      <c r="O159" s="17" t="str">
        <f aca="false">IF($C159="","",IF($E159="H",0,IF($E159="G",INDEX(Baseline!$I$3:$I$102,MIN(MAX(ROUND($F159,0),1),100)),IF($E159="T",IF($M159=3,INDEX(Baseline!$B$3:$B$122,MATCH(MIN(MAX(ROUND(($F159)/5,0)*5,5),600),Baseline!$A$3:$A$122,0))-Inputs!$B$9,INDEX(Course!$N$2:$N$19,MATCH($B159,Course!$A$2:$A$19,0))),INDEX(Baseline!$B$3:$E$122,MATCH(MIN(MAX(ROUND(($F159)/5,0)*5,5),600),Baseline!$A$3:$A$122,0),MATCH($E159,Baseline!$B$2:$E$2,0))))))</f>
        <v/>
      </c>
      <c r="P159" s="17" t="str">
        <f aca="false">IF($B159="","",INDEX(Course!$N$2:$N$19,MATCH($B159,Course!$A$2:$A$19,0)))</f>
        <v/>
      </c>
      <c r="Q159" s="17" t="str">
        <f aca="false">IF($B159="","",INDEX(Course!$P$2:$P$19,MATCH($B159,Course!$A$2:$A$19,0)))</f>
        <v/>
      </c>
      <c r="R159" s="17" t="str">
        <f aca="false">IF($C159="","",IF(OR($C159="G",$C159="H"),0,IF($C159="T",1,MIN(1,MAX(0,($N159-Inputs!$B$8)/MAX($P159-Inputs!$B$8,0.01))))))</f>
        <v/>
      </c>
      <c r="S159" s="17" t="str">
        <f aca="false">IF($C159="","",IF(OR($E159="G",$E159="H"),0,IF($E159="T",1,MIN(1,MAX(0,($O159-Inputs!$B$8)/MAX($P159-Inputs!$B$8,0.01))))))</f>
        <v/>
      </c>
    </row>
    <row r="160" customFormat="false" ht="15" hidden="false" customHeight="false" outlineLevel="0" collapsed="false">
      <c r="I160" s="7" t="str">
        <f aca="false">IF($C160="","",IF($C160="G","PUTT",IF(AND($C160="T",$M160&gt;3),"OTT",IF($D160&lt;=30,"ARG","APP"))))</f>
        <v/>
      </c>
      <c r="J160" s="17" t="str">
        <f aca="false">IF($C160="","",$N160+$Q160*$R160)</f>
        <v/>
      </c>
      <c r="K160" s="17" t="str">
        <f aca="false">IF($C160="","",$O160+$Q160*$S160)</f>
        <v/>
      </c>
      <c r="L160" s="17" t="str">
        <f aca="false">IF($C160="","",$J160-$K160-1-N($G160))</f>
        <v/>
      </c>
      <c r="M160" s="7" t="str">
        <f aca="false">IF($B160="","",INDEX(Course!$B$2:$B$19,MATCH($B160,Course!$A$2:$A$19,0)))</f>
        <v/>
      </c>
      <c r="N160" s="17" t="str">
        <f aca="false">IF($C160="","",IF($C160="H",0,IF($C160="G",INDEX(Baseline!$I$3:$I$102,MIN(MAX(ROUND($D160,0),1),100)),IF($C160="T",IF($M160=3,INDEX(Baseline!$B$3:$B$122,MATCH(MIN(MAX(ROUND(($D160)/5,0)*5,5),600),Baseline!$A$3:$A$122,0))-Inputs!$B$9,INDEX(Course!$N$2:$N$19,MATCH($B160,Course!$A$2:$A$19,0))),INDEX(Baseline!$B$3:$E$122,MATCH(MIN(MAX(ROUND(($D160)/5,0)*5,5),600),Baseline!$A$3:$A$122,0),MATCH($C160,Baseline!$B$2:$E$2,0))))))</f>
        <v/>
      </c>
      <c r="O160" s="17" t="str">
        <f aca="false">IF($C160="","",IF($E160="H",0,IF($E160="G",INDEX(Baseline!$I$3:$I$102,MIN(MAX(ROUND($F160,0),1),100)),IF($E160="T",IF($M160=3,INDEX(Baseline!$B$3:$B$122,MATCH(MIN(MAX(ROUND(($F160)/5,0)*5,5),600),Baseline!$A$3:$A$122,0))-Inputs!$B$9,INDEX(Course!$N$2:$N$19,MATCH($B160,Course!$A$2:$A$19,0))),INDEX(Baseline!$B$3:$E$122,MATCH(MIN(MAX(ROUND(($F160)/5,0)*5,5),600),Baseline!$A$3:$A$122,0),MATCH($E160,Baseline!$B$2:$E$2,0))))))</f>
        <v/>
      </c>
      <c r="P160" s="17" t="str">
        <f aca="false">IF($B160="","",INDEX(Course!$N$2:$N$19,MATCH($B160,Course!$A$2:$A$19,0)))</f>
        <v/>
      </c>
      <c r="Q160" s="17" t="str">
        <f aca="false">IF($B160="","",INDEX(Course!$P$2:$P$19,MATCH($B160,Course!$A$2:$A$19,0)))</f>
        <v/>
      </c>
      <c r="R160" s="17" t="str">
        <f aca="false">IF($C160="","",IF(OR($C160="G",$C160="H"),0,IF($C160="T",1,MIN(1,MAX(0,($N160-Inputs!$B$8)/MAX($P160-Inputs!$B$8,0.01))))))</f>
        <v/>
      </c>
      <c r="S160" s="17" t="str">
        <f aca="false">IF($C160="","",IF(OR($E160="G",$E160="H"),0,IF($E160="T",1,MIN(1,MAX(0,($O160-Inputs!$B$8)/MAX($P160-Inputs!$B$8,0.01))))))</f>
        <v/>
      </c>
    </row>
    <row r="161" customFormat="false" ht="15" hidden="false" customHeight="false" outlineLevel="0" collapsed="false">
      <c r="I161" s="7" t="str">
        <f aca="false">IF($C161="","",IF($C161="G","PUTT",IF(AND($C161="T",$M161&gt;3),"OTT",IF($D161&lt;=30,"ARG","APP"))))</f>
        <v/>
      </c>
      <c r="J161" s="17" t="str">
        <f aca="false">IF($C161="","",$N161+$Q161*$R161)</f>
        <v/>
      </c>
      <c r="K161" s="17" t="str">
        <f aca="false">IF($C161="","",$O161+$Q161*$S161)</f>
        <v/>
      </c>
      <c r="L161" s="17" t="str">
        <f aca="false">IF($C161="","",$J161-$K161-1-N($G161))</f>
        <v/>
      </c>
      <c r="M161" s="7" t="str">
        <f aca="false">IF($B161="","",INDEX(Course!$B$2:$B$19,MATCH($B161,Course!$A$2:$A$19,0)))</f>
        <v/>
      </c>
      <c r="N161" s="17" t="str">
        <f aca="false">IF($C161="","",IF($C161="H",0,IF($C161="G",INDEX(Baseline!$I$3:$I$102,MIN(MAX(ROUND($D161,0),1),100)),IF($C161="T",IF($M161=3,INDEX(Baseline!$B$3:$B$122,MATCH(MIN(MAX(ROUND(($D161)/5,0)*5,5),600),Baseline!$A$3:$A$122,0))-Inputs!$B$9,INDEX(Course!$N$2:$N$19,MATCH($B161,Course!$A$2:$A$19,0))),INDEX(Baseline!$B$3:$E$122,MATCH(MIN(MAX(ROUND(($D161)/5,0)*5,5),600),Baseline!$A$3:$A$122,0),MATCH($C161,Baseline!$B$2:$E$2,0))))))</f>
        <v/>
      </c>
      <c r="O161" s="17" t="str">
        <f aca="false">IF($C161="","",IF($E161="H",0,IF($E161="G",INDEX(Baseline!$I$3:$I$102,MIN(MAX(ROUND($F161,0),1),100)),IF($E161="T",IF($M161=3,INDEX(Baseline!$B$3:$B$122,MATCH(MIN(MAX(ROUND(($F161)/5,0)*5,5),600),Baseline!$A$3:$A$122,0))-Inputs!$B$9,INDEX(Course!$N$2:$N$19,MATCH($B161,Course!$A$2:$A$19,0))),INDEX(Baseline!$B$3:$E$122,MATCH(MIN(MAX(ROUND(($F161)/5,0)*5,5),600),Baseline!$A$3:$A$122,0),MATCH($E161,Baseline!$B$2:$E$2,0))))))</f>
        <v/>
      </c>
      <c r="P161" s="17" t="str">
        <f aca="false">IF($B161="","",INDEX(Course!$N$2:$N$19,MATCH($B161,Course!$A$2:$A$19,0)))</f>
        <v/>
      </c>
      <c r="Q161" s="17" t="str">
        <f aca="false">IF($B161="","",INDEX(Course!$P$2:$P$19,MATCH($B161,Course!$A$2:$A$19,0)))</f>
        <v/>
      </c>
      <c r="R161" s="17" t="str">
        <f aca="false">IF($C161="","",IF(OR($C161="G",$C161="H"),0,IF($C161="T",1,MIN(1,MAX(0,($N161-Inputs!$B$8)/MAX($P161-Inputs!$B$8,0.01))))))</f>
        <v/>
      </c>
      <c r="S161" s="17" t="str">
        <f aca="false">IF($C161="","",IF(OR($E161="G",$E161="H"),0,IF($E161="T",1,MIN(1,MAX(0,($O161-Inputs!$B$8)/MAX($P161-Inputs!$B$8,0.01))))))</f>
        <v/>
      </c>
    </row>
    <row r="162" customFormat="false" ht="15" hidden="false" customHeight="false" outlineLevel="0" collapsed="false">
      <c r="I162" s="7" t="str">
        <f aca="false">IF($C162="","",IF($C162="G","PUTT",IF(AND($C162="T",$M162&gt;3),"OTT",IF($D162&lt;=30,"ARG","APP"))))</f>
        <v/>
      </c>
      <c r="J162" s="17" t="str">
        <f aca="false">IF($C162="","",$N162+$Q162*$R162)</f>
        <v/>
      </c>
      <c r="K162" s="17" t="str">
        <f aca="false">IF($C162="","",$O162+$Q162*$S162)</f>
        <v/>
      </c>
      <c r="L162" s="17" t="str">
        <f aca="false">IF($C162="","",$J162-$K162-1-N($G162))</f>
        <v/>
      </c>
      <c r="M162" s="7" t="str">
        <f aca="false">IF($B162="","",INDEX(Course!$B$2:$B$19,MATCH($B162,Course!$A$2:$A$19,0)))</f>
        <v/>
      </c>
      <c r="N162" s="17" t="str">
        <f aca="false">IF($C162="","",IF($C162="H",0,IF($C162="G",INDEX(Baseline!$I$3:$I$102,MIN(MAX(ROUND($D162,0),1),100)),IF($C162="T",IF($M162=3,INDEX(Baseline!$B$3:$B$122,MATCH(MIN(MAX(ROUND(($D162)/5,0)*5,5),600),Baseline!$A$3:$A$122,0))-Inputs!$B$9,INDEX(Course!$N$2:$N$19,MATCH($B162,Course!$A$2:$A$19,0))),INDEX(Baseline!$B$3:$E$122,MATCH(MIN(MAX(ROUND(($D162)/5,0)*5,5),600),Baseline!$A$3:$A$122,0),MATCH($C162,Baseline!$B$2:$E$2,0))))))</f>
        <v/>
      </c>
      <c r="O162" s="17" t="str">
        <f aca="false">IF($C162="","",IF($E162="H",0,IF($E162="G",INDEX(Baseline!$I$3:$I$102,MIN(MAX(ROUND($F162,0),1),100)),IF($E162="T",IF($M162=3,INDEX(Baseline!$B$3:$B$122,MATCH(MIN(MAX(ROUND(($F162)/5,0)*5,5),600),Baseline!$A$3:$A$122,0))-Inputs!$B$9,INDEX(Course!$N$2:$N$19,MATCH($B162,Course!$A$2:$A$19,0))),INDEX(Baseline!$B$3:$E$122,MATCH(MIN(MAX(ROUND(($F162)/5,0)*5,5),600),Baseline!$A$3:$A$122,0),MATCH($E162,Baseline!$B$2:$E$2,0))))))</f>
        <v/>
      </c>
      <c r="P162" s="17" t="str">
        <f aca="false">IF($B162="","",INDEX(Course!$N$2:$N$19,MATCH($B162,Course!$A$2:$A$19,0)))</f>
        <v/>
      </c>
      <c r="Q162" s="17" t="str">
        <f aca="false">IF($B162="","",INDEX(Course!$P$2:$P$19,MATCH($B162,Course!$A$2:$A$19,0)))</f>
        <v/>
      </c>
      <c r="R162" s="17" t="str">
        <f aca="false">IF($C162="","",IF(OR($C162="G",$C162="H"),0,IF($C162="T",1,MIN(1,MAX(0,($N162-Inputs!$B$8)/MAX($P162-Inputs!$B$8,0.01))))))</f>
        <v/>
      </c>
      <c r="S162" s="17" t="str">
        <f aca="false">IF($C162="","",IF(OR($E162="G",$E162="H"),0,IF($E162="T",1,MIN(1,MAX(0,($O162-Inputs!$B$8)/MAX($P162-Inputs!$B$8,0.01))))))</f>
        <v/>
      </c>
    </row>
    <row r="163" customFormat="false" ht="15" hidden="false" customHeight="false" outlineLevel="0" collapsed="false">
      <c r="I163" s="7" t="str">
        <f aca="false">IF($C163="","",IF($C163="G","PUTT",IF(AND($C163="T",$M163&gt;3),"OTT",IF($D163&lt;=30,"ARG","APP"))))</f>
        <v/>
      </c>
      <c r="J163" s="17" t="str">
        <f aca="false">IF($C163="","",$N163+$Q163*$R163)</f>
        <v/>
      </c>
      <c r="K163" s="17" t="str">
        <f aca="false">IF($C163="","",$O163+$Q163*$S163)</f>
        <v/>
      </c>
      <c r="L163" s="17" t="str">
        <f aca="false">IF($C163="","",$J163-$K163-1-N($G163))</f>
        <v/>
      </c>
      <c r="M163" s="7" t="str">
        <f aca="false">IF($B163="","",INDEX(Course!$B$2:$B$19,MATCH($B163,Course!$A$2:$A$19,0)))</f>
        <v/>
      </c>
      <c r="N163" s="17" t="str">
        <f aca="false">IF($C163="","",IF($C163="H",0,IF($C163="G",INDEX(Baseline!$I$3:$I$102,MIN(MAX(ROUND($D163,0),1),100)),IF($C163="T",IF($M163=3,INDEX(Baseline!$B$3:$B$122,MATCH(MIN(MAX(ROUND(($D163)/5,0)*5,5),600),Baseline!$A$3:$A$122,0))-Inputs!$B$9,INDEX(Course!$N$2:$N$19,MATCH($B163,Course!$A$2:$A$19,0))),INDEX(Baseline!$B$3:$E$122,MATCH(MIN(MAX(ROUND(($D163)/5,0)*5,5),600),Baseline!$A$3:$A$122,0),MATCH($C163,Baseline!$B$2:$E$2,0))))))</f>
        <v/>
      </c>
      <c r="O163" s="17" t="str">
        <f aca="false">IF($C163="","",IF($E163="H",0,IF($E163="G",INDEX(Baseline!$I$3:$I$102,MIN(MAX(ROUND($F163,0),1),100)),IF($E163="T",IF($M163=3,INDEX(Baseline!$B$3:$B$122,MATCH(MIN(MAX(ROUND(($F163)/5,0)*5,5),600),Baseline!$A$3:$A$122,0))-Inputs!$B$9,INDEX(Course!$N$2:$N$19,MATCH($B163,Course!$A$2:$A$19,0))),INDEX(Baseline!$B$3:$E$122,MATCH(MIN(MAX(ROUND(($F163)/5,0)*5,5),600),Baseline!$A$3:$A$122,0),MATCH($E163,Baseline!$B$2:$E$2,0))))))</f>
        <v/>
      </c>
      <c r="P163" s="17" t="str">
        <f aca="false">IF($B163="","",INDEX(Course!$N$2:$N$19,MATCH($B163,Course!$A$2:$A$19,0)))</f>
        <v/>
      </c>
      <c r="Q163" s="17" t="str">
        <f aca="false">IF($B163="","",INDEX(Course!$P$2:$P$19,MATCH($B163,Course!$A$2:$A$19,0)))</f>
        <v/>
      </c>
      <c r="R163" s="17" t="str">
        <f aca="false">IF($C163="","",IF(OR($C163="G",$C163="H"),0,IF($C163="T",1,MIN(1,MAX(0,($N163-Inputs!$B$8)/MAX($P163-Inputs!$B$8,0.01))))))</f>
        <v/>
      </c>
      <c r="S163" s="17" t="str">
        <f aca="false">IF($C163="","",IF(OR($E163="G",$E163="H"),0,IF($E163="T",1,MIN(1,MAX(0,($O163-Inputs!$B$8)/MAX($P163-Inputs!$B$8,0.01))))))</f>
        <v/>
      </c>
    </row>
    <row r="164" customFormat="false" ht="15" hidden="false" customHeight="false" outlineLevel="0" collapsed="false">
      <c r="I164" s="7" t="str">
        <f aca="false">IF($C164="","",IF($C164="G","PUTT",IF(AND($C164="T",$M164&gt;3),"OTT",IF($D164&lt;=30,"ARG","APP"))))</f>
        <v/>
      </c>
      <c r="J164" s="17" t="str">
        <f aca="false">IF($C164="","",$N164+$Q164*$R164)</f>
        <v/>
      </c>
      <c r="K164" s="17" t="str">
        <f aca="false">IF($C164="","",$O164+$Q164*$S164)</f>
        <v/>
      </c>
      <c r="L164" s="17" t="str">
        <f aca="false">IF($C164="","",$J164-$K164-1-N($G164))</f>
        <v/>
      </c>
      <c r="M164" s="7" t="str">
        <f aca="false">IF($B164="","",INDEX(Course!$B$2:$B$19,MATCH($B164,Course!$A$2:$A$19,0)))</f>
        <v/>
      </c>
      <c r="N164" s="17" t="str">
        <f aca="false">IF($C164="","",IF($C164="H",0,IF($C164="G",INDEX(Baseline!$I$3:$I$102,MIN(MAX(ROUND($D164,0),1),100)),IF($C164="T",IF($M164=3,INDEX(Baseline!$B$3:$B$122,MATCH(MIN(MAX(ROUND(($D164)/5,0)*5,5),600),Baseline!$A$3:$A$122,0))-Inputs!$B$9,INDEX(Course!$N$2:$N$19,MATCH($B164,Course!$A$2:$A$19,0))),INDEX(Baseline!$B$3:$E$122,MATCH(MIN(MAX(ROUND(($D164)/5,0)*5,5),600),Baseline!$A$3:$A$122,0),MATCH($C164,Baseline!$B$2:$E$2,0))))))</f>
        <v/>
      </c>
      <c r="O164" s="17" t="str">
        <f aca="false">IF($C164="","",IF($E164="H",0,IF($E164="G",INDEX(Baseline!$I$3:$I$102,MIN(MAX(ROUND($F164,0),1),100)),IF($E164="T",IF($M164=3,INDEX(Baseline!$B$3:$B$122,MATCH(MIN(MAX(ROUND(($F164)/5,0)*5,5),600),Baseline!$A$3:$A$122,0))-Inputs!$B$9,INDEX(Course!$N$2:$N$19,MATCH($B164,Course!$A$2:$A$19,0))),INDEX(Baseline!$B$3:$E$122,MATCH(MIN(MAX(ROUND(($F164)/5,0)*5,5),600),Baseline!$A$3:$A$122,0),MATCH($E164,Baseline!$B$2:$E$2,0))))))</f>
        <v/>
      </c>
      <c r="P164" s="17" t="str">
        <f aca="false">IF($B164="","",INDEX(Course!$N$2:$N$19,MATCH($B164,Course!$A$2:$A$19,0)))</f>
        <v/>
      </c>
      <c r="Q164" s="17" t="str">
        <f aca="false">IF($B164="","",INDEX(Course!$P$2:$P$19,MATCH($B164,Course!$A$2:$A$19,0)))</f>
        <v/>
      </c>
      <c r="R164" s="17" t="str">
        <f aca="false">IF($C164="","",IF(OR($C164="G",$C164="H"),0,IF($C164="T",1,MIN(1,MAX(0,($N164-Inputs!$B$8)/MAX($P164-Inputs!$B$8,0.01))))))</f>
        <v/>
      </c>
      <c r="S164" s="17" t="str">
        <f aca="false">IF($C164="","",IF(OR($E164="G",$E164="H"),0,IF($E164="T",1,MIN(1,MAX(0,($O164-Inputs!$B$8)/MAX($P164-Inputs!$B$8,0.01))))))</f>
        <v/>
      </c>
    </row>
    <row r="165" customFormat="false" ht="15" hidden="false" customHeight="false" outlineLevel="0" collapsed="false">
      <c r="I165" s="7" t="str">
        <f aca="false">IF($C165="","",IF($C165="G","PUTT",IF(AND($C165="T",$M165&gt;3),"OTT",IF($D165&lt;=30,"ARG","APP"))))</f>
        <v/>
      </c>
      <c r="J165" s="17" t="str">
        <f aca="false">IF($C165="","",$N165+$Q165*$R165)</f>
        <v/>
      </c>
      <c r="K165" s="17" t="str">
        <f aca="false">IF($C165="","",$O165+$Q165*$S165)</f>
        <v/>
      </c>
      <c r="L165" s="17" t="str">
        <f aca="false">IF($C165="","",$J165-$K165-1-N($G165))</f>
        <v/>
      </c>
      <c r="M165" s="7" t="str">
        <f aca="false">IF($B165="","",INDEX(Course!$B$2:$B$19,MATCH($B165,Course!$A$2:$A$19,0)))</f>
        <v/>
      </c>
      <c r="N165" s="17" t="str">
        <f aca="false">IF($C165="","",IF($C165="H",0,IF($C165="G",INDEX(Baseline!$I$3:$I$102,MIN(MAX(ROUND($D165,0),1),100)),IF($C165="T",IF($M165=3,INDEX(Baseline!$B$3:$B$122,MATCH(MIN(MAX(ROUND(($D165)/5,0)*5,5),600),Baseline!$A$3:$A$122,0))-Inputs!$B$9,INDEX(Course!$N$2:$N$19,MATCH($B165,Course!$A$2:$A$19,0))),INDEX(Baseline!$B$3:$E$122,MATCH(MIN(MAX(ROUND(($D165)/5,0)*5,5),600),Baseline!$A$3:$A$122,0),MATCH($C165,Baseline!$B$2:$E$2,0))))))</f>
        <v/>
      </c>
      <c r="O165" s="17" t="str">
        <f aca="false">IF($C165="","",IF($E165="H",0,IF($E165="G",INDEX(Baseline!$I$3:$I$102,MIN(MAX(ROUND($F165,0),1),100)),IF($E165="T",IF($M165=3,INDEX(Baseline!$B$3:$B$122,MATCH(MIN(MAX(ROUND(($F165)/5,0)*5,5),600),Baseline!$A$3:$A$122,0))-Inputs!$B$9,INDEX(Course!$N$2:$N$19,MATCH($B165,Course!$A$2:$A$19,0))),INDEX(Baseline!$B$3:$E$122,MATCH(MIN(MAX(ROUND(($F165)/5,0)*5,5),600),Baseline!$A$3:$A$122,0),MATCH($E165,Baseline!$B$2:$E$2,0))))))</f>
        <v/>
      </c>
      <c r="P165" s="17" t="str">
        <f aca="false">IF($B165="","",INDEX(Course!$N$2:$N$19,MATCH($B165,Course!$A$2:$A$19,0)))</f>
        <v/>
      </c>
      <c r="Q165" s="17" t="str">
        <f aca="false">IF($B165="","",INDEX(Course!$P$2:$P$19,MATCH($B165,Course!$A$2:$A$19,0)))</f>
        <v/>
      </c>
      <c r="R165" s="17" t="str">
        <f aca="false">IF($C165="","",IF(OR($C165="G",$C165="H"),0,IF($C165="T",1,MIN(1,MAX(0,($N165-Inputs!$B$8)/MAX($P165-Inputs!$B$8,0.01))))))</f>
        <v/>
      </c>
      <c r="S165" s="17" t="str">
        <f aca="false">IF($C165="","",IF(OR($E165="G",$E165="H"),0,IF($E165="T",1,MIN(1,MAX(0,($O165-Inputs!$B$8)/MAX($P165-Inputs!$B$8,0.01))))))</f>
        <v/>
      </c>
    </row>
    <row r="166" customFormat="false" ht="15" hidden="false" customHeight="false" outlineLevel="0" collapsed="false">
      <c r="I166" s="7" t="str">
        <f aca="false">IF($C166="","",IF($C166="G","PUTT",IF(AND($C166="T",$M166&gt;3),"OTT",IF($D166&lt;=30,"ARG","APP"))))</f>
        <v/>
      </c>
      <c r="J166" s="17" t="str">
        <f aca="false">IF($C166="","",$N166+$Q166*$R166)</f>
        <v/>
      </c>
      <c r="K166" s="17" t="str">
        <f aca="false">IF($C166="","",$O166+$Q166*$S166)</f>
        <v/>
      </c>
      <c r="L166" s="17" t="str">
        <f aca="false">IF($C166="","",$J166-$K166-1-N($G166))</f>
        <v/>
      </c>
      <c r="M166" s="7" t="str">
        <f aca="false">IF($B166="","",INDEX(Course!$B$2:$B$19,MATCH($B166,Course!$A$2:$A$19,0)))</f>
        <v/>
      </c>
      <c r="N166" s="17" t="str">
        <f aca="false">IF($C166="","",IF($C166="H",0,IF($C166="G",INDEX(Baseline!$I$3:$I$102,MIN(MAX(ROUND($D166,0),1),100)),IF($C166="T",IF($M166=3,INDEX(Baseline!$B$3:$B$122,MATCH(MIN(MAX(ROUND(($D166)/5,0)*5,5),600),Baseline!$A$3:$A$122,0))-Inputs!$B$9,INDEX(Course!$N$2:$N$19,MATCH($B166,Course!$A$2:$A$19,0))),INDEX(Baseline!$B$3:$E$122,MATCH(MIN(MAX(ROUND(($D166)/5,0)*5,5),600),Baseline!$A$3:$A$122,0),MATCH($C166,Baseline!$B$2:$E$2,0))))))</f>
        <v/>
      </c>
      <c r="O166" s="17" t="str">
        <f aca="false">IF($C166="","",IF($E166="H",0,IF($E166="G",INDEX(Baseline!$I$3:$I$102,MIN(MAX(ROUND($F166,0),1),100)),IF($E166="T",IF($M166=3,INDEX(Baseline!$B$3:$B$122,MATCH(MIN(MAX(ROUND(($F166)/5,0)*5,5),600),Baseline!$A$3:$A$122,0))-Inputs!$B$9,INDEX(Course!$N$2:$N$19,MATCH($B166,Course!$A$2:$A$19,0))),INDEX(Baseline!$B$3:$E$122,MATCH(MIN(MAX(ROUND(($F166)/5,0)*5,5),600),Baseline!$A$3:$A$122,0),MATCH($E166,Baseline!$B$2:$E$2,0))))))</f>
        <v/>
      </c>
      <c r="P166" s="17" t="str">
        <f aca="false">IF($B166="","",INDEX(Course!$N$2:$N$19,MATCH($B166,Course!$A$2:$A$19,0)))</f>
        <v/>
      </c>
      <c r="Q166" s="17" t="str">
        <f aca="false">IF($B166="","",INDEX(Course!$P$2:$P$19,MATCH($B166,Course!$A$2:$A$19,0)))</f>
        <v/>
      </c>
      <c r="R166" s="17" t="str">
        <f aca="false">IF($C166="","",IF(OR($C166="G",$C166="H"),0,IF($C166="T",1,MIN(1,MAX(0,($N166-Inputs!$B$8)/MAX($P166-Inputs!$B$8,0.01))))))</f>
        <v/>
      </c>
      <c r="S166" s="17" t="str">
        <f aca="false">IF($C166="","",IF(OR($E166="G",$E166="H"),0,IF($E166="T",1,MIN(1,MAX(0,($O166-Inputs!$B$8)/MAX($P166-Inputs!$B$8,0.01))))))</f>
        <v/>
      </c>
    </row>
    <row r="167" customFormat="false" ht="15" hidden="false" customHeight="false" outlineLevel="0" collapsed="false">
      <c r="I167" s="7" t="str">
        <f aca="false">IF($C167="","",IF($C167="G","PUTT",IF(AND($C167="T",$M167&gt;3),"OTT",IF($D167&lt;=30,"ARG","APP"))))</f>
        <v/>
      </c>
      <c r="J167" s="17" t="str">
        <f aca="false">IF($C167="","",$N167+$Q167*$R167)</f>
        <v/>
      </c>
      <c r="K167" s="17" t="str">
        <f aca="false">IF($C167="","",$O167+$Q167*$S167)</f>
        <v/>
      </c>
      <c r="L167" s="17" t="str">
        <f aca="false">IF($C167="","",$J167-$K167-1-N($G167))</f>
        <v/>
      </c>
      <c r="M167" s="7" t="str">
        <f aca="false">IF($B167="","",INDEX(Course!$B$2:$B$19,MATCH($B167,Course!$A$2:$A$19,0)))</f>
        <v/>
      </c>
      <c r="N167" s="17" t="str">
        <f aca="false">IF($C167="","",IF($C167="H",0,IF($C167="G",INDEX(Baseline!$I$3:$I$102,MIN(MAX(ROUND($D167,0),1),100)),IF($C167="T",IF($M167=3,INDEX(Baseline!$B$3:$B$122,MATCH(MIN(MAX(ROUND(($D167)/5,0)*5,5),600),Baseline!$A$3:$A$122,0))-Inputs!$B$9,INDEX(Course!$N$2:$N$19,MATCH($B167,Course!$A$2:$A$19,0))),INDEX(Baseline!$B$3:$E$122,MATCH(MIN(MAX(ROUND(($D167)/5,0)*5,5),600),Baseline!$A$3:$A$122,0),MATCH($C167,Baseline!$B$2:$E$2,0))))))</f>
        <v/>
      </c>
      <c r="O167" s="17" t="str">
        <f aca="false">IF($C167="","",IF($E167="H",0,IF($E167="G",INDEX(Baseline!$I$3:$I$102,MIN(MAX(ROUND($F167,0),1),100)),IF($E167="T",IF($M167=3,INDEX(Baseline!$B$3:$B$122,MATCH(MIN(MAX(ROUND(($F167)/5,0)*5,5),600),Baseline!$A$3:$A$122,0))-Inputs!$B$9,INDEX(Course!$N$2:$N$19,MATCH($B167,Course!$A$2:$A$19,0))),INDEX(Baseline!$B$3:$E$122,MATCH(MIN(MAX(ROUND(($F167)/5,0)*5,5),600),Baseline!$A$3:$A$122,0),MATCH($E167,Baseline!$B$2:$E$2,0))))))</f>
        <v/>
      </c>
      <c r="P167" s="17" t="str">
        <f aca="false">IF($B167="","",INDEX(Course!$N$2:$N$19,MATCH($B167,Course!$A$2:$A$19,0)))</f>
        <v/>
      </c>
      <c r="Q167" s="17" t="str">
        <f aca="false">IF($B167="","",INDEX(Course!$P$2:$P$19,MATCH($B167,Course!$A$2:$A$19,0)))</f>
        <v/>
      </c>
      <c r="R167" s="17" t="str">
        <f aca="false">IF($C167="","",IF(OR($C167="G",$C167="H"),0,IF($C167="T",1,MIN(1,MAX(0,($N167-Inputs!$B$8)/MAX($P167-Inputs!$B$8,0.01))))))</f>
        <v/>
      </c>
      <c r="S167" s="17" t="str">
        <f aca="false">IF($C167="","",IF(OR($E167="G",$E167="H"),0,IF($E167="T",1,MIN(1,MAX(0,($O167-Inputs!$B$8)/MAX($P167-Inputs!$B$8,0.01))))))</f>
        <v/>
      </c>
    </row>
    <row r="168" customFormat="false" ht="15" hidden="false" customHeight="false" outlineLevel="0" collapsed="false">
      <c r="I168" s="7" t="str">
        <f aca="false">IF($C168="","",IF($C168="G","PUTT",IF(AND($C168="T",$M168&gt;3),"OTT",IF($D168&lt;=30,"ARG","APP"))))</f>
        <v/>
      </c>
      <c r="J168" s="17" t="str">
        <f aca="false">IF($C168="","",$N168+$Q168*$R168)</f>
        <v/>
      </c>
      <c r="K168" s="17" t="str">
        <f aca="false">IF($C168="","",$O168+$Q168*$S168)</f>
        <v/>
      </c>
      <c r="L168" s="17" t="str">
        <f aca="false">IF($C168="","",$J168-$K168-1-N($G168))</f>
        <v/>
      </c>
      <c r="M168" s="7" t="str">
        <f aca="false">IF($B168="","",INDEX(Course!$B$2:$B$19,MATCH($B168,Course!$A$2:$A$19,0)))</f>
        <v/>
      </c>
      <c r="N168" s="17" t="str">
        <f aca="false">IF($C168="","",IF($C168="H",0,IF($C168="G",INDEX(Baseline!$I$3:$I$102,MIN(MAX(ROUND($D168,0),1),100)),IF($C168="T",IF($M168=3,INDEX(Baseline!$B$3:$B$122,MATCH(MIN(MAX(ROUND(($D168)/5,0)*5,5),600),Baseline!$A$3:$A$122,0))-Inputs!$B$9,INDEX(Course!$N$2:$N$19,MATCH($B168,Course!$A$2:$A$19,0))),INDEX(Baseline!$B$3:$E$122,MATCH(MIN(MAX(ROUND(($D168)/5,0)*5,5),600),Baseline!$A$3:$A$122,0),MATCH($C168,Baseline!$B$2:$E$2,0))))))</f>
        <v/>
      </c>
      <c r="O168" s="17" t="str">
        <f aca="false">IF($C168="","",IF($E168="H",0,IF($E168="G",INDEX(Baseline!$I$3:$I$102,MIN(MAX(ROUND($F168,0),1),100)),IF($E168="T",IF($M168=3,INDEX(Baseline!$B$3:$B$122,MATCH(MIN(MAX(ROUND(($F168)/5,0)*5,5),600),Baseline!$A$3:$A$122,0))-Inputs!$B$9,INDEX(Course!$N$2:$N$19,MATCH($B168,Course!$A$2:$A$19,0))),INDEX(Baseline!$B$3:$E$122,MATCH(MIN(MAX(ROUND(($F168)/5,0)*5,5),600),Baseline!$A$3:$A$122,0),MATCH($E168,Baseline!$B$2:$E$2,0))))))</f>
        <v/>
      </c>
      <c r="P168" s="17" t="str">
        <f aca="false">IF($B168="","",INDEX(Course!$N$2:$N$19,MATCH($B168,Course!$A$2:$A$19,0)))</f>
        <v/>
      </c>
      <c r="Q168" s="17" t="str">
        <f aca="false">IF($B168="","",INDEX(Course!$P$2:$P$19,MATCH($B168,Course!$A$2:$A$19,0)))</f>
        <v/>
      </c>
      <c r="R168" s="17" t="str">
        <f aca="false">IF($C168="","",IF(OR($C168="G",$C168="H"),0,IF($C168="T",1,MIN(1,MAX(0,($N168-Inputs!$B$8)/MAX($P168-Inputs!$B$8,0.01))))))</f>
        <v/>
      </c>
      <c r="S168" s="17" t="str">
        <f aca="false">IF($C168="","",IF(OR($E168="G",$E168="H"),0,IF($E168="T",1,MIN(1,MAX(0,($O168-Inputs!$B$8)/MAX($P168-Inputs!$B$8,0.01))))))</f>
        <v/>
      </c>
    </row>
    <row r="169" customFormat="false" ht="15" hidden="false" customHeight="false" outlineLevel="0" collapsed="false">
      <c r="I169" s="7" t="str">
        <f aca="false">IF($C169="","",IF($C169="G","PUTT",IF(AND($C169="T",$M169&gt;3),"OTT",IF($D169&lt;=30,"ARG","APP"))))</f>
        <v/>
      </c>
      <c r="J169" s="17" t="str">
        <f aca="false">IF($C169="","",$N169+$Q169*$R169)</f>
        <v/>
      </c>
      <c r="K169" s="17" t="str">
        <f aca="false">IF($C169="","",$O169+$Q169*$S169)</f>
        <v/>
      </c>
      <c r="L169" s="17" t="str">
        <f aca="false">IF($C169="","",$J169-$K169-1-N($G169))</f>
        <v/>
      </c>
      <c r="M169" s="7" t="str">
        <f aca="false">IF($B169="","",INDEX(Course!$B$2:$B$19,MATCH($B169,Course!$A$2:$A$19,0)))</f>
        <v/>
      </c>
      <c r="N169" s="17" t="str">
        <f aca="false">IF($C169="","",IF($C169="H",0,IF($C169="G",INDEX(Baseline!$I$3:$I$102,MIN(MAX(ROUND($D169,0),1),100)),IF($C169="T",IF($M169=3,INDEX(Baseline!$B$3:$B$122,MATCH(MIN(MAX(ROUND(($D169)/5,0)*5,5),600),Baseline!$A$3:$A$122,0))-Inputs!$B$9,INDEX(Course!$N$2:$N$19,MATCH($B169,Course!$A$2:$A$19,0))),INDEX(Baseline!$B$3:$E$122,MATCH(MIN(MAX(ROUND(($D169)/5,0)*5,5),600),Baseline!$A$3:$A$122,0),MATCH($C169,Baseline!$B$2:$E$2,0))))))</f>
        <v/>
      </c>
      <c r="O169" s="17" t="str">
        <f aca="false">IF($C169="","",IF($E169="H",0,IF($E169="G",INDEX(Baseline!$I$3:$I$102,MIN(MAX(ROUND($F169,0),1),100)),IF($E169="T",IF($M169=3,INDEX(Baseline!$B$3:$B$122,MATCH(MIN(MAX(ROUND(($F169)/5,0)*5,5),600),Baseline!$A$3:$A$122,0))-Inputs!$B$9,INDEX(Course!$N$2:$N$19,MATCH($B169,Course!$A$2:$A$19,0))),INDEX(Baseline!$B$3:$E$122,MATCH(MIN(MAX(ROUND(($F169)/5,0)*5,5),600),Baseline!$A$3:$A$122,0),MATCH($E169,Baseline!$B$2:$E$2,0))))))</f>
        <v/>
      </c>
      <c r="P169" s="17" t="str">
        <f aca="false">IF($B169="","",INDEX(Course!$N$2:$N$19,MATCH($B169,Course!$A$2:$A$19,0)))</f>
        <v/>
      </c>
      <c r="Q169" s="17" t="str">
        <f aca="false">IF($B169="","",INDEX(Course!$P$2:$P$19,MATCH($B169,Course!$A$2:$A$19,0)))</f>
        <v/>
      </c>
      <c r="R169" s="17" t="str">
        <f aca="false">IF($C169="","",IF(OR($C169="G",$C169="H"),0,IF($C169="T",1,MIN(1,MAX(0,($N169-Inputs!$B$8)/MAX($P169-Inputs!$B$8,0.01))))))</f>
        <v/>
      </c>
      <c r="S169" s="17" t="str">
        <f aca="false">IF($C169="","",IF(OR($E169="G",$E169="H"),0,IF($E169="T",1,MIN(1,MAX(0,($O169-Inputs!$B$8)/MAX($P169-Inputs!$B$8,0.01))))))</f>
        <v/>
      </c>
    </row>
    <row r="170" customFormat="false" ht="15" hidden="false" customHeight="false" outlineLevel="0" collapsed="false">
      <c r="I170" s="7" t="str">
        <f aca="false">IF($C170="","",IF($C170="G","PUTT",IF(AND($C170="T",$M170&gt;3),"OTT",IF($D170&lt;=30,"ARG","APP"))))</f>
        <v/>
      </c>
      <c r="J170" s="17" t="str">
        <f aca="false">IF($C170="","",$N170+$Q170*$R170)</f>
        <v/>
      </c>
      <c r="K170" s="17" t="str">
        <f aca="false">IF($C170="","",$O170+$Q170*$S170)</f>
        <v/>
      </c>
      <c r="L170" s="17" t="str">
        <f aca="false">IF($C170="","",$J170-$K170-1-N($G170))</f>
        <v/>
      </c>
      <c r="M170" s="7" t="str">
        <f aca="false">IF($B170="","",INDEX(Course!$B$2:$B$19,MATCH($B170,Course!$A$2:$A$19,0)))</f>
        <v/>
      </c>
      <c r="N170" s="17" t="str">
        <f aca="false">IF($C170="","",IF($C170="H",0,IF($C170="G",INDEX(Baseline!$I$3:$I$102,MIN(MAX(ROUND($D170,0),1),100)),IF($C170="T",IF($M170=3,INDEX(Baseline!$B$3:$B$122,MATCH(MIN(MAX(ROUND(($D170)/5,0)*5,5),600),Baseline!$A$3:$A$122,0))-Inputs!$B$9,INDEX(Course!$N$2:$N$19,MATCH($B170,Course!$A$2:$A$19,0))),INDEX(Baseline!$B$3:$E$122,MATCH(MIN(MAX(ROUND(($D170)/5,0)*5,5),600),Baseline!$A$3:$A$122,0),MATCH($C170,Baseline!$B$2:$E$2,0))))))</f>
        <v/>
      </c>
      <c r="O170" s="17" t="str">
        <f aca="false">IF($C170="","",IF($E170="H",0,IF($E170="G",INDEX(Baseline!$I$3:$I$102,MIN(MAX(ROUND($F170,0),1),100)),IF($E170="T",IF($M170=3,INDEX(Baseline!$B$3:$B$122,MATCH(MIN(MAX(ROUND(($F170)/5,0)*5,5),600),Baseline!$A$3:$A$122,0))-Inputs!$B$9,INDEX(Course!$N$2:$N$19,MATCH($B170,Course!$A$2:$A$19,0))),INDEX(Baseline!$B$3:$E$122,MATCH(MIN(MAX(ROUND(($F170)/5,0)*5,5),600),Baseline!$A$3:$A$122,0),MATCH($E170,Baseline!$B$2:$E$2,0))))))</f>
        <v/>
      </c>
      <c r="P170" s="17" t="str">
        <f aca="false">IF($B170="","",INDEX(Course!$N$2:$N$19,MATCH($B170,Course!$A$2:$A$19,0)))</f>
        <v/>
      </c>
      <c r="Q170" s="17" t="str">
        <f aca="false">IF($B170="","",INDEX(Course!$P$2:$P$19,MATCH($B170,Course!$A$2:$A$19,0)))</f>
        <v/>
      </c>
      <c r="R170" s="17" t="str">
        <f aca="false">IF($C170="","",IF(OR($C170="G",$C170="H"),0,IF($C170="T",1,MIN(1,MAX(0,($N170-Inputs!$B$8)/MAX($P170-Inputs!$B$8,0.01))))))</f>
        <v/>
      </c>
      <c r="S170" s="17" t="str">
        <f aca="false">IF($C170="","",IF(OR($E170="G",$E170="H"),0,IF($E170="T",1,MIN(1,MAX(0,($O170-Inputs!$B$8)/MAX($P170-Inputs!$B$8,0.01))))))</f>
        <v/>
      </c>
    </row>
    <row r="171" customFormat="false" ht="15" hidden="false" customHeight="false" outlineLevel="0" collapsed="false">
      <c r="I171" s="7" t="str">
        <f aca="false">IF($C171="","",IF($C171="G","PUTT",IF(AND($C171="T",$M171&gt;3),"OTT",IF($D171&lt;=30,"ARG","APP"))))</f>
        <v/>
      </c>
      <c r="J171" s="17" t="str">
        <f aca="false">IF($C171="","",$N171+$Q171*$R171)</f>
        <v/>
      </c>
      <c r="K171" s="17" t="str">
        <f aca="false">IF($C171="","",$O171+$Q171*$S171)</f>
        <v/>
      </c>
      <c r="L171" s="17" t="str">
        <f aca="false">IF($C171="","",$J171-$K171-1-N($G171))</f>
        <v/>
      </c>
      <c r="M171" s="7" t="str">
        <f aca="false">IF($B171="","",INDEX(Course!$B$2:$B$19,MATCH($B171,Course!$A$2:$A$19,0)))</f>
        <v/>
      </c>
      <c r="N171" s="17" t="str">
        <f aca="false">IF($C171="","",IF($C171="H",0,IF($C171="G",INDEX(Baseline!$I$3:$I$102,MIN(MAX(ROUND($D171,0),1),100)),IF($C171="T",IF($M171=3,INDEX(Baseline!$B$3:$B$122,MATCH(MIN(MAX(ROUND(($D171)/5,0)*5,5),600),Baseline!$A$3:$A$122,0))-Inputs!$B$9,INDEX(Course!$N$2:$N$19,MATCH($B171,Course!$A$2:$A$19,0))),INDEX(Baseline!$B$3:$E$122,MATCH(MIN(MAX(ROUND(($D171)/5,0)*5,5),600),Baseline!$A$3:$A$122,0),MATCH($C171,Baseline!$B$2:$E$2,0))))))</f>
        <v/>
      </c>
      <c r="O171" s="17" t="str">
        <f aca="false">IF($C171="","",IF($E171="H",0,IF($E171="G",INDEX(Baseline!$I$3:$I$102,MIN(MAX(ROUND($F171,0),1),100)),IF($E171="T",IF($M171=3,INDEX(Baseline!$B$3:$B$122,MATCH(MIN(MAX(ROUND(($F171)/5,0)*5,5),600),Baseline!$A$3:$A$122,0))-Inputs!$B$9,INDEX(Course!$N$2:$N$19,MATCH($B171,Course!$A$2:$A$19,0))),INDEX(Baseline!$B$3:$E$122,MATCH(MIN(MAX(ROUND(($F171)/5,0)*5,5),600),Baseline!$A$3:$A$122,0),MATCH($E171,Baseline!$B$2:$E$2,0))))))</f>
        <v/>
      </c>
      <c r="P171" s="17" t="str">
        <f aca="false">IF($B171="","",INDEX(Course!$N$2:$N$19,MATCH($B171,Course!$A$2:$A$19,0)))</f>
        <v/>
      </c>
      <c r="Q171" s="17" t="str">
        <f aca="false">IF($B171="","",INDEX(Course!$P$2:$P$19,MATCH($B171,Course!$A$2:$A$19,0)))</f>
        <v/>
      </c>
      <c r="R171" s="17" t="str">
        <f aca="false">IF($C171="","",IF(OR($C171="G",$C171="H"),0,IF($C171="T",1,MIN(1,MAX(0,($N171-Inputs!$B$8)/MAX($P171-Inputs!$B$8,0.01))))))</f>
        <v/>
      </c>
      <c r="S171" s="17" t="str">
        <f aca="false">IF($C171="","",IF(OR($E171="G",$E171="H"),0,IF($E171="T",1,MIN(1,MAX(0,($O171-Inputs!$B$8)/MAX($P171-Inputs!$B$8,0.01))))))</f>
        <v/>
      </c>
    </row>
    <row r="172" customFormat="false" ht="15" hidden="false" customHeight="false" outlineLevel="0" collapsed="false">
      <c r="I172" s="7" t="str">
        <f aca="false">IF($C172="","",IF($C172="G","PUTT",IF(AND($C172="T",$M172&gt;3),"OTT",IF($D172&lt;=30,"ARG","APP"))))</f>
        <v/>
      </c>
      <c r="J172" s="17" t="str">
        <f aca="false">IF($C172="","",$N172+$Q172*$R172)</f>
        <v/>
      </c>
      <c r="K172" s="17" t="str">
        <f aca="false">IF($C172="","",$O172+$Q172*$S172)</f>
        <v/>
      </c>
      <c r="L172" s="17" t="str">
        <f aca="false">IF($C172="","",$J172-$K172-1-N($G172))</f>
        <v/>
      </c>
      <c r="M172" s="7" t="str">
        <f aca="false">IF($B172="","",INDEX(Course!$B$2:$B$19,MATCH($B172,Course!$A$2:$A$19,0)))</f>
        <v/>
      </c>
      <c r="N172" s="17" t="str">
        <f aca="false">IF($C172="","",IF($C172="H",0,IF($C172="G",INDEX(Baseline!$I$3:$I$102,MIN(MAX(ROUND($D172,0),1),100)),IF($C172="T",IF($M172=3,INDEX(Baseline!$B$3:$B$122,MATCH(MIN(MAX(ROUND(($D172)/5,0)*5,5),600),Baseline!$A$3:$A$122,0))-Inputs!$B$9,INDEX(Course!$N$2:$N$19,MATCH($B172,Course!$A$2:$A$19,0))),INDEX(Baseline!$B$3:$E$122,MATCH(MIN(MAX(ROUND(($D172)/5,0)*5,5),600),Baseline!$A$3:$A$122,0),MATCH($C172,Baseline!$B$2:$E$2,0))))))</f>
        <v/>
      </c>
      <c r="O172" s="17" t="str">
        <f aca="false">IF($C172="","",IF($E172="H",0,IF($E172="G",INDEX(Baseline!$I$3:$I$102,MIN(MAX(ROUND($F172,0),1),100)),IF($E172="T",IF($M172=3,INDEX(Baseline!$B$3:$B$122,MATCH(MIN(MAX(ROUND(($F172)/5,0)*5,5),600),Baseline!$A$3:$A$122,0))-Inputs!$B$9,INDEX(Course!$N$2:$N$19,MATCH($B172,Course!$A$2:$A$19,0))),INDEX(Baseline!$B$3:$E$122,MATCH(MIN(MAX(ROUND(($F172)/5,0)*5,5),600),Baseline!$A$3:$A$122,0),MATCH($E172,Baseline!$B$2:$E$2,0))))))</f>
        <v/>
      </c>
      <c r="P172" s="17" t="str">
        <f aca="false">IF($B172="","",INDEX(Course!$N$2:$N$19,MATCH($B172,Course!$A$2:$A$19,0)))</f>
        <v/>
      </c>
      <c r="Q172" s="17" t="str">
        <f aca="false">IF($B172="","",INDEX(Course!$P$2:$P$19,MATCH($B172,Course!$A$2:$A$19,0)))</f>
        <v/>
      </c>
      <c r="R172" s="17" t="str">
        <f aca="false">IF($C172="","",IF(OR($C172="G",$C172="H"),0,IF($C172="T",1,MIN(1,MAX(0,($N172-Inputs!$B$8)/MAX($P172-Inputs!$B$8,0.01))))))</f>
        <v/>
      </c>
      <c r="S172" s="17" t="str">
        <f aca="false">IF($C172="","",IF(OR($E172="G",$E172="H"),0,IF($E172="T",1,MIN(1,MAX(0,($O172-Inputs!$B$8)/MAX($P172-Inputs!$B$8,0.01))))))</f>
        <v/>
      </c>
    </row>
    <row r="173" customFormat="false" ht="15" hidden="false" customHeight="false" outlineLevel="0" collapsed="false">
      <c r="I173" s="7" t="str">
        <f aca="false">IF($C173="","",IF($C173="G","PUTT",IF(AND($C173="T",$M173&gt;3),"OTT",IF($D173&lt;=30,"ARG","APP"))))</f>
        <v/>
      </c>
      <c r="J173" s="17" t="str">
        <f aca="false">IF($C173="","",$N173+$Q173*$R173)</f>
        <v/>
      </c>
      <c r="K173" s="17" t="str">
        <f aca="false">IF($C173="","",$O173+$Q173*$S173)</f>
        <v/>
      </c>
      <c r="L173" s="17" t="str">
        <f aca="false">IF($C173="","",$J173-$K173-1-N($G173))</f>
        <v/>
      </c>
      <c r="M173" s="7" t="str">
        <f aca="false">IF($B173="","",INDEX(Course!$B$2:$B$19,MATCH($B173,Course!$A$2:$A$19,0)))</f>
        <v/>
      </c>
      <c r="N173" s="17" t="str">
        <f aca="false">IF($C173="","",IF($C173="H",0,IF($C173="G",INDEX(Baseline!$I$3:$I$102,MIN(MAX(ROUND($D173,0),1),100)),IF($C173="T",IF($M173=3,INDEX(Baseline!$B$3:$B$122,MATCH(MIN(MAX(ROUND(($D173)/5,0)*5,5),600),Baseline!$A$3:$A$122,0))-Inputs!$B$9,INDEX(Course!$N$2:$N$19,MATCH($B173,Course!$A$2:$A$19,0))),INDEX(Baseline!$B$3:$E$122,MATCH(MIN(MAX(ROUND(($D173)/5,0)*5,5),600),Baseline!$A$3:$A$122,0),MATCH($C173,Baseline!$B$2:$E$2,0))))))</f>
        <v/>
      </c>
      <c r="O173" s="17" t="str">
        <f aca="false">IF($C173="","",IF($E173="H",0,IF($E173="G",INDEX(Baseline!$I$3:$I$102,MIN(MAX(ROUND($F173,0),1),100)),IF($E173="T",IF($M173=3,INDEX(Baseline!$B$3:$B$122,MATCH(MIN(MAX(ROUND(($F173)/5,0)*5,5),600),Baseline!$A$3:$A$122,0))-Inputs!$B$9,INDEX(Course!$N$2:$N$19,MATCH($B173,Course!$A$2:$A$19,0))),INDEX(Baseline!$B$3:$E$122,MATCH(MIN(MAX(ROUND(($F173)/5,0)*5,5),600),Baseline!$A$3:$A$122,0),MATCH($E173,Baseline!$B$2:$E$2,0))))))</f>
        <v/>
      </c>
      <c r="P173" s="17" t="str">
        <f aca="false">IF($B173="","",INDEX(Course!$N$2:$N$19,MATCH($B173,Course!$A$2:$A$19,0)))</f>
        <v/>
      </c>
      <c r="Q173" s="17" t="str">
        <f aca="false">IF($B173="","",INDEX(Course!$P$2:$P$19,MATCH($B173,Course!$A$2:$A$19,0)))</f>
        <v/>
      </c>
      <c r="R173" s="17" t="str">
        <f aca="false">IF($C173="","",IF(OR($C173="G",$C173="H"),0,IF($C173="T",1,MIN(1,MAX(0,($N173-Inputs!$B$8)/MAX($P173-Inputs!$B$8,0.01))))))</f>
        <v/>
      </c>
      <c r="S173" s="17" t="str">
        <f aca="false">IF($C173="","",IF(OR($E173="G",$E173="H"),0,IF($E173="T",1,MIN(1,MAX(0,($O173-Inputs!$B$8)/MAX($P173-Inputs!$B$8,0.01))))))</f>
        <v/>
      </c>
    </row>
    <row r="174" customFormat="false" ht="15" hidden="false" customHeight="false" outlineLevel="0" collapsed="false">
      <c r="I174" s="7" t="str">
        <f aca="false">IF($C174="","",IF($C174="G","PUTT",IF(AND($C174="T",$M174&gt;3),"OTT",IF($D174&lt;=30,"ARG","APP"))))</f>
        <v/>
      </c>
      <c r="J174" s="17" t="str">
        <f aca="false">IF($C174="","",$N174+$Q174*$R174)</f>
        <v/>
      </c>
      <c r="K174" s="17" t="str">
        <f aca="false">IF($C174="","",$O174+$Q174*$S174)</f>
        <v/>
      </c>
      <c r="L174" s="17" t="str">
        <f aca="false">IF($C174="","",$J174-$K174-1-N($G174))</f>
        <v/>
      </c>
      <c r="M174" s="7" t="str">
        <f aca="false">IF($B174="","",INDEX(Course!$B$2:$B$19,MATCH($B174,Course!$A$2:$A$19,0)))</f>
        <v/>
      </c>
      <c r="N174" s="17" t="str">
        <f aca="false">IF($C174="","",IF($C174="H",0,IF($C174="G",INDEX(Baseline!$I$3:$I$102,MIN(MAX(ROUND($D174,0),1),100)),IF($C174="T",IF($M174=3,INDEX(Baseline!$B$3:$B$122,MATCH(MIN(MAX(ROUND(($D174)/5,0)*5,5),600),Baseline!$A$3:$A$122,0))-Inputs!$B$9,INDEX(Course!$N$2:$N$19,MATCH($B174,Course!$A$2:$A$19,0))),INDEX(Baseline!$B$3:$E$122,MATCH(MIN(MAX(ROUND(($D174)/5,0)*5,5),600),Baseline!$A$3:$A$122,0),MATCH($C174,Baseline!$B$2:$E$2,0))))))</f>
        <v/>
      </c>
      <c r="O174" s="17" t="str">
        <f aca="false">IF($C174="","",IF($E174="H",0,IF($E174="G",INDEX(Baseline!$I$3:$I$102,MIN(MAX(ROUND($F174,0),1),100)),IF($E174="T",IF($M174=3,INDEX(Baseline!$B$3:$B$122,MATCH(MIN(MAX(ROUND(($F174)/5,0)*5,5),600),Baseline!$A$3:$A$122,0))-Inputs!$B$9,INDEX(Course!$N$2:$N$19,MATCH($B174,Course!$A$2:$A$19,0))),INDEX(Baseline!$B$3:$E$122,MATCH(MIN(MAX(ROUND(($F174)/5,0)*5,5),600),Baseline!$A$3:$A$122,0),MATCH($E174,Baseline!$B$2:$E$2,0))))))</f>
        <v/>
      </c>
      <c r="P174" s="17" t="str">
        <f aca="false">IF($B174="","",INDEX(Course!$N$2:$N$19,MATCH($B174,Course!$A$2:$A$19,0)))</f>
        <v/>
      </c>
      <c r="Q174" s="17" t="str">
        <f aca="false">IF($B174="","",INDEX(Course!$P$2:$P$19,MATCH($B174,Course!$A$2:$A$19,0)))</f>
        <v/>
      </c>
      <c r="R174" s="17" t="str">
        <f aca="false">IF($C174="","",IF(OR($C174="G",$C174="H"),0,IF($C174="T",1,MIN(1,MAX(0,($N174-Inputs!$B$8)/MAX($P174-Inputs!$B$8,0.01))))))</f>
        <v/>
      </c>
      <c r="S174" s="17" t="str">
        <f aca="false">IF($C174="","",IF(OR($E174="G",$E174="H"),0,IF($E174="T",1,MIN(1,MAX(0,($O174-Inputs!$B$8)/MAX($P174-Inputs!$B$8,0.01))))))</f>
        <v/>
      </c>
    </row>
    <row r="175" customFormat="false" ht="15" hidden="false" customHeight="false" outlineLevel="0" collapsed="false">
      <c r="I175" s="7" t="str">
        <f aca="false">IF($C175="","",IF($C175="G","PUTT",IF(AND($C175="T",$M175&gt;3),"OTT",IF($D175&lt;=30,"ARG","APP"))))</f>
        <v/>
      </c>
      <c r="J175" s="17" t="str">
        <f aca="false">IF($C175="","",$N175+$Q175*$R175)</f>
        <v/>
      </c>
      <c r="K175" s="17" t="str">
        <f aca="false">IF($C175="","",$O175+$Q175*$S175)</f>
        <v/>
      </c>
      <c r="L175" s="17" t="str">
        <f aca="false">IF($C175="","",$J175-$K175-1-N($G175))</f>
        <v/>
      </c>
      <c r="M175" s="7" t="str">
        <f aca="false">IF($B175="","",INDEX(Course!$B$2:$B$19,MATCH($B175,Course!$A$2:$A$19,0)))</f>
        <v/>
      </c>
      <c r="N175" s="17" t="str">
        <f aca="false">IF($C175="","",IF($C175="H",0,IF($C175="G",INDEX(Baseline!$I$3:$I$102,MIN(MAX(ROUND($D175,0),1),100)),IF($C175="T",IF($M175=3,INDEX(Baseline!$B$3:$B$122,MATCH(MIN(MAX(ROUND(($D175)/5,0)*5,5),600),Baseline!$A$3:$A$122,0))-Inputs!$B$9,INDEX(Course!$N$2:$N$19,MATCH($B175,Course!$A$2:$A$19,0))),INDEX(Baseline!$B$3:$E$122,MATCH(MIN(MAX(ROUND(($D175)/5,0)*5,5),600),Baseline!$A$3:$A$122,0),MATCH($C175,Baseline!$B$2:$E$2,0))))))</f>
        <v/>
      </c>
      <c r="O175" s="17" t="str">
        <f aca="false">IF($C175="","",IF($E175="H",0,IF($E175="G",INDEX(Baseline!$I$3:$I$102,MIN(MAX(ROUND($F175,0),1),100)),IF($E175="T",IF($M175=3,INDEX(Baseline!$B$3:$B$122,MATCH(MIN(MAX(ROUND(($F175)/5,0)*5,5),600),Baseline!$A$3:$A$122,0))-Inputs!$B$9,INDEX(Course!$N$2:$N$19,MATCH($B175,Course!$A$2:$A$19,0))),INDEX(Baseline!$B$3:$E$122,MATCH(MIN(MAX(ROUND(($F175)/5,0)*5,5),600),Baseline!$A$3:$A$122,0),MATCH($E175,Baseline!$B$2:$E$2,0))))))</f>
        <v/>
      </c>
      <c r="P175" s="17" t="str">
        <f aca="false">IF($B175="","",INDEX(Course!$N$2:$N$19,MATCH($B175,Course!$A$2:$A$19,0)))</f>
        <v/>
      </c>
      <c r="Q175" s="17" t="str">
        <f aca="false">IF($B175="","",INDEX(Course!$P$2:$P$19,MATCH($B175,Course!$A$2:$A$19,0)))</f>
        <v/>
      </c>
      <c r="R175" s="17" t="str">
        <f aca="false">IF($C175="","",IF(OR($C175="G",$C175="H"),0,IF($C175="T",1,MIN(1,MAX(0,($N175-Inputs!$B$8)/MAX($P175-Inputs!$B$8,0.01))))))</f>
        <v/>
      </c>
      <c r="S175" s="17" t="str">
        <f aca="false">IF($C175="","",IF(OR($E175="G",$E175="H"),0,IF($E175="T",1,MIN(1,MAX(0,($O175-Inputs!$B$8)/MAX($P175-Inputs!$B$8,0.01))))))</f>
        <v/>
      </c>
    </row>
    <row r="176" customFormat="false" ht="15" hidden="false" customHeight="false" outlineLevel="0" collapsed="false">
      <c r="I176" s="7" t="str">
        <f aca="false">IF($C176="","",IF($C176="G","PUTT",IF(AND($C176="T",$M176&gt;3),"OTT",IF($D176&lt;=30,"ARG","APP"))))</f>
        <v/>
      </c>
      <c r="J176" s="17" t="str">
        <f aca="false">IF($C176="","",$N176+$Q176*$R176)</f>
        <v/>
      </c>
      <c r="K176" s="17" t="str">
        <f aca="false">IF($C176="","",$O176+$Q176*$S176)</f>
        <v/>
      </c>
      <c r="L176" s="17" t="str">
        <f aca="false">IF($C176="","",$J176-$K176-1-N($G176))</f>
        <v/>
      </c>
      <c r="M176" s="7" t="str">
        <f aca="false">IF($B176="","",INDEX(Course!$B$2:$B$19,MATCH($B176,Course!$A$2:$A$19,0)))</f>
        <v/>
      </c>
      <c r="N176" s="17" t="str">
        <f aca="false">IF($C176="","",IF($C176="H",0,IF($C176="G",INDEX(Baseline!$I$3:$I$102,MIN(MAX(ROUND($D176,0),1),100)),IF($C176="T",IF($M176=3,INDEX(Baseline!$B$3:$B$122,MATCH(MIN(MAX(ROUND(($D176)/5,0)*5,5),600),Baseline!$A$3:$A$122,0))-Inputs!$B$9,INDEX(Course!$N$2:$N$19,MATCH($B176,Course!$A$2:$A$19,0))),INDEX(Baseline!$B$3:$E$122,MATCH(MIN(MAX(ROUND(($D176)/5,0)*5,5),600),Baseline!$A$3:$A$122,0),MATCH($C176,Baseline!$B$2:$E$2,0))))))</f>
        <v/>
      </c>
      <c r="O176" s="17" t="str">
        <f aca="false">IF($C176="","",IF($E176="H",0,IF($E176="G",INDEX(Baseline!$I$3:$I$102,MIN(MAX(ROUND($F176,0),1),100)),IF($E176="T",IF($M176=3,INDEX(Baseline!$B$3:$B$122,MATCH(MIN(MAX(ROUND(($F176)/5,0)*5,5),600),Baseline!$A$3:$A$122,0))-Inputs!$B$9,INDEX(Course!$N$2:$N$19,MATCH($B176,Course!$A$2:$A$19,0))),INDEX(Baseline!$B$3:$E$122,MATCH(MIN(MAX(ROUND(($F176)/5,0)*5,5),600),Baseline!$A$3:$A$122,0),MATCH($E176,Baseline!$B$2:$E$2,0))))))</f>
        <v/>
      </c>
      <c r="P176" s="17" t="str">
        <f aca="false">IF($B176="","",INDEX(Course!$N$2:$N$19,MATCH($B176,Course!$A$2:$A$19,0)))</f>
        <v/>
      </c>
      <c r="Q176" s="17" t="str">
        <f aca="false">IF($B176="","",INDEX(Course!$P$2:$P$19,MATCH($B176,Course!$A$2:$A$19,0)))</f>
        <v/>
      </c>
      <c r="R176" s="17" t="str">
        <f aca="false">IF($C176="","",IF(OR($C176="G",$C176="H"),0,IF($C176="T",1,MIN(1,MAX(0,($N176-Inputs!$B$8)/MAX($P176-Inputs!$B$8,0.01))))))</f>
        <v/>
      </c>
      <c r="S176" s="17" t="str">
        <f aca="false">IF($C176="","",IF(OR($E176="G",$E176="H"),0,IF($E176="T",1,MIN(1,MAX(0,($O176-Inputs!$B$8)/MAX($P176-Inputs!$B$8,0.01))))))</f>
        <v/>
      </c>
    </row>
    <row r="177" customFormat="false" ht="15" hidden="false" customHeight="false" outlineLevel="0" collapsed="false">
      <c r="I177" s="7" t="str">
        <f aca="false">IF($C177="","",IF($C177="G","PUTT",IF(AND($C177="T",$M177&gt;3),"OTT",IF($D177&lt;=30,"ARG","APP"))))</f>
        <v/>
      </c>
      <c r="J177" s="17" t="str">
        <f aca="false">IF($C177="","",$N177+$Q177*$R177)</f>
        <v/>
      </c>
      <c r="K177" s="17" t="str">
        <f aca="false">IF($C177="","",$O177+$Q177*$S177)</f>
        <v/>
      </c>
      <c r="L177" s="17" t="str">
        <f aca="false">IF($C177="","",$J177-$K177-1-N($G177))</f>
        <v/>
      </c>
      <c r="M177" s="7" t="str">
        <f aca="false">IF($B177="","",INDEX(Course!$B$2:$B$19,MATCH($B177,Course!$A$2:$A$19,0)))</f>
        <v/>
      </c>
      <c r="N177" s="17" t="str">
        <f aca="false">IF($C177="","",IF($C177="H",0,IF($C177="G",INDEX(Baseline!$I$3:$I$102,MIN(MAX(ROUND($D177,0),1),100)),IF($C177="T",IF($M177=3,INDEX(Baseline!$B$3:$B$122,MATCH(MIN(MAX(ROUND(($D177)/5,0)*5,5),600),Baseline!$A$3:$A$122,0))-Inputs!$B$9,INDEX(Course!$N$2:$N$19,MATCH($B177,Course!$A$2:$A$19,0))),INDEX(Baseline!$B$3:$E$122,MATCH(MIN(MAX(ROUND(($D177)/5,0)*5,5),600),Baseline!$A$3:$A$122,0),MATCH($C177,Baseline!$B$2:$E$2,0))))))</f>
        <v/>
      </c>
      <c r="O177" s="17" t="str">
        <f aca="false">IF($C177="","",IF($E177="H",0,IF($E177="G",INDEX(Baseline!$I$3:$I$102,MIN(MAX(ROUND($F177,0),1),100)),IF($E177="T",IF($M177=3,INDEX(Baseline!$B$3:$B$122,MATCH(MIN(MAX(ROUND(($F177)/5,0)*5,5),600),Baseline!$A$3:$A$122,0))-Inputs!$B$9,INDEX(Course!$N$2:$N$19,MATCH($B177,Course!$A$2:$A$19,0))),INDEX(Baseline!$B$3:$E$122,MATCH(MIN(MAX(ROUND(($F177)/5,0)*5,5),600),Baseline!$A$3:$A$122,0),MATCH($E177,Baseline!$B$2:$E$2,0))))))</f>
        <v/>
      </c>
      <c r="P177" s="17" t="str">
        <f aca="false">IF($B177="","",INDEX(Course!$N$2:$N$19,MATCH($B177,Course!$A$2:$A$19,0)))</f>
        <v/>
      </c>
      <c r="Q177" s="17" t="str">
        <f aca="false">IF($B177="","",INDEX(Course!$P$2:$P$19,MATCH($B177,Course!$A$2:$A$19,0)))</f>
        <v/>
      </c>
      <c r="R177" s="17" t="str">
        <f aca="false">IF($C177="","",IF(OR($C177="G",$C177="H"),0,IF($C177="T",1,MIN(1,MAX(0,($N177-Inputs!$B$8)/MAX($P177-Inputs!$B$8,0.01))))))</f>
        <v/>
      </c>
      <c r="S177" s="17" t="str">
        <f aca="false">IF($C177="","",IF(OR($E177="G",$E177="H"),0,IF($E177="T",1,MIN(1,MAX(0,($O177-Inputs!$B$8)/MAX($P177-Inputs!$B$8,0.01))))))</f>
        <v/>
      </c>
    </row>
    <row r="178" customFormat="false" ht="15" hidden="false" customHeight="false" outlineLevel="0" collapsed="false">
      <c r="I178" s="7" t="str">
        <f aca="false">IF($C178="","",IF($C178="G","PUTT",IF(AND($C178="T",$M178&gt;3),"OTT",IF($D178&lt;=30,"ARG","APP"))))</f>
        <v/>
      </c>
      <c r="J178" s="17" t="str">
        <f aca="false">IF($C178="","",$N178+$Q178*$R178)</f>
        <v/>
      </c>
      <c r="K178" s="17" t="str">
        <f aca="false">IF($C178="","",$O178+$Q178*$S178)</f>
        <v/>
      </c>
      <c r="L178" s="17" t="str">
        <f aca="false">IF($C178="","",$J178-$K178-1-N($G178))</f>
        <v/>
      </c>
      <c r="M178" s="7" t="str">
        <f aca="false">IF($B178="","",INDEX(Course!$B$2:$B$19,MATCH($B178,Course!$A$2:$A$19,0)))</f>
        <v/>
      </c>
      <c r="N178" s="17" t="str">
        <f aca="false">IF($C178="","",IF($C178="H",0,IF($C178="G",INDEX(Baseline!$I$3:$I$102,MIN(MAX(ROUND($D178,0),1),100)),IF($C178="T",IF($M178=3,INDEX(Baseline!$B$3:$B$122,MATCH(MIN(MAX(ROUND(($D178)/5,0)*5,5),600),Baseline!$A$3:$A$122,0))-Inputs!$B$9,INDEX(Course!$N$2:$N$19,MATCH($B178,Course!$A$2:$A$19,0))),INDEX(Baseline!$B$3:$E$122,MATCH(MIN(MAX(ROUND(($D178)/5,0)*5,5),600),Baseline!$A$3:$A$122,0),MATCH($C178,Baseline!$B$2:$E$2,0))))))</f>
        <v/>
      </c>
      <c r="O178" s="17" t="str">
        <f aca="false">IF($C178="","",IF($E178="H",0,IF($E178="G",INDEX(Baseline!$I$3:$I$102,MIN(MAX(ROUND($F178,0),1),100)),IF($E178="T",IF($M178=3,INDEX(Baseline!$B$3:$B$122,MATCH(MIN(MAX(ROUND(($F178)/5,0)*5,5),600),Baseline!$A$3:$A$122,0))-Inputs!$B$9,INDEX(Course!$N$2:$N$19,MATCH($B178,Course!$A$2:$A$19,0))),INDEX(Baseline!$B$3:$E$122,MATCH(MIN(MAX(ROUND(($F178)/5,0)*5,5),600),Baseline!$A$3:$A$122,0),MATCH($E178,Baseline!$B$2:$E$2,0))))))</f>
        <v/>
      </c>
      <c r="P178" s="17" t="str">
        <f aca="false">IF($B178="","",INDEX(Course!$N$2:$N$19,MATCH($B178,Course!$A$2:$A$19,0)))</f>
        <v/>
      </c>
      <c r="Q178" s="17" t="str">
        <f aca="false">IF($B178="","",INDEX(Course!$P$2:$P$19,MATCH($B178,Course!$A$2:$A$19,0)))</f>
        <v/>
      </c>
      <c r="R178" s="17" t="str">
        <f aca="false">IF($C178="","",IF(OR($C178="G",$C178="H"),0,IF($C178="T",1,MIN(1,MAX(0,($N178-Inputs!$B$8)/MAX($P178-Inputs!$B$8,0.01))))))</f>
        <v/>
      </c>
      <c r="S178" s="17" t="str">
        <f aca="false">IF($C178="","",IF(OR($E178="G",$E178="H"),0,IF($E178="T",1,MIN(1,MAX(0,($O178-Inputs!$B$8)/MAX($P178-Inputs!$B$8,0.01))))))</f>
        <v/>
      </c>
    </row>
    <row r="179" customFormat="false" ht="15" hidden="false" customHeight="false" outlineLevel="0" collapsed="false">
      <c r="I179" s="7" t="str">
        <f aca="false">IF($C179="","",IF($C179="G","PUTT",IF(AND($C179="T",$M179&gt;3),"OTT",IF($D179&lt;=30,"ARG","APP"))))</f>
        <v/>
      </c>
      <c r="J179" s="17" t="str">
        <f aca="false">IF($C179="","",$N179+$Q179*$R179)</f>
        <v/>
      </c>
      <c r="K179" s="17" t="str">
        <f aca="false">IF($C179="","",$O179+$Q179*$S179)</f>
        <v/>
      </c>
      <c r="L179" s="17" t="str">
        <f aca="false">IF($C179="","",$J179-$K179-1-N($G179))</f>
        <v/>
      </c>
      <c r="M179" s="7" t="str">
        <f aca="false">IF($B179="","",INDEX(Course!$B$2:$B$19,MATCH($B179,Course!$A$2:$A$19,0)))</f>
        <v/>
      </c>
      <c r="N179" s="17" t="str">
        <f aca="false">IF($C179="","",IF($C179="H",0,IF($C179="G",INDEX(Baseline!$I$3:$I$102,MIN(MAX(ROUND($D179,0),1),100)),IF($C179="T",IF($M179=3,INDEX(Baseline!$B$3:$B$122,MATCH(MIN(MAX(ROUND(($D179)/5,0)*5,5),600),Baseline!$A$3:$A$122,0))-Inputs!$B$9,INDEX(Course!$N$2:$N$19,MATCH($B179,Course!$A$2:$A$19,0))),INDEX(Baseline!$B$3:$E$122,MATCH(MIN(MAX(ROUND(($D179)/5,0)*5,5),600),Baseline!$A$3:$A$122,0),MATCH($C179,Baseline!$B$2:$E$2,0))))))</f>
        <v/>
      </c>
      <c r="O179" s="17" t="str">
        <f aca="false">IF($C179="","",IF($E179="H",0,IF($E179="G",INDEX(Baseline!$I$3:$I$102,MIN(MAX(ROUND($F179,0),1),100)),IF($E179="T",IF($M179=3,INDEX(Baseline!$B$3:$B$122,MATCH(MIN(MAX(ROUND(($F179)/5,0)*5,5),600),Baseline!$A$3:$A$122,0))-Inputs!$B$9,INDEX(Course!$N$2:$N$19,MATCH($B179,Course!$A$2:$A$19,0))),INDEX(Baseline!$B$3:$E$122,MATCH(MIN(MAX(ROUND(($F179)/5,0)*5,5),600),Baseline!$A$3:$A$122,0),MATCH($E179,Baseline!$B$2:$E$2,0))))))</f>
        <v/>
      </c>
      <c r="P179" s="17" t="str">
        <f aca="false">IF($B179="","",INDEX(Course!$N$2:$N$19,MATCH($B179,Course!$A$2:$A$19,0)))</f>
        <v/>
      </c>
      <c r="Q179" s="17" t="str">
        <f aca="false">IF($B179="","",INDEX(Course!$P$2:$P$19,MATCH($B179,Course!$A$2:$A$19,0)))</f>
        <v/>
      </c>
      <c r="R179" s="17" t="str">
        <f aca="false">IF($C179="","",IF(OR($C179="G",$C179="H"),0,IF($C179="T",1,MIN(1,MAX(0,($N179-Inputs!$B$8)/MAX($P179-Inputs!$B$8,0.01))))))</f>
        <v/>
      </c>
      <c r="S179" s="17" t="str">
        <f aca="false">IF($C179="","",IF(OR($E179="G",$E179="H"),0,IF($E179="T",1,MIN(1,MAX(0,($O179-Inputs!$B$8)/MAX($P179-Inputs!$B$8,0.01))))))</f>
        <v/>
      </c>
    </row>
    <row r="180" customFormat="false" ht="15" hidden="false" customHeight="false" outlineLevel="0" collapsed="false">
      <c r="I180" s="7" t="str">
        <f aca="false">IF($C180="","",IF($C180="G","PUTT",IF(AND($C180="T",$M180&gt;3),"OTT",IF($D180&lt;=30,"ARG","APP"))))</f>
        <v/>
      </c>
      <c r="J180" s="17" t="str">
        <f aca="false">IF($C180="","",$N180+$Q180*$R180)</f>
        <v/>
      </c>
      <c r="K180" s="17" t="str">
        <f aca="false">IF($C180="","",$O180+$Q180*$S180)</f>
        <v/>
      </c>
      <c r="L180" s="17" t="str">
        <f aca="false">IF($C180="","",$J180-$K180-1-N($G180))</f>
        <v/>
      </c>
      <c r="M180" s="7" t="str">
        <f aca="false">IF($B180="","",INDEX(Course!$B$2:$B$19,MATCH($B180,Course!$A$2:$A$19,0)))</f>
        <v/>
      </c>
      <c r="N180" s="17" t="str">
        <f aca="false">IF($C180="","",IF($C180="H",0,IF($C180="G",INDEX(Baseline!$I$3:$I$102,MIN(MAX(ROUND($D180,0),1),100)),IF($C180="T",IF($M180=3,INDEX(Baseline!$B$3:$B$122,MATCH(MIN(MAX(ROUND(($D180)/5,0)*5,5),600),Baseline!$A$3:$A$122,0))-Inputs!$B$9,INDEX(Course!$N$2:$N$19,MATCH($B180,Course!$A$2:$A$19,0))),INDEX(Baseline!$B$3:$E$122,MATCH(MIN(MAX(ROUND(($D180)/5,0)*5,5),600),Baseline!$A$3:$A$122,0),MATCH($C180,Baseline!$B$2:$E$2,0))))))</f>
        <v/>
      </c>
      <c r="O180" s="17" t="str">
        <f aca="false">IF($C180="","",IF($E180="H",0,IF($E180="G",INDEX(Baseline!$I$3:$I$102,MIN(MAX(ROUND($F180,0),1),100)),IF($E180="T",IF($M180=3,INDEX(Baseline!$B$3:$B$122,MATCH(MIN(MAX(ROUND(($F180)/5,0)*5,5),600),Baseline!$A$3:$A$122,0))-Inputs!$B$9,INDEX(Course!$N$2:$N$19,MATCH($B180,Course!$A$2:$A$19,0))),INDEX(Baseline!$B$3:$E$122,MATCH(MIN(MAX(ROUND(($F180)/5,0)*5,5),600),Baseline!$A$3:$A$122,0),MATCH($E180,Baseline!$B$2:$E$2,0))))))</f>
        <v/>
      </c>
      <c r="P180" s="17" t="str">
        <f aca="false">IF($B180="","",INDEX(Course!$N$2:$N$19,MATCH($B180,Course!$A$2:$A$19,0)))</f>
        <v/>
      </c>
      <c r="Q180" s="17" t="str">
        <f aca="false">IF($B180="","",INDEX(Course!$P$2:$P$19,MATCH($B180,Course!$A$2:$A$19,0)))</f>
        <v/>
      </c>
      <c r="R180" s="17" t="str">
        <f aca="false">IF($C180="","",IF(OR($C180="G",$C180="H"),0,IF($C180="T",1,MIN(1,MAX(0,($N180-Inputs!$B$8)/MAX($P180-Inputs!$B$8,0.01))))))</f>
        <v/>
      </c>
      <c r="S180" s="17" t="str">
        <f aca="false">IF($C180="","",IF(OR($E180="G",$E180="H"),0,IF($E180="T",1,MIN(1,MAX(0,($O180-Inputs!$B$8)/MAX($P180-Inputs!$B$8,0.01))))))</f>
        <v/>
      </c>
    </row>
    <row r="181" customFormat="false" ht="15" hidden="false" customHeight="false" outlineLevel="0" collapsed="false">
      <c r="I181" s="7" t="str">
        <f aca="false">IF($C181="","",IF($C181="G","PUTT",IF(AND($C181="T",$M181&gt;3),"OTT",IF($D181&lt;=30,"ARG","APP"))))</f>
        <v/>
      </c>
      <c r="J181" s="17" t="str">
        <f aca="false">IF($C181="","",$N181+$Q181*$R181)</f>
        <v/>
      </c>
      <c r="K181" s="17" t="str">
        <f aca="false">IF($C181="","",$O181+$Q181*$S181)</f>
        <v/>
      </c>
      <c r="L181" s="17" t="str">
        <f aca="false">IF($C181="","",$J181-$K181-1-N($G181))</f>
        <v/>
      </c>
      <c r="M181" s="7" t="str">
        <f aca="false">IF($B181="","",INDEX(Course!$B$2:$B$19,MATCH($B181,Course!$A$2:$A$19,0)))</f>
        <v/>
      </c>
      <c r="N181" s="17" t="str">
        <f aca="false">IF($C181="","",IF($C181="H",0,IF($C181="G",INDEX(Baseline!$I$3:$I$102,MIN(MAX(ROUND($D181,0),1),100)),IF($C181="T",IF($M181=3,INDEX(Baseline!$B$3:$B$122,MATCH(MIN(MAX(ROUND(($D181)/5,0)*5,5),600),Baseline!$A$3:$A$122,0))-Inputs!$B$9,INDEX(Course!$N$2:$N$19,MATCH($B181,Course!$A$2:$A$19,0))),INDEX(Baseline!$B$3:$E$122,MATCH(MIN(MAX(ROUND(($D181)/5,0)*5,5),600),Baseline!$A$3:$A$122,0),MATCH($C181,Baseline!$B$2:$E$2,0))))))</f>
        <v/>
      </c>
      <c r="O181" s="17" t="str">
        <f aca="false">IF($C181="","",IF($E181="H",0,IF($E181="G",INDEX(Baseline!$I$3:$I$102,MIN(MAX(ROUND($F181,0),1),100)),IF($E181="T",IF($M181=3,INDEX(Baseline!$B$3:$B$122,MATCH(MIN(MAX(ROUND(($F181)/5,0)*5,5),600),Baseline!$A$3:$A$122,0))-Inputs!$B$9,INDEX(Course!$N$2:$N$19,MATCH($B181,Course!$A$2:$A$19,0))),INDEX(Baseline!$B$3:$E$122,MATCH(MIN(MAX(ROUND(($F181)/5,0)*5,5),600),Baseline!$A$3:$A$122,0),MATCH($E181,Baseline!$B$2:$E$2,0))))))</f>
        <v/>
      </c>
      <c r="P181" s="17" t="str">
        <f aca="false">IF($B181="","",INDEX(Course!$N$2:$N$19,MATCH($B181,Course!$A$2:$A$19,0)))</f>
        <v/>
      </c>
      <c r="Q181" s="17" t="str">
        <f aca="false">IF($B181="","",INDEX(Course!$P$2:$P$19,MATCH($B181,Course!$A$2:$A$19,0)))</f>
        <v/>
      </c>
      <c r="R181" s="17" t="str">
        <f aca="false">IF($C181="","",IF(OR($C181="G",$C181="H"),0,IF($C181="T",1,MIN(1,MAX(0,($N181-Inputs!$B$8)/MAX($P181-Inputs!$B$8,0.01))))))</f>
        <v/>
      </c>
      <c r="S181" s="17" t="str">
        <f aca="false">IF($C181="","",IF(OR($E181="G",$E181="H"),0,IF($E181="T",1,MIN(1,MAX(0,($O181-Inputs!$B$8)/MAX($P181-Inputs!$B$8,0.01))))))</f>
        <v/>
      </c>
    </row>
    <row r="182" customFormat="false" ht="15" hidden="false" customHeight="false" outlineLevel="0" collapsed="false">
      <c r="I182" s="7" t="str">
        <f aca="false">IF($C182="","",IF($C182="G","PUTT",IF(AND($C182="T",$M182&gt;3),"OTT",IF($D182&lt;=30,"ARG","APP"))))</f>
        <v/>
      </c>
      <c r="J182" s="17" t="str">
        <f aca="false">IF($C182="","",$N182+$Q182*$R182)</f>
        <v/>
      </c>
      <c r="K182" s="17" t="str">
        <f aca="false">IF($C182="","",$O182+$Q182*$S182)</f>
        <v/>
      </c>
      <c r="L182" s="17" t="str">
        <f aca="false">IF($C182="","",$J182-$K182-1-N($G182))</f>
        <v/>
      </c>
      <c r="M182" s="7" t="str">
        <f aca="false">IF($B182="","",INDEX(Course!$B$2:$B$19,MATCH($B182,Course!$A$2:$A$19,0)))</f>
        <v/>
      </c>
      <c r="N182" s="17" t="str">
        <f aca="false">IF($C182="","",IF($C182="H",0,IF($C182="G",INDEX(Baseline!$I$3:$I$102,MIN(MAX(ROUND($D182,0),1),100)),IF($C182="T",IF($M182=3,INDEX(Baseline!$B$3:$B$122,MATCH(MIN(MAX(ROUND(($D182)/5,0)*5,5),600),Baseline!$A$3:$A$122,0))-Inputs!$B$9,INDEX(Course!$N$2:$N$19,MATCH($B182,Course!$A$2:$A$19,0))),INDEX(Baseline!$B$3:$E$122,MATCH(MIN(MAX(ROUND(($D182)/5,0)*5,5),600),Baseline!$A$3:$A$122,0),MATCH($C182,Baseline!$B$2:$E$2,0))))))</f>
        <v/>
      </c>
      <c r="O182" s="17" t="str">
        <f aca="false">IF($C182="","",IF($E182="H",0,IF($E182="G",INDEX(Baseline!$I$3:$I$102,MIN(MAX(ROUND($F182,0),1),100)),IF($E182="T",IF($M182=3,INDEX(Baseline!$B$3:$B$122,MATCH(MIN(MAX(ROUND(($F182)/5,0)*5,5),600),Baseline!$A$3:$A$122,0))-Inputs!$B$9,INDEX(Course!$N$2:$N$19,MATCH($B182,Course!$A$2:$A$19,0))),INDEX(Baseline!$B$3:$E$122,MATCH(MIN(MAX(ROUND(($F182)/5,0)*5,5),600),Baseline!$A$3:$A$122,0),MATCH($E182,Baseline!$B$2:$E$2,0))))))</f>
        <v/>
      </c>
      <c r="P182" s="17" t="str">
        <f aca="false">IF($B182="","",INDEX(Course!$N$2:$N$19,MATCH($B182,Course!$A$2:$A$19,0)))</f>
        <v/>
      </c>
      <c r="Q182" s="17" t="str">
        <f aca="false">IF($B182="","",INDEX(Course!$P$2:$P$19,MATCH($B182,Course!$A$2:$A$19,0)))</f>
        <v/>
      </c>
      <c r="R182" s="17" t="str">
        <f aca="false">IF($C182="","",IF(OR($C182="G",$C182="H"),0,IF($C182="T",1,MIN(1,MAX(0,($N182-Inputs!$B$8)/MAX($P182-Inputs!$B$8,0.01))))))</f>
        <v/>
      </c>
      <c r="S182" s="17" t="str">
        <f aca="false">IF($C182="","",IF(OR($E182="G",$E182="H"),0,IF($E182="T",1,MIN(1,MAX(0,($O182-Inputs!$B$8)/MAX($P182-Inputs!$B$8,0.01))))))</f>
        <v/>
      </c>
    </row>
    <row r="183" customFormat="false" ht="15" hidden="false" customHeight="false" outlineLevel="0" collapsed="false">
      <c r="I183" s="7" t="str">
        <f aca="false">IF($C183="","",IF($C183="G","PUTT",IF(AND($C183="T",$M183&gt;3),"OTT",IF($D183&lt;=30,"ARG","APP"))))</f>
        <v/>
      </c>
      <c r="J183" s="17" t="str">
        <f aca="false">IF($C183="","",$N183+$Q183*$R183)</f>
        <v/>
      </c>
      <c r="K183" s="17" t="str">
        <f aca="false">IF($C183="","",$O183+$Q183*$S183)</f>
        <v/>
      </c>
      <c r="L183" s="17" t="str">
        <f aca="false">IF($C183="","",$J183-$K183-1-N($G183))</f>
        <v/>
      </c>
      <c r="M183" s="7" t="str">
        <f aca="false">IF($B183="","",INDEX(Course!$B$2:$B$19,MATCH($B183,Course!$A$2:$A$19,0)))</f>
        <v/>
      </c>
      <c r="N183" s="17" t="str">
        <f aca="false">IF($C183="","",IF($C183="H",0,IF($C183="G",INDEX(Baseline!$I$3:$I$102,MIN(MAX(ROUND($D183,0),1),100)),IF($C183="T",IF($M183=3,INDEX(Baseline!$B$3:$B$122,MATCH(MIN(MAX(ROUND(($D183)/5,0)*5,5),600),Baseline!$A$3:$A$122,0))-Inputs!$B$9,INDEX(Course!$N$2:$N$19,MATCH($B183,Course!$A$2:$A$19,0))),INDEX(Baseline!$B$3:$E$122,MATCH(MIN(MAX(ROUND(($D183)/5,0)*5,5),600),Baseline!$A$3:$A$122,0),MATCH($C183,Baseline!$B$2:$E$2,0))))))</f>
        <v/>
      </c>
      <c r="O183" s="17" t="str">
        <f aca="false">IF($C183="","",IF($E183="H",0,IF($E183="G",INDEX(Baseline!$I$3:$I$102,MIN(MAX(ROUND($F183,0),1),100)),IF($E183="T",IF($M183=3,INDEX(Baseline!$B$3:$B$122,MATCH(MIN(MAX(ROUND(($F183)/5,0)*5,5),600),Baseline!$A$3:$A$122,0))-Inputs!$B$9,INDEX(Course!$N$2:$N$19,MATCH($B183,Course!$A$2:$A$19,0))),INDEX(Baseline!$B$3:$E$122,MATCH(MIN(MAX(ROUND(($F183)/5,0)*5,5),600),Baseline!$A$3:$A$122,0),MATCH($E183,Baseline!$B$2:$E$2,0))))))</f>
        <v/>
      </c>
      <c r="P183" s="17" t="str">
        <f aca="false">IF($B183="","",INDEX(Course!$N$2:$N$19,MATCH($B183,Course!$A$2:$A$19,0)))</f>
        <v/>
      </c>
      <c r="Q183" s="17" t="str">
        <f aca="false">IF($B183="","",INDEX(Course!$P$2:$P$19,MATCH($B183,Course!$A$2:$A$19,0)))</f>
        <v/>
      </c>
      <c r="R183" s="17" t="str">
        <f aca="false">IF($C183="","",IF(OR($C183="G",$C183="H"),0,IF($C183="T",1,MIN(1,MAX(0,($N183-Inputs!$B$8)/MAX($P183-Inputs!$B$8,0.01))))))</f>
        <v/>
      </c>
      <c r="S183" s="17" t="str">
        <f aca="false">IF($C183="","",IF(OR($E183="G",$E183="H"),0,IF($E183="T",1,MIN(1,MAX(0,($O183-Inputs!$B$8)/MAX($P183-Inputs!$B$8,0.01))))))</f>
        <v/>
      </c>
    </row>
    <row r="184" customFormat="false" ht="15" hidden="false" customHeight="false" outlineLevel="0" collapsed="false">
      <c r="I184" s="7" t="str">
        <f aca="false">IF($C184="","",IF($C184="G","PUTT",IF(AND($C184="T",$M184&gt;3),"OTT",IF($D184&lt;=30,"ARG","APP"))))</f>
        <v/>
      </c>
      <c r="J184" s="17" t="str">
        <f aca="false">IF($C184="","",$N184+$Q184*$R184)</f>
        <v/>
      </c>
      <c r="K184" s="17" t="str">
        <f aca="false">IF($C184="","",$O184+$Q184*$S184)</f>
        <v/>
      </c>
      <c r="L184" s="17" t="str">
        <f aca="false">IF($C184="","",$J184-$K184-1-N($G184))</f>
        <v/>
      </c>
      <c r="M184" s="7" t="str">
        <f aca="false">IF($B184="","",INDEX(Course!$B$2:$B$19,MATCH($B184,Course!$A$2:$A$19,0)))</f>
        <v/>
      </c>
      <c r="N184" s="17" t="str">
        <f aca="false">IF($C184="","",IF($C184="H",0,IF($C184="G",INDEX(Baseline!$I$3:$I$102,MIN(MAX(ROUND($D184,0),1),100)),IF($C184="T",IF($M184=3,INDEX(Baseline!$B$3:$B$122,MATCH(MIN(MAX(ROUND(($D184)/5,0)*5,5),600),Baseline!$A$3:$A$122,0))-Inputs!$B$9,INDEX(Course!$N$2:$N$19,MATCH($B184,Course!$A$2:$A$19,0))),INDEX(Baseline!$B$3:$E$122,MATCH(MIN(MAX(ROUND(($D184)/5,0)*5,5),600),Baseline!$A$3:$A$122,0),MATCH($C184,Baseline!$B$2:$E$2,0))))))</f>
        <v/>
      </c>
      <c r="O184" s="17" t="str">
        <f aca="false">IF($C184="","",IF($E184="H",0,IF($E184="G",INDEX(Baseline!$I$3:$I$102,MIN(MAX(ROUND($F184,0),1),100)),IF($E184="T",IF($M184=3,INDEX(Baseline!$B$3:$B$122,MATCH(MIN(MAX(ROUND(($F184)/5,0)*5,5),600),Baseline!$A$3:$A$122,0))-Inputs!$B$9,INDEX(Course!$N$2:$N$19,MATCH($B184,Course!$A$2:$A$19,0))),INDEX(Baseline!$B$3:$E$122,MATCH(MIN(MAX(ROUND(($F184)/5,0)*5,5),600),Baseline!$A$3:$A$122,0),MATCH($E184,Baseline!$B$2:$E$2,0))))))</f>
        <v/>
      </c>
      <c r="P184" s="17" t="str">
        <f aca="false">IF($B184="","",INDEX(Course!$N$2:$N$19,MATCH($B184,Course!$A$2:$A$19,0)))</f>
        <v/>
      </c>
      <c r="Q184" s="17" t="str">
        <f aca="false">IF($B184="","",INDEX(Course!$P$2:$P$19,MATCH($B184,Course!$A$2:$A$19,0)))</f>
        <v/>
      </c>
      <c r="R184" s="17" t="str">
        <f aca="false">IF($C184="","",IF(OR($C184="G",$C184="H"),0,IF($C184="T",1,MIN(1,MAX(0,($N184-Inputs!$B$8)/MAX($P184-Inputs!$B$8,0.01))))))</f>
        <v/>
      </c>
      <c r="S184" s="17" t="str">
        <f aca="false">IF($C184="","",IF(OR($E184="G",$E184="H"),0,IF($E184="T",1,MIN(1,MAX(0,($O184-Inputs!$B$8)/MAX($P184-Inputs!$B$8,0.01))))))</f>
        <v/>
      </c>
    </row>
    <row r="185" customFormat="false" ht="15" hidden="false" customHeight="false" outlineLevel="0" collapsed="false">
      <c r="I185" s="7" t="str">
        <f aca="false">IF($C185="","",IF($C185="G","PUTT",IF(AND($C185="T",$M185&gt;3),"OTT",IF($D185&lt;=30,"ARG","APP"))))</f>
        <v/>
      </c>
      <c r="J185" s="17" t="str">
        <f aca="false">IF($C185="","",$N185+$Q185*$R185)</f>
        <v/>
      </c>
      <c r="K185" s="17" t="str">
        <f aca="false">IF($C185="","",$O185+$Q185*$S185)</f>
        <v/>
      </c>
      <c r="L185" s="17" t="str">
        <f aca="false">IF($C185="","",$J185-$K185-1-N($G185))</f>
        <v/>
      </c>
      <c r="M185" s="7" t="str">
        <f aca="false">IF($B185="","",INDEX(Course!$B$2:$B$19,MATCH($B185,Course!$A$2:$A$19,0)))</f>
        <v/>
      </c>
      <c r="N185" s="17" t="str">
        <f aca="false">IF($C185="","",IF($C185="H",0,IF($C185="G",INDEX(Baseline!$I$3:$I$102,MIN(MAX(ROUND($D185,0),1),100)),IF($C185="T",IF($M185=3,INDEX(Baseline!$B$3:$B$122,MATCH(MIN(MAX(ROUND(($D185)/5,0)*5,5),600),Baseline!$A$3:$A$122,0))-Inputs!$B$9,INDEX(Course!$N$2:$N$19,MATCH($B185,Course!$A$2:$A$19,0))),INDEX(Baseline!$B$3:$E$122,MATCH(MIN(MAX(ROUND(($D185)/5,0)*5,5),600),Baseline!$A$3:$A$122,0),MATCH($C185,Baseline!$B$2:$E$2,0))))))</f>
        <v/>
      </c>
      <c r="O185" s="17" t="str">
        <f aca="false">IF($C185="","",IF($E185="H",0,IF($E185="G",INDEX(Baseline!$I$3:$I$102,MIN(MAX(ROUND($F185,0),1),100)),IF($E185="T",IF($M185=3,INDEX(Baseline!$B$3:$B$122,MATCH(MIN(MAX(ROUND(($F185)/5,0)*5,5),600),Baseline!$A$3:$A$122,0))-Inputs!$B$9,INDEX(Course!$N$2:$N$19,MATCH($B185,Course!$A$2:$A$19,0))),INDEX(Baseline!$B$3:$E$122,MATCH(MIN(MAX(ROUND(($F185)/5,0)*5,5),600),Baseline!$A$3:$A$122,0),MATCH($E185,Baseline!$B$2:$E$2,0))))))</f>
        <v/>
      </c>
      <c r="P185" s="17" t="str">
        <f aca="false">IF($B185="","",INDEX(Course!$N$2:$N$19,MATCH($B185,Course!$A$2:$A$19,0)))</f>
        <v/>
      </c>
      <c r="Q185" s="17" t="str">
        <f aca="false">IF($B185="","",INDEX(Course!$P$2:$P$19,MATCH($B185,Course!$A$2:$A$19,0)))</f>
        <v/>
      </c>
      <c r="R185" s="17" t="str">
        <f aca="false">IF($C185="","",IF(OR($C185="G",$C185="H"),0,IF($C185="T",1,MIN(1,MAX(0,($N185-Inputs!$B$8)/MAX($P185-Inputs!$B$8,0.01))))))</f>
        <v/>
      </c>
      <c r="S185" s="17" t="str">
        <f aca="false">IF($C185="","",IF(OR($E185="G",$E185="H"),0,IF($E185="T",1,MIN(1,MAX(0,($O185-Inputs!$B$8)/MAX($P185-Inputs!$B$8,0.01))))))</f>
        <v/>
      </c>
    </row>
    <row r="186" customFormat="false" ht="15" hidden="false" customHeight="false" outlineLevel="0" collapsed="false">
      <c r="I186" s="7" t="str">
        <f aca="false">IF($C186="","",IF($C186="G","PUTT",IF(AND($C186="T",$M186&gt;3),"OTT",IF($D186&lt;=30,"ARG","APP"))))</f>
        <v/>
      </c>
      <c r="J186" s="17" t="str">
        <f aca="false">IF($C186="","",$N186+$Q186*$R186)</f>
        <v/>
      </c>
      <c r="K186" s="17" t="str">
        <f aca="false">IF($C186="","",$O186+$Q186*$S186)</f>
        <v/>
      </c>
      <c r="L186" s="17" t="str">
        <f aca="false">IF($C186="","",$J186-$K186-1-N($G186))</f>
        <v/>
      </c>
      <c r="M186" s="7" t="str">
        <f aca="false">IF($B186="","",INDEX(Course!$B$2:$B$19,MATCH($B186,Course!$A$2:$A$19,0)))</f>
        <v/>
      </c>
      <c r="N186" s="17" t="str">
        <f aca="false">IF($C186="","",IF($C186="H",0,IF($C186="G",INDEX(Baseline!$I$3:$I$102,MIN(MAX(ROUND($D186,0),1),100)),IF($C186="T",IF($M186=3,INDEX(Baseline!$B$3:$B$122,MATCH(MIN(MAX(ROUND(($D186)/5,0)*5,5),600),Baseline!$A$3:$A$122,0))-Inputs!$B$9,INDEX(Course!$N$2:$N$19,MATCH($B186,Course!$A$2:$A$19,0))),INDEX(Baseline!$B$3:$E$122,MATCH(MIN(MAX(ROUND(($D186)/5,0)*5,5),600),Baseline!$A$3:$A$122,0),MATCH($C186,Baseline!$B$2:$E$2,0))))))</f>
        <v/>
      </c>
      <c r="O186" s="17" t="str">
        <f aca="false">IF($C186="","",IF($E186="H",0,IF($E186="G",INDEX(Baseline!$I$3:$I$102,MIN(MAX(ROUND($F186,0),1),100)),IF($E186="T",IF($M186=3,INDEX(Baseline!$B$3:$B$122,MATCH(MIN(MAX(ROUND(($F186)/5,0)*5,5),600),Baseline!$A$3:$A$122,0))-Inputs!$B$9,INDEX(Course!$N$2:$N$19,MATCH($B186,Course!$A$2:$A$19,0))),INDEX(Baseline!$B$3:$E$122,MATCH(MIN(MAX(ROUND(($F186)/5,0)*5,5),600),Baseline!$A$3:$A$122,0),MATCH($E186,Baseline!$B$2:$E$2,0))))))</f>
        <v/>
      </c>
      <c r="P186" s="17" t="str">
        <f aca="false">IF($B186="","",INDEX(Course!$N$2:$N$19,MATCH($B186,Course!$A$2:$A$19,0)))</f>
        <v/>
      </c>
      <c r="Q186" s="17" t="str">
        <f aca="false">IF($B186="","",INDEX(Course!$P$2:$P$19,MATCH($B186,Course!$A$2:$A$19,0)))</f>
        <v/>
      </c>
      <c r="R186" s="17" t="str">
        <f aca="false">IF($C186="","",IF(OR($C186="G",$C186="H"),0,IF($C186="T",1,MIN(1,MAX(0,($N186-Inputs!$B$8)/MAX($P186-Inputs!$B$8,0.01))))))</f>
        <v/>
      </c>
      <c r="S186" s="17" t="str">
        <f aca="false">IF($C186="","",IF(OR($E186="G",$E186="H"),0,IF($E186="T",1,MIN(1,MAX(0,($O186-Inputs!$B$8)/MAX($P186-Inputs!$B$8,0.01))))))</f>
        <v/>
      </c>
    </row>
    <row r="187" customFormat="false" ht="15" hidden="false" customHeight="false" outlineLevel="0" collapsed="false">
      <c r="I187" s="7" t="str">
        <f aca="false">IF($C187="","",IF($C187="G","PUTT",IF(AND($C187="T",$M187&gt;3),"OTT",IF($D187&lt;=30,"ARG","APP"))))</f>
        <v/>
      </c>
      <c r="J187" s="17" t="str">
        <f aca="false">IF($C187="","",$N187+$Q187*$R187)</f>
        <v/>
      </c>
      <c r="K187" s="17" t="str">
        <f aca="false">IF($C187="","",$O187+$Q187*$S187)</f>
        <v/>
      </c>
      <c r="L187" s="17" t="str">
        <f aca="false">IF($C187="","",$J187-$K187-1-N($G187))</f>
        <v/>
      </c>
      <c r="M187" s="7" t="str">
        <f aca="false">IF($B187="","",INDEX(Course!$B$2:$B$19,MATCH($B187,Course!$A$2:$A$19,0)))</f>
        <v/>
      </c>
      <c r="N187" s="17" t="str">
        <f aca="false">IF($C187="","",IF($C187="H",0,IF($C187="G",INDEX(Baseline!$I$3:$I$102,MIN(MAX(ROUND($D187,0),1),100)),IF($C187="T",IF($M187=3,INDEX(Baseline!$B$3:$B$122,MATCH(MIN(MAX(ROUND(($D187)/5,0)*5,5),600),Baseline!$A$3:$A$122,0))-Inputs!$B$9,INDEX(Course!$N$2:$N$19,MATCH($B187,Course!$A$2:$A$19,0))),INDEX(Baseline!$B$3:$E$122,MATCH(MIN(MAX(ROUND(($D187)/5,0)*5,5),600),Baseline!$A$3:$A$122,0),MATCH($C187,Baseline!$B$2:$E$2,0))))))</f>
        <v/>
      </c>
      <c r="O187" s="17" t="str">
        <f aca="false">IF($C187="","",IF($E187="H",0,IF($E187="G",INDEX(Baseline!$I$3:$I$102,MIN(MAX(ROUND($F187,0),1),100)),IF($E187="T",IF($M187=3,INDEX(Baseline!$B$3:$B$122,MATCH(MIN(MAX(ROUND(($F187)/5,0)*5,5),600),Baseline!$A$3:$A$122,0))-Inputs!$B$9,INDEX(Course!$N$2:$N$19,MATCH($B187,Course!$A$2:$A$19,0))),INDEX(Baseline!$B$3:$E$122,MATCH(MIN(MAX(ROUND(($F187)/5,0)*5,5),600),Baseline!$A$3:$A$122,0),MATCH($E187,Baseline!$B$2:$E$2,0))))))</f>
        <v/>
      </c>
      <c r="P187" s="17" t="str">
        <f aca="false">IF($B187="","",INDEX(Course!$N$2:$N$19,MATCH($B187,Course!$A$2:$A$19,0)))</f>
        <v/>
      </c>
      <c r="Q187" s="17" t="str">
        <f aca="false">IF($B187="","",INDEX(Course!$P$2:$P$19,MATCH($B187,Course!$A$2:$A$19,0)))</f>
        <v/>
      </c>
      <c r="R187" s="17" t="str">
        <f aca="false">IF($C187="","",IF(OR($C187="G",$C187="H"),0,IF($C187="T",1,MIN(1,MAX(0,($N187-Inputs!$B$8)/MAX($P187-Inputs!$B$8,0.01))))))</f>
        <v/>
      </c>
      <c r="S187" s="17" t="str">
        <f aca="false">IF($C187="","",IF(OR($E187="G",$E187="H"),0,IF($E187="T",1,MIN(1,MAX(0,($O187-Inputs!$B$8)/MAX($P187-Inputs!$B$8,0.01))))))</f>
        <v/>
      </c>
    </row>
    <row r="188" customFormat="false" ht="15" hidden="false" customHeight="false" outlineLevel="0" collapsed="false">
      <c r="I188" s="7" t="str">
        <f aca="false">IF($C188="","",IF($C188="G","PUTT",IF(AND($C188="T",$M188&gt;3),"OTT",IF($D188&lt;=30,"ARG","APP"))))</f>
        <v/>
      </c>
      <c r="J188" s="17" t="str">
        <f aca="false">IF($C188="","",$N188+$Q188*$R188)</f>
        <v/>
      </c>
      <c r="K188" s="17" t="str">
        <f aca="false">IF($C188="","",$O188+$Q188*$S188)</f>
        <v/>
      </c>
      <c r="L188" s="17" t="str">
        <f aca="false">IF($C188="","",$J188-$K188-1-N($G188))</f>
        <v/>
      </c>
      <c r="M188" s="7" t="str">
        <f aca="false">IF($B188="","",INDEX(Course!$B$2:$B$19,MATCH($B188,Course!$A$2:$A$19,0)))</f>
        <v/>
      </c>
      <c r="N188" s="17" t="str">
        <f aca="false">IF($C188="","",IF($C188="H",0,IF($C188="G",INDEX(Baseline!$I$3:$I$102,MIN(MAX(ROUND($D188,0),1),100)),IF($C188="T",IF($M188=3,INDEX(Baseline!$B$3:$B$122,MATCH(MIN(MAX(ROUND(($D188)/5,0)*5,5),600),Baseline!$A$3:$A$122,0))-Inputs!$B$9,INDEX(Course!$N$2:$N$19,MATCH($B188,Course!$A$2:$A$19,0))),INDEX(Baseline!$B$3:$E$122,MATCH(MIN(MAX(ROUND(($D188)/5,0)*5,5),600),Baseline!$A$3:$A$122,0),MATCH($C188,Baseline!$B$2:$E$2,0))))))</f>
        <v/>
      </c>
      <c r="O188" s="17" t="str">
        <f aca="false">IF($C188="","",IF($E188="H",0,IF($E188="G",INDEX(Baseline!$I$3:$I$102,MIN(MAX(ROUND($F188,0),1),100)),IF($E188="T",IF($M188=3,INDEX(Baseline!$B$3:$B$122,MATCH(MIN(MAX(ROUND(($F188)/5,0)*5,5),600),Baseline!$A$3:$A$122,0))-Inputs!$B$9,INDEX(Course!$N$2:$N$19,MATCH($B188,Course!$A$2:$A$19,0))),INDEX(Baseline!$B$3:$E$122,MATCH(MIN(MAX(ROUND(($F188)/5,0)*5,5),600),Baseline!$A$3:$A$122,0),MATCH($E188,Baseline!$B$2:$E$2,0))))))</f>
        <v/>
      </c>
      <c r="P188" s="17" t="str">
        <f aca="false">IF($B188="","",INDEX(Course!$N$2:$N$19,MATCH($B188,Course!$A$2:$A$19,0)))</f>
        <v/>
      </c>
      <c r="Q188" s="17" t="str">
        <f aca="false">IF($B188="","",INDEX(Course!$P$2:$P$19,MATCH($B188,Course!$A$2:$A$19,0)))</f>
        <v/>
      </c>
      <c r="R188" s="17" t="str">
        <f aca="false">IF($C188="","",IF(OR($C188="G",$C188="H"),0,IF($C188="T",1,MIN(1,MAX(0,($N188-Inputs!$B$8)/MAX($P188-Inputs!$B$8,0.01))))))</f>
        <v/>
      </c>
      <c r="S188" s="17" t="str">
        <f aca="false">IF($C188="","",IF(OR($E188="G",$E188="H"),0,IF($E188="T",1,MIN(1,MAX(0,($O188-Inputs!$B$8)/MAX($P188-Inputs!$B$8,0.01))))))</f>
        <v/>
      </c>
    </row>
    <row r="189" customFormat="false" ht="15" hidden="false" customHeight="false" outlineLevel="0" collapsed="false">
      <c r="I189" s="7" t="str">
        <f aca="false">IF($C189="","",IF($C189="G","PUTT",IF(AND($C189="T",$M189&gt;3),"OTT",IF($D189&lt;=30,"ARG","APP"))))</f>
        <v/>
      </c>
      <c r="J189" s="17" t="str">
        <f aca="false">IF($C189="","",$N189+$Q189*$R189)</f>
        <v/>
      </c>
      <c r="K189" s="17" t="str">
        <f aca="false">IF($C189="","",$O189+$Q189*$S189)</f>
        <v/>
      </c>
      <c r="L189" s="17" t="str">
        <f aca="false">IF($C189="","",$J189-$K189-1-N($G189))</f>
        <v/>
      </c>
      <c r="M189" s="7" t="str">
        <f aca="false">IF($B189="","",INDEX(Course!$B$2:$B$19,MATCH($B189,Course!$A$2:$A$19,0)))</f>
        <v/>
      </c>
      <c r="N189" s="17" t="str">
        <f aca="false">IF($C189="","",IF($C189="H",0,IF($C189="G",INDEX(Baseline!$I$3:$I$102,MIN(MAX(ROUND($D189,0),1),100)),IF($C189="T",IF($M189=3,INDEX(Baseline!$B$3:$B$122,MATCH(MIN(MAX(ROUND(($D189)/5,0)*5,5),600),Baseline!$A$3:$A$122,0))-Inputs!$B$9,INDEX(Course!$N$2:$N$19,MATCH($B189,Course!$A$2:$A$19,0))),INDEX(Baseline!$B$3:$E$122,MATCH(MIN(MAX(ROUND(($D189)/5,0)*5,5),600),Baseline!$A$3:$A$122,0),MATCH($C189,Baseline!$B$2:$E$2,0))))))</f>
        <v/>
      </c>
      <c r="O189" s="17" t="str">
        <f aca="false">IF($C189="","",IF($E189="H",0,IF($E189="G",INDEX(Baseline!$I$3:$I$102,MIN(MAX(ROUND($F189,0),1),100)),IF($E189="T",IF($M189=3,INDEX(Baseline!$B$3:$B$122,MATCH(MIN(MAX(ROUND(($F189)/5,0)*5,5),600),Baseline!$A$3:$A$122,0))-Inputs!$B$9,INDEX(Course!$N$2:$N$19,MATCH($B189,Course!$A$2:$A$19,0))),INDEX(Baseline!$B$3:$E$122,MATCH(MIN(MAX(ROUND(($F189)/5,0)*5,5),600),Baseline!$A$3:$A$122,0),MATCH($E189,Baseline!$B$2:$E$2,0))))))</f>
        <v/>
      </c>
      <c r="P189" s="17" t="str">
        <f aca="false">IF($B189="","",INDEX(Course!$N$2:$N$19,MATCH($B189,Course!$A$2:$A$19,0)))</f>
        <v/>
      </c>
      <c r="Q189" s="17" t="str">
        <f aca="false">IF($B189="","",INDEX(Course!$P$2:$P$19,MATCH($B189,Course!$A$2:$A$19,0)))</f>
        <v/>
      </c>
      <c r="R189" s="17" t="str">
        <f aca="false">IF($C189="","",IF(OR($C189="G",$C189="H"),0,IF($C189="T",1,MIN(1,MAX(0,($N189-Inputs!$B$8)/MAX($P189-Inputs!$B$8,0.01))))))</f>
        <v/>
      </c>
      <c r="S189" s="17" t="str">
        <f aca="false">IF($C189="","",IF(OR($E189="G",$E189="H"),0,IF($E189="T",1,MIN(1,MAX(0,($O189-Inputs!$B$8)/MAX($P189-Inputs!$B$8,0.01))))))</f>
        <v/>
      </c>
    </row>
    <row r="190" customFormat="false" ht="15" hidden="false" customHeight="false" outlineLevel="0" collapsed="false">
      <c r="I190" s="7" t="str">
        <f aca="false">IF($C190="","",IF($C190="G","PUTT",IF(AND($C190="T",$M190&gt;3),"OTT",IF($D190&lt;=30,"ARG","APP"))))</f>
        <v/>
      </c>
      <c r="J190" s="17" t="str">
        <f aca="false">IF($C190="","",$N190+$Q190*$R190)</f>
        <v/>
      </c>
      <c r="K190" s="17" t="str">
        <f aca="false">IF($C190="","",$O190+$Q190*$S190)</f>
        <v/>
      </c>
      <c r="L190" s="17" t="str">
        <f aca="false">IF($C190="","",$J190-$K190-1-N($G190))</f>
        <v/>
      </c>
      <c r="M190" s="7" t="str">
        <f aca="false">IF($B190="","",INDEX(Course!$B$2:$B$19,MATCH($B190,Course!$A$2:$A$19,0)))</f>
        <v/>
      </c>
      <c r="N190" s="17" t="str">
        <f aca="false">IF($C190="","",IF($C190="H",0,IF($C190="G",INDEX(Baseline!$I$3:$I$102,MIN(MAX(ROUND($D190,0),1),100)),IF($C190="T",IF($M190=3,INDEX(Baseline!$B$3:$B$122,MATCH(MIN(MAX(ROUND(($D190)/5,0)*5,5),600),Baseline!$A$3:$A$122,0))-Inputs!$B$9,INDEX(Course!$N$2:$N$19,MATCH($B190,Course!$A$2:$A$19,0))),INDEX(Baseline!$B$3:$E$122,MATCH(MIN(MAX(ROUND(($D190)/5,0)*5,5),600),Baseline!$A$3:$A$122,0),MATCH($C190,Baseline!$B$2:$E$2,0))))))</f>
        <v/>
      </c>
      <c r="O190" s="17" t="str">
        <f aca="false">IF($C190="","",IF($E190="H",0,IF($E190="G",INDEX(Baseline!$I$3:$I$102,MIN(MAX(ROUND($F190,0),1),100)),IF($E190="T",IF($M190=3,INDEX(Baseline!$B$3:$B$122,MATCH(MIN(MAX(ROUND(($F190)/5,0)*5,5),600),Baseline!$A$3:$A$122,0))-Inputs!$B$9,INDEX(Course!$N$2:$N$19,MATCH($B190,Course!$A$2:$A$19,0))),INDEX(Baseline!$B$3:$E$122,MATCH(MIN(MAX(ROUND(($F190)/5,0)*5,5),600),Baseline!$A$3:$A$122,0),MATCH($E190,Baseline!$B$2:$E$2,0))))))</f>
        <v/>
      </c>
      <c r="P190" s="17" t="str">
        <f aca="false">IF($B190="","",INDEX(Course!$N$2:$N$19,MATCH($B190,Course!$A$2:$A$19,0)))</f>
        <v/>
      </c>
      <c r="Q190" s="17" t="str">
        <f aca="false">IF($B190="","",INDEX(Course!$P$2:$P$19,MATCH($B190,Course!$A$2:$A$19,0)))</f>
        <v/>
      </c>
      <c r="R190" s="17" t="str">
        <f aca="false">IF($C190="","",IF(OR($C190="G",$C190="H"),0,IF($C190="T",1,MIN(1,MAX(0,($N190-Inputs!$B$8)/MAX($P190-Inputs!$B$8,0.01))))))</f>
        <v/>
      </c>
      <c r="S190" s="17" t="str">
        <f aca="false">IF($C190="","",IF(OR($E190="G",$E190="H"),0,IF($E190="T",1,MIN(1,MAX(0,($O190-Inputs!$B$8)/MAX($P190-Inputs!$B$8,0.01))))))</f>
        <v/>
      </c>
    </row>
    <row r="191" customFormat="false" ht="15" hidden="false" customHeight="false" outlineLevel="0" collapsed="false">
      <c r="I191" s="7" t="str">
        <f aca="false">IF($C191="","",IF($C191="G","PUTT",IF(AND($C191="T",$M191&gt;3),"OTT",IF($D191&lt;=30,"ARG","APP"))))</f>
        <v/>
      </c>
      <c r="J191" s="17" t="str">
        <f aca="false">IF($C191="","",$N191+$Q191*$R191)</f>
        <v/>
      </c>
      <c r="K191" s="17" t="str">
        <f aca="false">IF($C191="","",$O191+$Q191*$S191)</f>
        <v/>
      </c>
      <c r="L191" s="17" t="str">
        <f aca="false">IF($C191="","",$J191-$K191-1-N($G191))</f>
        <v/>
      </c>
      <c r="M191" s="7" t="str">
        <f aca="false">IF($B191="","",INDEX(Course!$B$2:$B$19,MATCH($B191,Course!$A$2:$A$19,0)))</f>
        <v/>
      </c>
      <c r="N191" s="17" t="str">
        <f aca="false">IF($C191="","",IF($C191="H",0,IF($C191="G",INDEX(Baseline!$I$3:$I$102,MIN(MAX(ROUND($D191,0),1),100)),IF($C191="T",IF($M191=3,INDEX(Baseline!$B$3:$B$122,MATCH(MIN(MAX(ROUND(($D191)/5,0)*5,5),600),Baseline!$A$3:$A$122,0))-Inputs!$B$9,INDEX(Course!$N$2:$N$19,MATCH($B191,Course!$A$2:$A$19,0))),INDEX(Baseline!$B$3:$E$122,MATCH(MIN(MAX(ROUND(($D191)/5,0)*5,5),600),Baseline!$A$3:$A$122,0),MATCH($C191,Baseline!$B$2:$E$2,0))))))</f>
        <v/>
      </c>
      <c r="O191" s="17" t="str">
        <f aca="false">IF($C191="","",IF($E191="H",0,IF($E191="G",INDEX(Baseline!$I$3:$I$102,MIN(MAX(ROUND($F191,0),1),100)),IF($E191="T",IF($M191=3,INDEX(Baseline!$B$3:$B$122,MATCH(MIN(MAX(ROUND(($F191)/5,0)*5,5),600),Baseline!$A$3:$A$122,0))-Inputs!$B$9,INDEX(Course!$N$2:$N$19,MATCH($B191,Course!$A$2:$A$19,0))),INDEX(Baseline!$B$3:$E$122,MATCH(MIN(MAX(ROUND(($F191)/5,0)*5,5),600),Baseline!$A$3:$A$122,0),MATCH($E191,Baseline!$B$2:$E$2,0))))))</f>
        <v/>
      </c>
      <c r="P191" s="17" t="str">
        <f aca="false">IF($B191="","",INDEX(Course!$N$2:$N$19,MATCH($B191,Course!$A$2:$A$19,0)))</f>
        <v/>
      </c>
      <c r="Q191" s="17" t="str">
        <f aca="false">IF($B191="","",INDEX(Course!$P$2:$P$19,MATCH($B191,Course!$A$2:$A$19,0)))</f>
        <v/>
      </c>
      <c r="R191" s="17" t="str">
        <f aca="false">IF($C191="","",IF(OR($C191="G",$C191="H"),0,IF($C191="T",1,MIN(1,MAX(0,($N191-Inputs!$B$8)/MAX($P191-Inputs!$B$8,0.01))))))</f>
        <v/>
      </c>
      <c r="S191" s="17" t="str">
        <f aca="false">IF($C191="","",IF(OR($E191="G",$E191="H"),0,IF($E191="T",1,MIN(1,MAX(0,($O191-Inputs!$B$8)/MAX($P191-Inputs!$B$8,0.01))))))</f>
        <v/>
      </c>
    </row>
    <row r="192" customFormat="false" ht="15" hidden="false" customHeight="false" outlineLevel="0" collapsed="false">
      <c r="I192" s="7" t="str">
        <f aca="false">IF($C192="","",IF($C192="G","PUTT",IF(AND($C192="T",$M192&gt;3),"OTT",IF($D192&lt;=30,"ARG","APP"))))</f>
        <v/>
      </c>
      <c r="J192" s="17" t="str">
        <f aca="false">IF($C192="","",$N192+$Q192*$R192)</f>
        <v/>
      </c>
      <c r="K192" s="17" t="str">
        <f aca="false">IF($C192="","",$O192+$Q192*$S192)</f>
        <v/>
      </c>
      <c r="L192" s="17" t="str">
        <f aca="false">IF($C192="","",$J192-$K192-1-N($G192))</f>
        <v/>
      </c>
      <c r="M192" s="7" t="str">
        <f aca="false">IF($B192="","",INDEX(Course!$B$2:$B$19,MATCH($B192,Course!$A$2:$A$19,0)))</f>
        <v/>
      </c>
      <c r="N192" s="17" t="str">
        <f aca="false">IF($C192="","",IF($C192="H",0,IF($C192="G",INDEX(Baseline!$I$3:$I$102,MIN(MAX(ROUND($D192,0),1),100)),IF($C192="T",IF($M192=3,INDEX(Baseline!$B$3:$B$122,MATCH(MIN(MAX(ROUND(($D192)/5,0)*5,5),600),Baseline!$A$3:$A$122,0))-Inputs!$B$9,INDEX(Course!$N$2:$N$19,MATCH($B192,Course!$A$2:$A$19,0))),INDEX(Baseline!$B$3:$E$122,MATCH(MIN(MAX(ROUND(($D192)/5,0)*5,5),600),Baseline!$A$3:$A$122,0),MATCH($C192,Baseline!$B$2:$E$2,0))))))</f>
        <v/>
      </c>
      <c r="O192" s="17" t="str">
        <f aca="false">IF($C192="","",IF($E192="H",0,IF($E192="G",INDEX(Baseline!$I$3:$I$102,MIN(MAX(ROUND($F192,0),1),100)),IF($E192="T",IF($M192=3,INDEX(Baseline!$B$3:$B$122,MATCH(MIN(MAX(ROUND(($F192)/5,0)*5,5),600),Baseline!$A$3:$A$122,0))-Inputs!$B$9,INDEX(Course!$N$2:$N$19,MATCH($B192,Course!$A$2:$A$19,0))),INDEX(Baseline!$B$3:$E$122,MATCH(MIN(MAX(ROUND(($F192)/5,0)*5,5),600),Baseline!$A$3:$A$122,0),MATCH($E192,Baseline!$B$2:$E$2,0))))))</f>
        <v/>
      </c>
      <c r="P192" s="17" t="str">
        <f aca="false">IF($B192="","",INDEX(Course!$N$2:$N$19,MATCH($B192,Course!$A$2:$A$19,0)))</f>
        <v/>
      </c>
      <c r="Q192" s="17" t="str">
        <f aca="false">IF($B192="","",INDEX(Course!$P$2:$P$19,MATCH($B192,Course!$A$2:$A$19,0)))</f>
        <v/>
      </c>
      <c r="R192" s="17" t="str">
        <f aca="false">IF($C192="","",IF(OR($C192="G",$C192="H"),0,IF($C192="T",1,MIN(1,MAX(0,($N192-Inputs!$B$8)/MAX($P192-Inputs!$B$8,0.01))))))</f>
        <v/>
      </c>
      <c r="S192" s="17" t="str">
        <f aca="false">IF($C192="","",IF(OR($E192="G",$E192="H"),0,IF($E192="T",1,MIN(1,MAX(0,($O192-Inputs!$B$8)/MAX($P192-Inputs!$B$8,0.01))))))</f>
        <v/>
      </c>
    </row>
    <row r="193" customFormat="false" ht="15" hidden="false" customHeight="false" outlineLevel="0" collapsed="false">
      <c r="I193" s="7" t="str">
        <f aca="false">IF($C193="","",IF($C193="G","PUTT",IF(AND($C193="T",$M193&gt;3),"OTT",IF($D193&lt;=30,"ARG","APP"))))</f>
        <v/>
      </c>
      <c r="J193" s="17" t="str">
        <f aca="false">IF($C193="","",$N193+$Q193*$R193)</f>
        <v/>
      </c>
      <c r="K193" s="17" t="str">
        <f aca="false">IF($C193="","",$O193+$Q193*$S193)</f>
        <v/>
      </c>
      <c r="L193" s="17" t="str">
        <f aca="false">IF($C193="","",$J193-$K193-1-N($G193))</f>
        <v/>
      </c>
      <c r="M193" s="7" t="str">
        <f aca="false">IF($B193="","",INDEX(Course!$B$2:$B$19,MATCH($B193,Course!$A$2:$A$19,0)))</f>
        <v/>
      </c>
      <c r="N193" s="17" t="str">
        <f aca="false">IF($C193="","",IF($C193="H",0,IF($C193="G",INDEX(Baseline!$I$3:$I$102,MIN(MAX(ROUND($D193,0),1),100)),IF($C193="T",IF($M193=3,INDEX(Baseline!$B$3:$B$122,MATCH(MIN(MAX(ROUND(($D193)/5,0)*5,5),600),Baseline!$A$3:$A$122,0))-Inputs!$B$9,INDEX(Course!$N$2:$N$19,MATCH($B193,Course!$A$2:$A$19,0))),INDEX(Baseline!$B$3:$E$122,MATCH(MIN(MAX(ROUND(($D193)/5,0)*5,5),600),Baseline!$A$3:$A$122,0),MATCH($C193,Baseline!$B$2:$E$2,0))))))</f>
        <v/>
      </c>
      <c r="O193" s="17" t="str">
        <f aca="false">IF($C193="","",IF($E193="H",0,IF($E193="G",INDEX(Baseline!$I$3:$I$102,MIN(MAX(ROUND($F193,0),1),100)),IF($E193="T",IF($M193=3,INDEX(Baseline!$B$3:$B$122,MATCH(MIN(MAX(ROUND(($F193)/5,0)*5,5),600),Baseline!$A$3:$A$122,0))-Inputs!$B$9,INDEX(Course!$N$2:$N$19,MATCH($B193,Course!$A$2:$A$19,0))),INDEX(Baseline!$B$3:$E$122,MATCH(MIN(MAX(ROUND(($F193)/5,0)*5,5),600),Baseline!$A$3:$A$122,0),MATCH($E193,Baseline!$B$2:$E$2,0))))))</f>
        <v/>
      </c>
      <c r="P193" s="17" t="str">
        <f aca="false">IF($B193="","",INDEX(Course!$N$2:$N$19,MATCH($B193,Course!$A$2:$A$19,0)))</f>
        <v/>
      </c>
      <c r="Q193" s="17" t="str">
        <f aca="false">IF($B193="","",INDEX(Course!$P$2:$P$19,MATCH($B193,Course!$A$2:$A$19,0)))</f>
        <v/>
      </c>
      <c r="R193" s="17" t="str">
        <f aca="false">IF($C193="","",IF(OR($C193="G",$C193="H"),0,IF($C193="T",1,MIN(1,MAX(0,($N193-Inputs!$B$8)/MAX($P193-Inputs!$B$8,0.01))))))</f>
        <v/>
      </c>
      <c r="S193" s="17" t="str">
        <f aca="false">IF($C193="","",IF(OR($E193="G",$E193="H"),0,IF($E193="T",1,MIN(1,MAX(0,($O193-Inputs!$B$8)/MAX($P193-Inputs!$B$8,0.01))))))</f>
        <v/>
      </c>
    </row>
    <row r="194" customFormat="false" ht="15" hidden="false" customHeight="false" outlineLevel="0" collapsed="false">
      <c r="I194" s="7" t="str">
        <f aca="false">IF($C194="","",IF($C194="G","PUTT",IF(AND($C194="T",$M194&gt;3),"OTT",IF($D194&lt;=30,"ARG","APP"))))</f>
        <v/>
      </c>
      <c r="J194" s="17" t="str">
        <f aca="false">IF($C194="","",$N194+$Q194*$R194)</f>
        <v/>
      </c>
      <c r="K194" s="17" t="str">
        <f aca="false">IF($C194="","",$O194+$Q194*$S194)</f>
        <v/>
      </c>
      <c r="L194" s="17" t="str">
        <f aca="false">IF($C194="","",$J194-$K194-1-N($G194))</f>
        <v/>
      </c>
      <c r="M194" s="7" t="str">
        <f aca="false">IF($B194="","",INDEX(Course!$B$2:$B$19,MATCH($B194,Course!$A$2:$A$19,0)))</f>
        <v/>
      </c>
      <c r="N194" s="17" t="str">
        <f aca="false">IF($C194="","",IF($C194="H",0,IF($C194="G",INDEX(Baseline!$I$3:$I$102,MIN(MAX(ROUND($D194,0),1),100)),IF($C194="T",IF($M194=3,INDEX(Baseline!$B$3:$B$122,MATCH(MIN(MAX(ROUND(($D194)/5,0)*5,5),600),Baseline!$A$3:$A$122,0))-Inputs!$B$9,INDEX(Course!$N$2:$N$19,MATCH($B194,Course!$A$2:$A$19,0))),INDEX(Baseline!$B$3:$E$122,MATCH(MIN(MAX(ROUND(($D194)/5,0)*5,5),600),Baseline!$A$3:$A$122,0),MATCH($C194,Baseline!$B$2:$E$2,0))))))</f>
        <v/>
      </c>
      <c r="O194" s="17" t="str">
        <f aca="false">IF($C194="","",IF($E194="H",0,IF($E194="G",INDEX(Baseline!$I$3:$I$102,MIN(MAX(ROUND($F194,0),1),100)),IF($E194="T",IF($M194=3,INDEX(Baseline!$B$3:$B$122,MATCH(MIN(MAX(ROUND(($F194)/5,0)*5,5),600),Baseline!$A$3:$A$122,0))-Inputs!$B$9,INDEX(Course!$N$2:$N$19,MATCH($B194,Course!$A$2:$A$19,0))),INDEX(Baseline!$B$3:$E$122,MATCH(MIN(MAX(ROUND(($F194)/5,0)*5,5),600),Baseline!$A$3:$A$122,0),MATCH($E194,Baseline!$B$2:$E$2,0))))))</f>
        <v/>
      </c>
      <c r="P194" s="17" t="str">
        <f aca="false">IF($B194="","",INDEX(Course!$N$2:$N$19,MATCH($B194,Course!$A$2:$A$19,0)))</f>
        <v/>
      </c>
      <c r="Q194" s="17" t="str">
        <f aca="false">IF($B194="","",INDEX(Course!$P$2:$P$19,MATCH($B194,Course!$A$2:$A$19,0)))</f>
        <v/>
      </c>
      <c r="R194" s="17" t="str">
        <f aca="false">IF($C194="","",IF(OR($C194="G",$C194="H"),0,IF($C194="T",1,MIN(1,MAX(0,($N194-Inputs!$B$8)/MAX($P194-Inputs!$B$8,0.01))))))</f>
        <v/>
      </c>
      <c r="S194" s="17" t="str">
        <f aca="false">IF($C194="","",IF(OR($E194="G",$E194="H"),0,IF($E194="T",1,MIN(1,MAX(0,($O194-Inputs!$B$8)/MAX($P194-Inputs!$B$8,0.01))))))</f>
        <v/>
      </c>
    </row>
    <row r="195" customFormat="false" ht="15" hidden="false" customHeight="false" outlineLevel="0" collapsed="false">
      <c r="I195" s="7" t="str">
        <f aca="false">IF($C195="","",IF($C195="G","PUTT",IF(AND($C195="T",$M195&gt;3),"OTT",IF($D195&lt;=30,"ARG","APP"))))</f>
        <v/>
      </c>
      <c r="J195" s="17" t="str">
        <f aca="false">IF($C195="","",$N195+$Q195*$R195)</f>
        <v/>
      </c>
      <c r="K195" s="17" t="str">
        <f aca="false">IF($C195="","",$O195+$Q195*$S195)</f>
        <v/>
      </c>
      <c r="L195" s="17" t="str">
        <f aca="false">IF($C195="","",$J195-$K195-1-N($G195))</f>
        <v/>
      </c>
      <c r="M195" s="7" t="str">
        <f aca="false">IF($B195="","",INDEX(Course!$B$2:$B$19,MATCH($B195,Course!$A$2:$A$19,0)))</f>
        <v/>
      </c>
      <c r="N195" s="17" t="str">
        <f aca="false">IF($C195="","",IF($C195="H",0,IF($C195="G",INDEX(Baseline!$I$3:$I$102,MIN(MAX(ROUND($D195,0),1),100)),IF($C195="T",IF($M195=3,INDEX(Baseline!$B$3:$B$122,MATCH(MIN(MAX(ROUND(($D195)/5,0)*5,5),600),Baseline!$A$3:$A$122,0))-Inputs!$B$9,INDEX(Course!$N$2:$N$19,MATCH($B195,Course!$A$2:$A$19,0))),INDEX(Baseline!$B$3:$E$122,MATCH(MIN(MAX(ROUND(($D195)/5,0)*5,5),600),Baseline!$A$3:$A$122,0),MATCH($C195,Baseline!$B$2:$E$2,0))))))</f>
        <v/>
      </c>
      <c r="O195" s="17" t="str">
        <f aca="false">IF($C195="","",IF($E195="H",0,IF($E195="G",INDEX(Baseline!$I$3:$I$102,MIN(MAX(ROUND($F195,0),1),100)),IF($E195="T",IF($M195=3,INDEX(Baseline!$B$3:$B$122,MATCH(MIN(MAX(ROUND(($F195)/5,0)*5,5),600),Baseline!$A$3:$A$122,0))-Inputs!$B$9,INDEX(Course!$N$2:$N$19,MATCH($B195,Course!$A$2:$A$19,0))),INDEX(Baseline!$B$3:$E$122,MATCH(MIN(MAX(ROUND(($F195)/5,0)*5,5),600),Baseline!$A$3:$A$122,0),MATCH($E195,Baseline!$B$2:$E$2,0))))))</f>
        <v/>
      </c>
      <c r="P195" s="17" t="str">
        <f aca="false">IF($B195="","",INDEX(Course!$N$2:$N$19,MATCH($B195,Course!$A$2:$A$19,0)))</f>
        <v/>
      </c>
      <c r="Q195" s="17" t="str">
        <f aca="false">IF($B195="","",INDEX(Course!$P$2:$P$19,MATCH($B195,Course!$A$2:$A$19,0)))</f>
        <v/>
      </c>
      <c r="R195" s="17" t="str">
        <f aca="false">IF($C195="","",IF(OR($C195="G",$C195="H"),0,IF($C195="T",1,MIN(1,MAX(0,($N195-Inputs!$B$8)/MAX($P195-Inputs!$B$8,0.01))))))</f>
        <v/>
      </c>
      <c r="S195" s="17" t="str">
        <f aca="false">IF($C195="","",IF(OR($E195="G",$E195="H"),0,IF($E195="T",1,MIN(1,MAX(0,($O195-Inputs!$B$8)/MAX($P195-Inputs!$B$8,0.01))))))</f>
        <v/>
      </c>
    </row>
    <row r="196" customFormat="false" ht="15" hidden="false" customHeight="false" outlineLevel="0" collapsed="false">
      <c r="I196" s="7" t="str">
        <f aca="false">IF($C196="","",IF($C196="G","PUTT",IF(AND($C196="T",$M196&gt;3),"OTT",IF($D196&lt;=30,"ARG","APP"))))</f>
        <v/>
      </c>
      <c r="J196" s="17" t="str">
        <f aca="false">IF($C196="","",$N196+$Q196*$R196)</f>
        <v/>
      </c>
      <c r="K196" s="17" t="str">
        <f aca="false">IF($C196="","",$O196+$Q196*$S196)</f>
        <v/>
      </c>
      <c r="L196" s="17" t="str">
        <f aca="false">IF($C196="","",$J196-$K196-1-N($G196))</f>
        <v/>
      </c>
      <c r="M196" s="7" t="str">
        <f aca="false">IF($B196="","",INDEX(Course!$B$2:$B$19,MATCH($B196,Course!$A$2:$A$19,0)))</f>
        <v/>
      </c>
      <c r="N196" s="17" t="str">
        <f aca="false">IF($C196="","",IF($C196="H",0,IF($C196="G",INDEX(Baseline!$I$3:$I$102,MIN(MAX(ROUND($D196,0),1),100)),IF($C196="T",IF($M196=3,INDEX(Baseline!$B$3:$B$122,MATCH(MIN(MAX(ROUND(($D196)/5,0)*5,5),600),Baseline!$A$3:$A$122,0))-Inputs!$B$9,INDEX(Course!$N$2:$N$19,MATCH($B196,Course!$A$2:$A$19,0))),INDEX(Baseline!$B$3:$E$122,MATCH(MIN(MAX(ROUND(($D196)/5,0)*5,5),600),Baseline!$A$3:$A$122,0),MATCH($C196,Baseline!$B$2:$E$2,0))))))</f>
        <v/>
      </c>
      <c r="O196" s="17" t="str">
        <f aca="false">IF($C196="","",IF($E196="H",0,IF($E196="G",INDEX(Baseline!$I$3:$I$102,MIN(MAX(ROUND($F196,0),1),100)),IF($E196="T",IF($M196=3,INDEX(Baseline!$B$3:$B$122,MATCH(MIN(MAX(ROUND(($F196)/5,0)*5,5),600),Baseline!$A$3:$A$122,0))-Inputs!$B$9,INDEX(Course!$N$2:$N$19,MATCH($B196,Course!$A$2:$A$19,0))),INDEX(Baseline!$B$3:$E$122,MATCH(MIN(MAX(ROUND(($F196)/5,0)*5,5),600),Baseline!$A$3:$A$122,0),MATCH($E196,Baseline!$B$2:$E$2,0))))))</f>
        <v/>
      </c>
      <c r="P196" s="17" t="str">
        <f aca="false">IF($B196="","",INDEX(Course!$N$2:$N$19,MATCH($B196,Course!$A$2:$A$19,0)))</f>
        <v/>
      </c>
      <c r="Q196" s="17" t="str">
        <f aca="false">IF($B196="","",INDEX(Course!$P$2:$P$19,MATCH($B196,Course!$A$2:$A$19,0)))</f>
        <v/>
      </c>
      <c r="R196" s="17" t="str">
        <f aca="false">IF($C196="","",IF(OR($C196="G",$C196="H"),0,IF($C196="T",1,MIN(1,MAX(0,($N196-Inputs!$B$8)/MAX($P196-Inputs!$B$8,0.01))))))</f>
        <v/>
      </c>
      <c r="S196" s="17" t="str">
        <f aca="false">IF($C196="","",IF(OR($E196="G",$E196="H"),0,IF($E196="T",1,MIN(1,MAX(0,($O196-Inputs!$B$8)/MAX($P196-Inputs!$B$8,0.01))))))</f>
        <v/>
      </c>
    </row>
    <row r="197" customFormat="false" ht="15" hidden="false" customHeight="false" outlineLevel="0" collapsed="false">
      <c r="I197" s="7" t="str">
        <f aca="false">IF($C197="","",IF($C197="G","PUTT",IF(AND($C197="T",$M197&gt;3),"OTT",IF($D197&lt;=30,"ARG","APP"))))</f>
        <v/>
      </c>
      <c r="J197" s="17" t="str">
        <f aca="false">IF($C197="","",$N197+$Q197*$R197)</f>
        <v/>
      </c>
      <c r="K197" s="17" t="str">
        <f aca="false">IF($C197="","",$O197+$Q197*$S197)</f>
        <v/>
      </c>
      <c r="L197" s="17" t="str">
        <f aca="false">IF($C197="","",$J197-$K197-1-N($G197))</f>
        <v/>
      </c>
      <c r="M197" s="7" t="str">
        <f aca="false">IF($B197="","",INDEX(Course!$B$2:$B$19,MATCH($B197,Course!$A$2:$A$19,0)))</f>
        <v/>
      </c>
      <c r="N197" s="17" t="str">
        <f aca="false">IF($C197="","",IF($C197="H",0,IF($C197="G",INDEX(Baseline!$I$3:$I$102,MIN(MAX(ROUND($D197,0),1),100)),IF($C197="T",IF($M197=3,INDEX(Baseline!$B$3:$B$122,MATCH(MIN(MAX(ROUND(($D197)/5,0)*5,5),600),Baseline!$A$3:$A$122,0))-Inputs!$B$9,INDEX(Course!$N$2:$N$19,MATCH($B197,Course!$A$2:$A$19,0))),INDEX(Baseline!$B$3:$E$122,MATCH(MIN(MAX(ROUND(($D197)/5,0)*5,5),600),Baseline!$A$3:$A$122,0),MATCH($C197,Baseline!$B$2:$E$2,0))))))</f>
        <v/>
      </c>
      <c r="O197" s="17" t="str">
        <f aca="false">IF($C197="","",IF($E197="H",0,IF($E197="G",INDEX(Baseline!$I$3:$I$102,MIN(MAX(ROUND($F197,0),1),100)),IF($E197="T",IF($M197=3,INDEX(Baseline!$B$3:$B$122,MATCH(MIN(MAX(ROUND(($F197)/5,0)*5,5),600),Baseline!$A$3:$A$122,0))-Inputs!$B$9,INDEX(Course!$N$2:$N$19,MATCH($B197,Course!$A$2:$A$19,0))),INDEX(Baseline!$B$3:$E$122,MATCH(MIN(MAX(ROUND(($F197)/5,0)*5,5),600),Baseline!$A$3:$A$122,0),MATCH($E197,Baseline!$B$2:$E$2,0))))))</f>
        <v/>
      </c>
      <c r="P197" s="17" t="str">
        <f aca="false">IF($B197="","",INDEX(Course!$N$2:$N$19,MATCH($B197,Course!$A$2:$A$19,0)))</f>
        <v/>
      </c>
      <c r="Q197" s="17" t="str">
        <f aca="false">IF($B197="","",INDEX(Course!$P$2:$P$19,MATCH($B197,Course!$A$2:$A$19,0)))</f>
        <v/>
      </c>
      <c r="R197" s="17" t="str">
        <f aca="false">IF($C197="","",IF(OR($C197="G",$C197="H"),0,IF($C197="T",1,MIN(1,MAX(0,($N197-Inputs!$B$8)/MAX($P197-Inputs!$B$8,0.01))))))</f>
        <v/>
      </c>
      <c r="S197" s="17" t="str">
        <f aca="false">IF($C197="","",IF(OR($E197="G",$E197="H"),0,IF($E197="T",1,MIN(1,MAX(0,($O197-Inputs!$B$8)/MAX($P197-Inputs!$B$8,0.01))))))</f>
        <v/>
      </c>
    </row>
    <row r="198" customFormat="false" ht="15" hidden="false" customHeight="false" outlineLevel="0" collapsed="false">
      <c r="I198" s="7" t="str">
        <f aca="false">IF($C198="","",IF($C198="G","PUTT",IF(AND($C198="T",$M198&gt;3),"OTT",IF($D198&lt;=30,"ARG","APP"))))</f>
        <v/>
      </c>
      <c r="J198" s="17" t="str">
        <f aca="false">IF($C198="","",$N198+$Q198*$R198)</f>
        <v/>
      </c>
      <c r="K198" s="17" t="str">
        <f aca="false">IF($C198="","",$O198+$Q198*$S198)</f>
        <v/>
      </c>
      <c r="L198" s="17" t="str">
        <f aca="false">IF($C198="","",$J198-$K198-1-N($G198))</f>
        <v/>
      </c>
      <c r="M198" s="7" t="str">
        <f aca="false">IF($B198="","",INDEX(Course!$B$2:$B$19,MATCH($B198,Course!$A$2:$A$19,0)))</f>
        <v/>
      </c>
      <c r="N198" s="17" t="str">
        <f aca="false">IF($C198="","",IF($C198="H",0,IF($C198="G",INDEX(Baseline!$I$3:$I$102,MIN(MAX(ROUND($D198,0),1),100)),IF($C198="T",IF($M198=3,INDEX(Baseline!$B$3:$B$122,MATCH(MIN(MAX(ROUND(($D198)/5,0)*5,5),600),Baseline!$A$3:$A$122,0))-Inputs!$B$9,INDEX(Course!$N$2:$N$19,MATCH($B198,Course!$A$2:$A$19,0))),INDEX(Baseline!$B$3:$E$122,MATCH(MIN(MAX(ROUND(($D198)/5,0)*5,5),600),Baseline!$A$3:$A$122,0),MATCH($C198,Baseline!$B$2:$E$2,0))))))</f>
        <v/>
      </c>
      <c r="O198" s="17" t="str">
        <f aca="false">IF($C198="","",IF($E198="H",0,IF($E198="G",INDEX(Baseline!$I$3:$I$102,MIN(MAX(ROUND($F198,0),1),100)),IF($E198="T",IF($M198=3,INDEX(Baseline!$B$3:$B$122,MATCH(MIN(MAX(ROUND(($F198)/5,0)*5,5),600),Baseline!$A$3:$A$122,0))-Inputs!$B$9,INDEX(Course!$N$2:$N$19,MATCH($B198,Course!$A$2:$A$19,0))),INDEX(Baseline!$B$3:$E$122,MATCH(MIN(MAX(ROUND(($F198)/5,0)*5,5),600),Baseline!$A$3:$A$122,0),MATCH($E198,Baseline!$B$2:$E$2,0))))))</f>
        <v/>
      </c>
      <c r="P198" s="17" t="str">
        <f aca="false">IF($B198="","",INDEX(Course!$N$2:$N$19,MATCH($B198,Course!$A$2:$A$19,0)))</f>
        <v/>
      </c>
      <c r="Q198" s="17" t="str">
        <f aca="false">IF($B198="","",INDEX(Course!$P$2:$P$19,MATCH($B198,Course!$A$2:$A$19,0)))</f>
        <v/>
      </c>
      <c r="R198" s="17" t="str">
        <f aca="false">IF($C198="","",IF(OR($C198="G",$C198="H"),0,IF($C198="T",1,MIN(1,MAX(0,($N198-Inputs!$B$8)/MAX($P198-Inputs!$B$8,0.01))))))</f>
        <v/>
      </c>
      <c r="S198" s="17" t="str">
        <f aca="false">IF($C198="","",IF(OR($E198="G",$E198="H"),0,IF($E198="T",1,MIN(1,MAX(0,($O198-Inputs!$B$8)/MAX($P198-Inputs!$B$8,0.01))))))</f>
        <v/>
      </c>
    </row>
    <row r="199" customFormat="false" ht="15" hidden="false" customHeight="false" outlineLevel="0" collapsed="false">
      <c r="I199" s="7" t="str">
        <f aca="false">IF($C199="","",IF($C199="G","PUTT",IF(AND($C199="T",$M199&gt;3),"OTT",IF($D199&lt;=30,"ARG","APP"))))</f>
        <v/>
      </c>
      <c r="J199" s="17" t="str">
        <f aca="false">IF($C199="","",$N199+$Q199*$R199)</f>
        <v/>
      </c>
      <c r="K199" s="17" t="str">
        <f aca="false">IF($C199="","",$O199+$Q199*$S199)</f>
        <v/>
      </c>
      <c r="L199" s="17" t="str">
        <f aca="false">IF($C199="","",$J199-$K199-1-N($G199))</f>
        <v/>
      </c>
      <c r="M199" s="7" t="str">
        <f aca="false">IF($B199="","",INDEX(Course!$B$2:$B$19,MATCH($B199,Course!$A$2:$A$19,0)))</f>
        <v/>
      </c>
      <c r="N199" s="17" t="str">
        <f aca="false">IF($C199="","",IF($C199="H",0,IF($C199="G",INDEX(Baseline!$I$3:$I$102,MIN(MAX(ROUND($D199,0),1),100)),IF($C199="T",IF($M199=3,INDEX(Baseline!$B$3:$B$122,MATCH(MIN(MAX(ROUND(($D199)/5,0)*5,5),600),Baseline!$A$3:$A$122,0))-Inputs!$B$9,INDEX(Course!$N$2:$N$19,MATCH($B199,Course!$A$2:$A$19,0))),INDEX(Baseline!$B$3:$E$122,MATCH(MIN(MAX(ROUND(($D199)/5,0)*5,5),600),Baseline!$A$3:$A$122,0),MATCH($C199,Baseline!$B$2:$E$2,0))))))</f>
        <v/>
      </c>
      <c r="O199" s="17" t="str">
        <f aca="false">IF($C199="","",IF($E199="H",0,IF($E199="G",INDEX(Baseline!$I$3:$I$102,MIN(MAX(ROUND($F199,0),1),100)),IF($E199="T",IF($M199=3,INDEX(Baseline!$B$3:$B$122,MATCH(MIN(MAX(ROUND(($F199)/5,0)*5,5),600),Baseline!$A$3:$A$122,0))-Inputs!$B$9,INDEX(Course!$N$2:$N$19,MATCH($B199,Course!$A$2:$A$19,0))),INDEX(Baseline!$B$3:$E$122,MATCH(MIN(MAX(ROUND(($F199)/5,0)*5,5),600),Baseline!$A$3:$A$122,0),MATCH($E199,Baseline!$B$2:$E$2,0))))))</f>
        <v/>
      </c>
      <c r="P199" s="17" t="str">
        <f aca="false">IF($B199="","",INDEX(Course!$N$2:$N$19,MATCH($B199,Course!$A$2:$A$19,0)))</f>
        <v/>
      </c>
      <c r="Q199" s="17" t="str">
        <f aca="false">IF($B199="","",INDEX(Course!$P$2:$P$19,MATCH($B199,Course!$A$2:$A$19,0)))</f>
        <v/>
      </c>
      <c r="R199" s="17" t="str">
        <f aca="false">IF($C199="","",IF(OR($C199="G",$C199="H"),0,IF($C199="T",1,MIN(1,MAX(0,($N199-Inputs!$B$8)/MAX($P199-Inputs!$B$8,0.01))))))</f>
        <v/>
      </c>
      <c r="S199" s="17" t="str">
        <f aca="false">IF($C199="","",IF(OR($E199="G",$E199="H"),0,IF($E199="T",1,MIN(1,MAX(0,($O199-Inputs!$B$8)/MAX($P199-Inputs!$B$8,0.01))))))</f>
        <v/>
      </c>
    </row>
    <row r="200" customFormat="false" ht="15" hidden="false" customHeight="false" outlineLevel="0" collapsed="false">
      <c r="I200" s="7" t="str">
        <f aca="false">IF($C200="","",IF($C200="G","PUTT",IF(AND($C200="T",$M200&gt;3),"OTT",IF($D200&lt;=30,"ARG","APP"))))</f>
        <v/>
      </c>
      <c r="J200" s="17" t="str">
        <f aca="false">IF($C200="","",$N200+$Q200*$R200)</f>
        <v/>
      </c>
      <c r="K200" s="17" t="str">
        <f aca="false">IF($C200="","",$O200+$Q200*$S200)</f>
        <v/>
      </c>
      <c r="L200" s="17" t="str">
        <f aca="false">IF($C200="","",$J200-$K200-1-N($G200))</f>
        <v/>
      </c>
      <c r="M200" s="7" t="str">
        <f aca="false">IF($B200="","",INDEX(Course!$B$2:$B$19,MATCH($B200,Course!$A$2:$A$19,0)))</f>
        <v/>
      </c>
      <c r="N200" s="17" t="str">
        <f aca="false">IF($C200="","",IF($C200="H",0,IF($C200="G",INDEX(Baseline!$I$3:$I$102,MIN(MAX(ROUND($D200,0),1),100)),IF($C200="T",IF($M200=3,INDEX(Baseline!$B$3:$B$122,MATCH(MIN(MAX(ROUND(($D200)/5,0)*5,5),600),Baseline!$A$3:$A$122,0))-Inputs!$B$9,INDEX(Course!$N$2:$N$19,MATCH($B200,Course!$A$2:$A$19,0))),INDEX(Baseline!$B$3:$E$122,MATCH(MIN(MAX(ROUND(($D200)/5,0)*5,5),600),Baseline!$A$3:$A$122,0),MATCH($C200,Baseline!$B$2:$E$2,0))))))</f>
        <v/>
      </c>
      <c r="O200" s="17" t="str">
        <f aca="false">IF($C200="","",IF($E200="H",0,IF($E200="G",INDEX(Baseline!$I$3:$I$102,MIN(MAX(ROUND($F200,0),1),100)),IF($E200="T",IF($M200=3,INDEX(Baseline!$B$3:$B$122,MATCH(MIN(MAX(ROUND(($F200)/5,0)*5,5),600),Baseline!$A$3:$A$122,0))-Inputs!$B$9,INDEX(Course!$N$2:$N$19,MATCH($B200,Course!$A$2:$A$19,0))),INDEX(Baseline!$B$3:$E$122,MATCH(MIN(MAX(ROUND(($F200)/5,0)*5,5),600),Baseline!$A$3:$A$122,0),MATCH($E200,Baseline!$B$2:$E$2,0))))))</f>
        <v/>
      </c>
      <c r="P200" s="17" t="str">
        <f aca="false">IF($B200="","",INDEX(Course!$N$2:$N$19,MATCH($B200,Course!$A$2:$A$19,0)))</f>
        <v/>
      </c>
      <c r="Q200" s="17" t="str">
        <f aca="false">IF($B200="","",INDEX(Course!$P$2:$P$19,MATCH($B200,Course!$A$2:$A$19,0)))</f>
        <v/>
      </c>
      <c r="R200" s="17" t="str">
        <f aca="false">IF($C200="","",IF(OR($C200="G",$C200="H"),0,IF($C200="T",1,MIN(1,MAX(0,($N200-Inputs!$B$8)/MAX($P200-Inputs!$B$8,0.01))))))</f>
        <v/>
      </c>
      <c r="S200" s="17" t="str">
        <f aca="false">IF($C200="","",IF(OR($E200="G",$E200="H"),0,IF($E200="T",1,MIN(1,MAX(0,($O200-Inputs!$B$8)/MAX($P200-Inputs!$B$8,0.01))))))</f>
        <v/>
      </c>
    </row>
    <row r="201" customFormat="false" ht="15" hidden="false" customHeight="false" outlineLevel="0" collapsed="false">
      <c r="I201" s="7" t="str">
        <f aca="false">IF($C201="","",IF($C201="G","PUTT",IF(AND($C201="T",$M201&gt;3),"OTT",IF($D201&lt;=30,"ARG","APP"))))</f>
        <v/>
      </c>
      <c r="J201" s="17" t="str">
        <f aca="false">IF($C201="","",$N201+$Q201*$R201)</f>
        <v/>
      </c>
      <c r="K201" s="17" t="str">
        <f aca="false">IF($C201="","",$O201+$Q201*$S201)</f>
        <v/>
      </c>
      <c r="L201" s="17" t="str">
        <f aca="false">IF($C201="","",$J201-$K201-1-N($G201))</f>
        <v/>
      </c>
      <c r="M201" s="7" t="str">
        <f aca="false">IF($B201="","",INDEX(Course!$B$2:$B$19,MATCH($B201,Course!$A$2:$A$19,0)))</f>
        <v/>
      </c>
      <c r="N201" s="17" t="str">
        <f aca="false">IF($C201="","",IF($C201="H",0,IF($C201="G",INDEX(Baseline!$I$3:$I$102,MIN(MAX(ROUND($D201,0),1),100)),IF($C201="T",IF($M201=3,INDEX(Baseline!$B$3:$B$122,MATCH(MIN(MAX(ROUND(($D201)/5,0)*5,5),600),Baseline!$A$3:$A$122,0))-Inputs!$B$9,INDEX(Course!$N$2:$N$19,MATCH($B201,Course!$A$2:$A$19,0))),INDEX(Baseline!$B$3:$E$122,MATCH(MIN(MAX(ROUND(($D201)/5,0)*5,5),600),Baseline!$A$3:$A$122,0),MATCH($C201,Baseline!$B$2:$E$2,0))))))</f>
        <v/>
      </c>
      <c r="O201" s="17" t="str">
        <f aca="false">IF($C201="","",IF($E201="H",0,IF($E201="G",INDEX(Baseline!$I$3:$I$102,MIN(MAX(ROUND($F201,0),1),100)),IF($E201="T",IF($M201=3,INDEX(Baseline!$B$3:$B$122,MATCH(MIN(MAX(ROUND(($F201)/5,0)*5,5),600),Baseline!$A$3:$A$122,0))-Inputs!$B$9,INDEX(Course!$N$2:$N$19,MATCH($B201,Course!$A$2:$A$19,0))),INDEX(Baseline!$B$3:$E$122,MATCH(MIN(MAX(ROUND(($F201)/5,0)*5,5),600),Baseline!$A$3:$A$122,0),MATCH($E201,Baseline!$B$2:$E$2,0))))))</f>
        <v/>
      </c>
      <c r="P201" s="17" t="str">
        <f aca="false">IF($B201="","",INDEX(Course!$N$2:$N$19,MATCH($B201,Course!$A$2:$A$19,0)))</f>
        <v/>
      </c>
      <c r="Q201" s="17" t="str">
        <f aca="false">IF($B201="","",INDEX(Course!$P$2:$P$19,MATCH($B201,Course!$A$2:$A$19,0)))</f>
        <v/>
      </c>
      <c r="R201" s="17" t="str">
        <f aca="false">IF($C201="","",IF(OR($C201="G",$C201="H"),0,IF($C201="T",1,MIN(1,MAX(0,($N201-Inputs!$B$8)/MAX($P201-Inputs!$B$8,0.01))))))</f>
        <v/>
      </c>
      <c r="S201" s="17" t="str">
        <f aca="false">IF($C201="","",IF(OR($E201="G",$E201="H"),0,IF($E201="T",1,MIN(1,MAX(0,($O201-Inputs!$B$8)/MAX($P201-Inputs!$B$8,0.01))))))</f>
        <v/>
      </c>
    </row>
    <row r="202" customFormat="false" ht="15" hidden="false" customHeight="false" outlineLevel="0" collapsed="false">
      <c r="I202" s="7" t="str">
        <f aca="false">IF($C202="","",IF($C202="G","PUTT",IF(AND($C202="T",$M202&gt;3),"OTT",IF($D202&lt;=30,"ARG","APP"))))</f>
        <v/>
      </c>
      <c r="J202" s="17" t="str">
        <f aca="false">IF($C202="","",$N202+$Q202*$R202)</f>
        <v/>
      </c>
      <c r="K202" s="17" t="str">
        <f aca="false">IF($C202="","",$O202+$Q202*$S202)</f>
        <v/>
      </c>
      <c r="L202" s="17" t="str">
        <f aca="false">IF($C202="","",$J202-$K202-1-N($G202))</f>
        <v/>
      </c>
      <c r="M202" s="7" t="str">
        <f aca="false">IF($B202="","",INDEX(Course!$B$2:$B$19,MATCH($B202,Course!$A$2:$A$19,0)))</f>
        <v/>
      </c>
      <c r="N202" s="17" t="str">
        <f aca="false">IF($C202="","",IF($C202="H",0,IF($C202="G",INDEX(Baseline!$I$3:$I$102,MIN(MAX(ROUND($D202,0),1),100)),IF($C202="T",IF($M202=3,INDEX(Baseline!$B$3:$B$122,MATCH(MIN(MAX(ROUND(($D202)/5,0)*5,5),600),Baseline!$A$3:$A$122,0))-Inputs!$B$9,INDEX(Course!$N$2:$N$19,MATCH($B202,Course!$A$2:$A$19,0))),INDEX(Baseline!$B$3:$E$122,MATCH(MIN(MAX(ROUND(($D202)/5,0)*5,5),600),Baseline!$A$3:$A$122,0),MATCH($C202,Baseline!$B$2:$E$2,0))))))</f>
        <v/>
      </c>
      <c r="O202" s="17" t="str">
        <f aca="false">IF($C202="","",IF($E202="H",0,IF($E202="G",INDEX(Baseline!$I$3:$I$102,MIN(MAX(ROUND($F202,0),1),100)),IF($E202="T",IF($M202=3,INDEX(Baseline!$B$3:$B$122,MATCH(MIN(MAX(ROUND(($F202)/5,0)*5,5),600),Baseline!$A$3:$A$122,0))-Inputs!$B$9,INDEX(Course!$N$2:$N$19,MATCH($B202,Course!$A$2:$A$19,0))),INDEX(Baseline!$B$3:$E$122,MATCH(MIN(MAX(ROUND(($F202)/5,0)*5,5),600),Baseline!$A$3:$A$122,0),MATCH($E202,Baseline!$B$2:$E$2,0))))))</f>
        <v/>
      </c>
      <c r="P202" s="17" t="str">
        <f aca="false">IF($B202="","",INDEX(Course!$N$2:$N$19,MATCH($B202,Course!$A$2:$A$19,0)))</f>
        <v/>
      </c>
      <c r="Q202" s="17" t="str">
        <f aca="false">IF($B202="","",INDEX(Course!$P$2:$P$19,MATCH($B202,Course!$A$2:$A$19,0)))</f>
        <v/>
      </c>
      <c r="R202" s="17" t="str">
        <f aca="false">IF($C202="","",IF(OR($C202="G",$C202="H"),0,IF($C202="T",1,MIN(1,MAX(0,($N202-Inputs!$B$8)/MAX($P202-Inputs!$B$8,0.01))))))</f>
        <v/>
      </c>
      <c r="S202" s="17" t="str">
        <f aca="false">IF($C202="","",IF(OR($E202="G",$E202="H"),0,IF($E202="T",1,MIN(1,MAX(0,($O202-Inputs!$B$8)/MAX($P202-Inputs!$B$8,0.01))))))</f>
        <v/>
      </c>
    </row>
    <row r="203" customFormat="false" ht="15" hidden="false" customHeight="false" outlineLevel="0" collapsed="false">
      <c r="I203" s="7" t="str">
        <f aca="false">IF($C203="","",IF($C203="G","PUTT",IF(AND($C203="T",$M203&gt;3),"OTT",IF($D203&lt;=30,"ARG","APP"))))</f>
        <v/>
      </c>
      <c r="J203" s="17" t="str">
        <f aca="false">IF($C203="","",$N203+$Q203*$R203)</f>
        <v/>
      </c>
      <c r="K203" s="17" t="str">
        <f aca="false">IF($C203="","",$O203+$Q203*$S203)</f>
        <v/>
      </c>
      <c r="L203" s="17" t="str">
        <f aca="false">IF($C203="","",$J203-$K203-1-N($G203))</f>
        <v/>
      </c>
      <c r="M203" s="7" t="str">
        <f aca="false">IF($B203="","",INDEX(Course!$B$2:$B$19,MATCH($B203,Course!$A$2:$A$19,0)))</f>
        <v/>
      </c>
      <c r="N203" s="17" t="str">
        <f aca="false">IF($C203="","",IF($C203="H",0,IF($C203="G",INDEX(Baseline!$I$3:$I$102,MIN(MAX(ROUND($D203,0),1),100)),IF($C203="T",IF($M203=3,INDEX(Baseline!$B$3:$B$122,MATCH(MIN(MAX(ROUND(($D203)/5,0)*5,5),600),Baseline!$A$3:$A$122,0))-Inputs!$B$9,INDEX(Course!$N$2:$N$19,MATCH($B203,Course!$A$2:$A$19,0))),INDEX(Baseline!$B$3:$E$122,MATCH(MIN(MAX(ROUND(($D203)/5,0)*5,5),600),Baseline!$A$3:$A$122,0),MATCH($C203,Baseline!$B$2:$E$2,0))))))</f>
        <v/>
      </c>
      <c r="O203" s="17" t="str">
        <f aca="false">IF($C203="","",IF($E203="H",0,IF($E203="G",INDEX(Baseline!$I$3:$I$102,MIN(MAX(ROUND($F203,0),1),100)),IF($E203="T",IF($M203=3,INDEX(Baseline!$B$3:$B$122,MATCH(MIN(MAX(ROUND(($F203)/5,0)*5,5),600),Baseline!$A$3:$A$122,0))-Inputs!$B$9,INDEX(Course!$N$2:$N$19,MATCH($B203,Course!$A$2:$A$19,0))),INDEX(Baseline!$B$3:$E$122,MATCH(MIN(MAX(ROUND(($F203)/5,0)*5,5),600),Baseline!$A$3:$A$122,0),MATCH($E203,Baseline!$B$2:$E$2,0))))))</f>
        <v/>
      </c>
      <c r="P203" s="17" t="str">
        <f aca="false">IF($B203="","",INDEX(Course!$N$2:$N$19,MATCH($B203,Course!$A$2:$A$19,0)))</f>
        <v/>
      </c>
      <c r="Q203" s="17" t="str">
        <f aca="false">IF($B203="","",INDEX(Course!$P$2:$P$19,MATCH($B203,Course!$A$2:$A$19,0)))</f>
        <v/>
      </c>
      <c r="R203" s="17" t="str">
        <f aca="false">IF($C203="","",IF(OR($C203="G",$C203="H"),0,IF($C203="T",1,MIN(1,MAX(0,($N203-Inputs!$B$8)/MAX($P203-Inputs!$B$8,0.01))))))</f>
        <v/>
      </c>
      <c r="S203" s="17" t="str">
        <f aca="false">IF($C203="","",IF(OR($E203="G",$E203="H"),0,IF($E203="T",1,MIN(1,MAX(0,($O203-Inputs!$B$8)/MAX($P203-Inputs!$B$8,0.01))))))</f>
        <v/>
      </c>
    </row>
    <row r="204" customFormat="false" ht="15" hidden="false" customHeight="false" outlineLevel="0" collapsed="false">
      <c r="I204" s="7" t="str">
        <f aca="false">IF($C204="","",IF($C204="G","PUTT",IF(AND($C204="T",$M204&gt;3),"OTT",IF($D204&lt;=30,"ARG","APP"))))</f>
        <v/>
      </c>
      <c r="J204" s="17" t="str">
        <f aca="false">IF($C204="","",$N204+$Q204*$R204)</f>
        <v/>
      </c>
      <c r="K204" s="17" t="str">
        <f aca="false">IF($C204="","",$O204+$Q204*$S204)</f>
        <v/>
      </c>
      <c r="L204" s="17" t="str">
        <f aca="false">IF($C204="","",$J204-$K204-1-N($G204))</f>
        <v/>
      </c>
      <c r="M204" s="7" t="str">
        <f aca="false">IF($B204="","",INDEX(Course!$B$2:$B$19,MATCH($B204,Course!$A$2:$A$19,0)))</f>
        <v/>
      </c>
      <c r="N204" s="17" t="str">
        <f aca="false">IF($C204="","",IF($C204="H",0,IF($C204="G",INDEX(Baseline!$I$3:$I$102,MIN(MAX(ROUND($D204,0),1),100)),IF($C204="T",IF($M204=3,INDEX(Baseline!$B$3:$B$122,MATCH(MIN(MAX(ROUND(($D204)/5,0)*5,5),600),Baseline!$A$3:$A$122,0))-Inputs!$B$9,INDEX(Course!$N$2:$N$19,MATCH($B204,Course!$A$2:$A$19,0))),INDEX(Baseline!$B$3:$E$122,MATCH(MIN(MAX(ROUND(($D204)/5,0)*5,5),600),Baseline!$A$3:$A$122,0),MATCH($C204,Baseline!$B$2:$E$2,0))))))</f>
        <v/>
      </c>
      <c r="O204" s="17" t="str">
        <f aca="false">IF($C204="","",IF($E204="H",0,IF($E204="G",INDEX(Baseline!$I$3:$I$102,MIN(MAX(ROUND($F204,0),1),100)),IF($E204="T",IF($M204=3,INDEX(Baseline!$B$3:$B$122,MATCH(MIN(MAX(ROUND(($F204)/5,0)*5,5),600),Baseline!$A$3:$A$122,0))-Inputs!$B$9,INDEX(Course!$N$2:$N$19,MATCH($B204,Course!$A$2:$A$19,0))),INDEX(Baseline!$B$3:$E$122,MATCH(MIN(MAX(ROUND(($F204)/5,0)*5,5),600),Baseline!$A$3:$A$122,0),MATCH($E204,Baseline!$B$2:$E$2,0))))))</f>
        <v/>
      </c>
      <c r="P204" s="17" t="str">
        <f aca="false">IF($B204="","",INDEX(Course!$N$2:$N$19,MATCH($B204,Course!$A$2:$A$19,0)))</f>
        <v/>
      </c>
      <c r="Q204" s="17" t="str">
        <f aca="false">IF($B204="","",INDEX(Course!$P$2:$P$19,MATCH($B204,Course!$A$2:$A$19,0)))</f>
        <v/>
      </c>
      <c r="R204" s="17" t="str">
        <f aca="false">IF($C204="","",IF(OR($C204="G",$C204="H"),0,IF($C204="T",1,MIN(1,MAX(0,($N204-Inputs!$B$8)/MAX($P204-Inputs!$B$8,0.01))))))</f>
        <v/>
      </c>
      <c r="S204" s="17" t="str">
        <f aca="false">IF($C204="","",IF(OR($E204="G",$E204="H"),0,IF($E204="T",1,MIN(1,MAX(0,($O204-Inputs!$B$8)/MAX($P204-Inputs!$B$8,0.01))))))</f>
        <v/>
      </c>
    </row>
    <row r="205" customFormat="false" ht="15" hidden="false" customHeight="false" outlineLevel="0" collapsed="false">
      <c r="I205" s="7" t="str">
        <f aca="false">IF($C205="","",IF($C205="G","PUTT",IF(AND($C205="T",$M205&gt;3),"OTT",IF($D205&lt;=30,"ARG","APP"))))</f>
        <v/>
      </c>
      <c r="J205" s="17" t="str">
        <f aca="false">IF($C205="","",$N205+$Q205*$R205)</f>
        <v/>
      </c>
      <c r="K205" s="17" t="str">
        <f aca="false">IF($C205="","",$O205+$Q205*$S205)</f>
        <v/>
      </c>
      <c r="L205" s="17" t="str">
        <f aca="false">IF($C205="","",$J205-$K205-1-N($G205))</f>
        <v/>
      </c>
      <c r="M205" s="7" t="str">
        <f aca="false">IF($B205="","",INDEX(Course!$B$2:$B$19,MATCH($B205,Course!$A$2:$A$19,0)))</f>
        <v/>
      </c>
      <c r="N205" s="17" t="str">
        <f aca="false">IF($C205="","",IF($C205="H",0,IF($C205="G",INDEX(Baseline!$I$3:$I$102,MIN(MAX(ROUND($D205,0),1),100)),IF($C205="T",IF($M205=3,INDEX(Baseline!$B$3:$B$122,MATCH(MIN(MAX(ROUND(($D205)/5,0)*5,5),600),Baseline!$A$3:$A$122,0))-Inputs!$B$9,INDEX(Course!$N$2:$N$19,MATCH($B205,Course!$A$2:$A$19,0))),INDEX(Baseline!$B$3:$E$122,MATCH(MIN(MAX(ROUND(($D205)/5,0)*5,5),600),Baseline!$A$3:$A$122,0),MATCH($C205,Baseline!$B$2:$E$2,0))))))</f>
        <v/>
      </c>
      <c r="O205" s="17" t="str">
        <f aca="false">IF($C205="","",IF($E205="H",0,IF($E205="G",INDEX(Baseline!$I$3:$I$102,MIN(MAX(ROUND($F205,0),1),100)),IF($E205="T",IF($M205=3,INDEX(Baseline!$B$3:$B$122,MATCH(MIN(MAX(ROUND(($F205)/5,0)*5,5),600),Baseline!$A$3:$A$122,0))-Inputs!$B$9,INDEX(Course!$N$2:$N$19,MATCH($B205,Course!$A$2:$A$19,0))),INDEX(Baseline!$B$3:$E$122,MATCH(MIN(MAX(ROUND(($F205)/5,0)*5,5),600),Baseline!$A$3:$A$122,0),MATCH($E205,Baseline!$B$2:$E$2,0))))))</f>
        <v/>
      </c>
      <c r="P205" s="17" t="str">
        <f aca="false">IF($B205="","",INDEX(Course!$N$2:$N$19,MATCH($B205,Course!$A$2:$A$19,0)))</f>
        <v/>
      </c>
      <c r="Q205" s="17" t="str">
        <f aca="false">IF($B205="","",INDEX(Course!$P$2:$P$19,MATCH($B205,Course!$A$2:$A$19,0)))</f>
        <v/>
      </c>
      <c r="R205" s="17" t="str">
        <f aca="false">IF($C205="","",IF(OR($C205="G",$C205="H"),0,IF($C205="T",1,MIN(1,MAX(0,($N205-Inputs!$B$8)/MAX($P205-Inputs!$B$8,0.01))))))</f>
        <v/>
      </c>
      <c r="S205" s="17" t="str">
        <f aca="false">IF($C205="","",IF(OR($E205="G",$E205="H"),0,IF($E205="T",1,MIN(1,MAX(0,($O205-Inputs!$B$8)/MAX($P205-Inputs!$B$8,0.01))))))</f>
        <v/>
      </c>
    </row>
    <row r="206" customFormat="false" ht="15" hidden="false" customHeight="false" outlineLevel="0" collapsed="false">
      <c r="I206" s="7" t="str">
        <f aca="false">IF($C206="","",IF($C206="G","PUTT",IF(AND($C206="T",$M206&gt;3),"OTT",IF($D206&lt;=30,"ARG","APP"))))</f>
        <v/>
      </c>
      <c r="J206" s="17" t="str">
        <f aca="false">IF($C206="","",$N206+$Q206*$R206)</f>
        <v/>
      </c>
      <c r="K206" s="17" t="str">
        <f aca="false">IF($C206="","",$O206+$Q206*$S206)</f>
        <v/>
      </c>
      <c r="L206" s="17" t="str">
        <f aca="false">IF($C206="","",$J206-$K206-1-N($G206))</f>
        <v/>
      </c>
      <c r="M206" s="7" t="str">
        <f aca="false">IF($B206="","",INDEX(Course!$B$2:$B$19,MATCH($B206,Course!$A$2:$A$19,0)))</f>
        <v/>
      </c>
      <c r="N206" s="17" t="str">
        <f aca="false">IF($C206="","",IF($C206="H",0,IF($C206="G",INDEX(Baseline!$I$3:$I$102,MIN(MAX(ROUND($D206,0),1),100)),IF($C206="T",IF($M206=3,INDEX(Baseline!$B$3:$B$122,MATCH(MIN(MAX(ROUND(($D206)/5,0)*5,5),600),Baseline!$A$3:$A$122,0))-Inputs!$B$9,INDEX(Course!$N$2:$N$19,MATCH($B206,Course!$A$2:$A$19,0))),INDEX(Baseline!$B$3:$E$122,MATCH(MIN(MAX(ROUND(($D206)/5,0)*5,5),600),Baseline!$A$3:$A$122,0),MATCH($C206,Baseline!$B$2:$E$2,0))))))</f>
        <v/>
      </c>
      <c r="O206" s="17" t="str">
        <f aca="false">IF($C206="","",IF($E206="H",0,IF($E206="G",INDEX(Baseline!$I$3:$I$102,MIN(MAX(ROUND($F206,0),1),100)),IF($E206="T",IF($M206=3,INDEX(Baseline!$B$3:$B$122,MATCH(MIN(MAX(ROUND(($F206)/5,0)*5,5),600),Baseline!$A$3:$A$122,0))-Inputs!$B$9,INDEX(Course!$N$2:$N$19,MATCH($B206,Course!$A$2:$A$19,0))),INDEX(Baseline!$B$3:$E$122,MATCH(MIN(MAX(ROUND(($F206)/5,0)*5,5),600),Baseline!$A$3:$A$122,0),MATCH($E206,Baseline!$B$2:$E$2,0))))))</f>
        <v/>
      </c>
      <c r="P206" s="17" t="str">
        <f aca="false">IF($B206="","",INDEX(Course!$N$2:$N$19,MATCH($B206,Course!$A$2:$A$19,0)))</f>
        <v/>
      </c>
      <c r="Q206" s="17" t="str">
        <f aca="false">IF($B206="","",INDEX(Course!$P$2:$P$19,MATCH($B206,Course!$A$2:$A$19,0)))</f>
        <v/>
      </c>
      <c r="R206" s="17" t="str">
        <f aca="false">IF($C206="","",IF(OR($C206="G",$C206="H"),0,IF($C206="T",1,MIN(1,MAX(0,($N206-Inputs!$B$8)/MAX($P206-Inputs!$B$8,0.01))))))</f>
        <v/>
      </c>
      <c r="S206" s="17" t="str">
        <f aca="false">IF($C206="","",IF(OR($E206="G",$E206="H"),0,IF($E206="T",1,MIN(1,MAX(0,($O206-Inputs!$B$8)/MAX($P206-Inputs!$B$8,0.01))))))</f>
        <v/>
      </c>
    </row>
    <row r="207" customFormat="false" ht="15" hidden="false" customHeight="false" outlineLevel="0" collapsed="false">
      <c r="I207" s="7" t="str">
        <f aca="false">IF($C207="","",IF($C207="G","PUTT",IF(AND($C207="T",$M207&gt;3),"OTT",IF($D207&lt;=30,"ARG","APP"))))</f>
        <v/>
      </c>
      <c r="J207" s="17" t="str">
        <f aca="false">IF($C207="","",$N207+$Q207*$R207)</f>
        <v/>
      </c>
      <c r="K207" s="17" t="str">
        <f aca="false">IF($C207="","",$O207+$Q207*$S207)</f>
        <v/>
      </c>
      <c r="L207" s="17" t="str">
        <f aca="false">IF($C207="","",$J207-$K207-1-N($G207))</f>
        <v/>
      </c>
      <c r="M207" s="7" t="str">
        <f aca="false">IF($B207="","",INDEX(Course!$B$2:$B$19,MATCH($B207,Course!$A$2:$A$19,0)))</f>
        <v/>
      </c>
      <c r="N207" s="17" t="str">
        <f aca="false">IF($C207="","",IF($C207="H",0,IF($C207="G",INDEX(Baseline!$I$3:$I$102,MIN(MAX(ROUND($D207,0),1),100)),IF($C207="T",IF($M207=3,INDEX(Baseline!$B$3:$B$122,MATCH(MIN(MAX(ROUND(($D207)/5,0)*5,5),600),Baseline!$A$3:$A$122,0))-Inputs!$B$9,INDEX(Course!$N$2:$N$19,MATCH($B207,Course!$A$2:$A$19,0))),INDEX(Baseline!$B$3:$E$122,MATCH(MIN(MAX(ROUND(($D207)/5,0)*5,5),600),Baseline!$A$3:$A$122,0),MATCH($C207,Baseline!$B$2:$E$2,0))))))</f>
        <v/>
      </c>
      <c r="O207" s="17" t="str">
        <f aca="false">IF($C207="","",IF($E207="H",0,IF($E207="G",INDEX(Baseline!$I$3:$I$102,MIN(MAX(ROUND($F207,0),1),100)),IF($E207="T",IF($M207=3,INDEX(Baseline!$B$3:$B$122,MATCH(MIN(MAX(ROUND(($F207)/5,0)*5,5),600),Baseline!$A$3:$A$122,0))-Inputs!$B$9,INDEX(Course!$N$2:$N$19,MATCH($B207,Course!$A$2:$A$19,0))),INDEX(Baseline!$B$3:$E$122,MATCH(MIN(MAX(ROUND(($F207)/5,0)*5,5),600),Baseline!$A$3:$A$122,0),MATCH($E207,Baseline!$B$2:$E$2,0))))))</f>
        <v/>
      </c>
      <c r="P207" s="17" t="str">
        <f aca="false">IF($B207="","",INDEX(Course!$N$2:$N$19,MATCH($B207,Course!$A$2:$A$19,0)))</f>
        <v/>
      </c>
      <c r="Q207" s="17" t="str">
        <f aca="false">IF($B207="","",INDEX(Course!$P$2:$P$19,MATCH($B207,Course!$A$2:$A$19,0)))</f>
        <v/>
      </c>
      <c r="R207" s="17" t="str">
        <f aca="false">IF($C207="","",IF(OR($C207="G",$C207="H"),0,IF($C207="T",1,MIN(1,MAX(0,($N207-Inputs!$B$8)/MAX($P207-Inputs!$B$8,0.01))))))</f>
        <v/>
      </c>
      <c r="S207" s="17" t="str">
        <f aca="false">IF($C207="","",IF(OR($E207="G",$E207="H"),0,IF($E207="T",1,MIN(1,MAX(0,($O207-Inputs!$B$8)/MAX($P207-Inputs!$B$8,0.01))))))</f>
        <v/>
      </c>
    </row>
    <row r="208" customFormat="false" ht="15" hidden="false" customHeight="false" outlineLevel="0" collapsed="false">
      <c r="I208" s="7" t="str">
        <f aca="false">IF($C208="","",IF($C208="G","PUTT",IF(AND($C208="T",$M208&gt;3),"OTT",IF($D208&lt;=30,"ARG","APP"))))</f>
        <v/>
      </c>
      <c r="J208" s="17" t="str">
        <f aca="false">IF($C208="","",$N208+$Q208*$R208)</f>
        <v/>
      </c>
      <c r="K208" s="17" t="str">
        <f aca="false">IF($C208="","",$O208+$Q208*$S208)</f>
        <v/>
      </c>
      <c r="L208" s="17" t="str">
        <f aca="false">IF($C208="","",$J208-$K208-1-N($G208))</f>
        <v/>
      </c>
      <c r="M208" s="7" t="str">
        <f aca="false">IF($B208="","",INDEX(Course!$B$2:$B$19,MATCH($B208,Course!$A$2:$A$19,0)))</f>
        <v/>
      </c>
      <c r="N208" s="17" t="str">
        <f aca="false">IF($C208="","",IF($C208="H",0,IF($C208="G",INDEX(Baseline!$I$3:$I$102,MIN(MAX(ROUND($D208,0),1),100)),IF($C208="T",IF($M208=3,INDEX(Baseline!$B$3:$B$122,MATCH(MIN(MAX(ROUND(($D208)/5,0)*5,5),600),Baseline!$A$3:$A$122,0))-Inputs!$B$9,INDEX(Course!$N$2:$N$19,MATCH($B208,Course!$A$2:$A$19,0))),INDEX(Baseline!$B$3:$E$122,MATCH(MIN(MAX(ROUND(($D208)/5,0)*5,5),600),Baseline!$A$3:$A$122,0),MATCH($C208,Baseline!$B$2:$E$2,0))))))</f>
        <v/>
      </c>
      <c r="O208" s="17" t="str">
        <f aca="false">IF($C208="","",IF($E208="H",0,IF($E208="G",INDEX(Baseline!$I$3:$I$102,MIN(MAX(ROUND($F208,0),1),100)),IF($E208="T",IF($M208=3,INDEX(Baseline!$B$3:$B$122,MATCH(MIN(MAX(ROUND(($F208)/5,0)*5,5),600),Baseline!$A$3:$A$122,0))-Inputs!$B$9,INDEX(Course!$N$2:$N$19,MATCH($B208,Course!$A$2:$A$19,0))),INDEX(Baseline!$B$3:$E$122,MATCH(MIN(MAX(ROUND(($F208)/5,0)*5,5),600),Baseline!$A$3:$A$122,0),MATCH($E208,Baseline!$B$2:$E$2,0))))))</f>
        <v/>
      </c>
      <c r="P208" s="17" t="str">
        <f aca="false">IF($B208="","",INDEX(Course!$N$2:$N$19,MATCH($B208,Course!$A$2:$A$19,0)))</f>
        <v/>
      </c>
      <c r="Q208" s="17" t="str">
        <f aca="false">IF($B208="","",INDEX(Course!$P$2:$P$19,MATCH($B208,Course!$A$2:$A$19,0)))</f>
        <v/>
      </c>
      <c r="R208" s="17" t="str">
        <f aca="false">IF($C208="","",IF(OR($C208="G",$C208="H"),0,IF($C208="T",1,MIN(1,MAX(0,($N208-Inputs!$B$8)/MAX($P208-Inputs!$B$8,0.01))))))</f>
        <v/>
      </c>
      <c r="S208" s="17" t="str">
        <f aca="false">IF($C208="","",IF(OR($E208="G",$E208="H"),0,IF($E208="T",1,MIN(1,MAX(0,($O208-Inputs!$B$8)/MAX($P208-Inputs!$B$8,0.01))))))</f>
        <v/>
      </c>
    </row>
    <row r="209" customFormat="false" ht="15" hidden="false" customHeight="false" outlineLevel="0" collapsed="false">
      <c r="I209" s="7" t="str">
        <f aca="false">IF($C209="","",IF($C209="G","PUTT",IF(AND($C209="T",$M209&gt;3),"OTT",IF($D209&lt;=30,"ARG","APP"))))</f>
        <v/>
      </c>
      <c r="J209" s="17" t="str">
        <f aca="false">IF($C209="","",$N209+$Q209*$R209)</f>
        <v/>
      </c>
      <c r="K209" s="17" t="str">
        <f aca="false">IF($C209="","",$O209+$Q209*$S209)</f>
        <v/>
      </c>
      <c r="L209" s="17" t="str">
        <f aca="false">IF($C209="","",$J209-$K209-1-N($G209))</f>
        <v/>
      </c>
      <c r="M209" s="7" t="str">
        <f aca="false">IF($B209="","",INDEX(Course!$B$2:$B$19,MATCH($B209,Course!$A$2:$A$19,0)))</f>
        <v/>
      </c>
      <c r="N209" s="17" t="str">
        <f aca="false">IF($C209="","",IF($C209="H",0,IF($C209="G",INDEX(Baseline!$I$3:$I$102,MIN(MAX(ROUND($D209,0),1),100)),IF($C209="T",IF($M209=3,INDEX(Baseline!$B$3:$B$122,MATCH(MIN(MAX(ROUND(($D209)/5,0)*5,5),600),Baseline!$A$3:$A$122,0))-Inputs!$B$9,INDEX(Course!$N$2:$N$19,MATCH($B209,Course!$A$2:$A$19,0))),INDEX(Baseline!$B$3:$E$122,MATCH(MIN(MAX(ROUND(($D209)/5,0)*5,5),600),Baseline!$A$3:$A$122,0),MATCH($C209,Baseline!$B$2:$E$2,0))))))</f>
        <v/>
      </c>
      <c r="O209" s="17" t="str">
        <f aca="false">IF($C209="","",IF($E209="H",0,IF($E209="G",INDEX(Baseline!$I$3:$I$102,MIN(MAX(ROUND($F209,0),1),100)),IF($E209="T",IF($M209=3,INDEX(Baseline!$B$3:$B$122,MATCH(MIN(MAX(ROUND(($F209)/5,0)*5,5),600),Baseline!$A$3:$A$122,0))-Inputs!$B$9,INDEX(Course!$N$2:$N$19,MATCH($B209,Course!$A$2:$A$19,0))),INDEX(Baseline!$B$3:$E$122,MATCH(MIN(MAX(ROUND(($F209)/5,0)*5,5),600),Baseline!$A$3:$A$122,0),MATCH($E209,Baseline!$B$2:$E$2,0))))))</f>
        <v/>
      </c>
      <c r="P209" s="17" t="str">
        <f aca="false">IF($B209="","",INDEX(Course!$N$2:$N$19,MATCH($B209,Course!$A$2:$A$19,0)))</f>
        <v/>
      </c>
      <c r="Q209" s="17" t="str">
        <f aca="false">IF($B209="","",INDEX(Course!$P$2:$P$19,MATCH($B209,Course!$A$2:$A$19,0)))</f>
        <v/>
      </c>
      <c r="R209" s="17" t="str">
        <f aca="false">IF($C209="","",IF(OR($C209="G",$C209="H"),0,IF($C209="T",1,MIN(1,MAX(0,($N209-Inputs!$B$8)/MAX($P209-Inputs!$B$8,0.01))))))</f>
        <v/>
      </c>
      <c r="S209" s="17" t="str">
        <f aca="false">IF($C209="","",IF(OR($E209="G",$E209="H"),0,IF($E209="T",1,MIN(1,MAX(0,($O209-Inputs!$B$8)/MAX($P209-Inputs!$B$8,0.01))))))</f>
        <v/>
      </c>
    </row>
    <row r="210" customFormat="false" ht="15" hidden="false" customHeight="false" outlineLevel="0" collapsed="false">
      <c r="I210" s="7" t="str">
        <f aca="false">IF($C210="","",IF($C210="G","PUTT",IF(AND($C210="T",$M210&gt;3),"OTT",IF($D210&lt;=30,"ARG","APP"))))</f>
        <v/>
      </c>
      <c r="J210" s="17" t="str">
        <f aca="false">IF($C210="","",$N210+$Q210*$R210)</f>
        <v/>
      </c>
      <c r="K210" s="17" t="str">
        <f aca="false">IF($C210="","",$O210+$Q210*$S210)</f>
        <v/>
      </c>
      <c r="L210" s="17" t="str">
        <f aca="false">IF($C210="","",$J210-$K210-1-N($G210))</f>
        <v/>
      </c>
      <c r="M210" s="7" t="str">
        <f aca="false">IF($B210="","",INDEX(Course!$B$2:$B$19,MATCH($B210,Course!$A$2:$A$19,0)))</f>
        <v/>
      </c>
      <c r="N210" s="17" t="str">
        <f aca="false">IF($C210="","",IF($C210="H",0,IF($C210="G",INDEX(Baseline!$I$3:$I$102,MIN(MAX(ROUND($D210,0),1),100)),IF($C210="T",IF($M210=3,INDEX(Baseline!$B$3:$B$122,MATCH(MIN(MAX(ROUND(($D210)/5,0)*5,5),600),Baseline!$A$3:$A$122,0))-Inputs!$B$9,INDEX(Course!$N$2:$N$19,MATCH($B210,Course!$A$2:$A$19,0))),INDEX(Baseline!$B$3:$E$122,MATCH(MIN(MAX(ROUND(($D210)/5,0)*5,5),600),Baseline!$A$3:$A$122,0),MATCH($C210,Baseline!$B$2:$E$2,0))))))</f>
        <v/>
      </c>
      <c r="O210" s="17" t="str">
        <f aca="false">IF($C210="","",IF($E210="H",0,IF($E210="G",INDEX(Baseline!$I$3:$I$102,MIN(MAX(ROUND($F210,0),1),100)),IF($E210="T",IF($M210=3,INDEX(Baseline!$B$3:$B$122,MATCH(MIN(MAX(ROUND(($F210)/5,0)*5,5),600),Baseline!$A$3:$A$122,0))-Inputs!$B$9,INDEX(Course!$N$2:$N$19,MATCH($B210,Course!$A$2:$A$19,0))),INDEX(Baseline!$B$3:$E$122,MATCH(MIN(MAX(ROUND(($F210)/5,0)*5,5),600),Baseline!$A$3:$A$122,0),MATCH($E210,Baseline!$B$2:$E$2,0))))))</f>
        <v/>
      </c>
      <c r="P210" s="17" t="str">
        <f aca="false">IF($B210="","",INDEX(Course!$N$2:$N$19,MATCH($B210,Course!$A$2:$A$19,0)))</f>
        <v/>
      </c>
      <c r="Q210" s="17" t="str">
        <f aca="false">IF($B210="","",INDEX(Course!$P$2:$P$19,MATCH($B210,Course!$A$2:$A$19,0)))</f>
        <v/>
      </c>
      <c r="R210" s="17" t="str">
        <f aca="false">IF($C210="","",IF(OR($C210="G",$C210="H"),0,IF($C210="T",1,MIN(1,MAX(0,($N210-Inputs!$B$8)/MAX($P210-Inputs!$B$8,0.01))))))</f>
        <v/>
      </c>
      <c r="S210" s="17" t="str">
        <f aca="false">IF($C210="","",IF(OR($E210="G",$E210="H"),0,IF($E210="T",1,MIN(1,MAX(0,($O210-Inputs!$B$8)/MAX($P210-Inputs!$B$8,0.01))))))</f>
        <v/>
      </c>
    </row>
    <row r="211" customFormat="false" ht="15" hidden="false" customHeight="false" outlineLevel="0" collapsed="false">
      <c r="I211" s="7" t="str">
        <f aca="false">IF($C211="","",IF($C211="G","PUTT",IF(AND($C211="T",$M211&gt;3),"OTT",IF($D211&lt;=30,"ARG","APP"))))</f>
        <v/>
      </c>
      <c r="J211" s="17" t="str">
        <f aca="false">IF($C211="","",$N211+$Q211*$R211)</f>
        <v/>
      </c>
      <c r="K211" s="17" t="str">
        <f aca="false">IF($C211="","",$O211+$Q211*$S211)</f>
        <v/>
      </c>
      <c r="L211" s="17" t="str">
        <f aca="false">IF($C211="","",$J211-$K211-1-N($G211))</f>
        <v/>
      </c>
      <c r="M211" s="7" t="str">
        <f aca="false">IF($B211="","",INDEX(Course!$B$2:$B$19,MATCH($B211,Course!$A$2:$A$19,0)))</f>
        <v/>
      </c>
      <c r="N211" s="17" t="str">
        <f aca="false">IF($C211="","",IF($C211="H",0,IF($C211="G",INDEX(Baseline!$I$3:$I$102,MIN(MAX(ROUND($D211,0),1),100)),IF($C211="T",IF($M211=3,INDEX(Baseline!$B$3:$B$122,MATCH(MIN(MAX(ROUND(($D211)/5,0)*5,5),600),Baseline!$A$3:$A$122,0))-Inputs!$B$9,INDEX(Course!$N$2:$N$19,MATCH($B211,Course!$A$2:$A$19,0))),INDEX(Baseline!$B$3:$E$122,MATCH(MIN(MAX(ROUND(($D211)/5,0)*5,5),600),Baseline!$A$3:$A$122,0),MATCH($C211,Baseline!$B$2:$E$2,0))))))</f>
        <v/>
      </c>
      <c r="O211" s="17" t="str">
        <f aca="false">IF($C211="","",IF($E211="H",0,IF($E211="G",INDEX(Baseline!$I$3:$I$102,MIN(MAX(ROUND($F211,0),1),100)),IF($E211="T",IF($M211=3,INDEX(Baseline!$B$3:$B$122,MATCH(MIN(MAX(ROUND(($F211)/5,0)*5,5),600),Baseline!$A$3:$A$122,0))-Inputs!$B$9,INDEX(Course!$N$2:$N$19,MATCH($B211,Course!$A$2:$A$19,0))),INDEX(Baseline!$B$3:$E$122,MATCH(MIN(MAX(ROUND(($F211)/5,0)*5,5),600),Baseline!$A$3:$A$122,0),MATCH($E211,Baseline!$B$2:$E$2,0))))))</f>
        <v/>
      </c>
      <c r="P211" s="17" t="str">
        <f aca="false">IF($B211="","",INDEX(Course!$N$2:$N$19,MATCH($B211,Course!$A$2:$A$19,0)))</f>
        <v/>
      </c>
      <c r="Q211" s="17" t="str">
        <f aca="false">IF($B211="","",INDEX(Course!$P$2:$P$19,MATCH($B211,Course!$A$2:$A$19,0)))</f>
        <v/>
      </c>
      <c r="R211" s="17" t="str">
        <f aca="false">IF($C211="","",IF(OR($C211="G",$C211="H"),0,IF($C211="T",1,MIN(1,MAX(0,($N211-Inputs!$B$8)/MAX($P211-Inputs!$B$8,0.01))))))</f>
        <v/>
      </c>
      <c r="S211" s="17" t="str">
        <f aca="false">IF($C211="","",IF(OR($E211="G",$E211="H"),0,IF($E211="T",1,MIN(1,MAX(0,($O211-Inputs!$B$8)/MAX($P211-Inputs!$B$8,0.01))))))</f>
        <v/>
      </c>
    </row>
    <row r="212" customFormat="false" ht="15" hidden="false" customHeight="false" outlineLevel="0" collapsed="false">
      <c r="I212" s="7" t="str">
        <f aca="false">IF($C212="","",IF($C212="G","PUTT",IF(AND($C212="T",$M212&gt;3),"OTT",IF($D212&lt;=30,"ARG","APP"))))</f>
        <v/>
      </c>
      <c r="J212" s="17" t="str">
        <f aca="false">IF($C212="","",$N212+$Q212*$R212)</f>
        <v/>
      </c>
      <c r="K212" s="17" t="str">
        <f aca="false">IF($C212="","",$O212+$Q212*$S212)</f>
        <v/>
      </c>
      <c r="L212" s="17" t="str">
        <f aca="false">IF($C212="","",$J212-$K212-1-N($G212))</f>
        <v/>
      </c>
      <c r="M212" s="7" t="str">
        <f aca="false">IF($B212="","",INDEX(Course!$B$2:$B$19,MATCH($B212,Course!$A$2:$A$19,0)))</f>
        <v/>
      </c>
      <c r="N212" s="17" t="str">
        <f aca="false">IF($C212="","",IF($C212="H",0,IF($C212="G",INDEX(Baseline!$I$3:$I$102,MIN(MAX(ROUND($D212,0),1),100)),IF($C212="T",IF($M212=3,INDEX(Baseline!$B$3:$B$122,MATCH(MIN(MAX(ROUND(($D212)/5,0)*5,5),600),Baseline!$A$3:$A$122,0))-Inputs!$B$9,INDEX(Course!$N$2:$N$19,MATCH($B212,Course!$A$2:$A$19,0))),INDEX(Baseline!$B$3:$E$122,MATCH(MIN(MAX(ROUND(($D212)/5,0)*5,5),600),Baseline!$A$3:$A$122,0),MATCH($C212,Baseline!$B$2:$E$2,0))))))</f>
        <v/>
      </c>
      <c r="O212" s="17" t="str">
        <f aca="false">IF($C212="","",IF($E212="H",0,IF($E212="G",INDEX(Baseline!$I$3:$I$102,MIN(MAX(ROUND($F212,0),1),100)),IF($E212="T",IF($M212=3,INDEX(Baseline!$B$3:$B$122,MATCH(MIN(MAX(ROUND(($F212)/5,0)*5,5),600),Baseline!$A$3:$A$122,0))-Inputs!$B$9,INDEX(Course!$N$2:$N$19,MATCH($B212,Course!$A$2:$A$19,0))),INDEX(Baseline!$B$3:$E$122,MATCH(MIN(MAX(ROUND(($F212)/5,0)*5,5),600),Baseline!$A$3:$A$122,0),MATCH($E212,Baseline!$B$2:$E$2,0))))))</f>
        <v/>
      </c>
      <c r="P212" s="17" t="str">
        <f aca="false">IF($B212="","",INDEX(Course!$N$2:$N$19,MATCH($B212,Course!$A$2:$A$19,0)))</f>
        <v/>
      </c>
      <c r="Q212" s="17" t="str">
        <f aca="false">IF($B212="","",INDEX(Course!$P$2:$P$19,MATCH($B212,Course!$A$2:$A$19,0)))</f>
        <v/>
      </c>
      <c r="R212" s="17" t="str">
        <f aca="false">IF($C212="","",IF(OR($C212="G",$C212="H"),0,IF($C212="T",1,MIN(1,MAX(0,($N212-Inputs!$B$8)/MAX($P212-Inputs!$B$8,0.01))))))</f>
        <v/>
      </c>
      <c r="S212" s="17" t="str">
        <f aca="false">IF($C212="","",IF(OR($E212="G",$E212="H"),0,IF($E212="T",1,MIN(1,MAX(0,($O212-Inputs!$B$8)/MAX($P212-Inputs!$B$8,0.01))))))</f>
        <v/>
      </c>
    </row>
    <row r="213" customFormat="false" ht="15" hidden="false" customHeight="false" outlineLevel="0" collapsed="false">
      <c r="I213" s="7" t="str">
        <f aca="false">IF($C213="","",IF($C213="G","PUTT",IF(AND($C213="T",$M213&gt;3),"OTT",IF($D213&lt;=30,"ARG","APP"))))</f>
        <v/>
      </c>
      <c r="J213" s="17" t="str">
        <f aca="false">IF($C213="","",$N213+$Q213*$R213)</f>
        <v/>
      </c>
      <c r="K213" s="17" t="str">
        <f aca="false">IF($C213="","",$O213+$Q213*$S213)</f>
        <v/>
      </c>
      <c r="L213" s="17" t="str">
        <f aca="false">IF($C213="","",$J213-$K213-1-N($G213))</f>
        <v/>
      </c>
      <c r="M213" s="7" t="str">
        <f aca="false">IF($B213="","",INDEX(Course!$B$2:$B$19,MATCH($B213,Course!$A$2:$A$19,0)))</f>
        <v/>
      </c>
      <c r="N213" s="17" t="str">
        <f aca="false">IF($C213="","",IF($C213="H",0,IF($C213="G",INDEX(Baseline!$I$3:$I$102,MIN(MAX(ROUND($D213,0),1),100)),IF($C213="T",IF($M213=3,INDEX(Baseline!$B$3:$B$122,MATCH(MIN(MAX(ROUND(($D213)/5,0)*5,5),600),Baseline!$A$3:$A$122,0))-Inputs!$B$9,INDEX(Course!$N$2:$N$19,MATCH($B213,Course!$A$2:$A$19,0))),INDEX(Baseline!$B$3:$E$122,MATCH(MIN(MAX(ROUND(($D213)/5,0)*5,5),600),Baseline!$A$3:$A$122,0),MATCH($C213,Baseline!$B$2:$E$2,0))))))</f>
        <v/>
      </c>
      <c r="O213" s="17" t="str">
        <f aca="false">IF($C213="","",IF($E213="H",0,IF($E213="G",INDEX(Baseline!$I$3:$I$102,MIN(MAX(ROUND($F213,0),1),100)),IF($E213="T",IF($M213=3,INDEX(Baseline!$B$3:$B$122,MATCH(MIN(MAX(ROUND(($F213)/5,0)*5,5),600),Baseline!$A$3:$A$122,0))-Inputs!$B$9,INDEX(Course!$N$2:$N$19,MATCH($B213,Course!$A$2:$A$19,0))),INDEX(Baseline!$B$3:$E$122,MATCH(MIN(MAX(ROUND(($F213)/5,0)*5,5),600),Baseline!$A$3:$A$122,0),MATCH($E213,Baseline!$B$2:$E$2,0))))))</f>
        <v/>
      </c>
      <c r="P213" s="17" t="str">
        <f aca="false">IF($B213="","",INDEX(Course!$N$2:$N$19,MATCH($B213,Course!$A$2:$A$19,0)))</f>
        <v/>
      </c>
      <c r="Q213" s="17" t="str">
        <f aca="false">IF($B213="","",INDEX(Course!$P$2:$P$19,MATCH($B213,Course!$A$2:$A$19,0)))</f>
        <v/>
      </c>
      <c r="R213" s="17" t="str">
        <f aca="false">IF($C213="","",IF(OR($C213="G",$C213="H"),0,IF($C213="T",1,MIN(1,MAX(0,($N213-Inputs!$B$8)/MAX($P213-Inputs!$B$8,0.01))))))</f>
        <v/>
      </c>
      <c r="S213" s="17" t="str">
        <f aca="false">IF($C213="","",IF(OR($E213="G",$E213="H"),0,IF($E213="T",1,MIN(1,MAX(0,($O213-Inputs!$B$8)/MAX($P213-Inputs!$B$8,0.01))))))</f>
        <v/>
      </c>
    </row>
    <row r="214" customFormat="false" ht="15" hidden="false" customHeight="false" outlineLevel="0" collapsed="false">
      <c r="I214" s="7" t="str">
        <f aca="false">IF($C214="","",IF($C214="G","PUTT",IF(AND($C214="T",$M214&gt;3),"OTT",IF($D214&lt;=30,"ARG","APP"))))</f>
        <v/>
      </c>
      <c r="J214" s="17" t="str">
        <f aca="false">IF($C214="","",$N214+$Q214*$R214)</f>
        <v/>
      </c>
      <c r="K214" s="17" t="str">
        <f aca="false">IF($C214="","",$O214+$Q214*$S214)</f>
        <v/>
      </c>
      <c r="L214" s="17" t="str">
        <f aca="false">IF($C214="","",$J214-$K214-1-N($G214))</f>
        <v/>
      </c>
      <c r="M214" s="7" t="str">
        <f aca="false">IF($B214="","",INDEX(Course!$B$2:$B$19,MATCH($B214,Course!$A$2:$A$19,0)))</f>
        <v/>
      </c>
      <c r="N214" s="17" t="str">
        <f aca="false">IF($C214="","",IF($C214="H",0,IF($C214="G",INDEX(Baseline!$I$3:$I$102,MIN(MAX(ROUND($D214,0),1),100)),IF($C214="T",IF($M214=3,INDEX(Baseline!$B$3:$B$122,MATCH(MIN(MAX(ROUND(($D214)/5,0)*5,5),600),Baseline!$A$3:$A$122,0))-Inputs!$B$9,INDEX(Course!$N$2:$N$19,MATCH($B214,Course!$A$2:$A$19,0))),INDEX(Baseline!$B$3:$E$122,MATCH(MIN(MAX(ROUND(($D214)/5,0)*5,5),600),Baseline!$A$3:$A$122,0),MATCH($C214,Baseline!$B$2:$E$2,0))))))</f>
        <v/>
      </c>
      <c r="O214" s="17" t="str">
        <f aca="false">IF($C214="","",IF($E214="H",0,IF($E214="G",INDEX(Baseline!$I$3:$I$102,MIN(MAX(ROUND($F214,0),1),100)),IF($E214="T",IF($M214=3,INDEX(Baseline!$B$3:$B$122,MATCH(MIN(MAX(ROUND(($F214)/5,0)*5,5),600),Baseline!$A$3:$A$122,0))-Inputs!$B$9,INDEX(Course!$N$2:$N$19,MATCH($B214,Course!$A$2:$A$19,0))),INDEX(Baseline!$B$3:$E$122,MATCH(MIN(MAX(ROUND(($F214)/5,0)*5,5),600),Baseline!$A$3:$A$122,0),MATCH($E214,Baseline!$B$2:$E$2,0))))))</f>
        <v/>
      </c>
      <c r="P214" s="17" t="str">
        <f aca="false">IF($B214="","",INDEX(Course!$N$2:$N$19,MATCH($B214,Course!$A$2:$A$19,0)))</f>
        <v/>
      </c>
      <c r="Q214" s="17" t="str">
        <f aca="false">IF($B214="","",INDEX(Course!$P$2:$P$19,MATCH($B214,Course!$A$2:$A$19,0)))</f>
        <v/>
      </c>
      <c r="R214" s="17" t="str">
        <f aca="false">IF($C214="","",IF(OR($C214="G",$C214="H"),0,IF($C214="T",1,MIN(1,MAX(0,($N214-Inputs!$B$8)/MAX($P214-Inputs!$B$8,0.01))))))</f>
        <v/>
      </c>
      <c r="S214" s="17" t="str">
        <f aca="false">IF($C214="","",IF(OR($E214="G",$E214="H"),0,IF($E214="T",1,MIN(1,MAX(0,($O214-Inputs!$B$8)/MAX($P214-Inputs!$B$8,0.01))))))</f>
        <v/>
      </c>
    </row>
    <row r="215" customFormat="false" ht="15" hidden="false" customHeight="false" outlineLevel="0" collapsed="false">
      <c r="I215" s="7" t="str">
        <f aca="false">IF($C215="","",IF($C215="G","PUTT",IF(AND($C215="T",$M215&gt;3),"OTT",IF($D215&lt;=30,"ARG","APP"))))</f>
        <v/>
      </c>
      <c r="J215" s="17" t="str">
        <f aca="false">IF($C215="","",$N215+$Q215*$R215)</f>
        <v/>
      </c>
      <c r="K215" s="17" t="str">
        <f aca="false">IF($C215="","",$O215+$Q215*$S215)</f>
        <v/>
      </c>
      <c r="L215" s="17" t="str">
        <f aca="false">IF($C215="","",$J215-$K215-1-N($G215))</f>
        <v/>
      </c>
      <c r="M215" s="7" t="str">
        <f aca="false">IF($B215="","",INDEX(Course!$B$2:$B$19,MATCH($B215,Course!$A$2:$A$19,0)))</f>
        <v/>
      </c>
      <c r="N215" s="17" t="str">
        <f aca="false">IF($C215="","",IF($C215="H",0,IF($C215="G",INDEX(Baseline!$I$3:$I$102,MIN(MAX(ROUND($D215,0),1),100)),IF($C215="T",IF($M215=3,INDEX(Baseline!$B$3:$B$122,MATCH(MIN(MAX(ROUND(($D215)/5,0)*5,5),600),Baseline!$A$3:$A$122,0))-Inputs!$B$9,INDEX(Course!$N$2:$N$19,MATCH($B215,Course!$A$2:$A$19,0))),INDEX(Baseline!$B$3:$E$122,MATCH(MIN(MAX(ROUND(($D215)/5,0)*5,5),600),Baseline!$A$3:$A$122,0),MATCH($C215,Baseline!$B$2:$E$2,0))))))</f>
        <v/>
      </c>
      <c r="O215" s="17" t="str">
        <f aca="false">IF($C215="","",IF($E215="H",0,IF($E215="G",INDEX(Baseline!$I$3:$I$102,MIN(MAX(ROUND($F215,0),1),100)),IF($E215="T",IF($M215=3,INDEX(Baseline!$B$3:$B$122,MATCH(MIN(MAX(ROUND(($F215)/5,0)*5,5),600),Baseline!$A$3:$A$122,0))-Inputs!$B$9,INDEX(Course!$N$2:$N$19,MATCH($B215,Course!$A$2:$A$19,0))),INDEX(Baseline!$B$3:$E$122,MATCH(MIN(MAX(ROUND(($F215)/5,0)*5,5),600),Baseline!$A$3:$A$122,0),MATCH($E215,Baseline!$B$2:$E$2,0))))))</f>
        <v/>
      </c>
      <c r="P215" s="17" t="str">
        <f aca="false">IF($B215="","",INDEX(Course!$N$2:$N$19,MATCH($B215,Course!$A$2:$A$19,0)))</f>
        <v/>
      </c>
      <c r="Q215" s="17" t="str">
        <f aca="false">IF($B215="","",INDEX(Course!$P$2:$P$19,MATCH($B215,Course!$A$2:$A$19,0)))</f>
        <v/>
      </c>
      <c r="R215" s="17" t="str">
        <f aca="false">IF($C215="","",IF(OR($C215="G",$C215="H"),0,IF($C215="T",1,MIN(1,MAX(0,($N215-Inputs!$B$8)/MAX($P215-Inputs!$B$8,0.01))))))</f>
        <v/>
      </c>
      <c r="S215" s="17" t="str">
        <f aca="false">IF($C215="","",IF(OR($E215="G",$E215="H"),0,IF($E215="T",1,MIN(1,MAX(0,($O215-Inputs!$B$8)/MAX($P215-Inputs!$B$8,0.01))))))</f>
        <v/>
      </c>
    </row>
    <row r="216" customFormat="false" ht="15" hidden="false" customHeight="false" outlineLevel="0" collapsed="false">
      <c r="I216" s="7" t="str">
        <f aca="false">IF($C216="","",IF($C216="G","PUTT",IF(AND($C216="T",$M216&gt;3),"OTT",IF($D216&lt;=30,"ARG","APP"))))</f>
        <v/>
      </c>
      <c r="J216" s="17" t="str">
        <f aca="false">IF($C216="","",$N216+$Q216*$R216)</f>
        <v/>
      </c>
      <c r="K216" s="17" t="str">
        <f aca="false">IF($C216="","",$O216+$Q216*$S216)</f>
        <v/>
      </c>
      <c r="L216" s="17" t="str">
        <f aca="false">IF($C216="","",$J216-$K216-1-N($G216))</f>
        <v/>
      </c>
      <c r="M216" s="7" t="str">
        <f aca="false">IF($B216="","",INDEX(Course!$B$2:$B$19,MATCH($B216,Course!$A$2:$A$19,0)))</f>
        <v/>
      </c>
      <c r="N216" s="17" t="str">
        <f aca="false">IF($C216="","",IF($C216="H",0,IF($C216="G",INDEX(Baseline!$I$3:$I$102,MIN(MAX(ROUND($D216,0),1),100)),IF($C216="T",IF($M216=3,INDEX(Baseline!$B$3:$B$122,MATCH(MIN(MAX(ROUND(($D216)/5,0)*5,5),600),Baseline!$A$3:$A$122,0))-Inputs!$B$9,INDEX(Course!$N$2:$N$19,MATCH($B216,Course!$A$2:$A$19,0))),INDEX(Baseline!$B$3:$E$122,MATCH(MIN(MAX(ROUND(($D216)/5,0)*5,5),600),Baseline!$A$3:$A$122,0),MATCH($C216,Baseline!$B$2:$E$2,0))))))</f>
        <v/>
      </c>
      <c r="O216" s="17" t="str">
        <f aca="false">IF($C216="","",IF($E216="H",0,IF($E216="G",INDEX(Baseline!$I$3:$I$102,MIN(MAX(ROUND($F216,0),1),100)),IF($E216="T",IF($M216=3,INDEX(Baseline!$B$3:$B$122,MATCH(MIN(MAX(ROUND(($F216)/5,0)*5,5),600),Baseline!$A$3:$A$122,0))-Inputs!$B$9,INDEX(Course!$N$2:$N$19,MATCH($B216,Course!$A$2:$A$19,0))),INDEX(Baseline!$B$3:$E$122,MATCH(MIN(MAX(ROUND(($F216)/5,0)*5,5),600),Baseline!$A$3:$A$122,0),MATCH($E216,Baseline!$B$2:$E$2,0))))))</f>
        <v/>
      </c>
      <c r="P216" s="17" t="str">
        <f aca="false">IF($B216="","",INDEX(Course!$N$2:$N$19,MATCH($B216,Course!$A$2:$A$19,0)))</f>
        <v/>
      </c>
      <c r="Q216" s="17" t="str">
        <f aca="false">IF($B216="","",INDEX(Course!$P$2:$P$19,MATCH($B216,Course!$A$2:$A$19,0)))</f>
        <v/>
      </c>
      <c r="R216" s="17" t="str">
        <f aca="false">IF($C216="","",IF(OR($C216="G",$C216="H"),0,IF($C216="T",1,MIN(1,MAX(0,($N216-Inputs!$B$8)/MAX($P216-Inputs!$B$8,0.01))))))</f>
        <v/>
      </c>
      <c r="S216" s="17" t="str">
        <f aca="false">IF($C216="","",IF(OR($E216="G",$E216="H"),0,IF($E216="T",1,MIN(1,MAX(0,($O216-Inputs!$B$8)/MAX($P216-Inputs!$B$8,0.01))))))</f>
        <v/>
      </c>
    </row>
    <row r="217" customFormat="false" ht="15" hidden="false" customHeight="false" outlineLevel="0" collapsed="false">
      <c r="I217" s="7" t="str">
        <f aca="false">IF($C217="","",IF($C217="G","PUTT",IF(AND($C217="T",$M217&gt;3),"OTT",IF($D217&lt;=30,"ARG","APP"))))</f>
        <v/>
      </c>
      <c r="J217" s="17" t="str">
        <f aca="false">IF($C217="","",$N217+$Q217*$R217)</f>
        <v/>
      </c>
      <c r="K217" s="17" t="str">
        <f aca="false">IF($C217="","",$O217+$Q217*$S217)</f>
        <v/>
      </c>
      <c r="L217" s="17" t="str">
        <f aca="false">IF($C217="","",$J217-$K217-1-N($G217))</f>
        <v/>
      </c>
      <c r="M217" s="7" t="str">
        <f aca="false">IF($B217="","",INDEX(Course!$B$2:$B$19,MATCH($B217,Course!$A$2:$A$19,0)))</f>
        <v/>
      </c>
      <c r="N217" s="17" t="str">
        <f aca="false">IF($C217="","",IF($C217="H",0,IF($C217="G",INDEX(Baseline!$I$3:$I$102,MIN(MAX(ROUND($D217,0),1),100)),IF($C217="T",IF($M217=3,INDEX(Baseline!$B$3:$B$122,MATCH(MIN(MAX(ROUND(($D217)/5,0)*5,5),600),Baseline!$A$3:$A$122,0))-Inputs!$B$9,INDEX(Course!$N$2:$N$19,MATCH($B217,Course!$A$2:$A$19,0))),INDEX(Baseline!$B$3:$E$122,MATCH(MIN(MAX(ROUND(($D217)/5,0)*5,5),600),Baseline!$A$3:$A$122,0),MATCH($C217,Baseline!$B$2:$E$2,0))))))</f>
        <v/>
      </c>
      <c r="O217" s="17" t="str">
        <f aca="false">IF($C217="","",IF($E217="H",0,IF($E217="G",INDEX(Baseline!$I$3:$I$102,MIN(MAX(ROUND($F217,0),1),100)),IF($E217="T",IF($M217=3,INDEX(Baseline!$B$3:$B$122,MATCH(MIN(MAX(ROUND(($F217)/5,0)*5,5),600),Baseline!$A$3:$A$122,0))-Inputs!$B$9,INDEX(Course!$N$2:$N$19,MATCH($B217,Course!$A$2:$A$19,0))),INDEX(Baseline!$B$3:$E$122,MATCH(MIN(MAX(ROUND(($F217)/5,0)*5,5),600),Baseline!$A$3:$A$122,0),MATCH($E217,Baseline!$B$2:$E$2,0))))))</f>
        <v/>
      </c>
      <c r="P217" s="17" t="str">
        <f aca="false">IF($B217="","",INDEX(Course!$N$2:$N$19,MATCH($B217,Course!$A$2:$A$19,0)))</f>
        <v/>
      </c>
      <c r="Q217" s="17" t="str">
        <f aca="false">IF($B217="","",INDEX(Course!$P$2:$P$19,MATCH($B217,Course!$A$2:$A$19,0)))</f>
        <v/>
      </c>
      <c r="R217" s="17" t="str">
        <f aca="false">IF($C217="","",IF(OR($C217="G",$C217="H"),0,IF($C217="T",1,MIN(1,MAX(0,($N217-Inputs!$B$8)/MAX($P217-Inputs!$B$8,0.01))))))</f>
        <v/>
      </c>
      <c r="S217" s="17" t="str">
        <f aca="false">IF($C217="","",IF(OR($E217="G",$E217="H"),0,IF($E217="T",1,MIN(1,MAX(0,($O217-Inputs!$B$8)/MAX($P217-Inputs!$B$8,0.01))))))</f>
        <v/>
      </c>
    </row>
    <row r="218" customFormat="false" ht="15" hidden="false" customHeight="false" outlineLevel="0" collapsed="false">
      <c r="I218" s="7" t="str">
        <f aca="false">IF($C218="","",IF($C218="G","PUTT",IF(AND($C218="T",$M218&gt;3),"OTT",IF($D218&lt;=30,"ARG","APP"))))</f>
        <v/>
      </c>
      <c r="J218" s="17" t="str">
        <f aca="false">IF($C218="","",$N218+$Q218*$R218)</f>
        <v/>
      </c>
      <c r="K218" s="17" t="str">
        <f aca="false">IF($C218="","",$O218+$Q218*$S218)</f>
        <v/>
      </c>
      <c r="L218" s="17" t="str">
        <f aca="false">IF($C218="","",$J218-$K218-1-N($G218))</f>
        <v/>
      </c>
      <c r="M218" s="7" t="str">
        <f aca="false">IF($B218="","",INDEX(Course!$B$2:$B$19,MATCH($B218,Course!$A$2:$A$19,0)))</f>
        <v/>
      </c>
      <c r="N218" s="17" t="str">
        <f aca="false">IF($C218="","",IF($C218="H",0,IF($C218="G",INDEX(Baseline!$I$3:$I$102,MIN(MAX(ROUND($D218,0),1),100)),IF($C218="T",IF($M218=3,INDEX(Baseline!$B$3:$B$122,MATCH(MIN(MAX(ROUND(($D218)/5,0)*5,5),600),Baseline!$A$3:$A$122,0))-Inputs!$B$9,INDEX(Course!$N$2:$N$19,MATCH($B218,Course!$A$2:$A$19,0))),INDEX(Baseline!$B$3:$E$122,MATCH(MIN(MAX(ROUND(($D218)/5,0)*5,5),600),Baseline!$A$3:$A$122,0),MATCH($C218,Baseline!$B$2:$E$2,0))))))</f>
        <v/>
      </c>
      <c r="O218" s="17" t="str">
        <f aca="false">IF($C218="","",IF($E218="H",0,IF($E218="G",INDEX(Baseline!$I$3:$I$102,MIN(MAX(ROUND($F218,0),1),100)),IF($E218="T",IF($M218=3,INDEX(Baseline!$B$3:$B$122,MATCH(MIN(MAX(ROUND(($F218)/5,0)*5,5),600),Baseline!$A$3:$A$122,0))-Inputs!$B$9,INDEX(Course!$N$2:$N$19,MATCH($B218,Course!$A$2:$A$19,0))),INDEX(Baseline!$B$3:$E$122,MATCH(MIN(MAX(ROUND(($F218)/5,0)*5,5),600),Baseline!$A$3:$A$122,0),MATCH($E218,Baseline!$B$2:$E$2,0))))))</f>
        <v/>
      </c>
      <c r="P218" s="17" t="str">
        <f aca="false">IF($B218="","",INDEX(Course!$N$2:$N$19,MATCH($B218,Course!$A$2:$A$19,0)))</f>
        <v/>
      </c>
      <c r="Q218" s="17" t="str">
        <f aca="false">IF($B218="","",INDEX(Course!$P$2:$P$19,MATCH($B218,Course!$A$2:$A$19,0)))</f>
        <v/>
      </c>
      <c r="R218" s="17" t="str">
        <f aca="false">IF($C218="","",IF(OR($C218="G",$C218="H"),0,IF($C218="T",1,MIN(1,MAX(0,($N218-Inputs!$B$8)/MAX($P218-Inputs!$B$8,0.01))))))</f>
        <v/>
      </c>
      <c r="S218" s="17" t="str">
        <f aca="false">IF($C218="","",IF(OR($E218="G",$E218="H"),0,IF($E218="T",1,MIN(1,MAX(0,($O218-Inputs!$B$8)/MAX($P218-Inputs!$B$8,0.01))))))</f>
        <v/>
      </c>
    </row>
    <row r="219" customFormat="false" ht="15" hidden="false" customHeight="false" outlineLevel="0" collapsed="false">
      <c r="I219" s="7" t="str">
        <f aca="false">IF($C219="","",IF($C219="G","PUTT",IF(AND($C219="T",$M219&gt;3),"OTT",IF($D219&lt;=30,"ARG","APP"))))</f>
        <v/>
      </c>
      <c r="J219" s="17" t="str">
        <f aca="false">IF($C219="","",$N219+$Q219*$R219)</f>
        <v/>
      </c>
      <c r="K219" s="17" t="str">
        <f aca="false">IF($C219="","",$O219+$Q219*$S219)</f>
        <v/>
      </c>
      <c r="L219" s="17" t="str">
        <f aca="false">IF($C219="","",$J219-$K219-1-N($G219))</f>
        <v/>
      </c>
      <c r="M219" s="7" t="str">
        <f aca="false">IF($B219="","",INDEX(Course!$B$2:$B$19,MATCH($B219,Course!$A$2:$A$19,0)))</f>
        <v/>
      </c>
      <c r="N219" s="17" t="str">
        <f aca="false">IF($C219="","",IF($C219="H",0,IF($C219="G",INDEX(Baseline!$I$3:$I$102,MIN(MAX(ROUND($D219,0),1),100)),IF($C219="T",IF($M219=3,INDEX(Baseline!$B$3:$B$122,MATCH(MIN(MAX(ROUND(($D219)/5,0)*5,5),600),Baseline!$A$3:$A$122,0))-Inputs!$B$9,INDEX(Course!$N$2:$N$19,MATCH($B219,Course!$A$2:$A$19,0))),INDEX(Baseline!$B$3:$E$122,MATCH(MIN(MAX(ROUND(($D219)/5,0)*5,5),600),Baseline!$A$3:$A$122,0),MATCH($C219,Baseline!$B$2:$E$2,0))))))</f>
        <v/>
      </c>
      <c r="O219" s="17" t="str">
        <f aca="false">IF($C219="","",IF($E219="H",0,IF($E219="G",INDEX(Baseline!$I$3:$I$102,MIN(MAX(ROUND($F219,0),1),100)),IF($E219="T",IF($M219=3,INDEX(Baseline!$B$3:$B$122,MATCH(MIN(MAX(ROUND(($F219)/5,0)*5,5),600),Baseline!$A$3:$A$122,0))-Inputs!$B$9,INDEX(Course!$N$2:$N$19,MATCH($B219,Course!$A$2:$A$19,0))),INDEX(Baseline!$B$3:$E$122,MATCH(MIN(MAX(ROUND(($F219)/5,0)*5,5),600),Baseline!$A$3:$A$122,0),MATCH($E219,Baseline!$B$2:$E$2,0))))))</f>
        <v/>
      </c>
      <c r="P219" s="17" t="str">
        <f aca="false">IF($B219="","",INDEX(Course!$N$2:$N$19,MATCH($B219,Course!$A$2:$A$19,0)))</f>
        <v/>
      </c>
      <c r="Q219" s="17" t="str">
        <f aca="false">IF($B219="","",INDEX(Course!$P$2:$P$19,MATCH($B219,Course!$A$2:$A$19,0)))</f>
        <v/>
      </c>
      <c r="R219" s="17" t="str">
        <f aca="false">IF($C219="","",IF(OR($C219="G",$C219="H"),0,IF($C219="T",1,MIN(1,MAX(0,($N219-Inputs!$B$8)/MAX($P219-Inputs!$B$8,0.01))))))</f>
        <v/>
      </c>
      <c r="S219" s="17" t="str">
        <f aca="false">IF($C219="","",IF(OR($E219="G",$E219="H"),0,IF($E219="T",1,MIN(1,MAX(0,($O219-Inputs!$B$8)/MAX($P219-Inputs!$B$8,0.01))))))</f>
        <v/>
      </c>
    </row>
    <row r="220" customFormat="false" ht="15" hidden="false" customHeight="false" outlineLevel="0" collapsed="false">
      <c r="I220" s="7" t="str">
        <f aca="false">IF($C220="","",IF($C220="G","PUTT",IF(AND($C220="T",$M220&gt;3),"OTT",IF($D220&lt;=30,"ARG","APP"))))</f>
        <v/>
      </c>
      <c r="J220" s="17" t="str">
        <f aca="false">IF($C220="","",$N220+$Q220*$R220)</f>
        <v/>
      </c>
      <c r="K220" s="17" t="str">
        <f aca="false">IF($C220="","",$O220+$Q220*$S220)</f>
        <v/>
      </c>
      <c r="L220" s="17" t="str">
        <f aca="false">IF($C220="","",$J220-$K220-1-N($G220))</f>
        <v/>
      </c>
      <c r="M220" s="7" t="str">
        <f aca="false">IF($B220="","",INDEX(Course!$B$2:$B$19,MATCH($B220,Course!$A$2:$A$19,0)))</f>
        <v/>
      </c>
      <c r="N220" s="17" t="str">
        <f aca="false">IF($C220="","",IF($C220="H",0,IF($C220="G",INDEX(Baseline!$I$3:$I$102,MIN(MAX(ROUND($D220,0),1),100)),IF($C220="T",IF($M220=3,INDEX(Baseline!$B$3:$B$122,MATCH(MIN(MAX(ROUND(($D220)/5,0)*5,5),600),Baseline!$A$3:$A$122,0))-Inputs!$B$9,INDEX(Course!$N$2:$N$19,MATCH($B220,Course!$A$2:$A$19,0))),INDEX(Baseline!$B$3:$E$122,MATCH(MIN(MAX(ROUND(($D220)/5,0)*5,5),600),Baseline!$A$3:$A$122,0),MATCH($C220,Baseline!$B$2:$E$2,0))))))</f>
        <v/>
      </c>
      <c r="O220" s="17" t="str">
        <f aca="false">IF($C220="","",IF($E220="H",0,IF($E220="G",INDEX(Baseline!$I$3:$I$102,MIN(MAX(ROUND($F220,0),1),100)),IF($E220="T",IF($M220=3,INDEX(Baseline!$B$3:$B$122,MATCH(MIN(MAX(ROUND(($F220)/5,0)*5,5),600),Baseline!$A$3:$A$122,0))-Inputs!$B$9,INDEX(Course!$N$2:$N$19,MATCH($B220,Course!$A$2:$A$19,0))),INDEX(Baseline!$B$3:$E$122,MATCH(MIN(MAX(ROUND(($F220)/5,0)*5,5),600),Baseline!$A$3:$A$122,0),MATCH($E220,Baseline!$B$2:$E$2,0))))))</f>
        <v/>
      </c>
      <c r="P220" s="17" t="str">
        <f aca="false">IF($B220="","",INDEX(Course!$N$2:$N$19,MATCH($B220,Course!$A$2:$A$19,0)))</f>
        <v/>
      </c>
      <c r="Q220" s="17" t="str">
        <f aca="false">IF($B220="","",INDEX(Course!$P$2:$P$19,MATCH($B220,Course!$A$2:$A$19,0)))</f>
        <v/>
      </c>
      <c r="R220" s="17" t="str">
        <f aca="false">IF($C220="","",IF(OR($C220="G",$C220="H"),0,IF($C220="T",1,MIN(1,MAX(0,($N220-Inputs!$B$8)/MAX($P220-Inputs!$B$8,0.01))))))</f>
        <v/>
      </c>
      <c r="S220" s="17" t="str">
        <f aca="false">IF($C220="","",IF(OR($E220="G",$E220="H"),0,IF($E220="T",1,MIN(1,MAX(0,($O220-Inputs!$B$8)/MAX($P220-Inputs!$B$8,0.01))))))</f>
        <v/>
      </c>
    </row>
    <row r="221" customFormat="false" ht="15" hidden="false" customHeight="false" outlineLevel="0" collapsed="false">
      <c r="I221" s="7" t="str">
        <f aca="false">IF($C221="","",IF($C221="G","PUTT",IF(AND($C221="T",$M221&gt;3),"OTT",IF($D221&lt;=30,"ARG","APP"))))</f>
        <v/>
      </c>
      <c r="J221" s="17" t="str">
        <f aca="false">IF($C221="","",$N221+$Q221*$R221)</f>
        <v/>
      </c>
      <c r="K221" s="17" t="str">
        <f aca="false">IF($C221="","",$O221+$Q221*$S221)</f>
        <v/>
      </c>
      <c r="L221" s="17" t="str">
        <f aca="false">IF($C221="","",$J221-$K221-1-N($G221))</f>
        <v/>
      </c>
      <c r="M221" s="7" t="str">
        <f aca="false">IF($B221="","",INDEX(Course!$B$2:$B$19,MATCH($B221,Course!$A$2:$A$19,0)))</f>
        <v/>
      </c>
      <c r="N221" s="17" t="str">
        <f aca="false">IF($C221="","",IF($C221="H",0,IF($C221="G",INDEX(Baseline!$I$3:$I$102,MIN(MAX(ROUND($D221,0),1),100)),IF($C221="T",IF($M221=3,INDEX(Baseline!$B$3:$B$122,MATCH(MIN(MAX(ROUND(($D221)/5,0)*5,5),600),Baseline!$A$3:$A$122,0))-Inputs!$B$9,INDEX(Course!$N$2:$N$19,MATCH($B221,Course!$A$2:$A$19,0))),INDEX(Baseline!$B$3:$E$122,MATCH(MIN(MAX(ROUND(($D221)/5,0)*5,5),600),Baseline!$A$3:$A$122,0),MATCH($C221,Baseline!$B$2:$E$2,0))))))</f>
        <v/>
      </c>
      <c r="O221" s="17" t="str">
        <f aca="false">IF($C221="","",IF($E221="H",0,IF($E221="G",INDEX(Baseline!$I$3:$I$102,MIN(MAX(ROUND($F221,0),1),100)),IF($E221="T",IF($M221=3,INDEX(Baseline!$B$3:$B$122,MATCH(MIN(MAX(ROUND(($F221)/5,0)*5,5),600),Baseline!$A$3:$A$122,0))-Inputs!$B$9,INDEX(Course!$N$2:$N$19,MATCH($B221,Course!$A$2:$A$19,0))),INDEX(Baseline!$B$3:$E$122,MATCH(MIN(MAX(ROUND(($F221)/5,0)*5,5),600),Baseline!$A$3:$A$122,0),MATCH($E221,Baseline!$B$2:$E$2,0))))))</f>
        <v/>
      </c>
      <c r="P221" s="17" t="str">
        <f aca="false">IF($B221="","",INDEX(Course!$N$2:$N$19,MATCH($B221,Course!$A$2:$A$19,0)))</f>
        <v/>
      </c>
      <c r="Q221" s="17" t="str">
        <f aca="false">IF($B221="","",INDEX(Course!$P$2:$P$19,MATCH($B221,Course!$A$2:$A$19,0)))</f>
        <v/>
      </c>
      <c r="R221" s="17" t="str">
        <f aca="false">IF($C221="","",IF(OR($C221="G",$C221="H"),0,IF($C221="T",1,MIN(1,MAX(0,($N221-Inputs!$B$8)/MAX($P221-Inputs!$B$8,0.01))))))</f>
        <v/>
      </c>
      <c r="S221" s="17" t="str">
        <f aca="false">IF($C221="","",IF(OR($E221="G",$E221="H"),0,IF($E221="T",1,MIN(1,MAX(0,($O221-Inputs!$B$8)/MAX($P221-Inputs!$B$8,0.01))))))</f>
        <v/>
      </c>
    </row>
    <row r="222" customFormat="false" ht="15" hidden="false" customHeight="false" outlineLevel="0" collapsed="false">
      <c r="I222" s="7" t="str">
        <f aca="false">IF($C222="","",IF($C222="G","PUTT",IF(AND($C222="T",$M222&gt;3),"OTT",IF($D222&lt;=30,"ARG","APP"))))</f>
        <v/>
      </c>
      <c r="J222" s="17" t="str">
        <f aca="false">IF($C222="","",$N222+$Q222*$R222)</f>
        <v/>
      </c>
      <c r="K222" s="17" t="str">
        <f aca="false">IF($C222="","",$O222+$Q222*$S222)</f>
        <v/>
      </c>
      <c r="L222" s="17" t="str">
        <f aca="false">IF($C222="","",$J222-$K222-1-N($G222))</f>
        <v/>
      </c>
      <c r="M222" s="7" t="str">
        <f aca="false">IF($B222="","",INDEX(Course!$B$2:$B$19,MATCH($B222,Course!$A$2:$A$19,0)))</f>
        <v/>
      </c>
      <c r="N222" s="17" t="str">
        <f aca="false">IF($C222="","",IF($C222="H",0,IF($C222="G",INDEX(Baseline!$I$3:$I$102,MIN(MAX(ROUND($D222,0),1),100)),IF($C222="T",IF($M222=3,INDEX(Baseline!$B$3:$B$122,MATCH(MIN(MAX(ROUND(($D222)/5,0)*5,5),600),Baseline!$A$3:$A$122,0))-Inputs!$B$9,INDEX(Course!$N$2:$N$19,MATCH($B222,Course!$A$2:$A$19,0))),INDEX(Baseline!$B$3:$E$122,MATCH(MIN(MAX(ROUND(($D222)/5,0)*5,5),600),Baseline!$A$3:$A$122,0),MATCH($C222,Baseline!$B$2:$E$2,0))))))</f>
        <v/>
      </c>
      <c r="O222" s="17" t="str">
        <f aca="false">IF($C222="","",IF($E222="H",0,IF($E222="G",INDEX(Baseline!$I$3:$I$102,MIN(MAX(ROUND($F222,0),1),100)),IF($E222="T",IF($M222=3,INDEX(Baseline!$B$3:$B$122,MATCH(MIN(MAX(ROUND(($F222)/5,0)*5,5),600),Baseline!$A$3:$A$122,0))-Inputs!$B$9,INDEX(Course!$N$2:$N$19,MATCH($B222,Course!$A$2:$A$19,0))),INDEX(Baseline!$B$3:$E$122,MATCH(MIN(MAX(ROUND(($F222)/5,0)*5,5),600),Baseline!$A$3:$A$122,0),MATCH($E222,Baseline!$B$2:$E$2,0))))))</f>
        <v/>
      </c>
      <c r="P222" s="17" t="str">
        <f aca="false">IF($B222="","",INDEX(Course!$N$2:$N$19,MATCH($B222,Course!$A$2:$A$19,0)))</f>
        <v/>
      </c>
      <c r="Q222" s="17" t="str">
        <f aca="false">IF($B222="","",INDEX(Course!$P$2:$P$19,MATCH($B222,Course!$A$2:$A$19,0)))</f>
        <v/>
      </c>
      <c r="R222" s="17" t="str">
        <f aca="false">IF($C222="","",IF(OR($C222="G",$C222="H"),0,IF($C222="T",1,MIN(1,MAX(0,($N222-Inputs!$B$8)/MAX($P222-Inputs!$B$8,0.01))))))</f>
        <v/>
      </c>
      <c r="S222" s="17" t="str">
        <f aca="false">IF($C222="","",IF(OR($E222="G",$E222="H"),0,IF($E222="T",1,MIN(1,MAX(0,($O222-Inputs!$B$8)/MAX($P222-Inputs!$B$8,0.01))))))</f>
        <v/>
      </c>
    </row>
    <row r="223" customFormat="false" ht="15" hidden="false" customHeight="false" outlineLevel="0" collapsed="false">
      <c r="I223" s="7" t="str">
        <f aca="false">IF($C223="","",IF($C223="G","PUTT",IF(AND($C223="T",$M223&gt;3),"OTT",IF($D223&lt;=30,"ARG","APP"))))</f>
        <v/>
      </c>
      <c r="J223" s="17" t="str">
        <f aca="false">IF($C223="","",$N223+$Q223*$R223)</f>
        <v/>
      </c>
      <c r="K223" s="17" t="str">
        <f aca="false">IF($C223="","",$O223+$Q223*$S223)</f>
        <v/>
      </c>
      <c r="L223" s="17" t="str">
        <f aca="false">IF($C223="","",$J223-$K223-1-N($G223))</f>
        <v/>
      </c>
      <c r="M223" s="7" t="str">
        <f aca="false">IF($B223="","",INDEX(Course!$B$2:$B$19,MATCH($B223,Course!$A$2:$A$19,0)))</f>
        <v/>
      </c>
      <c r="N223" s="17" t="str">
        <f aca="false">IF($C223="","",IF($C223="H",0,IF($C223="G",INDEX(Baseline!$I$3:$I$102,MIN(MAX(ROUND($D223,0),1),100)),IF($C223="T",IF($M223=3,INDEX(Baseline!$B$3:$B$122,MATCH(MIN(MAX(ROUND(($D223)/5,0)*5,5),600),Baseline!$A$3:$A$122,0))-Inputs!$B$9,INDEX(Course!$N$2:$N$19,MATCH($B223,Course!$A$2:$A$19,0))),INDEX(Baseline!$B$3:$E$122,MATCH(MIN(MAX(ROUND(($D223)/5,0)*5,5),600),Baseline!$A$3:$A$122,0),MATCH($C223,Baseline!$B$2:$E$2,0))))))</f>
        <v/>
      </c>
      <c r="O223" s="17" t="str">
        <f aca="false">IF($C223="","",IF($E223="H",0,IF($E223="G",INDEX(Baseline!$I$3:$I$102,MIN(MAX(ROUND($F223,0),1),100)),IF($E223="T",IF($M223=3,INDEX(Baseline!$B$3:$B$122,MATCH(MIN(MAX(ROUND(($F223)/5,0)*5,5),600),Baseline!$A$3:$A$122,0))-Inputs!$B$9,INDEX(Course!$N$2:$N$19,MATCH($B223,Course!$A$2:$A$19,0))),INDEX(Baseline!$B$3:$E$122,MATCH(MIN(MAX(ROUND(($F223)/5,0)*5,5),600),Baseline!$A$3:$A$122,0),MATCH($E223,Baseline!$B$2:$E$2,0))))))</f>
        <v/>
      </c>
      <c r="P223" s="17" t="str">
        <f aca="false">IF($B223="","",INDEX(Course!$N$2:$N$19,MATCH($B223,Course!$A$2:$A$19,0)))</f>
        <v/>
      </c>
      <c r="Q223" s="17" t="str">
        <f aca="false">IF($B223="","",INDEX(Course!$P$2:$P$19,MATCH($B223,Course!$A$2:$A$19,0)))</f>
        <v/>
      </c>
      <c r="R223" s="17" t="str">
        <f aca="false">IF($C223="","",IF(OR($C223="G",$C223="H"),0,IF($C223="T",1,MIN(1,MAX(0,($N223-Inputs!$B$8)/MAX($P223-Inputs!$B$8,0.01))))))</f>
        <v/>
      </c>
      <c r="S223" s="17" t="str">
        <f aca="false">IF($C223="","",IF(OR($E223="G",$E223="H"),0,IF($E223="T",1,MIN(1,MAX(0,($O223-Inputs!$B$8)/MAX($P223-Inputs!$B$8,0.01))))))</f>
        <v/>
      </c>
    </row>
    <row r="224" customFormat="false" ht="15" hidden="false" customHeight="false" outlineLevel="0" collapsed="false">
      <c r="I224" s="7" t="str">
        <f aca="false">IF($C224="","",IF($C224="G","PUTT",IF(AND($C224="T",$M224&gt;3),"OTT",IF($D224&lt;=30,"ARG","APP"))))</f>
        <v/>
      </c>
      <c r="J224" s="17" t="str">
        <f aca="false">IF($C224="","",$N224+$Q224*$R224)</f>
        <v/>
      </c>
      <c r="K224" s="17" t="str">
        <f aca="false">IF($C224="","",$O224+$Q224*$S224)</f>
        <v/>
      </c>
      <c r="L224" s="17" t="str">
        <f aca="false">IF($C224="","",$J224-$K224-1-N($G224))</f>
        <v/>
      </c>
      <c r="M224" s="7" t="str">
        <f aca="false">IF($B224="","",INDEX(Course!$B$2:$B$19,MATCH($B224,Course!$A$2:$A$19,0)))</f>
        <v/>
      </c>
      <c r="N224" s="17" t="str">
        <f aca="false">IF($C224="","",IF($C224="H",0,IF($C224="G",INDEX(Baseline!$I$3:$I$102,MIN(MAX(ROUND($D224,0),1),100)),IF($C224="T",IF($M224=3,INDEX(Baseline!$B$3:$B$122,MATCH(MIN(MAX(ROUND(($D224)/5,0)*5,5),600),Baseline!$A$3:$A$122,0))-Inputs!$B$9,INDEX(Course!$N$2:$N$19,MATCH($B224,Course!$A$2:$A$19,0))),INDEX(Baseline!$B$3:$E$122,MATCH(MIN(MAX(ROUND(($D224)/5,0)*5,5),600),Baseline!$A$3:$A$122,0),MATCH($C224,Baseline!$B$2:$E$2,0))))))</f>
        <v/>
      </c>
      <c r="O224" s="17" t="str">
        <f aca="false">IF($C224="","",IF($E224="H",0,IF($E224="G",INDEX(Baseline!$I$3:$I$102,MIN(MAX(ROUND($F224,0),1),100)),IF($E224="T",IF($M224=3,INDEX(Baseline!$B$3:$B$122,MATCH(MIN(MAX(ROUND(($F224)/5,0)*5,5),600),Baseline!$A$3:$A$122,0))-Inputs!$B$9,INDEX(Course!$N$2:$N$19,MATCH($B224,Course!$A$2:$A$19,0))),INDEX(Baseline!$B$3:$E$122,MATCH(MIN(MAX(ROUND(($F224)/5,0)*5,5),600),Baseline!$A$3:$A$122,0),MATCH($E224,Baseline!$B$2:$E$2,0))))))</f>
        <v/>
      </c>
      <c r="P224" s="17" t="str">
        <f aca="false">IF($B224="","",INDEX(Course!$N$2:$N$19,MATCH($B224,Course!$A$2:$A$19,0)))</f>
        <v/>
      </c>
      <c r="Q224" s="17" t="str">
        <f aca="false">IF($B224="","",INDEX(Course!$P$2:$P$19,MATCH($B224,Course!$A$2:$A$19,0)))</f>
        <v/>
      </c>
      <c r="R224" s="17" t="str">
        <f aca="false">IF($C224="","",IF(OR($C224="G",$C224="H"),0,IF($C224="T",1,MIN(1,MAX(0,($N224-Inputs!$B$8)/MAX($P224-Inputs!$B$8,0.01))))))</f>
        <v/>
      </c>
      <c r="S224" s="17" t="str">
        <f aca="false">IF($C224="","",IF(OR($E224="G",$E224="H"),0,IF($E224="T",1,MIN(1,MAX(0,($O224-Inputs!$B$8)/MAX($P224-Inputs!$B$8,0.01))))))</f>
        <v/>
      </c>
    </row>
    <row r="225" customFormat="false" ht="15" hidden="false" customHeight="false" outlineLevel="0" collapsed="false">
      <c r="I225" s="7" t="str">
        <f aca="false">IF($C225="","",IF($C225="G","PUTT",IF(AND($C225="T",$M225&gt;3),"OTT",IF($D225&lt;=30,"ARG","APP"))))</f>
        <v/>
      </c>
      <c r="J225" s="17" t="str">
        <f aca="false">IF($C225="","",$N225+$Q225*$R225)</f>
        <v/>
      </c>
      <c r="K225" s="17" t="str">
        <f aca="false">IF($C225="","",$O225+$Q225*$S225)</f>
        <v/>
      </c>
      <c r="L225" s="17" t="str">
        <f aca="false">IF($C225="","",$J225-$K225-1-N($G225))</f>
        <v/>
      </c>
      <c r="M225" s="7" t="str">
        <f aca="false">IF($B225="","",INDEX(Course!$B$2:$B$19,MATCH($B225,Course!$A$2:$A$19,0)))</f>
        <v/>
      </c>
      <c r="N225" s="17" t="str">
        <f aca="false">IF($C225="","",IF($C225="H",0,IF($C225="G",INDEX(Baseline!$I$3:$I$102,MIN(MAX(ROUND($D225,0),1),100)),IF($C225="T",IF($M225=3,INDEX(Baseline!$B$3:$B$122,MATCH(MIN(MAX(ROUND(($D225)/5,0)*5,5),600),Baseline!$A$3:$A$122,0))-Inputs!$B$9,INDEX(Course!$N$2:$N$19,MATCH($B225,Course!$A$2:$A$19,0))),INDEX(Baseline!$B$3:$E$122,MATCH(MIN(MAX(ROUND(($D225)/5,0)*5,5),600),Baseline!$A$3:$A$122,0),MATCH($C225,Baseline!$B$2:$E$2,0))))))</f>
        <v/>
      </c>
      <c r="O225" s="17" t="str">
        <f aca="false">IF($C225="","",IF($E225="H",0,IF($E225="G",INDEX(Baseline!$I$3:$I$102,MIN(MAX(ROUND($F225,0),1),100)),IF($E225="T",IF($M225=3,INDEX(Baseline!$B$3:$B$122,MATCH(MIN(MAX(ROUND(($F225)/5,0)*5,5),600),Baseline!$A$3:$A$122,0))-Inputs!$B$9,INDEX(Course!$N$2:$N$19,MATCH($B225,Course!$A$2:$A$19,0))),INDEX(Baseline!$B$3:$E$122,MATCH(MIN(MAX(ROUND(($F225)/5,0)*5,5),600),Baseline!$A$3:$A$122,0),MATCH($E225,Baseline!$B$2:$E$2,0))))))</f>
        <v/>
      </c>
      <c r="P225" s="17" t="str">
        <f aca="false">IF($B225="","",INDEX(Course!$N$2:$N$19,MATCH($B225,Course!$A$2:$A$19,0)))</f>
        <v/>
      </c>
      <c r="Q225" s="17" t="str">
        <f aca="false">IF($B225="","",INDEX(Course!$P$2:$P$19,MATCH($B225,Course!$A$2:$A$19,0)))</f>
        <v/>
      </c>
      <c r="R225" s="17" t="str">
        <f aca="false">IF($C225="","",IF(OR($C225="G",$C225="H"),0,IF($C225="T",1,MIN(1,MAX(0,($N225-Inputs!$B$8)/MAX($P225-Inputs!$B$8,0.01))))))</f>
        <v/>
      </c>
      <c r="S225" s="17" t="str">
        <f aca="false">IF($C225="","",IF(OR($E225="G",$E225="H"),0,IF($E225="T",1,MIN(1,MAX(0,($O225-Inputs!$B$8)/MAX($P225-Inputs!$B$8,0.01))))))</f>
        <v/>
      </c>
    </row>
    <row r="226" customFormat="false" ht="15" hidden="false" customHeight="false" outlineLevel="0" collapsed="false">
      <c r="I226" s="7" t="str">
        <f aca="false">IF($C226="","",IF($C226="G","PUTT",IF(AND($C226="T",$M226&gt;3),"OTT",IF($D226&lt;=30,"ARG","APP"))))</f>
        <v/>
      </c>
      <c r="J226" s="17" t="str">
        <f aca="false">IF($C226="","",$N226+$Q226*$R226)</f>
        <v/>
      </c>
      <c r="K226" s="17" t="str">
        <f aca="false">IF($C226="","",$O226+$Q226*$S226)</f>
        <v/>
      </c>
      <c r="L226" s="17" t="str">
        <f aca="false">IF($C226="","",$J226-$K226-1-N($G226))</f>
        <v/>
      </c>
      <c r="M226" s="7" t="str">
        <f aca="false">IF($B226="","",INDEX(Course!$B$2:$B$19,MATCH($B226,Course!$A$2:$A$19,0)))</f>
        <v/>
      </c>
      <c r="N226" s="17" t="str">
        <f aca="false">IF($C226="","",IF($C226="H",0,IF($C226="G",INDEX(Baseline!$I$3:$I$102,MIN(MAX(ROUND($D226,0),1),100)),IF($C226="T",IF($M226=3,INDEX(Baseline!$B$3:$B$122,MATCH(MIN(MAX(ROUND(($D226)/5,0)*5,5),600),Baseline!$A$3:$A$122,0))-Inputs!$B$9,INDEX(Course!$N$2:$N$19,MATCH($B226,Course!$A$2:$A$19,0))),INDEX(Baseline!$B$3:$E$122,MATCH(MIN(MAX(ROUND(($D226)/5,0)*5,5),600),Baseline!$A$3:$A$122,0),MATCH($C226,Baseline!$B$2:$E$2,0))))))</f>
        <v/>
      </c>
      <c r="O226" s="17" t="str">
        <f aca="false">IF($C226="","",IF($E226="H",0,IF($E226="G",INDEX(Baseline!$I$3:$I$102,MIN(MAX(ROUND($F226,0),1),100)),IF($E226="T",IF($M226=3,INDEX(Baseline!$B$3:$B$122,MATCH(MIN(MAX(ROUND(($F226)/5,0)*5,5),600),Baseline!$A$3:$A$122,0))-Inputs!$B$9,INDEX(Course!$N$2:$N$19,MATCH($B226,Course!$A$2:$A$19,0))),INDEX(Baseline!$B$3:$E$122,MATCH(MIN(MAX(ROUND(($F226)/5,0)*5,5),600),Baseline!$A$3:$A$122,0),MATCH($E226,Baseline!$B$2:$E$2,0))))))</f>
        <v/>
      </c>
      <c r="P226" s="17" t="str">
        <f aca="false">IF($B226="","",INDEX(Course!$N$2:$N$19,MATCH($B226,Course!$A$2:$A$19,0)))</f>
        <v/>
      </c>
      <c r="Q226" s="17" t="str">
        <f aca="false">IF($B226="","",INDEX(Course!$P$2:$P$19,MATCH($B226,Course!$A$2:$A$19,0)))</f>
        <v/>
      </c>
      <c r="R226" s="17" t="str">
        <f aca="false">IF($C226="","",IF(OR($C226="G",$C226="H"),0,IF($C226="T",1,MIN(1,MAX(0,($N226-Inputs!$B$8)/MAX($P226-Inputs!$B$8,0.01))))))</f>
        <v/>
      </c>
      <c r="S226" s="17" t="str">
        <f aca="false">IF($C226="","",IF(OR($E226="G",$E226="H"),0,IF($E226="T",1,MIN(1,MAX(0,($O226-Inputs!$B$8)/MAX($P226-Inputs!$B$8,0.01))))))</f>
        <v/>
      </c>
    </row>
    <row r="227" customFormat="false" ht="15" hidden="false" customHeight="false" outlineLevel="0" collapsed="false">
      <c r="I227" s="7" t="str">
        <f aca="false">IF($C227="","",IF($C227="G","PUTT",IF(AND($C227="T",$M227&gt;3),"OTT",IF($D227&lt;=30,"ARG","APP"))))</f>
        <v/>
      </c>
      <c r="J227" s="17" t="str">
        <f aca="false">IF($C227="","",$N227+$Q227*$R227)</f>
        <v/>
      </c>
      <c r="K227" s="17" t="str">
        <f aca="false">IF($C227="","",$O227+$Q227*$S227)</f>
        <v/>
      </c>
      <c r="L227" s="17" t="str">
        <f aca="false">IF($C227="","",$J227-$K227-1-N($G227))</f>
        <v/>
      </c>
      <c r="M227" s="7" t="str">
        <f aca="false">IF($B227="","",INDEX(Course!$B$2:$B$19,MATCH($B227,Course!$A$2:$A$19,0)))</f>
        <v/>
      </c>
      <c r="N227" s="17" t="str">
        <f aca="false">IF($C227="","",IF($C227="H",0,IF($C227="G",INDEX(Baseline!$I$3:$I$102,MIN(MAX(ROUND($D227,0),1),100)),IF($C227="T",IF($M227=3,INDEX(Baseline!$B$3:$B$122,MATCH(MIN(MAX(ROUND(($D227)/5,0)*5,5),600),Baseline!$A$3:$A$122,0))-Inputs!$B$9,INDEX(Course!$N$2:$N$19,MATCH($B227,Course!$A$2:$A$19,0))),INDEX(Baseline!$B$3:$E$122,MATCH(MIN(MAX(ROUND(($D227)/5,0)*5,5),600),Baseline!$A$3:$A$122,0),MATCH($C227,Baseline!$B$2:$E$2,0))))))</f>
        <v/>
      </c>
      <c r="O227" s="17" t="str">
        <f aca="false">IF($C227="","",IF($E227="H",0,IF($E227="G",INDEX(Baseline!$I$3:$I$102,MIN(MAX(ROUND($F227,0),1),100)),IF($E227="T",IF($M227=3,INDEX(Baseline!$B$3:$B$122,MATCH(MIN(MAX(ROUND(($F227)/5,0)*5,5),600),Baseline!$A$3:$A$122,0))-Inputs!$B$9,INDEX(Course!$N$2:$N$19,MATCH($B227,Course!$A$2:$A$19,0))),INDEX(Baseline!$B$3:$E$122,MATCH(MIN(MAX(ROUND(($F227)/5,0)*5,5),600),Baseline!$A$3:$A$122,0),MATCH($E227,Baseline!$B$2:$E$2,0))))))</f>
        <v/>
      </c>
      <c r="P227" s="17" t="str">
        <f aca="false">IF($B227="","",INDEX(Course!$N$2:$N$19,MATCH($B227,Course!$A$2:$A$19,0)))</f>
        <v/>
      </c>
      <c r="Q227" s="17" t="str">
        <f aca="false">IF($B227="","",INDEX(Course!$P$2:$P$19,MATCH($B227,Course!$A$2:$A$19,0)))</f>
        <v/>
      </c>
      <c r="R227" s="17" t="str">
        <f aca="false">IF($C227="","",IF(OR($C227="G",$C227="H"),0,IF($C227="T",1,MIN(1,MAX(0,($N227-Inputs!$B$8)/MAX($P227-Inputs!$B$8,0.01))))))</f>
        <v/>
      </c>
      <c r="S227" s="17" t="str">
        <f aca="false">IF($C227="","",IF(OR($E227="G",$E227="H"),0,IF($E227="T",1,MIN(1,MAX(0,($O227-Inputs!$B$8)/MAX($P227-Inputs!$B$8,0.01))))))</f>
        <v/>
      </c>
    </row>
    <row r="228" customFormat="false" ht="15" hidden="false" customHeight="false" outlineLevel="0" collapsed="false">
      <c r="I228" s="7" t="str">
        <f aca="false">IF($C228="","",IF($C228="G","PUTT",IF(AND($C228="T",$M228&gt;3),"OTT",IF($D228&lt;=30,"ARG","APP"))))</f>
        <v/>
      </c>
      <c r="J228" s="17" t="str">
        <f aca="false">IF($C228="","",$N228+$Q228*$R228)</f>
        <v/>
      </c>
      <c r="K228" s="17" t="str">
        <f aca="false">IF($C228="","",$O228+$Q228*$S228)</f>
        <v/>
      </c>
      <c r="L228" s="17" t="str">
        <f aca="false">IF($C228="","",$J228-$K228-1-N($G228))</f>
        <v/>
      </c>
      <c r="M228" s="7" t="str">
        <f aca="false">IF($B228="","",INDEX(Course!$B$2:$B$19,MATCH($B228,Course!$A$2:$A$19,0)))</f>
        <v/>
      </c>
      <c r="N228" s="17" t="str">
        <f aca="false">IF($C228="","",IF($C228="H",0,IF($C228="G",INDEX(Baseline!$I$3:$I$102,MIN(MAX(ROUND($D228,0),1),100)),IF($C228="T",IF($M228=3,INDEX(Baseline!$B$3:$B$122,MATCH(MIN(MAX(ROUND(($D228)/5,0)*5,5),600),Baseline!$A$3:$A$122,0))-Inputs!$B$9,INDEX(Course!$N$2:$N$19,MATCH($B228,Course!$A$2:$A$19,0))),INDEX(Baseline!$B$3:$E$122,MATCH(MIN(MAX(ROUND(($D228)/5,0)*5,5),600),Baseline!$A$3:$A$122,0),MATCH($C228,Baseline!$B$2:$E$2,0))))))</f>
        <v/>
      </c>
      <c r="O228" s="17" t="str">
        <f aca="false">IF($C228="","",IF($E228="H",0,IF($E228="G",INDEX(Baseline!$I$3:$I$102,MIN(MAX(ROUND($F228,0),1),100)),IF($E228="T",IF($M228=3,INDEX(Baseline!$B$3:$B$122,MATCH(MIN(MAX(ROUND(($F228)/5,0)*5,5),600),Baseline!$A$3:$A$122,0))-Inputs!$B$9,INDEX(Course!$N$2:$N$19,MATCH($B228,Course!$A$2:$A$19,0))),INDEX(Baseline!$B$3:$E$122,MATCH(MIN(MAX(ROUND(($F228)/5,0)*5,5),600),Baseline!$A$3:$A$122,0),MATCH($E228,Baseline!$B$2:$E$2,0))))))</f>
        <v/>
      </c>
      <c r="P228" s="17" t="str">
        <f aca="false">IF($B228="","",INDEX(Course!$N$2:$N$19,MATCH($B228,Course!$A$2:$A$19,0)))</f>
        <v/>
      </c>
      <c r="Q228" s="17" t="str">
        <f aca="false">IF($B228="","",INDEX(Course!$P$2:$P$19,MATCH($B228,Course!$A$2:$A$19,0)))</f>
        <v/>
      </c>
      <c r="R228" s="17" t="str">
        <f aca="false">IF($C228="","",IF(OR($C228="G",$C228="H"),0,IF($C228="T",1,MIN(1,MAX(0,($N228-Inputs!$B$8)/MAX($P228-Inputs!$B$8,0.01))))))</f>
        <v/>
      </c>
      <c r="S228" s="17" t="str">
        <f aca="false">IF($C228="","",IF(OR($E228="G",$E228="H"),0,IF($E228="T",1,MIN(1,MAX(0,($O228-Inputs!$B$8)/MAX($P228-Inputs!$B$8,0.01))))))</f>
        <v/>
      </c>
    </row>
    <row r="229" customFormat="false" ht="15" hidden="false" customHeight="false" outlineLevel="0" collapsed="false">
      <c r="I229" s="7" t="str">
        <f aca="false">IF($C229="","",IF($C229="G","PUTT",IF(AND($C229="T",$M229&gt;3),"OTT",IF($D229&lt;=30,"ARG","APP"))))</f>
        <v/>
      </c>
      <c r="J229" s="17" t="str">
        <f aca="false">IF($C229="","",$N229+$Q229*$R229)</f>
        <v/>
      </c>
      <c r="K229" s="17" t="str">
        <f aca="false">IF($C229="","",$O229+$Q229*$S229)</f>
        <v/>
      </c>
      <c r="L229" s="17" t="str">
        <f aca="false">IF($C229="","",$J229-$K229-1-N($G229))</f>
        <v/>
      </c>
      <c r="M229" s="7" t="str">
        <f aca="false">IF($B229="","",INDEX(Course!$B$2:$B$19,MATCH($B229,Course!$A$2:$A$19,0)))</f>
        <v/>
      </c>
      <c r="N229" s="17" t="str">
        <f aca="false">IF($C229="","",IF($C229="H",0,IF($C229="G",INDEX(Baseline!$I$3:$I$102,MIN(MAX(ROUND($D229,0),1),100)),IF($C229="T",IF($M229=3,INDEX(Baseline!$B$3:$B$122,MATCH(MIN(MAX(ROUND(($D229)/5,0)*5,5),600),Baseline!$A$3:$A$122,0))-Inputs!$B$9,INDEX(Course!$N$2:$N$19,MATCH($B229,Course!$A$2:$A$19,0))),INDEX(Baseline!$B$3:$E$122,MATCH(MIN(MAX(ROUND(($D229)/5,0)*5,5),600),Baseline!$A$3:$A$122,0),MATCH($C229,Baseline!$B$2:$E$2,0))))))</f>
        <v/>
      </c>
      <c r="O229" s="17" t="str">
        <f aca="false">IF($C229="","",IF($E229="H",0,IF($E229="G",INDEX(Baseline!$I$3:$I$102,MIN(MAX(ROUND($F229,0),1),100)),IF($E229="T",IF($M229=3,INDEX(Baseline!$B$3:$B$122,MATCH(MIN(MAX(ROUND(($F229)/5,0)*5,5),600),Baseline!$A$3:$A$122,0))-Inputs!$B$9,INDEX(Course!$N$2:$N$19,MATCH($B229,Course!$A$2:$A$19,0))),INDEX(Baseline!$B$3:$E$122,MATCH(MIN(MAX(ROUND(($F229)/5,0)*5,5),600),Baseline!$A$3:$A$122,0),MATCH($E229,Baseline!$B$2:$E$2,0))))))</f>
        <v/>
      </c>
      <c r="P229" s="17" t="str">
        <f aca="false">IF($B229="","",INDEX(Course!$N$2:$N$19,MATCH($B229,Course!$A$2:$A$19,0)))</f>
        <v/>
      </c>
      <c r="Q229" s="17" t="str">
        <f aca="false">IF($B229="","",INDEX(Course!$P$2:$P$19,MATCH($B229,Course!$A$2:$A$19,0)))</f>
        <v/>
      </c>
      <c r="R229" s="17" t="str">
        <f aca="false">IF($C229="","",IF(OR($C229="G",$C229="H"),0,IF($C229="T",1,MIN(1,MAX(0,($N229-Inputs!$B$8)/MAX($P229-Inputs!$B$8,0.01))))))</f>
        <v/>
      </c>
      <c r="S229" s="17" t="str">
        <f aca="false">IF($C229="","",IF(OR($E229="G",$E229="H"),0,IF($E229="T",1,MIN(1,MAX(0,($O229-Inputs!$B$8)/MAX($P229-Inputs!$B$8,0.01))))))</f>
        <v/>
      </c>
    </row>
    <row r="230" customFormat="false" ht="15" hidden="false" customHeight="false" outlineLevel="0" collapsed="false">
      <c r="I230" s="7" t="str">
        <f aca="false">IF($C230="","",IF($C230="G","PUTT",IF(AND($C230="T",$M230&gt;3),"OTT",IF($D230&lt;=30,"ARG","APP"))))</f>
        <v/>
      </c>
      <c r="J230" s="17" t="str">
        <f aca="false">IF($C230="","",$N230+$Q230*$R230)</f>
        <v/>
      </c>
      <c r="K230" s="17" t="str">
        <f aca="false">IF($C230="","",$O230+$Q230*$S230)</f>
        <v/>
      </c>
      <c r="L230" s="17" t="str">
        <f aca="false">IF($C230="","",$J230-$K230-1-N($G230))</f>
        <v/>
      </c>
      <c r="M230" s="7" t="str">
        <f aca="false">IF($B230="","",INDEX(Course!$B$2:$B$19,MATCH($B230,Course!$A$2:$A$19,0)))</f>
        <v/>
      </c>
      <c r="N230" s="17" t="str">
        <f aca="false">IF($C230="","",IF($C230="H",0,IF($C230="G",INDEX(Baseline!$I$3:$I$102,MIN(MAX(ROUND($D230,0),1),100)),IF($C230="T",IF($M230=3,INDEX(Baseline!$B$3:$B$122,MATCH(MIN(MAX(ROUND(($D230)/5,0)*5,5),600),Baseline!$A$3:$A$122,0))-Inputs!$B$9,INDEX(Course!$N$2:$N$19,MATCH($B230,Course!$A$2:$A$19,0))),INDEX(Baseline!$B$3:$E$122,MATCH(MIN(MAX(ROUND(($D230)/5,0)*5,5),600),Baseline!$A$3:$A$122,0),MATCH($C230,Baseline!$B$2:$E$2,0))))))</f>
        <v/>
      </c>
      <c r="O230" s="17" t="str">
        <f aca="false">IF($C230="","",IF($E230="H",0,IF($E230="G",INDEX(Baseline!$I$3:$I$102,MIN(MAX(ROUND($F230,0),1),100)),IF($E230="T",IF($M230=3,INDEX(Baseline!$B$3:$B$122,MATCH(MIN(MAX(ROUND(($F230)/5,0)*5,5),600),Baseline!$A$3:$A$122,0))-Inputs!$B$9,INDEX(Course!$N$2:$N$19,MATCH($B230,Course!$A$2:$A$19,0))),INDEX(Baseline!$B$3:$E$122,MATCH(MIN(MAX(ROUND(($F230)/5,0)*5,5),600),Baseline!$A$3:$A$122,0),MATCH($E230,Baseline!$B$2:$E$2,0))))))</f>
        <v/>
      </c>
      <c r="P230" s="17" t="str">
        <f aca="false">IF($B230="","",INDEX(Course!$N$2:$N$19,MATCH($B230,Course!$A$2:$A$19,0)))</f>
        <v/>
      </c>
      <c r="Q230" s="17" t="str">
        <f aca="false">IF($B230="","",INDEX(Course!$P$2:$P$19,MATCH($B230,Course!$A$2:$A$19,0)))</f>
        <v/>
      </c>
      <c r="R230" s="17" t="str">
        <f aca="false">IF($C230="","",IF(OR($C230="G",$C230="H"),0,IF($C230="T",1,MIN(1,MAX(0,($N230-Inputs!$B$8)/MAX($P230-Inputs!$B$8,0.01))))))</f>
        <v/>
      </c>
      <c r="S230" s="17" t="str">
        <f aca="false">IF($C230="","",IF(OR($E230="G",$E230="H"),0,IF($E230="T",1,MIN(1,MAX(0,($O230-Inputs!$B$8)/MAX($P230-Inputs!$B$8,0.01))))))</f>
        <v/>
      </c>
    </row>
    <row r="231" customFormat="false" ht="15" hidden="false" customHeight="false" outlineLevel="0" collapsed="false">
      <c r="I231" s="7" t="str">
        <f aca="false">IF($C231="","",IF($C231="G","PUTT",IF(AND($C231="T",$M231&gt;3),"OTT",IF($D231&lt;=30,"ARG","APP"))))</f>
        <v/>
      </c>
      <c r="J231" s="17" t="str">
        <f aca="false">IF($C231="","",$N231+$Q231*$R231)</f>
        <v/>
      </c>
      <c r="K231" s="17" t="str">
        <f aca="false">IF($C231="","",$O231+$Q231*$S231)</f>
        <v/>
      </c>
      <c r="L231" s="17" t="str">
        <f aca="false">IF($C231="","",$J231-$K231-1-N($G231))</f>
        <v/>
      </c>
      <c r="M231" s="7" t="str">
        <f aca="false">IF($B231="","",INDEX(Course!$B$2:$B$19,MATCH($B231,Course!$A$2:$A$19,0)))</f>
        <v/>
      </c>
      <c r="N231" s="17" t="str">
        <f aca="false">IF($C231="","",IF($C231="H",0,IF($C231="G",INDEX(Baseline!$I$3:$I$102,MIN(MAX(ROUND($D231,0),1),100)),IF($C231="T",IF($M231=3,INDEX(Baseline!$B$3:$B$122,MATCH(MIN(MAX(ROUND(($D231)/5,0)*5,5),600),Baseline!$A$3:$A$122,0))-Inputs!$B$9,INDEX(Course!$N$2:$N$19,MATCH($B231,Course!$A$2:$A$19,0))),INDEX(Baseline!$B$3:$E$122,MATCH(MIN(MAX(ROUND(($D231)/5,0)*5,5),600),Baseline!$A$3:$A$122,0),MATCH($C231,Baseline!$B$2:$E$2,0))))))</f>
        <v/>
      </c>
      <c r="O231" s="17" t="str">
        <f aca="false">IF($C231="","",IF($E231="H",0,IF($E231="G",INDEX(Baseline!$I$3:$I$102,MIN(MAX(ROUND($F231,0),1),100)),IF($E231="T",IF($M231=3,INDEX(Baseline!$B$3:$B$122,MATCH(MIN(MAX(ROUND(($F231)/5,0)*5,5),600),Baseline!$A$3:$A$122,0))-Inputs!$B$9,INDEX(Course!$N$2:$N$19,MATCH($B231,Course!$A$2:$A$19,0))),INDEX(Baseline!$B$3:$E$122,MATCH(MIN(MAX(ROUND(($F231)/5,0)*5,5),600),Baseline!$A$3:$A$122,0),MATCH($E231,Baseline!$B$2:$E$2,0))))))</f>
        <v/>
      </c>
      <c r="P231" s="17" t="str">
        <f aca="false">IF($B231="","",INDEX(Course!$N$2:$N$19,MATCH($B231,Course!$A$2:$A$19,0)))</f>
        <v/>
      </c>
      <c r="Q231" s="17" t="str">
        <f aca="false">IF($B231="","",INDEX(Course!$P$2:$P$19,MATCH($B231,Course!$A$2:$A$19,0)))</f>
        <v/>
      </c>
      <c r="R231" s="17" t="str">
        <f aca="false">IF($C231="","",IF(OR($C231="G",$C231="H"),0,IF($C231="T",1,MIN(1,MAX(0,($N231-Inputs!$B$8)/MAX($P231-Inputs!$B$8,0.01))))))</f>
        <v/>
      </c>
      <c r="S231" s="17" t="str">
        <f aca="false">IF($C231="","",IF(OR($E231="G",$E231="H"),0,IF($E231="T",1,MIN(1,MAX(0,($O231-Inputs!$B$8)/MAX($P231-Inputs!$B$8,0.01))))))</f>
        <v/>
      </c>
    </row>
    <row r="232" customFormat="false" ht="15" hidden="false" customHeight="false" outlineLevel="0" collapsed="false">
      <c r="I232" s="7" t="str">
        <f aca="false">IF($C232="","",IF($C232="G","PUTT",IF(AND($C232="T",$M232&gt;3),"OTT",IF($D232&lt;=30,"ARG","APP"))))</f>
        <v/>
      </c>
      <c r="J232" s="17" t="str">
        <f aca="false">IF($C232="","",$N232+$Q232*$R232)</f>
        <v/>
      </c>
      <c r="K232" s="17" t="str">
        <f aca="false">IF($C232="","",$O232+$Q232*$S232)</f>
        <v/>
      </c>
      <c r="L232" s="17" t="str">
        <f aca="false">IF($C232="","",$J232-$K232-1-N($G232))</f>
        <v/>
      </c>
      <c r="M232" s="7" t="str">
        <f aca="false">IF($B232="","",INDEX(Course!$B$2:$B$19,MATCH($B232,Course!$A$2:$A$19,0)))</f>
        <v/>
      </c>
      <c r="N232" s="17" t="str">
        <f aca="false">IF($C232="","",IF($C232="H",0,IF($C232="G",INDEX(Baseline!$I$3:$I$102,MIN(MAX(ROUND($D232,0),1),100)),IF($C232="T",IF($M232=3,INDEX(Baseline!$B$3:$B$122,MATCH(MIN(MAX(ROUND(($D232)/5,0)*5,5),600),Baseline!$A$3:$A$122,0))-Inputs!$B$9,INDEX(Course!$N$2:$N$19,MATCH($B232,Course!$A$2:$A$19,0))),INDEX(Baseline!$B$3:$E$122,MATCH(MIN(MAX(ROUND(($D232)/5,0)*5,5),600),Baseline!$A$3:$A$122,0),MATCH($C232,Baseline!$B$2:$E$2,0))))))</f>
        <v/>
      </c>
      <c r="O232" s="17" t="str">
        <f aca="false">IF($C232="","",IF($E232="H",0,IF($E232="G",INDEX(Baseline!$I$3:$I$102,MIN(MAX(ROUND($F232,0),1),100)),IF($E232="T",IF($M232=3,INDEX(Baseline!$B$3:$B$122,MATCH(MIN(MAX(ROUND(($F232)/5,0)*5,5),600),Baseline!$A$3:$A$122,0))-Inputs!$B$9,INDEX(Course!$N$2:$N$19,MATCH($B232,Course!$A$2:$A$19,0))),INDEX(Baseline!$B$3:$E$122,MATCH(MIN(MAX(ROUND(($F232)/5,0)*5,5),600),Baseline!$A$3:$A$122,0),MATCH($E232,Baseline!$B$2:$E$2,0))))))</f>
        <v/>
      </c>
      <c r="P232" s="17" t="str">
        <f aca="false">IF($B232="","",INDEX(Course!$N$2:$N$19,MATCH($B232,Course!$A$2:$A$19,0)))</f>
        <v/>
      </c>
      <c r="Q232" s="17" t="str">
        <f aca="false">IF($B232="","",INDEX(Course!$P$2:$P$19,MATCH($B232,Course!$A$2:$A$19,0)))</f>
        <v/>
      </c>
      <c r="R232" s="17" t="str">
        <f aca="false">IF($C232="","",IF(OR($C232="G",$C232="H"),0,IF($C232="T",1,MIN(1,MAX(0,($N232-Inputs!$B$8)/MAX($P232-Inputs!$B$8,0.01))))))</f>
        <v/>
      </c>
      <c r="S232" s="17" t="str">
        <f aca="false">IF($C232="","",IF(OR($E232="G",$E232="H"),0,IF($E232="T",1,MIN(1,MAX(0,($O232-Inputs!$B$8)/MAX($P232-Inputs!$B$8,0.01))))))</f>
        <v/>
      </c>
    </row>
    <row r="233" customFormat="false" ht="15" hidden="false" customHeight="false" outlineLevel="0" collapsed="false">
      <c r="I233" s="7" t="str">
        <f aca="false">IF($C233="","",IF($C233="G","PUTT",IF(AND($C233="T",$M233&gt;3),"OTT",IF($D233&lt;=30,"ARG","APP"))))</f>
        <v/>
      </c>
      <c r="J233" s="17" t="str">
        <f aca="false">IF($C233="","",$N233+$Q233*$R233)</f>
        <v/>
      </c>
      <c r="K233" s="17" t="str">
        <f aca="false">IF($C233="","",$O233+$Q233*$S233)</f>
        <v/>
      </c>
      <c r="L233" s="17" t="str">
        <f aca="false">IF($C233="","",$J233-$K233-1-N($G233))</f>
        <v/>
      </c>
      <c r="M233" s="7" t="str">
        <f aca="false">IF($B233="","",INDEX(Course!$B$2:$B$19,MATCH($B233,Course!$A$2:$A$19,0)))</f>
        <v/>
      </c>
      <c r="N233" s="17" t="str">
        <f aca="false">IF($C233="","",IF($C233="H",0,IF($C233="G",INDEX(Baseline!$I$3:$I$102,MIN(MAX(ROUND($D233,0),1),100)),IF($C233="T",IF($M233=3,INDEX(Baseline!$B$3:$B$122,MATCH(MIN(MAX(ROUND(($D233)/5,0)*5,5),600),Baseline!$A$3:$A$122,0))-Inputs!$B$9,INDEX(Course!$N$2:$N$19,MATCH($B233,Course!$A$2:$A$19,0))),INDEX(Baseline!$B$3:$E$122,MATCH(MIN(MAX(ROUND(($D233)/5,0)*5,5),600),Baseline!$A$3:$A$122,0),MATCH($C233,Baseline!$B$2:$E$2,0))))))</f>
        <v/>
      </c>
      <c r="O233" s="17" t="str">
        <f aca="false">IF($C233="","",IF($E233="H",0,IF($E233="G",INDEX(Baseline!$I$3:$I$102,MIN(MAX(ROUND($F233,0),1),100)),IF($E233="T",IF($M233=3,INDEX(Baseline!$B$3:$B$122,MATCH(MIN(MAX(ROUND(($F233)/5,0)*5,5),600),Baseline!$A$3:$A$122,0))-Inputs!$B$9,INDEX(Course!$N$2:$N$19,MATCH($B233,Course!$A$2:$A$19,0))),INDEX(Baseline!$B$3:$E$122,MATCH(MIN(MAX(ROUND(($F233)/5,0)*5,5),600),Baseline!$A$3:$A$122,0),MATCH($E233,Baseline!$B$2:$E$2,0))))))</f>
        <v/>
      </c>
      <c r="P233" s="17" t="str">
        <f aca="false">IF($B233="","",INDEX(Course!$N$2:$N$19,MATCH($B233,Course!$A$2:$A$19,0)))</f>
        <v/>
      </c>
      <c r="Q233" s="17" t="str">
        <f aca="false">IF($B233="","",INDEX(Course!$P$2:$P$19,MATCH($B233,Course!$A$2:$A$19,0)))</f>
        <v/>
      </c>
      <c r="R233" s="17" t="str">
        <f aca="false">IF($C233="","",IF(OR($C233="G",$C233="H"),0,IF($C233="T",1,MIN(1,MAX(0,($N233-Inputs!$B$8)/MAX($P233-Inputs!$B$8,0.01))))))</f>
        <v/>
      </c>
      <c r="S233" s="17" t="str">
        <f aca="false">IF($C233="","",IF(OR($E233="G",$E233="H"),0,IF($E233="T",1,MIN(1,MAX(0,($O233-Inputs!$B$8)/MAX($P233-Inputs!$B$8,0.01))))))</f>
        <v/>
      </c>
    </row>
    <row r="234" customFormat="false" ht="15" hidden="false" customHeight="false" outlineLevel="0" collapsed="false">
      <c r="I234" s="7" t="str">
        <f aca="false">IF($C234="","",IF($C234="G","PUTT",IF(AND($C234="T",$M234&gt;3),"OTT",IF($D234&lt;=30,"ARG","APP"))))</f>
        <v/>
      </c>
      <c r="J234" s="17" t="str">
        <f aca="false">IF($C234="","",$N234+$Q234*$R234)</f>
        <v/>
      </c>
      <c r="K234" s="17" t="str">
        <f aca="false">IF($C234="","",$O234+$Q234*$S234)</f>
        <v/>
      </c>
      <c r="L234" s="17" t="str">
        <f aca="false">IF($C234="","",$J234-$K234-1-N($G234))</f>
        <v/>
      </c>
      <c r="M234" s="7" t="str">
        <f aca="false">IF($B234="","",INDEX(Course!$B$2:$B$19,MATCH($B234,Course!$A$2:$A$19,0)))</f>
        <v/>
      </c>
      <c r="N234" s="17" t="str">
        <f aca="false">IF($C234="","",IF($C234="H",0,IF($C234="G",INDEX(Baseline!$I$3:$I$102,MIN(MAX(ROUND($D234,0),1),100)),IF($C234="T",IF($M234=3,INDEX(Baseline!$B$3:$B$122,MATCH(MIN(MAX(ROUND(($D234)/5,0)*5,5),600),Baseline!$A$3:$A$122,0))-Inputs!$B$9,INDEX(Course!$N$2:$N$19,MATCH($B234,Course!$A$2:$A$19,0))),INDEX(Baseline!$B$3:$E$122,MATCH(MIN(MAX(ROUND(($D234)/5,0)*5,5),600),Baseline!$A$3:$A$122,0),MATCH($C234,Baseline!$B$2:$E$2,0))))))</f>
        <v/>
      </c>
      <c r="O234" s="17" t="str">
        <f aca="false">IF($C234="","",IF($E234="H",0,IF($E234="G",INDEX(Baseline!$I$3:$I$102,MIN(MAX(ROUND($F234,0),1),100)),IF($E234="T",IF($M234=3,INDEX(Baseline!$B$3:$B$122,MATCH(MIN(MAX(ROUND(($F234)/5,0)*5,5),600),Baseline!$A$3:$A$122,0))-Inputs!$B$9,INDEX(Course!$N$2:$N$19,MATCH($B234,Course!$A$2:$A$19,0))),INDEX(Baseline!$B$3:$E$122,MATCH(MIN(MAX(ROUND(($F234)/5,0)*5,5),600),Baseline!$A$3:$A$122,0),MATCH($E234,Baseline!$B$2:$E$2,0))))))</f>
        <v/>
      </c>
      <c r="P234" s="17" t="str">
        <f aca="false">IF($B234="","",INDEX(Course!$N$2:$N$19,MATCH($B234,Course!$A$2:$A$19,0)))</f>
        <v/>
      </c>
      <c r="Q234" s="17" t="str">
        <f aca="false">IF($B234="","",INDEX(Course!$P$2:$P$19,MATCH($B234,Course!$A$2:$A$19,0)))</f>
        <v/>
      </c>
      <c r="R234" s="17" t="str">
        <f aca="false">IF($C234="","",IF(OR($C234="G",$C234="H"),0,IF($C234="T",1,MIN(1,MAX(0,($N234-Inputs!$B$8)/MAX($P234-Inputs!$B$8,0.01))))))</f>
        <v/>
      </c>
      <c r="S234" s="17" t="str">
        <f aca="false">IF($C234="","",IF(OR($E234="G",$E234="H"),0,IF($E234="T",1,MIN(1,MAX(0,($O234-Inputs!$B$8)/MAX($P234-Inputs!$B$8,0.01))))))</f>
        <v/>
      </c>
    </row>
    <row r="235" customFormat="false" ht="15" hidden="false" customHeight="false" outlineLevel="0" collapsed="false">
      <c r="I235" s="7" t="str">
        <f aca="false">IF($C235="","",IF($C235="G","PUTT",IF(AND($C235="T",$M235&gt;3),"OTT",IF($D235&lt;=30,"ARG","APP"))))</f>
        <v/>
      </c>
      <c r="J235" s="17" t="str">
        <f aca="false">IF($C235="","",$N235+$Q235*$R235)</f>
        <v/>
      </c>
      <c r="K235" s="17" t="str">
        <f aca="false">IF($C235="","",$O235+$Q235*$S235)</f>
        <v/>
      </c>
      <c r="L235" s="17" t="str">
        <f aca="false">IF($C235="","",$J235-$K235-1-N($G235))</f>
        <v/>
      </c>
      <c r="M235" s="7" t="str">
        <f aca="false">IF($B235="","",INDEX(Course!$B$2:$B$19,MATCH($B235,Course!$A$2:$A$19,0)))</f>
        <v/>
      </c>
      <c r="N235" s="17" t="str">
        <f aca="false">IF($C235="","",IF($C235="H",0,IF($C235="G",INDEX(Baseline!$I$3:$I$102,MIN(MAX(ROUND($D235,0),1),100)),IF($C235="T",IF($M235=3,INDEX(Baseline!$B$3:$B$122,MATCH(MIN(MAX(ROUND(($D235)/5,0)*5,5),600),Baseline!$A$3:$A$122,0))-Inputs!$B$9,INDEX(Course!$N$2:$N$19,MATCH($B235,Course!$A$2:$A$19,0))),INDEX(Baseline!$B$3:$E$122,MATCH(MIN(MAX(ROUND(($D235)/5,0)*5,5),600),Baseline!$A$3:$A$122,0),MATCH($C235,Baseline!$B$2:$E$2,0))))))</f>
        <v/>
      </c>
      <c r="O235" s="17" t="str">
        <f aca="false">IF($C235="","",IF($E235="H",0,IF($E235="G",INDEX(Baseline!$I$3:$I$102,MIN(MAX(ROUND($F235,0),1),100)),IF($E235="T",IF($M235=3,INDEX(Baseline!$B$3:$B$122,MATCH(MIN(MAX(ROUND(($F235)/5,0)*5,5),600),Baseline!$A$3:$A$122,0))-Inputs!$B$9,INDEX(Course!$N$2:$N$19,MATCH($B235,Course!$A$2:$A$19,0))),INDEX(Baseline!$B$3:$E$122,MATCH(MIN(MAX(ROUND(($F235)/5,0)*5,5),600),Baseline!$A$3:$A$122,0),MATCH($E235,Baseline!$B$2:$E$2,0))))))</f>
        <v/>
      </c>
      <c r="P235" s="17" t="str">
        <f aca="false">IF($B235="","",INDEX(Course!$N$2:$N$19,MATCH($B235,Course!$A$2:$A$19,0)))</f>
        <v/>
      </c>
      <c r="Q235" s="17" t="str">
        <f aca="false">IF($B235="","",INDEX(Course!$P$2:$P$19,MATCH($B235,Course!$A$2:$A$19,0)))</f>
        <v/>
      </c>
      <c r="R235" s="17" t="str">
        <f aca="false">IF($C235="","",IF(OR($C235="G",$C235="H"),0,IF($C235="T",1,MIN(1,MAX(0,($N235-Inputs!$B$8)/MAX($P235-Inputs!$B$8,0.01))))))</f>
        <v/>
      </c>
      <c r="S235" s="17" t="str">
        <f aca="false">IF($C235="","",IF(OR($E235="G",$E235="H"),0,IF($E235="T",1,MIN(1,MAX(0,($O235-Inputs!$B$8)/MAX($P235-Inputs!$B$8,0.01))))))</f>
        <v/>
      </c>
    </row>
    <row r="236" customFormat="false" ht="15" hidden="false" customHeight="false" outlineLevel="0" collapsed="false">
      <c r="I236" s="7" t="str">
        <f aca="false">IF($C236="","",IF($C236="G","PUTT",IF(AND($C236="T",$M236&gt;3),"OTT",IF($D236&lt;=30,"ARG","APP"))))</f>
        <v/>
      </c>
      <c r="J236" s="17" t="str">
        <f aca="false">IF($C236="","",$N236+$Q236*$R236)</f>
        <v/>
      </c>
      <c r="K236" s="17" t="str">
        <f aca="false">IF($C236="","",$O236+$Q236*$S236)</f>
        <v/>
      </c>
      <c r="L236" s="17" t="str">
        <f aca="false">IF($C236="","",$J236-$K236-1-N($G236))</f>
        <v/>
      </c>
      <c r="M236" s="7" t="str">
        <f aca="false">IF($B236="","",INDEX(Course!$B$2:$B$19,MATCH($B236,Course!$A$2:$A$19,0)))</f>
        <v/>
      </c>
      <c r="N236" s="17" t="str">
        <f aca="false">IF($C236="","",IF($C236="H",0,IF($C236="G",INDEX(Baseline!$I$3:$I$102,MIN(MAX(ROUND($D236,0),1),100)),IF($C236="T",IF($M236=3,INDEX(Baseline!$B$3:$B$122,MATCH(MIN(MAX(ROUND(($D236)/5,0)*5,5),600),Baseline!$A$3:$A$122,0))-Inputs!$B$9,INDEX(Course!$N$2:$N$19,MATCH($B236,Course!$A$2:$A$19,0))),INDEX(Baseline!$B$3:$E$122,MATCH(MIN(MAX(ROUND(($D236)/5,0)*5,5),600),Baseline!$A$3:$A$122,0),MATCH($C236,Baseline!$B$2:$E$2,0))))))</f>
        <v/>
      </c>
      <c r="O236" s="17" t="str">
        <f aca="false">IF($C236="","",IF($E236="H",0,IF($E236="G",INDEX(Baseline!$I$3:$I$102,MIN(MAX(ROUND($F236,0),1),100)),IF($E236="T",IF($M236=3,INDEX(Baseline!$B$3:$B$122,MATCH(MIN(MAX(ROUND(($F236)/5,0)*5,5),600),Baseline!$A$3:$A$122,0))-Inputs!$B$9,INDEX(Course!$N$2:$N$19,MATCH($B236,Course!$A$2:$A$19,0))),INDEX(Baseline!$B$3:$E$122,MATCH(MIN(MAX(ROUND(($F236)/5,0)*5,5),600),Baseline!$A$3:$A$122,0),MATCH($E236,Baseline!$B$2:$E$2,0))))))</f>
        <v/>
      </c>
      <c r="P236" s="17" t="str">
        <f aca="false">IF($B236="","",INDEX(Course!$N$2:$N$19,MATCH($B236,Course!$A$2:$A$19,0)))</f>
        <v/>
      </c>
      <c r="Q236" s="17" t="str">
        <f aca="false">IF($B236="","",INDEX(Course!$P$2:$P$19,MATCH($B236,Course!$A$2:$A$19,0)))</f>
        <v/>
      </c>
      <c r="R236" s="17" t="str">
        <f aca="false">IF($C236="","",IF(OR($C236="G",$C236="H"),0,IF($C236="T",1,MIN(1,MAX(0,($N236-Inputs!$B$8)/MAX($P236-Inputs!$B$8,0.01))))))</f>
        <v/>
      </c>
      <c r="S236" s="17" t="str">
        <f aca="false">IF($C236="","",IF(OR($E236="G",$E236="H"),0,IF($E236="T",1,MIN(1,MAX(0,($O236-Inputs!$B$8)/MAX($P236-Inputs!$B$8,0.01))))))</f>
        <v/>
      </c>
    </row>
    <row r="237" customFormat="false" ht="15" hidden="false" customHeight="false" outlineLevel="0" collapsed="false">
      <c r="I237" s="7" t="str">
        <f aca="false">IF($C237="","",IF($C237="G","PUTT",IF(AND($C237="T",$M237&gt;3),"OTT",IF($D237&lt;=30,"ARG","APP"))))</f>
        <v/>
      </c>
      <c r="J237" s="17" t="str">
        <f aca="false">IF($C237="","",$N237+$Q237*$R237)</f>
        <v/>
      </c>
      <c r="K237" s="17" t="str">
        <f aca="false">IF($C237="","",$O237+$Q237*$S237)</f>
        <v/>
      </c>
      <c r="L237" s="17" t="str">
        <f aca="false">IF($C237="","",$J237-$K237-1-N($G237))</f>
        <v/>
      </c>
      <c r="M237" s="7" t="str">
        <f aca="false">IF($B237="","",INDEX(Course!$B$2:$B$19,MATCH($B237,Course!$A$2:$A$19,0)))</f>
        <v/>
      </c>
      <c r="N237" s="17" t="str">
        <f aca="false">IF($C237="","",IF($C237="H",0,IF($C237="G",INDEX(Baseline!$I$3:$I$102,MIN(MAX(ROUND($D237,0),1),100)),IF($C237="T",IF($M237=3,INDEX(Baseline!$B$3:$B$122,MATCH(MIN(MAX(ROUND(($D237)/5,0)*5,5),600),Baseline!$A$3:$A$122,0))-Inputs!$B$9,INDEX(Course!$N$2:$N$19,MATCH($B237,Course!$A$2:$A$19,0))),INDEX(Baseline!$B$3:$E$122,MATCH(MIN(MAX(ROUND(($D237)/5,0)*5,5),600),Baseline!$A$3:$A$122,0),MATCH($C237,Baseline!$B$2:$E$2,0))))))</f>
        <v/>
      </c>
      <c r="O237" s="17" t="str">
        <f aca="false">IF($C237="","",IF($E237="H",0,IF($E237="G",INDEX(Baseline!$I$3:$I$102,MIN(MAX(ROUND($F237,0),1),100)),IF($E237="T",IF($M237=3,INDEX(Baseline!$B$3:$B$122,MATCH(MIN(MAX(ROUND(($F237)/5,0)*5,5),600),Baseline!$A$3:$A$122,0))-Inputs!$B$9,INDEX(Course!$N$2:$N$19,MATCH($B237,Course!$A$2:$A$19,0))),INDEX(Baseline!$B$3:$E$122,MATCH(MIN(MAX(ROUND(($F237)/5,0)*5,5),600),Baseline!$A$3:$A$122,0),MATCH($E237,Baseline!$B$2:$E$2,0))))))</f>
        <v/>
      </c>
      <c r="P237" s="17" t="str">
        <f aca="false">IF($B237="","",INDEX(Course!$N$2:$N$19,MATCH($B237,Course!$A$2:$A$19,0)))</f>
        <v/>
      </c>
      <c r="Q237" s="17" t="str">
        <f aca="false">IF($B237="","",INDEX(Course!$P$2:$P$19,MATCH($B237,Course!$A$2:$A$19,0)))</f>
        <v/>
      </c>
      <c r="R237" s="17" t="str">
        <f aca="false">IF($C237="","",IF(OR($C237="G",$C237="H"),0,IF($C237="T",1,MIN(1,MAX(0,($N237-Inputs!$B$8)/MAX($P237-Inputs!$B$8,0.01))))))</f>
        <v/>
      </c>
      <c r="S237" s="17" t="str">
        <f aca="false">IF($C237="","",IF(OR($E237="G",$E237="H"),0,IF($E237="T",1,MIN(1,MAX(0,($O237-Inputs!$B$8)/MAX($P237-Inputs!$B$8,0.01))))))</f>
        <v/>
      </c>
    </row>
    <row r="238" customFormat="false" ht="15" hidden="false" customHeight="false" outlineLevel="0" collapsed="false">
      <c r="I238" s="7" t="str">
        <f aca="false">IF($C238="","",IF($C238="G","PUTT",IF(AND($C238="T",$M238&gt;3),"OTT",IF($D238&lt;=30,"ARG","APP"))))</f>
        <v/>
      </c>
      <c r="J238" s="17" t="str">
        <f aca="false">IF($C238="","",$N238+$Q238*$R238)</f>
        <v/>
      </c>
      <c r="K238" s="17" t="str">
        <f aca="false">IF($C238="","",$O238+$Q238*$S238)</f>
        <v/>
      </c>
      <c r="L238" s="17" t="str">
        <f aca="false">IF($C238="","",$J238-$K238-1-N($G238))</f>
        <v/>
      </c>
      <c r="M238" s="7" t="str">
        <f aca="false">IF($B238="","",INDEX(Course!$B$2:$B$19,MATCH($B238,Course!$A$2:$A$19,0)))</f>
        <v/>
      </c>
      <c r="N238" s="17" t="str">
        <f aca="false">IF($C238="","",IF($C238="H",0,IF($C238="G",INDEX(Baseline!$I$3:$I$102,MIN(MAX(ROUND($D238,0),1),100)),IF($C238="T",IF($M238=3,INDEX(Baseline!$B$3:$B$122,MATCH(MIN(MAX(ROUND(($D238)/5,0)*5,5),600),Baseline!$A$3:$A$122,0))-Inputs!$B$9,INDEX(Course!$N$2:$N$19,MATCH($B238,Course!$A$2:$A$19,0))),INDEX(Baseline!$B$3:$E$122,MATCH(MIN(MAX(ROUND(($D238)/5,0)*5,5),600),Baseline!$A$3:$A$122,0),MATCH($C238,Baseline!$B$2:$E$2,0))))))</f>
        <v/>
      </c>
      <c r="O238" s="17" t="str">
        <f aca="false">IF($C238="","",IF($E238="H",0,IF($E238="G",INDEX(Baseline!$I$3:$I$102,MIN(MAX(ROUND($F238,0),1),100)),IF($E238="T",IF($M238=3,INDEX(Baseline!$B$3:$B$122,MATCH(MIN(MAX(ROUND(($F238)/5,0)*5,5),600),Baseline!$A$3:$A$122,0))-Inputs!$B$9,INDEX(Course!$N$2:$N$19,MATCH($B238,Course!$A$2:$A$19,0))),INDEX(Baseline!$B$3:$E$122,MATCH(MIN(MAX(ROUND(($F238)/5,0)*5,5),600),Baseline!$A$3:$A$122,0),MATCH($E238,Baseline!$B$2:$E$2,0))))))</f>
        <v/>
      </c>
      <c r="P238" s="17" t="str">
        <f aca="false">IF($B238="","",INDEX(Course!$N$2:$N$19,MATCH($B238,Course!$A$2:$A$19,0)))</f>
        <v/>
      </c>
      <c r="Q238" s="17" t="str">
        <f aca="false">IF($B238="","",INDEX(Course!$P$2:$P$19,MATCH($B238,Course!$A$2:$A$19,0)))</f>
        <v/>
      </c>
      <c r="R238" s="17" t="str">
        <f aca="false">IF($C238="","",IF(OR($C238="G",$C238="H"),0,IF($C238="T",1,MIN(1,MAX(0,($N238-Inputs!$B$8)/MAX($P238-Inputs!$B$8,0.01))))))</f>
        <v/>
      </c>
      <c r="S238" s="17" t="str">
        <f aca="false">IF($C238="","",IF(OR($E238="G",$E238="H"),0,IF($E238="T",1,MIN(1,MAX(0,($O238-Inputs!$B$8)/MAX($P238-Inputs!$B$8,0.01))))))</f>
        <v/>
      </c>
    </row>
    <row r="239" customFormat="false" ht="15" hidden="false" customHeight="false" outlineLevel="0" collapsed="false">
      <c r="I239" s="7" t="str">
        <f aca="false">IF($C239="","",IF($C239="G","PUTT",IF(AND($C239="T",$M239&gt;3),"OTT",IF($D239&lt;=30,"ARG","APP"))))</f>
        <v/>
      </c>
      <c r="J239" s="17" t="str">
        <f aca="false">IF($C239="","",$N239+$Q239*$R239)</f>
        <v/>
      </c>
      <c r="K239" s="17" t="str">
        <f aca="false">IF($C239="","",$O239+$Q239*$S239)</f>
        <v/>
      </c>
      <c r="L239" s="17" t="str">
        <f aca="false">IF($C239="","",$J239-$K239-1-N($G239))</f>
        <v/>
      </c>
      <c r="M239" s="7" t="str">
        <f aca="false">IF($B239="","",INDEX(Course!$B$2:$B$19,MATCH($B239,Course!$A$2:$A$19,0)))</f>
        <v/>
      </c>
      <c r="N239" s="17" t="str">
        <f aca="false">IF($C239="","",IF($C239="H",0,IF($C239="G",INDEX(Baseline!$I$3:$I$102,MIN(MAX(ROUND($D239,0),1),100)),IF($C239="T",IF($M239=3,INDEX(Baseline!$B$3:$B$122,MATCH(MIN(MAX(ROUND(($D239)/5,0)*5,5),600),Baseline!$A$3:$A$122,0))-Inputs!$B$9,INDEX(Course!$N$2:$N$19,MATCH($B239,Course!$A$2:$A$19,0))),INDEX(Baseline!$B$3:$E$122,MATCH(MIN(MAX(ROUND(($D239)/5,0)*5,5),600),Baseline!$A$3:$A$122,0),MATCH($C239,Baseline!$B$2:$E$2,0))))))</f>
        <v/>
      </c>
      <c r="O239" s="17" t="str">
        <f aca="false">IF($C239="","",IF($E239="H",0,IF($E239="G",INDEX(Baseline!$I$3:$I$102,MIN(MAX(ROUND($F239,0),1),100)),IF($E239="T",IF($M239=3,INDEX(Baseline!$B$3:$B$122,MATCH(MIN(MAX(ROUND(($F239)/5,0)*5,5),600),Baseline!$A$3:$A$122,0))-Inputs!$B$9,INDEX(Course!$N$2:$N$19,MATCH($B239,Course!$A$2:$A$19,0))),INDEX(Baseline!$B$3:$E$122,MATCH(MIN(MAX(ROUND(($F239)/5,0)*5,5),600),Baseline!$A$3:$A$122,0),MATCH($E239,Baseline!$B$2:$E$2,0))))))</f>
        <v/>
      </c>
      <c r="P239" s="17" t="str">
        <f aca="false">IF($B239="","",INDEX(Course!$N$2:$N$19,MATCH($B239,Course!$A$2:$A$19,0)))</f>
        <v/>
      </c>
      <c r="Q239" s="17" t="str">
        <f aca="false">IF($B239="","",INDEX(Course!$P$2:$P$19,MATCH($B239,Course!$A$2:$A$19,0)))</f>
        <v/>
      </c>
      <c r="R239" s="17" t="str">
        <f aca="false">IF($C239="","",IF(OR($C239="G",$C239="H"),0,IF($C239="T",1,MIN(1,MAX(0,($N239-Inputs!$B$8)/MAX($P239-Inputs!$B$8,0.01))))))</f>
        <v/>
      </c>
      <c r="S239" s="17" t="str">
        <f aca="false">IF($C239="","",IF(OR($E239="G",$E239="H"),0,IF($E239="T",1,MIN(1,MAX(0,($O239-Inputs!$B$8)/MAX($P239-Inputs!$B$8,0.01))))))</f>
        <v/>
      </c>
    </row>
    <row r="240" customFormat="false" ht="15" hidden="false" customHeight="false" outlineLevel="0" collapsed="false">
      <c r="I240" s="7" t="str">
        <f aca="false">IF($C240="","",IF($C240="G","PUTT",IF(AND($C240="T",$M240&gt;3),"OTT",IF($D240&lt;=30,"ARG","APP"))))</f>
        <v/>
      </c>
      <c r="J240" s="17" t="str">
        <f aca="false">IF($C240="","",$N240+$Q240*$R240)</f>
        <v/>
      </c>
      <c r="K240" s="17" t="str">
        <f aca="false">IF($C240="","",$O240+$Q240*$S240)</f>
        <v/>
      </c>
      <c r="L240" s="17" t="str">
        <f aca="false">IF($C240="","",$J240-$K240-1-N($G240))</f>
        <v/>
      </c>
      <c r="M240" s="7" t="str">
        <f aca="false">IF($B240="","",INDEX(Course!$B$2:$B$19,MATCH($B240,Course!$A$2:$A$19,0)))</f>
        <v/>
      </c>
      <c r="N240" s="17" t="str">
        <f aca="false">IF($C240="","",IF($C240="H",0,IF($C240="G",INDEX(Baseline!$I$3:$I$102,MIN(MAX(ROUND($D240,0),1),100)),IF($C240="T",IF($M240=3,INDEX(Baseline!$B$3:$B$122,MATCH(MIN(MAX(ROUND(($D240)/5,0)*5,5),600),Baseline!$A$3:$A$122,0))-Inputs!$B$9,INDEX(Course!$N$2:$N$19,MATCH($B240,Course!$A$2:$A$19,0))),INDEX(Baseline!$B$3:$E$122,MATCH(MIN(MAX(ROUND(($D240)/5,0)*5,5),600),Baseline!$A$3:$A$122,0),MATCH($C240,Baseline!$B$2:$E$2,0))))))</f>
        <v/>
      </c>
      <c r="O240" s="17" t="str">
        <f aca="false">IF($C240="","",IF($E240="H",0,IF($E240="G",INDEX(Baseline!$I$3:$I$102,MIN(MAX(ROUND($F240,0),1),100)),IF($E240="T",IF($M240=3,INDEX(Baseline!$B$3:$B$122,MATCH(MIN(MAX(ROUND(($F240)/5,0)*5,5),600),Baseline!$A$3:$A$122,0))-Inputs!$B$9,INDEX(Course!$N$2:$N$19,MATCH($B240,Course!$A$2:$A$19,0))),INDEX(Baseline!$B$3:$E$122,MATCH(MIN(MAX(ROUND(($F240)/5,0)*5,5),600),Baseline!$A$3:$A$122,0),MATCH($E240,Baseline!$B$2:$E$2,0))))))</f>
        <v/>
      </c>
      <c r="P240" s="17" t="str">
        <f aca="false">IF($B240="","",INDEX(Course!$N$2:$N$19,MATCH($B240,Course!$A$2:$A$19,0)))</f>
        <v/>
      </c>
      <c r="Q240" s="17" t="str">
        <f aca="false">IF($B240="","",INDEX(Course!$P$2:$P$19,MATCH($B240,Course!$A$2:$A$19,0)))</f>
        <v/>
      </c>
      <c r="R240" s="17" t="str">
        <f aca="false">IF($C240="","",IF(OR($C240="G",$C240="H"),0,IF($C240="T",1,MIN(1,MAX(0,($N240-Inputs!$B$8)/MAX($P240-Inputs!$B$8,0.01))))))</f>
        <v/>
      </c>
      <c r="S240" s="17" t="str">
        <f aca="false">IF($C240="","",IF(OR($E240="G",$E240="H"),0,IF($E240="T",1,MIN(1,MAX(0,($O240-Inputs!$B$8)/MAX($P240-Inputs!$B$8,0.01))))))</f>
        <v/>
      </c>
    </row>
    <row r="241" customFormat="false" ht="15" hidden="false" customHeight="false" outlineLevel="0" collapsed="false">
      <c r="I241" s="7" t="str">
        <f aca="false">IF($C241="","",IF($C241="G","PUTT",IF(AND($C241="T",$M241&gt;3),"OTT",IF($D241&lt;=30,"ARG","APP"))))</f>
        <v/>
      </c>
      <c r="J241" s="17" t="str">
        <f aca="false">IF($C241="","",$N241+$Q241*$R241)</f>
        <v/>
      </c>
      <c r="K241" s="17" t="str">
        <f aca="false">IF($C241="","",$O241+$Q241*$S241)</f>
        <v/>
      </c>
      <c r="L241" s="17" t="str">
        <f aca="false">IF($C241="","",$J241-$K241-1-N($G241))</f>
        <v/>
      </c>
      <c r="M241" s="7" t="str">
        <f aca="false">IF($B241="","",INDEX(Course!$B$2:$B$19,MATCH($B241,Course!$A$2:$A$19,0)))</f>
        <v/>
      </c>
      <c r="N241" s="17" t="str">
        <f aca="false">IF($C241="","",IF($C241="H",0,IF($C241="G",INDEX(Baseline!$I$3:$I$102,MIN(MAX(ROUND($D241,0),1),100)),IF($C241="T",IF($M241=3,INDEX(Baseline!$B$3:$B$122,MATCH(MIN(MAX(ROUND(($D241)/5,0)*5,5),600),Baseline!$A$3:$A$122,0))-Inputs!$B$9,INDEX(Course!$N$2:$N$19,MATCH($B241,Course!$A$2:$A$19,0))),INDEX(Baseline!$B$3:$E$122,MATCH(MIN(MAX(ROUND(($D241)/5,0)*5,5),600),Baseline!$A$3:$A$122,0),MATCH($C241,Baseline!$B$2:$E$2,0))))))</f>
        <v/>
      </c>
      <c r="O241" s="17" t="str">
        <f aca="false">IF($C241="","",IF($E241="H",0,IF($E241="G",INDEX(Baseline!$I$3:$I$102,MIN(MAX(ROUND($F241,0),1),100)),IF($E241="T",IF($M241=3,INDEX(Baseline!$B$3:$B$122,MATCH(MIN(MAX(ROUND(($F241)/5,0)*5,5),600),Baseline!$A$3:$A$122,0))-Inputs!$B$9,INDEX(Course!$N$2:$N$19,MATCH($B241,Course!$A$2:$A$19,0))),INDEX(Baseline!$B$3:$E$122,MATCH(MIN(MAX(ROUND(($F241)/5,0)*5,5),600),Baseline!$A$3:$A$122,0),MATCH($E241,Baseline!$B$2:$E$2,0))))))</f>
        <v/>
      </c>
      <c r="P241" s="17" t="str">
        <f aca="false">IF($B241="","",INDEX(Course!$N$2:$N$19,MATCH($B241,Course!$A$2:$A$19,0)))</f>
        <v/>
      </c>
      <c r="Q241" s="17" t="str">
        <f aca="false">IF($B241="","",INDEX(Course!$P$2:$P$19,MATCH($B241,Course!$A$2:$A$19,0)))</f>
        <v/>
      </c>
      <c r="R241" s="17" t="str">
        <f aca="false">IF($C241="","",IF(OR($C241="G",$C241="H"),0,IF($C241="T",1,MIN(1,MAX(0,($N241-Inputs!$B$8)/MAX($P241-Inputs!$B$8,0.01))))))</f>
        <v/>
      </c>
      <c r="S241" s="17" t="str">
        <f aca="false">IF($C241="","",IF(OR($E241="G",$E241="H"),0,IF($E241="T",1,MIN(1,MAX(0,($O241-Inputs!$B$8)/MAX($P241-Inputs!$B$8,0.01))))))</f>
        <v/>
      </c>
    </row>
    <row r="242" customFormat="false" ht="15" hidden="false" customHeight="false" outlineLevel="0" collapsed="false">
      <c r="I242" s="7" t="str">
        <f aca="false">IF($C242="","",IF($C242="G","PUTT",IF(AND($C242="T",$M242&gt;3),"OTT",IF($D242&lt;=30,"ARG","APP"))))</f>
        <v/>
      </c>
      <c r="J242" s="17" t="str">
        <f aca="false">IF($C242="","",$N242+$Q242*$R242)</f>
        <v/>
      </c>
      <c r="K242" s="17" t="str">
        <f aca="false">IF($C242="","",$O242+$Q242*$S242)</f>
        <v/>
      </c>
      <c r="L242" s="17" t="str">
        <f aca="false">IF($C242="","",$J242-$K242-1-N($G242))</f>
        <v/>
      </c>
      <c r="M242" s="7" t="str">
        <f aca="false">IF($B242="","",INDEX(Course!$B$2:$B$19,MATCH($B242,Course!$A$2:$A$19,0)))</f>
        <v/>
      </c>
      <c r="N242" s="17" t="str">
        <f aca="false">IF($C242="","",IF($C242="H",0,IF($C242="G",INDEX(Baseline!$I$3:$I$102,MIN(MAX(ROUND($D242,0),1),100)),IF($C242="T",IF($M242=3,INDEX(Baseline!$B$3:$B$122,MATCH(MIN(MAX(ROUND(($D242)/5,0)*5,5),600),Baseline!$A$3:$A$122,0))-Inputs!$B$9,INDEX(Course!$N$2:$N$19,MATCH($B242,Course!$A$2:$A$19,0))),INDEX(Baseline!$B$3:$E$122,MATCH(MIN(MAX(ROUND(($D242)/5,0)*5,5),600),Baseline!$A$3:$A$122,0),MATCH($C242,Baseline!$B$2:$E$2,0))))))</f>
        <v/>
      </c>
      <c r="O242" s="17" t="str">
        <f aca="false">IF($C242="","",IF($E242="H",0,IF($E242="G",INDEX(Baseline!$I$3:$I$102,MIN(MAX(ROUND($F242,0),1),100)),IF($E242="T",IF($M242=3,INDEX(Baseline!$B$3:$B$122,MATCH(MIN(MAX(ROUND(($F242)/5,0)*5,5),600),Baseline!$A$3:$A$122,0))-Inputs!$B$9,INDEX(Course!$N$2:$N$19,MATCH($B242,Course!$A$2:$A$19,0))),INDEX(Baseline!$B$3:$E$122,MATCH(MIN(MAX(ROUND(($F242)/5,0)*5,5),600),Baseline!$A$3:$A$122,0),MATCH($E242,Baseline!$B$2:$E$2,0))))))</f>
        <v/>
      </c>
      <c r="P242" s="17" t="str">
        <f aca="false">IF($B242="","",INDEX(Course!$N$2:$N$19,MATCH($B242,Course!$A$2:$A$19,0)))</f>
        <v/>
      </c>
      <c r="Q242" s="17" t="str">
        <f aca="false">IF($B242="","",INDEX(Course!$P$2:$P$19,MATCH($B242,Course!$A$2:$A$19,0)))</f>
        <v/>
      </c>
      <c r="R242" s="17" t="str">
        <f aca="false">IF($C242="","",IF(OR($C242="G",$C242="H"),0,IF($C242="T",1,MIN(1,MAX(0,($N242-Inputs!$B$8)/MAX($P242-Inputs!$B$8,0.01))))))</f>
        <v/>
      </c>
      <c r="S242" s="17" t="str">
        <f aca="false">IF($C242="","",IF(OR($E242="G",$E242="H"),0,IF($E242="T",1,MIN(1,MAX(0,($O242-Inputs!$B$8)/MAX($P242-Inputs!$B$8,0.01))))))</f>
        <v/>
      </c>
    </row>
    <row r="243" customFormat="false" ht="15" hidden="false" customHeight="false" outlineLevel="0" collapsed="false">
      <c r="I243" s="7" t="str">
        <f aca="false">IF($C243="","",IF($C243="G","PUTT",IF(AND($C243="T",$M243&gt;3),"OTT",IF($D243&lt;=30,"ARG","APP"))))</f>
        <v/>
      </c>
      <c r="J243" s="17" t="str">
        <f aca="false">IF($C243="","",$N243+$Q243*$R243)</f>
        <v/>
      </c>
      <c r="K243" s="17" t="str">
        <f aca="false">IF($C243="","",$O243+$Q243*$S243)</f>
        <v/>
      </c>
      <c r="L243" s="17" t="str">
        <f aca="false">IF($C243="","",$J243-$K243-1-N($G243))</f>
        <v/>
      </c>
      <c r="M243" s="7" t="str">
        <f aca="false">IF($B243="","",INDEX(Course!$B$2:$B$19,MATCH($B243,Course!$A$2:$A$19,0)))</f>
        <v/>
      </c>
      <c r="N243" s="17" t="str">
        <f aca="false">IF($C243="","",IF($C243="H",0,IF($C243="G",INDEX(Baseline!$I$3:$I$102,MIN(MAX(ROUND($D243,0),1),100)),IF($C243="T",IF($M243=3,INDEX(Baseline!$B$3:$B$122,MATCH(MIN(MAX(ROUND(($D243)/5,0)*5,5),600),Baseline!$A$3:$A$122,0))-Inputs!$B$9,INDEX(Course!$N$2:$N$19,MATCH($B243,Course!$A$2:$A$19,0))),INDEX(Baseline!$B$3:$E$122,MATCH(MIN(MAX(ROUND(($D243)/5,0)*5,5),600),Baseline!$A$3:$A$122,0),MATCH($C243,Baseline!$B$2:$E$2,0))))))</f>
        <v/>
      </c>
      <c r="O243" s="17" t="str">
        <f aca="false">IF($C243="","",IF($E243="H",0,IF($E243="G",INDEX(Baseline!$I$3:$I$102,MIN(MAX(ROUND($F243,0),1),100)),IF($E243="T",IF($M243=3,INDEX(Baseline!$B$3:$B$122,MATCH(MIN(MAX(ROUND(($F243)/5,0)*5,5),600),Baseline!$A$3:$A$122,0))-Inputs!$B$9,INDEX(Course!$N$2:$N$19,MATCH($B243,Course!$A$2:$A$19,0))),INDEX(Baseline!$B$3:$E$122,MATCH(MIN(MAX(ROUND(($F243)/5,0)*5,5),600),Baseline!$A$3:$A$122,0),MATCH($E243,Baseline!$B$2:$E$2,0))))))</f>
        <v/>
      </c>
      <c r="P243" s="17" t="str">
        <f aca="false">IF($B243="","",INDEX(Course!$N$2:$N$19,MATCH($B243,Course!$A$2:$A$19,0)))</f>
        <v/>
      </c>
      <c r="Q243" s="17" t="str">
        <f aca="false">IF($B243="","",INDEX(Course!$P$2:$P$19,MATCH($B243,Course!$A$2:$A$19,0)))</f>
        <v/>
      </c>
      <c r="R243" s="17" t="str">
        <f aca="false">IF($C243="","",IF(OR($C243="G",$C243="H"),0,IF($C243="T",1,MIN(1,MAX(0,($N243-Inputs!$B$8)/MAX($P243-Inputs!$B$8,0.01))))))</f>
        <v/>
      </c>
      <c r="S243" s="17" t="str">
        <f aca="false">IF($C243="","",IF(OR($E243="G",$E243="H"),0,IF($E243="T",1,MIN(1,MAX(0,($O243-Inputs!$B$8)/MAX($P243-Inputs!$B$8,0.01))))))</f>
        <v/>
      </c>
    </row>
    <row r="244" customFormat="false" ht="15" hidden="false" customHeight="false" outlineLevel="0" collapsed="false">
      <c r="I244" s="7" t="str">
        <f aca="false">IF($C244="","",IF($C244="G","PUTT",IF(AND($C244="T",$M244&gt;3),"OTT",IF($D244&lt;=30,"ARG","APP"))))</f>
        <v/>
      </c>
      <c r="J244" s="17" t="str">
        <f aca="false">IF($C244="","",$N244+$Q244*$R244)</f>
        <v/>
      </c>
      <c r="K244" s="17" t="str">
        <f aca="false">IF($C244="","",$O244+$Q244*$S244)</f>
        <v/>
      </c>
      <c r="L244" s="17" t="str">
        <f aca="false">IF($C244="","",$J244-$K244-1-N($G244))</f>
        <v/>
      </c>
      <c r="M244" s="7" t="str">
        <f aca="false">IF($B244="","",INDEX(Course!$B$2:$B$19,MATCH($B244,Course!$A$2:$A$19,0)))</f>
        <v/>
      </c>
      <c r="N244" s="17" t="str">
        <f aca="false">IF($C244="","",IF($C244="H",0,IF($C244="G",INDEX(Baseline!$I$3:$I$102,MIN(MAX(ROUND($D244,0),1),100)),IF($C244="T",IF($M244=3,INDEX(Baseline!$B$3:$B$122,MATCH(MIN(MAX(ROUND(($D244)/5,0)*5,5),600),Baseline!$A$3:$A$122,0))-Inputs!$B$9,INDEX(Course!$N$2:$N$19,MATCH($B244,Course!$A$2:$A$19,0))),INDEX(Baseline!$B$3:$E$122,MATCH(MIN(MAX(ROUND(($D244)/5,0)*5,5),600),Baseline!$A$3:$A$122,0),MATCH($C244,Baseline!$B$2:$E$2,0))))))</f>
        <v/>
      </c>
      <c r="O244" s="17" t="str">
        <f aca="false">IF($C244="","",IF($E244="H",0,IF($E244="G",INDEX(Baseline!$I$3:$I$102,MIN(MAX(ROUND($F244,0),1),100)),IF($E244="T",IF($M244=3,INDEX(Baseline!$B$3:$B$122,MATCH(MIN(MAX(ROUND(($F244)/5,0)*5,5),600),Baseline!$A$3:$A$122,0))-Inputs!$B$9,INDEX(Course!$N$2:$N$19,MATCH($B244,Course!$A$2:$A$19,0))),INDEX(Baseline!$B$3:$E$122,MATCH(MIN(MAX(ROUND(($F244)/5,0)*5,5),600),Baseline!$A$3:$A$122,0),MATCH($E244,Baseline!$B$2:$E$2,0))))))</f>
        <v/>
      </c>
      <c r="P244" s="17" t="str">
        <f aca="false">IF($B244="","",INDEX(Course!$N$2:$N$19,MATCH($B244,Course!$A$2:$A$19,0)))</f>
        <v/>
      </c>
      <c r="Q244" s="17" t="str">
        <f aca="false">IF($B244="","",INDEX(Course!$P$2:$P$19,MATCH($B244,Course!$A$2:$A$19,0)))</f>
        <v/>
      </c>
      <c r="R244" s="17" t="str">
        <f aca="false">IF($C244="","",IF(OR($C244="G",$C244="H"),0,IF($C244="T",1,MIN(1,MAX(0,($N244-Inputs!$B$8)/MAX($P244-Inputs!$B$8,0.01))))))</f>
        <v/>
      </c>
      <c r="S244" s="17" t="str">
        <f aca="false">IF($C244="","",IF(OR($E244="G",$E244="H"),0,IF($E244="T",1,MIN(1,MAX(0,($O244-Inputs!$B$8)/MAX($P244-Inputs!$B$8,0.01))))))</f>
        <v/>
      </c>
    </row>
    <row r="245" customFormat="false" ht="15" hidden="false" customHeight="false" outlineLevel="0" collapsed="false">
      <c r="I245" s="7" t="str">
        <f aca="false">IF($C245="","",IF($C245="G","PUTT",IF(AND($C245="T",$M245&gt;3),"OTT",IF($D245&lt;=30,"ARG","APP"))))</f>
        <v/>
      </c>
      <c r="J245" s="17" t="str">
        <f aca="false">IF($C245="","",$N245+$Q245*$R245)</f>
        <v/>
      </c>
      <c r="K245" s="17" t="str">
        <f aca="false">IF($C245="","",$O245+$Q245*$S245)</f>
        <v/>
      </c>
      <c r="L245" s="17" t="str">
        <f aca="false">IF($C245="","",$J245-$K245-1-N($G245))</f>
        <v/>
      </c>
      <c r="M245" s="7" t="str">
        <f aca="false">IF($B245="","",INDEX(Course!$B$2:$B$19,MATCH($B245,Course!$A$2:$A$19,0)))</f>
        <v/>
      </c>
      <c r="N245" s="17" t="str">
        <f aca="false">IF($C245="","",IF($C245="H",0,IF($C245="G",INDEX(Baseline!$I$3:$I$102,MIN(MAX(ROUND($D245,0),1),100)),IF($C245="T",IF($M245=3,INDEX(Baseline!$B$3:$B$122,MATCH(MIN(MAX(ROUND(($D245)/5,0)*5,5),600),Baseline!$A$3:$A$122,0))-Inputs!$B$9,INDEX(Course!$N$2:$N$19,MATCH($B245,Course!$A$2:$A$19,0))),INDEX(Baseline!$B$3:$E$122,MATCH(MIN(MAX(ROUND(($D245)/5,0)*5,5),600),Baseline!$A$3:$A$122,0),MATCH($C245,Baseline!$B$2:$E$2,0))))))</f>
        <v/>
      </c>
      <c r="O245" s="17" t="str">
        <f aca="false">IF($C245="","",IF($E245="H",0,IF($E245="G",INDEX(Baseline!$I$3:$I$102,MIN(MAX(ROUND($F245,0),1),100)),IF($E245="T",IF($M245=3,INDEX(Baseline!$B$3:$B$122,MATCH(MIN(MAX(ROUND(($F245)/5,0)*5,5),600),Baseline!$A$3:$A$122,0))-Inputs!$B$9,INDEX(Course!$N$2:$N$19,MATCH($B245,Course!$A$2:$A$19,0))),INDEX(Baseline!$B$3:$E$122,MATCH(MIN(MAX(ROUND(($F245)/5,0)*5,5),600),Baseline!$A$3:$A$122,0),MATCH($E245,Baseline!$B$2:$E$2,0))))))</f>
        <v/>
      </c>
      <c r="P245" s="17" t="str">
        <f aca="false">IF($B245="","",INDEX(Course!$N$2:$N$19,MATCH($B245,Course!$A$2:$A$19,0)))</f>
        <v/>
      </c>
      <c r="Q245" s="17" t="str">
        <f aca="false">IF($B245="","",INDEX(Course!$P$2:$P$19,MATCH($B245,Course!$A$2:$A$19,0)))</f>
        <v/>
      </c>
      <c r="R245" s="17" t="str">
        <f aca="false">IF($C245="","",IF(OR($C245="G",$C245="H"),0,IF($C245="T",1,MIN(1,MAX(0,($N245-Inputs!$B$8)/MAX($P245-Inputs!$B$8,0.01))))))</f>
        <v/>
      </c>
      <c r="S245" s="17" t="str">
        <f aca="false">IF($C245="","",IF(OR($E245="G",$E245="H"),0,IF($E245="T",1,MIN(1,MAX(0,($O245-Inputs!$B$8)/MAX($P245-Inputs!$B$8,0.01))))))</f>
        <v/>
      </c>
    </row>
    <row r="246" customFormat="false" ht="15" hidden="false" customHeight="false" outlineLevel="0" collapsed="false">
      <c r="I246" s="7" t="str">
        <f aca="false">IF($C246="","",IF($C246="G","PUTT",IF(AND($C246="T",$M246&gt;3),"OTT",IF($D246&lt;=30,"ARG","APP"))))</f>
        <v/>
      </c>
      <c r="J246" s="17" t="str">
        <f aca="false">IF($C246="","",$N246+$Q246*$R246)</f>
        <v/>
      </c>
      <c r="K246" s="17" t="str">
        <f aca="false">IF($C246="","",$O246+$Q246*$S246)</f>
        <v/>
      </c>
      <c r="L246" s="17" t="str">
        <f aca="false">IF($C246="","",$J246-$K246-1-N($G246))</f>
        <v/>
      </c>
      <c r="M246" s="7" t="str">
        <f aca="false">IF($B246="","",INDEX(Course!$B$2:$B$19,MATCH($B246,Course!$A$2:$A$19,0)))</f>
        <v/>
      </c>
      <c r="N246" s="17" t="str">
        <f aca="false">IF($C246="","",IF($C246="H",0,IF($C246="G",INDEX(Baseline!$I$3:$I$102,MIN(MAX(ROUND($D246,0),1),100)),IF($C246="T",IF($M246=3,INDEX(Baseline!$B$3:$B$122,MATCH(MIN(MAX(ROUND(($D246)/5,0)*5,5),600),Baseline!$A$3:$A$122,0))-Inputs!$B$9,INDEX(Course!$N$2:$N$19,MATCH($B246,Course!$A$2:$A$19,0))),INDEX(Baseline!$B$3:$E$122,MATCH(MIN(MAX(ROUND(($D246)/5,0)*5,5),600),Baseline!$A$3:$A$122,0),MATCH($C246,Baseline!$B$2:$E$2,0))))))</f>
        <v/>
      </c>
      <c r="O246" s="17" t="str">
        <f aca="false">IF($C246="","",IF($E246="H",0,IF($E246="G",INDEX(Baseline!$I$3:$I$102,MIN(MAX(ROUND($F246,0),1),100)),IF($E246="T",IF($M246=3,INDEX(Baseline!$B$3:$B$122,MATCH(MIN(MAX(ROUND(($F246)/5,0)*5,5),600),Baseline!$A$3:$A$122,0))-Inputs!$B$9,INDEX(Course!$N$2:$N$19,MATCH($B246,Course!$A$2:$A$19,0))),INDEX(Baseline!$B$3:$E$122,MATCH(MIN(MAX(ROUND(($F246)/5,0)*5,5),600),Baseline!$A$3:$A$122,0),MATCH($E246,Baseline!$B$2:$E$2,0))))))</f>
        <v/>
      </c>
      <c r="P246" s="17" t="str">
        <f aca="false">IF($B246="","",INDEX(Course!$N$2:$N$19,MATCH($B246,Course!$A$2:$A$19,0)))</f>
        <v/>
      </c>
      <c r="Q246" s="17" t="str">
        <f aca="false">IF($B246="","",INDEX(Course!$P$2:$P$19,MATCH($B246,Course!$A$2:$A$19,0)))</f>
        <v/>
      </c>
      <c r="R246" s="17" t="str">
        <f aca="false">IF($C246="","",IF(OR($C246="G",$C246="H"),0,IF($C246="T",1,MIN(1,MAX(0,($N246-Inputs!$B$8)/MAX($P246-Inputs!$B$8,0.01))))))</f>
        <v/>
      </c>
      <c r="S246" s="17" t="str">
        <f aca="false">IF($C246="","",IF(OR($E246="G",$E246="H"),0,IF($E246="T",1,MIN(1,MAX(0,($O246-Inputs!$B$8)/MAX($P246-Inputs!$B$8,0.01))))))</f>
        <v/>
      </c>
    </row>
    <row r="247" customFormat="false" ht="15" hidden="false" customHeight="false" outlineLevel="0" collapsed="false">
      <c r="I247" s="7" t="str">
        <f aca="false">IF($C247="","",IF($C247="G","PUTT",IF(AND($C247="T",$M247&gt;3),"OTT",IF($D247&lt;=30,"ARG","APP"))))</f>
        <v/>
      </c>
      <c r="J247" s="17" t="str">
        <f aca="false">IF($C247="","",$N247+$Q247*$R247)</f>
        <v/>
      </c>
      <c r="K247" s="17" t="str">
        <f aca="false">IF($C247="","",$O247+$Q247*$S247)</f>
        <v/>
      </c>
      <c r="L247" s="17" t="str">
        <f aca="false">IF($C247="","",$J247-$K247-1-N($G247))</f>
        <v/>
      </c>
      <c r="M247" s="7" t="str">
        <f aca="false">IF($B247="","",INDEX(Course!$B$2:$B$19,MATCH($B247,Course!$A$2:$A$19,0)))</f>
        <v/>
      </c>
      <c r="N247" s="17" t="str">
        <f aca="false">IF($C247="","",IF($C247="H",0,IF($C247="G",INDEX(Baseline!$I$3:$I$102,MIN(MAX(ROUND($D247,0),1),100)),IF($C247="T",IF($M247=3,INDEX(Baseline!$B$3:$B$122,MATCH(MIN(MAX(ROUND(($D247)/5,0)*5,5),600),Baseline!$A$3:$A$122,0))-Inputs!$B$9,INDEX(Course!$N$2:$N$19,MATCH($B247,Course!$A$2:$A$19,0))),INDEX(Baseline!$B$3:$E$122,MATCH(MIN(MAX(ROUND(($D247)/5,0)*5,5),600),Baseline!$A$3:$A$122,0),MATCH($C247,Baseline!$B$2:$E$2,0))))))</f>
        <v/>
      </c>
      <c r="O247" s="17" t="str">
        <f aca="false">IF($C247="","",IF($E247="H",0,IF($E247="G",INDEX(Baseline!$I$3:$I$102,MIN(MAX(ROUND($F247,0),1),100)),IF($E247="T",IF($M247=3,INDEX(Baseline!$B$3:$B$122,MATCH(MIN(MAX(ROUND(($F247)/5,0)*5,5),600),Baseline!$A$3:$A$122,0))-Inputs!$B$9,INDEX(Course!$N$2:$N$19,MATCH($B247,Course!$A$2:$A$19,0))),INDEX(Baseline!$B$3:$E$122,MATCH(MIN(MAX(ROUND(($F247)/5,0)*5,5),600),Baseline!$A$3:$A$122,0),MATCH($E247,Baseline!$B$2:$E$2,0))))))</f>
        <v/>
      </c>
      <c r="P247" s="17" t="str">
        <f aca="false">IF($B247="","",INDEX(Course!$N$2:$N$19,MATCH($B247,Course!$A$2:$A$19,0)))</f>
        <v/>
      </c>
      <c r="Q247" s="17" t="str">
        <f aca="false">IF($B247="","",INDEX(Course!$P$2:$P$19,MATCH($B247,Course!$A$2:$A$19,0)))</f>
        <v/>
      </c>
      <c r="R247" s="17" t="str">
        <f aca="false">IF($C247="","",IF(OR($C247="G",$C247="H"),0,IF($C247="T",1,MIN(1,MAX(0,($N247-Inputs!$B$8)/MAX($P247-Inputs!$B$8,0.01))))))</f>
        <v/>
      </c>
      <c r="S247" s="17" t="str">
        <f aca="false">IF($C247="","",IF(OR($E247="G",$E247="H"),0,IF($E247="T",1,MIN(1,MAX(0,($O247-Inputs!$B$8)/MAX($P247-Inputs!$B$8,0.01))))))</f>
        <v/>
      </c>
    </row>
    <row r="248" customFormat="false" ht="15" hidden="false" customHeight="false" outlineLevel="0" collapsed="false">
      <c r="I248" s="7" t="str">
        <f aca="false">IF($C248="","",IF($C248="G","PUTT",IF(AND($C248="T",$M248&gt;3),"OTT",IF($D248&lt;=30,"ARG","APP"))))</f>
        <v/>
      </c>
      <c r="J248" s="17" t="str">
        <f aca="false">IF($C248="","",$N248+$Q248*$R248)</f>
        <v/>
      </c>
      <c r="K248" s="17" t="str">
        <f aca="false">IF($C248="","",$O248+$Q248*$S248)</f>
        <v/>
      </c>
      <c r="L248" s="17" t="str">
        <f aca="false">IF($C248="","",$J248-$K248-1-N($G248))</f>
        <v/>
      </c>
      <c r="M248" s="7" t="str">
        <f aca="false">IF($B248="","",INDEX(Course!$B$2:$B$19,MATCH($B248,Course!$A$2:$A$19,0)))</f>
        <v/>
      </c>
      <c r="N248" s="17" t="str">
        <f aca="false">IF($C248="","",IF($C248="H",0,IF($C248="G",INDEX(Baseline!$I$3:$I$102,MIN(MAX(ROUND($D248,0),1),100)),IF($C248="T",IF($M248=3,INDEX(Baseline!$B$3:$B$122,MATCH(MIN(MAX(ROUND(($D248)/5,0)*5,5),600),Baseline!$A$3:$A$122,0))-Inputs!$B$9,INDEX(Course!$N$2:$N$19,MATCH($B248,Course!$A$2:$A$19,0))),INDEX(Baseline!$B$3:$E$122,MATCH(MIN(MAX(ROUND(($D248)/5,0)*5,5),600),Baseline!$A$3:$A$122,0),MATCH($C248,Baseline!$B$2:$E$2,0))))))</f>
        <v/>
      </c>
      <c r="O248" s="17" t="str">
        <f aca="false">IF($C248="","",IF($E248="H",0,IF($E248="G",INDEX(Baseline!$I$3:$I$102,MIN(MAX(ROUND($F248,0),1),100)),IF($E248="T",IF($M248=3,INDEX(Baseline!$B$3:$B$122,MATCH(MIN(MAX(ROUND(($F248)/5,0)*5,5),600),Baseline!$A$3:$A$122,0))-Inputs!$B$9,INDEX(Course!$N$2:$N$19,MATCH($B248,Course!$A$2:$A$19,0))),INDEX(Baseline!$B$3:$E$122,MATCH(MIN(MAX(ROUND(($F248)/5,0)*5,5),600),Baseline!$A$3:$A$122,0),MATCH($E248,Baseline!$B$2:$E$2,0))))))</f>
        <v/>
      </c>
      <c r="P248" s="17" t="str">
        <f aca="false">IF($B248="","",INDEX(Course!$N$2:$N$19,MATCH($B248,Course!$A$2:$A$19,0)))</f>
        <v/>
      </c>
      <c r="Q248" s="17" t="str">
        <f aca="false">IF($B248="","",INDEX(Course!$P$2:$P$19,MATCH($B248,Course!$A$2:$A$19,0)))</f>
        <v/>
      </c>
      <c r="R248" s="17" t="str">
        <f aca="false">IF($C248="","",IF(OR($C248="G",$C248="H"),0,IF($C248="T",1,MIN(1,MAX(0,($N248-Inputs!$B$8)/MAX($P248-Inputs!$B$8,0.01))))))</f>
        <v/>
      </c>
      <c r="S248" s="17" t="str">
        <f aca="false">IF($C248="","",IF(OR($E248="G",$E248="H"),0,IF($E248="T",1,MIN(1,MAX(0,($O248-Inputs!$B$8)/MAX($P248-Inputs!$B$8,0.01))))))</f>
        <v/>
      </c>
    </row>
    <row r="249" customFormat="false" ht="15" hidden="false" customHeight="false" outlineLevel="0" collapsed="false">
      <c r="I249" s="7" t="str">
        <f aca="false">IF($C249="","",IF($C249="G","PUTT",IF(AND($C249="T",$M249&gt;3),"OTT",IF($D249&lt;=30,"ARG","APP"))))</f>
        <v/>
      </c>
      <c r="J249" s="17" t="str">
        <f aca="false">IF($C249="","",$N249+$Q249*$R249)</f>
        <v/>
      </c>
      <c r="K249" s="17" t="str">
        <f aca="false">IF($C249="","",$O249+$Q249*$S249)</f>
        <v/>
      </c>
      <c r="L249" s="17" t="str">
        <f aca="false">IF($C249="","",$J249-$K249-1-N($G249))</f>
        <v/>
      </c>
      <c r="M249" s="7" t="str">
        <f aca="false">IF($B249="","",INDEX(Course!$B$2:$B$19,MATCH($B249,Course!$A$2:$A$19,0)))</f>
        <v/>
      </c>
      <c r="N249" s="17" t="str">
        <f aca="false">IF($C249="","",IF($C249="H",0,IF($C249="G",INDEX(Baseline!$I$3:$I$102,MIN(MAX(ROUND($D249,0),1),100)),IF($C249="T",IF($M249=3,INDEX(Baseline!$B$3:$B$122,MATCH(MIN(MAX(ROUND(($D249)/5,0)*5,5),600),Baseline!$A$3:$A$122,0))-Inputs!$B$9,INDEX(Course!$N$2:$N$19,MATCH($B249,Course!$A$2:$A$19,0))),INDEX(Baseline!$B$3:$E$122,MATCH(MIN(MAX(ROUND(($D249)/5,0)*5,5),600),Baseline!$A$3:$A$122,0),MATCH($C249,Baseline!$B$2:$E$2,0))))))</f>
        <v/>
      </c>
      <c r="O249" s="17" t="str">
        <f aca="false">IF($C249="","",IF($E249="H",0,IF($E249="G",INDEX(Baseline!$I$3:$I$102,MIN(MAX(ROUND($F249,0),1),100)),IF($E249="T",IF($M249=3,INDEX(Baseline!$B$3:$B$122,MATCH(MIN(MAX(ROUND(($F249)/5,0)*5,5),600),Baseline!$A$3:$A$122,0))-Inputs!$B$9,INDEX(Course!$N$2:$N$19,MATCH($B249,Course!$A$2:$A$19,0))),INDEX(Baseline!$B$3:$E$122,MATCH(MIN(MAX(ROUND(($F249)/5,0)*5,5),600),Baseline!$A$3:$A$122,0),MATCH($E249,Baseline!$B$2:$E$2,0))))))</f>
        <v/>
      </c>
      <c r="P249" s="17" t="str">
        <f aca="false">IF($B249="","",INDEX(Course!$N$2:$N$19,MATCH($B249,Course!$A$2:$A$19,0)))</f>
        <v/>
      </c>
      <c r="Q249" s="17" t="str">
        <f aca="false">IF($B249="","",INDEX(Course!$P$2:$P$19,MATCH($B249,Course!$A$2:$A$19,0)))</f>
        <v/>
      </c>
      <c r="R249" s="17" t="str">
        <f aca="false">IF($C249="","",IF(OR($C249="G",$C249="H"),0,IF($C249="T",1,MIN(1,MAX(0,($N249-Inputs!$B$8)/MAX($P249-Inputs!$B$8,0.01))))))</f>
        <v/>
      </c>
      <c r="S249" s="17" t="str">
        <f aca="false">IF($C249="","",IF(OR($E249="G",$E249="H"),0,IF($E249="T",1,MIN(1,MAX(0,($O249-Inputs!$B$8)/MAX($P249-Inputs!$B$8,0.01))))))</f>
        <v/>
      </c>
    </row>
    <row r="250" customFormat="false" ht="15" hidden="false" customHeight="false" outlineLevel="0" collapsed="false">
      <c r="I250" s="7" t="str">
        <f aca="false">IF($C250="","",IF($C250="G","PUTT",IF(AND($C250="T",$M250&gt;3),"OTT",IF($D250&lt;=30,"ARG","APP"))))</f>
        <v/>
      </c>
      <c r="J250" s="17" t="str">
        <f aca="false">IF($C250="","",$N250+$Q250*$R250)</f>
        <v/>
      </c>
      <c r="K250" s="17" t="str">
        <f aca="false">IF($C250="","",$O250+$Q250*$S250)</f>
        <v/>
      </c>
      <c r="L250" s="17" t="str">
        <f aca="false">IF($C250="","",$J250-$K250-1-N($G250))</f>
        <v/>
      </c>
      <c r="M250" s="7" t="str">
        <f aca="false">IF($B250="","",INDEX(Course!$B$2:$B$19,MATCH($B250,Course!$A$2:$A$19,0)))</f>
        <v/>
      </c>
      <c r="N250" s="17" t="str">
        <f aca="false">IF($C250="","",IF($C250="H",0,IF($C250="G",INDEX(Baseline!$I$3:$I$102,MIN(MAX(ROUND($D250,0),1),100)),IF($C250="T",IF($M250=3,INDEX(Baseline!$B$3:$B$122,MATCH(MIN(MAX(ROUND(($D250)/5,0)*5,5),600),Baseline!$A$3:$A$122,0))-Inputs!$B$9,INDEX(Course!$N$2:$N$19,MATCH($B250,Course!$A$2:$A$19,0))),INDEX(Baseline!$B$3:$E$122,MATCH(MIN(MAX(ROUND(($D250)/5,0)*5,5),600),Baseline!$A$3:$A$122,0),MATCH($C250,Baseline!$B$2:$E$2,0))))))</f>
        <v/>
      </c>
      <c r="O250" s="17" t="str">
        <f aca="false">IF($C250="","",IF($E250="H",0,IF($E250="G",INDEX(Baseline!$I$3:$I$102,MIN(MAX(ROUND($F250,0),1),100)),IF($E250="T",IF($M250=3,INDEX(Baseline!$B$3:$B$122,MATCH(MIN(MAX(ROUND(($F250)/5,0)*5,5),600),Baseline!$A$3:$A$122,0))-Inputs!$B$9,INDEX(Course!$N$2:$N$19,MATCH($B250,Course!$A$2:$A$19,0))),INDEX(Baseline!$B$3:$E$122,MATCH(MIN(MAX(ROUND(($F250)/5,0)*5,5),600),Baseline!$A$3:$A$122,0),MATCH($E250,Baseline!$B$2:$E$2,0))))))</f>
        <v/>
      </c>
      <c r="P250" s="17" t="str">
        <f aca="false">IF($B250="","",INDEX(Course!$N$2:$N$19,MATCH($B250,Course!$A$2:$A$19,0)))</f>
        <v/>
      </c>
      <c r="Q250" s="17" t="str">
        <f aca="false">IF($B250="","",INDEX(Course!$P$2:$P$19,MATCH($B250,Course!$A$2:$A$19,0)))</f>
        <v/>
      </c>
      <c r="R250" s="17" t="str">
        <f aca="false">IF($C250="","",IF(OR($C250="G",$C250="H"),0,IF($C250="T",1,MIN(1,MAX(0,($N250-Inputs!$B$8)/MAX($P250-Inputs!$B$8,0.01))))))</f>
        <v/>
      </c>
      <c r="S250" s="17" t="str">
        <f aca="false">IF($C250="","",IF(OR($E250="G",$E250="H"),0,IF($E250="T",1,MIN(1,MAX(0,($O250-Inputs!$B$8)/MAX($P250-Inputs!$B$8,0.01))))))</f>
        <v/>
      </c>
    </row>
    <row r="251" customFormat="false" ht="15" hidden="false" customHeight="false" outlineLevel="0" collapsed="false">
      <c r="I251" s="7" t="str">
        <f aca="false">IF($C251="","",IF($C251="G","PUTT",IF(AND($C251="T",$M251&gt;3),"OTT",IF($D251&lt;=30,"ARG","APP"))))</f>
        <v/>
      </c>
      <c r="J251" s="17" t="str">
        <f aca="false">IF($C251="","",$N251+$Q251*$R251)</f>
        <v/>
      </c>
      <c r="K251" s="17" t="str">
        <f aca="false">IF($C251="","",$O251+$Q251*$S251)</f>
        <v/>
      </c>
      <c r="L251" s="17" t="str">
        <f aca="false">IF($C251="","",$J251-$K251-1-N($G251))</f>
        <v/>
      </c>
      <c r="M251" s="7" t="str">
        <f aca="false">IF($B251="","",INDEX(Course!$B$2:$B$19,MATCH($B251,Course!$A$2:$A$19,0)))</f>
        <v/>
      </c>
      <c r="N251" s="17" t="str">
        <f aca="false">IF($C251="","",IF($C251="H",0,IF($C251="G",INDEX(Baseline!$I$3:$I$102,MIN(MAX(ROUND($D251,0),1),100)),IF($C251="T",IF($M251=3,INDEX(Baseline!$B$3:$B$122,MATCH(MIN(MAX(ROUND(($D251)/5,0)*5,5),600),Baseline!$A$3:$A$122,0))-Inputs!$B$9,INDEX(Course!$N$2:$N$19,MATCH($B251,Course!$A$2:$A$19,0))),INDEX(Baseline!$B$3:$E$122,MATCH(MIN(MAX(ROUND(($D251)/5,0)*5,5),600),Baseline!$A$3:$A$122,0),MATCH($C251,Baseline!$B$2:$E$2,0))))))</f>
        <v/>
      </c>
      <c r="O251" s="17" t="str">
        <f aca="false">IF($C251="","",IF($E251="H",0,IF($E251="G",INDEX(Baseline!$I$3:$I$102,MIN(MAX(ROUND($F251,0),1),100)),IF($E251="T",IF($M251=3,INDEX(Baseline!$B$3:$B$122,MATCH(MIN(MAX(ROUND(($F251)/5,0)*5,5),600),Baseline!$A$3:$A$122,0))-Inputs!$B$9,INDEX(Course!$N$2:$N$19,MATCH($B251,Course!$A$2:$A$19,0))),INDEX(Baseline!$B$3:$E$122,MATCH(MIN(MAX(ROUND(($F251)/5,0)*5,5),600),Baseline!$A$3:$A$122,0),MATCH($E251,Baseline!$B$2:$E$2,0))))))</f>
        <v/>
      </c>
      <c r="P251" s="17" t="str">
        <f aca="false">IF($B251="","",INDEX(Course!$N$2:$N$19,MATCH($B251,Course!$A$2:$A$19,0)))</f>
        <v/>
      </c>
      <c r="Q251" s="17" t="str">
        <f aca="false">IF($B251="","",INDEX(Course!$P$2:$P$19,MATCH($B251,Course!$A$2:$A$19,0)))</f>
        <v/>
      </c>
      <c r="R251" s="17" t="str">
        <f aca="false">IF($C251="","",IF(OR($C251="G",$C251="H"),0,IF($C251="T",1,MIN(1,MAX(0,($N251-Inputs!$B$8)/MAX($P251-Inputs!$B$8,0.01))))))</f>
        <v/>
      </c>
      <c r="S251" s="17" t="str">
        <f aca="false">IF($C251="","",IF(OR($E251="G",$E251="H"),0,IF($E251="T",1,MIN(1,MAX(0,($O251-Inputs!$B$8)/MAX($P251-Inputs!$B$8,0.01))))))</f>
        <v/>
      </c>
    </row>
    <row r="252" customFormat="false" ht="15" hidden="false" customHeight="false" outlineLevel="0" collapsed="false">
      <c r="I252" s="7" t="str">
        <f aca="false">IF($C252="","",IF($C252="G","PUTT",IF(AND($C252="T",$M252&gt;3),"OTT",IF($D252&lt;=30,"ARG","APP"))))</f>
        <v/>
      </c>
      <c r="J252" s="17" t="str">
        <f aca="false">IF($C252="","",$N252+$Q252*$R252)</f>
        <v/>
      </c>
      <c r="K252" s="17" t="str">
        <f aca="false">IF($C252="","",$O252+$Q252*$S252)</f>
        <v/>
      </c>
      <c r="L252" s="17" t="str">
        <f aca="false">IF($C252="","",$J252-$K252-1-N($G252))</f>
        <v/>
      </c>
      <c r="M252" s="7" t="str">
        <f aca="false">IF($B252="","",INDEX(Course!$B$2:$B$19,MATCH($B252,Course!$A$2:$A$19,0)))</f>
        <v/>
      </c>
      <c r="N252" s="17" t="str">
        <f aca="false">IF($C252="","",IF($C252="H",0,IF($C252="G",INDEX(Baseline!$I$3:$I$102,MIN(MAX(ROUND($D252,0),1),100)),IF($C252="T",IF($M252=3,INDEX(Baseline!$B$3:$B$122,MATCH(MIN(MAX(ROUND(($D252)/5,0)*5,5),600),Baseline!$A$3:$A$122,0))-Inputs!$B$9,INDEX(Course!$N$2:$N$19,MATCH($B252,Course!$A$2:$A$19,0))),INDEX(Baseline!$B$3:$E$122,MATCH(MIN(MAX(ROUND(($D252)/5,0)*5,5),600),Baseline!$A$3:$A$122,0),MATCH($C252,Baseline!$B$2:$E$2,0))))))</f>
        <v/>
      </c>
      <c r="O252" s="17" t="str">
        <f aca="false">IF($C252="","",IF($E252="H",0,IF($E252="G",INDEX(Baseline!$I$3:$I$102,MIN(MAX(ROUND($F252,0),1),100)),IF($E252="T",IF($M252=3,INDEX(Baseline!$B$3:$B$122,MATCH(MIN(MAX(ROUND(($F252)/5,0)*5,5),600),Baseline!$A$3:$A$122,0))-Inputs!$B$9,INDEX(Course!$N$2:$N$19,MATCH($B252,Course!$A$2:$A$19,0))),INDEX(Baseline!$B$3:$E$122,MATCH(MIN(MAX(ROUND(($F252)/5,0)*5,5),600),Baseline!$A$3:$A$122,0),MATCH($E252,Baseline!$B$2:$E$2,0))))))</f>
        <v/>
      </c>
      <c r="P252" s="17" t="str">
        <f aca="false">IF($B252="","",INDEX(Course!$N$2:$N$19,MATCH($B252,Course!$A$2:$A$19,0)))</f>
        <v/>
      </c>
      <c r="Q252" s="17" t="str">
        <f aca="false">IF($B252="","",INDEX(Course!$P$2:$P$19,MATCH($B252,Course!$A$2:$A$19,0)))</f>
        <v/>
      </c>
      <c r="R252" s="17" t="str">
        <f aca="false">IF($C252="","",IF(OR($C252="G",$C252="H"),0,IF($C252="T",1,MIN(1,MAX(0,($N252-Inputs!$B$8)/MAX($P252-Inputs!$B$8,0.01))))))</f>
        <v/>
      </c>
      <c r="S252" s="17" t="str">
        <f aca="false">IF($C252="","",IF(OR($E252="G",$E252="H"),0,IF($E252="T",1,MIN(1,MAX(0,($O252-Inputs!$B$8)/MAX($P252-Inputs!$B$8,0.01))))))</f>
        <v/>
      </c>
    </row>
    <row r="253" customFormat="false" ht="15" hidden="false" customHeight="false" outlineLevel="0" collapsed="false">
      <c r="I253" s="7" t="str">
        <f aca="false">IF($C253="","",IF($C253="G","PUTT",IF(AND($C253="T",$M253&gt;3),"OTT",IF($D253&lt;=30,"ARG","APP"))))</f>
        <v/>
      </c>
      <c r="J253" s="17" t="str">
        <f aca="false">IF($C253="","",$N253+$Q253*$R253)</f>
        <v/>
      </c>
      <c r="K253" s="17" t="str">
        <f aca="false">IF($C253="","",$O253+$Q253*$S253)</f>
        <v/>
      </c>
      <c r="L253" s="17" t="str">
        <f aca="false">IF($C253="","",$J253-$K253-1-N($G253))</f>
        <v/>
      </c>
      <c r="M253" s="7" t="str">
        <f aca="false">IF($B253="","",INDEX(Course!$B$2:$B$19,MATCH($B253,Course!$A$2:$A$19,0)))</f>
        <v/>
      </c>
      <c r="N253" s="17" t="str">
        <f aca="false">IF($C253="","",IF($C253="H",0,IF($C253="G",INDEX(Baseline!$I$3:$I$102,MIN(MAX(ROUND($D253,0),1),100)),IF($C253="T",IF($M253=3,INDEX(Baseline!$B$3:$B$122,MATCH(MIN(MAX(ROUND(($D253)/5,0)*5,5),600),Baseline!$A$3:$A$122,0))-Inputs!$B$9,INDEX(Course!$N$2:$N$19,MATCH($B253,Course!$A$2:$A$19,0))),INDEX(Baseline!$B$3:$E$122,MATCH(MIN(MAX(ROUND(($D253)/5,0)*5,5),600),Baseline!$A$3:$A$122,0),MATCH($C253,Baseline!$B$2:$E$2,0))))))</f>
        <v/>
      </c>
      <c r="O253" s="17" t="str">
        <f aca="false">IF($C253="","",IF($E253="H",0,IF($E253="G",INDEX(Baseline!$I$3:$I$102,MIN(MAX(ROUND($F253,0),1),100)),IF($E253="T",IF($M253=3,INDEX(Baseline!$B$3:$B$122,MATCH(MIN(MAX(ROUND(($F253)/5,0)*5,5),600),Baseline!$A$3:$A$122,0))-Inputs!$B$9,INDEX(Course!$N$2:$N$19,MATCH($B253,Course!$A$2:$A$19,0))),INDEX(Baseline!$B$3:$E$122,MATCH(MIN(MAX(ROUND(($F253)/5,0)*5,5),600),Baseline!$A$3:$A$122,0),MATCH($E253,Baseline!$B$2:$E$2,0))))))</f>
        <v/>
      </c>
      <c r="P253" s="17" t="str">
        <f aca="false">IF($B253="","",INDEX(Course!$N$2:$N$19,MATCH($B253,Course!$A$2:$A$19,0)))</f>
        <v/>
      </c>
      <c r="Q253" s="17" t="str">
        <f aca="false">IF($B253="","",INDEX(Course!$P$2:$P$19,MATCH($B253,Course!$A$2:$A$19,0)))</f>
        <v/>
      </c>
      <c r="R253" s="17" t="str">
        <f aca="false">IF($C253="","",IF(OR($C253="G",$C253="H"),0,IF($C253="T",1,MIN(1,MAX(0,($N253-Inputs!$B$8)/MAX($P253-Inputs!$B$8,0.01))))))</f>
        <v/>
      </c>
      <c r="S253" s="17" t="str">
        <f aca="false">IF($C253="","",IF(OR($E253="G",$E253="H"),0,IF($E253="T",1,MIN(1,MAX(0,($O253-Inputs!$B$8)/MAX($P253-Inputs!$B$8,0.01))))))</f>
        <v/>
      </c>
    </row>
    <row r="254" customFormat="false" ht="15" hidden="false" customHeight="false" outlineLevel="0" collapsed="false">
      <c r="I254" s="7" t="str">
        <f aca="false">IF($C254="","",IF($C254="G","PUTT",IF(AND($C254="T",$M254&gt;3),"OTT",IF($D254&lt;=30,"ARG","APP"))))</f>
        <v/>
      </c>
      <c r="J254" s="17" t="str">
        <f aca="false">IF($C254="","",$N254+$Q254*$R254)</f>
        <v/>
      </c>
      <c r="K254" s="17" t="str">
        <f aca="false">IF($C254="","",$O254+$Q254*$S254)</f>
        <v/>
      </c>
      <c r="L254" s="17" t="str">
        <f aca="false">IF($C254="","",$J254-$K254-1-N($G254))</f>
        <v/>
      </c>
      <c r="M254" s="7" t="str">
        <f aca="false">IF($B254="","",INDEX(Course!$B$2:$B$19,MATCH($B254,Course!$A$2:$A$19,0)))</f>
        <v/>
      </c>
      <c r="N254" s="17" t="str">
        <f aca="false">IF($C254="","",IF($C254="H",0,IF($C254="G",INDEX(Baseline!$I$3:$I$102,MIN(MAX(ROUND($D254,0),1),100)),IF($C254="T",IF($M254=3,INDEX(Baseline!$B$3:$B$122,MATCH(MIN(MAX(ROUND(($D254)/5,0)*5,5),600),Baseline!$A$3:$A$122,0))-Inputs!$B$9,INDEX(Course!$N$2:$N$19,MATCH($B254,Course!$A$2:$A$19,0))),INDEX(Baseline!$B$3:$E$122,MATCH(MIN(MAX(ROUND(($D254)/5,0)*5,5),600),Baseline!$A$3:$A$122,0),MATCH($C254,Baseline!$B$2:$E$2,0))))))</f>
        <v/>
      </c>
      <c r="O254" s="17" t="str">
        <f aca="false">IF($C254="","",IF($E254="H",0,IF($E254="G",INDEX(Baseline!$I$3:$I$102,MIN(MAX(ROUND($F254,0),1),100)),IF($E254="T",IF($M254=3,INDEX(Baseline!$B$3:$B$122,MATCH(MIN(MAX(ROUND(($F254)/5,0)*5,5),600),Baseline!$A$3:$A$122,0))-Inputs!$B$9,INDEX(Course!$N$2:$N$19,MATCH($B254,Course!$A$2:$A$19,0))),INDEX(Baseline!$B$3:$E$122,MATCH(MIN(MAX(ROUND(($F254)/5,0)*5,5),600),Baseline!$A$3:$A$122,0),MATCH($E254,Baseline!$B$2:$E$2,0))))))</f>
        <v/>
      </c>
      <c r="P254" s="17" t="str">
        <f aca="false">IF($B254="","",INDEX(Course!$N$2:$N$19,MATCH($B254,Course!$A$2:$A$19,0)))</f>
        <v/>
      </c>
      <c r="Q254" s="17" t="str">
        <f aca="false">IF($B254="","",INDEX(Course!$P$2:$P$19,MATCH($B254,Course!$A$2:$A$19,0)))</f>
        <v/>
      </c>
      <c r="R254" s="17" t="str">
        <f aca="false">IF($C254="","",IF(OR($C254="G",$C254="H"),0,IF($C254="T",1,MIN(1,MAX(0,($N254-Inputs!$B$8)/MAX($P254-Inputs!$B$8,0.01))))))</f>
        <v/>
      </c>
      <c r="S254" s="17" t="str">
        <f aca="false">IF($C254="","",IF(OR($E254="G",$E254="H"),0,IF($E254="T",1,MIN(1,MAX(0,($O254-Inputs!$B$8)/MAX($P254-Inputs!$B$8,0.01))))))</f>
        <v/>
      </c>
    </row>
    <row r="255" customFormat="false" ht="15" hidden="false" customHeight="false" outlineLevel="0" collapsed="false">
      <c r="I255" s="7" t="str">
        <f aca="false">IF($C255="","",IF($C255="G","PUTT",IF(AND($C255="T",$M255&gt;3),"OTT",IF($D255&lt;=30,"ARG","APP"))))</f>
        <v/>
      </c>
      <c r="J255" s="17" t="str">
        <f aca="false">IF($C255="","",$N255+$Q255*$R255)</f>
        <v/>
      </c>
      <c r="K255" s="17" t="str">
        <f aca="false">IF($C255="","",$O255+$Q255*$S255)</f>
        <v/>
      </c>
      <c r="L255" s="17" t="str">
        <f aca="false">IF($C255="","",$J255-$K255-1-N($G255))</f>
        <v/>
      </c>
      <c r="M255" s="7" t="str">
        <f aca="false">IF($B255="","",INDEX(Course!$B$2:$B$19,MATCH($B255,Course!$A$2:$A$19,0)))</f>
        <v/>
      </c>
      <c r="N255" s="17" t="str">
        <f aca="false">IF($C255="","",IF($C255="H",0,IF($C255="G",INDEX(Baseline!$I$3:$I$102,MIN(MAX(ROUND($D255,0),1),100)),IF($C255="T",IF($M255=3,INDEX(Baseline!$B$3:$B$122,MATCH(MIN(MAX(ROUND(($D255)/5,0)*5,5),600),Baseline!$A$3:$A$122,0))-Inputs!$B$9,INDEX(Course!$N$2:$N$19,MATCH($B255,Course!$A$2:$A$19,0))),INDEX(Baseline!$B$3:$E$122,MATCH(MIN(MAX(ROUND(($D255)/5,0)*5,5),600),Baseline!$A$3:$A$122,0),MATCH($C255,Baseline!$B$2:$E$2,0))))))</f>
        <v/>
      </c>
      <c r="O255" s="17" t="str">
        <f aca="false">IF($C255="","",IF($E255="H",0,IF($E255="G",INDEX(Baseline!$I$3:$I$102,MIN(MAX(ROUND($F255,0),1),100)),IF($E255="T",IF($M255=3,INDEX(Baseline!$B$3:$B$122,MATCH(MIN(MAX(ROUND(($F255)/5,0)*5,5),600),Baseline!$A$3:$A$122,0))-Inputs!$B$9,INDEX(Course!$N$2:$N$19,MATCH($B255,Course!$A$2:$A$19,0))),INDEX(Baseline!$B$3:$E$122,MATCH(MIN(MAX(ROUND(($F255)/5,0)*5,5),600),Baseline!$A$3:$A$122,0),MATCH($E255,Baseline!$B$2:$E$2,0))))))</f>
        <v/>
      </c>
      <c r="P255" s="17" t="str">
        <f aca="false">IF($B255="","",INDEX(Course!$N$2:$N$19,MATCH($B255,Course!$A$2:$A$19,0)))</f>
        <v/>
      </c>
      <c r="Q255" s="17" t="str">
        <f aca="false">IF($B255="","",INDEX(Course!$P$2:$P$19,MATCH($B255,Course!$A$2:$A$19,0)))</f>
        <v/>
      </c>
      <c r="R255" s="17" t="str">
        <f aca="false">IF($C255="","",IF(OR($C255="G",$C255="H"),0,IF($C255="T",1,MIN(1,MAX(0,($N255-Inputs!$B$8)/MAX($P255-Inputs!$B$8,0.01))))))</f>
        <v/>
      </c>
      <c r="S255" s="17" t="str">
        <f aca="false">IF($C255="","",IF(OR($E255="G",$E255="H"),0,IF($E255="T",1,MIN(1,MAX(0,($O255-Inputs!$B$8)/MAX($P255-Inputs!$B$8,0.01))))))</f>
        <v/>
      </c>
    </row>
    <row r="256" customFormat="false" ht="15" hidden="false" customHeight="false" outlineLevel="0" collapsed="false">
      <c r="I256" s="7" t="str">
        <f aca="false">IF($C256="","",IF($C256="G","PUTT",IF(AND($C256="T",$M256&gt;3),"OTT",IF($D256&lt;=30,"ARG","APP"))))</f>
        <v/>
      </c>
      <c r="J256" s="17" t="str">
        <f aca="false">IF($C256="","",$N256+$Q256*$R256)</f>
        <v/>
      </c>
      <c r="K256" s="17" t="str">
        <f aca="false">IF($C256="","",$O256+$Q256*$S256)</f>
        <v/>
      </c>
      <c r="L256" s="17" t="str">
        <f aca="false">IF($C256="","",$J256-$K256-1-N($G256))</f>
        <v/>
      </c>
      <c r="M256" s="7" t="str">
        <f aca="false">IF($B256="","",INDEX(Course!$B$2:$B$19,MATCH($B256,Course!$A$2:$A$19,0)))</f>
        <v/>
      </c>
      <c r="N256" s="17" t="str">
        <f aca="false">IF($C256="","",IF($C256="H",0,IF($C256="G",INDEX(Baseline!$I$3:$I$102,MIN(MAX(ROUND($D256,0),1),100)),IF($C256="T",IF($M256=3,INDEX(Baseline!$B$3:$B$122,MATCH(MIN(MAX(ROUND(($D256)/5,0)*5,5),600),Baseline!$A$3:$A$122,0))-Inputs!$B$9,INDEX(Course!$N$2:$N$19,MATCH($B256,Course!$A$2:$A$19,0))),INDEX(Baseline!$B$3:$E$122,MATCH(MIN(MAX(ROUND(($D256)/5,0)*5,5),600),Baseline!$A$3:$A$122,0),MATCH($C256,Baseline!$B$2:$E$2,0))))))</f>
        <v/>
      </c>
      <c r="O256" s="17" t="str">
        <f aca="false">IF($C256="","",IF($E256="H",0,IF($E256="G",INDEX(Baseline!$I$3:$I$102,MIN(MAX(ROUND($F256,0),1),100)),IF($E256="T",IF($M256=3,INDEX(Baseline!$B$3:$B$122,MATCH(MIN(MAX(ROUND(($F256)/5,0)*5,5),600),Baseline!$A$3:$A$122,0))-Inputs!$B$9,INDEX(Course!$N$2:$N$19,MATCH($B256,Course!$A$2:$A$19,0))),INDEX(Baseline!$B$3:$E$122,MATCH(MIN(MAX(ROUND(($F256)/5,0)*5,5),600),Baseline!$A$3:$A$122,0),MATCH($E256,Baseline!$B$2:$E$2,0))))))</f>
        <v/>
      </c>
      <c r="P256" s="17" t="str">
        <f aca="false">IF($B256="","",INDEX(Course!$N$2:$N$19,MATCH($B256,Course!$A$2:$A$19,0)))</f>
        <v/>
      </c>
      <c r="Q256" s="17" t="str">
        <f aca="false">IF($B256="","",INDEX(Course!$P$2:$P$19,MATCH($B256,Course!$A$2:$A$19,0)))</f>
        <v/>
      </c>
      <c r="R256" s="17" t="str">
        <f aca="false">IF($C256="","",IF(OR($C256="G",$C256="H"),0,IF($C256="T",1,MIN(1,MAX(0,($N256-Inputs!$B$8)/MAX($P256-Inputs!$B$8,0.01))))))</f>
        <v/>
      </c>
      <c r="S256" s="17" t="str">
        <f aca="false">IF($C256="","",IF(OR($E256="G",$E256="H"),0,IF($E256="T",1,MIN(1,MAX(0,($O256-Inputs!$B$8)/MAX($P256-Inputs!$B$8,0.01))))))</f>
        <v/>
      </c>
    </row>
    <row r="257" customFormat="false" ht="15" hidden="false" customHeight="false" outlineLevel="0" collapsed="false">
      <c r="I257" s="7" t="str">
        <f aca="false">IF($C257="","",IF($C257="G","PUTT",IF(AND($C257="T",$M257&gt;3),"OTT",IF($D257&lt;=30,"ARG","APP"))))</f>
        <v/>
      </c>
      <c r="J257" s="17" t="str">
        <f aca="false">IF($C257="","",$N257+$Q257*$R257)</f>
        <v/>
      </c>
      <c r="K257" s="17" t="str">
        <f aca="false">IF($C257="","",$O257+$Q257*$S257)</f>
        <v/>
      </c>
      <c r="L257" s="17" t="str">
        <f aca="false">IF($C257="","",$J257-$K257-1-N($G257))</f>
        <v/>
      </c>
      <c r="M257" s="7" t="str">
        <f aca="false">IF($B257="","",INDEX(Course!$B$2:$B$19,MATCH($B257,Course!$A$2:$A$19,0)))</f>
        <v/>
      </c>
      <c r="N257" s="17" t="str">
        <f aca="false">IF($C257="","",IF($C257="H",0,IF($C257="G",INDEX(Baseline!$I$3:$I$102,MIN(MAX(ROUND($D257,0),1),100)),IF($C257="T",IF($M257=3,INDEX(Baseline!$B$3:$B$122,MATCH(MIN(MAX(ROUND(($D257)/5,0)*5,5),600),Baseline!$A$3:$A$122,0))-Inputs!$B$9,INDEX(Course!$N$2:$N$19,MATCH($B257,Course!$A$2:$A$19,0))),INDEX(Baseline!$B$3:$E$122,MATCH(MIN(MAX(ROUND(($D257)/5,0)*5,5),600),Baseline!$A$3:$A$122,0),MATCH($C257,Baseline!$B$2:$E$2,0))))))</f>
        <v/>
      </c>
      <c r="O257" s="17" t="str">
        <f aca="false">IF($C257="","",IF($E257="H",0,IF($E257="G",INDEX(Baseline!$I$3:$I$102,MIN(MAX(ROUND($F257,0),1),100)),IF($E257="T",IF($M257=3,INDEX(Baseline!$B$3:$B$122,MATCH(MIN(MAX(ROUND(($F257)/5,0)*5,5),600),Baseline!$A$3:$A$122,0))-Inputs!$B$9,INDEX(Course!$N$2:$N$19,MATCH($B257,Course!$A$2:$A$19,0))),INDEX(Baseline!$B$3:$E$122,MATCH(MIN(MAX(ROUND(($F257)/5,0)*5,5),600),Baseline!$A$3:$A$122,0),MATCH($E257,Baseline!$B$2:$E$2,0))))))</f>
        <v/>
      </c>
      <c r="P257" s="17" t="str">
        <f aca="false">IF($B257="","",INDEX(Course!$N$2:$N$19,MATCH($B257,Course!$A$2:$A$19,0)))</f>
        <v/>
      </c>
      <c r="Q257" s="17" t="str">
        <f aca="false">IF($B257="","",INDEX(Course!$P$2:$P$19,MATCH($B257,Course!$A$2:$A$19,0)))</f>
        <v/>
      </c>
      <c r="R257" s="17" t="str">
        <f aca="false">IF($C257="","",IF(OR($C257="G",$C257="H"),0,IF($C257="T",1,MIN(1,MAX(0,($N257-Inputs!$B$8)/MAX($P257-Inputs!$B$8,0.01))))))</f>
        <v/>
      </c>
      <c r="S257" s="17" t="str">
        <f aca="false">IF($C257="","",IF(OR($E257="G",$E257="H"),0,IF($E257="T",1,MIN(1,MAX(0,($O257-Inputs!$B$8)/MAX($P257-Inputs!$B$8,0.01))))))</f>
        <v/>
      </c>
    </row>
    <row r="258" customFormat="false" ht="15" hidden="false" customHeight="false" outlineLevel="0" collapsed="false">
      <c r="I258" s="7" t="str">
        <f aca="false">IF($C258="","",IF($C258="G","PUTT",IF(AND($C258="T",$M258&gt;3),"OTT",IF($D258&lt;=30,"ARG","APP"))))</f>
        <v/>
      </c>
      <c r="J258" s="17" t="str">
        <f aca="false">IF($C258="","",$N258+$Q258*$R258)</f>
        <v/>
      </c>
      <c r="K258" s="17" t="str">
        <f aca="false">IF($C258="","",$O258+$Q258*$S258)</f>
        <v/>
      </c>
      <c r="L258" s="17" t="str">
        <f aca="false">IF($C258="","",$J258-$K258-1-N($G258))</f>
        <v/>
      </c>
      <c r="M258" s="7" t="str">
        <f aca="false">IF($B258="","",INDEX(Course!$B$2:$B$19,MATCH($B258,Course!$A$2:$A$19,0)))</f>
        <v/>
      </c>
      <c r="N258" s="17" t="str">
        <f aca="false">IF($C258="","",IF($C258="H",0,IF($C258="G",INDEX(Baseline!$I$3:$I$102,MIN(MAX(ROUND($D258,0),1),100)),IF($C258="T",IF($M258=3,INDEX(Baseline!$B$3:$B$122,MATCH(MIN(MAX(ROUND(($D258)/5,0)*5,5),600),Baseline!$A$3:$A$122,0))-Inputs!$B$9,INDEX(Course!$N$2:$N$19,MATCH($B258,Course!$A$2:$A$19,0))),INDEX(Baseline!$B$3:$E$122,MATCH(MIN(MAX(ROUND(($D258)/5,0)*5,5),600),Baseline!$A$3:$A$122,0),MATCH($C258,Baseline!$B$2:$E$2,0))))))</f>
        <v/>
      </c>
      <c r="O258" s="17" t="str">
        <f aca="false">IF($C258="","",IF($E258="H",0,IF($E258="G",INDEX(Baseline!$I$3:$I$102,MIN(MAX(ROUND($F258,0),1),100)),IF($E258="T",IF($M258=3,INDEX(Baseline!$B$3:$B$122,MATCH(MIN(MAX(ROUND(($F258)/5,0)*5,5),600),Baseline!$A$3:$A$122,0))-Inputs!$B$9,INDEX(Course!$N$2:$N$19,MATCH($B258,Course!$A$2:$A$19,0))),INDEX(Baseline!$B$3:$E$122,MATCH(MIN(MAX(ROUND(($F258)/5,0)*5,5),600),Baseline!$A$3:$A$122,0),MATCH($E258,Baseline!$B$2:$E$2,0))))))</f>
        <v/>
      </c>
      <c r="P258" s="17" t="str">
        <f aca="false">IF($B258="","",INDEX(Course!$N$2:$N$19,MATCH($B258,Course!$A$2:$A$19,0)))</f>
        <v/>
      </c>
      <c r="Q258" s="17" t="str">
        <f aca="false">IF($B258="","",INDEX(Course!$P$2:$P$19,MATCH($B258,Course!$A$2:$A$19,0)))</f>
        <v/>
      </c>
      <c r="R258" s="17" t="str">
        <f aca="false">IF($C258="","",IF(OR($C258="G",$C258="H"),0,IF($C258="T",1,MIN(1,MAX(0,($N258-Inputs!$B$8)/MAX($P258-Inputs!$B$8,0.01))))))</f>
        <v/>
      </c>
      <c r="S258" s="17" t="str">
        <f aca="false">IF($C258="","",IF(OR($E258="G",$E258="H"),0,IF($E258="T",1,MIN(1,MAX(0,($O258-Inputs!$B$8)/MAX($P258-Inputs!$B$8,0.01))))))</f>
        <v/>
      </c>
    </row>
    <row r="259" customFormat="false" ht="15" hidden="false" customHeight="false" outlineLevel="0" collapsed="false">
      <c r="I259" s="7" t="str">
        <f aca="false">IF($C259="","",IF($C259="G","PUTT",IF(AND($C259="T",$M259&gt;3),"OTT",IF($D259&lt;=30,"ARG","APP"))))</f>
        <v/>
      </c>
      <c r="J259" s="17" t="str">
        <f aca="false">IF($C259="","",$N259+$Q259*$R259)</f>
        <v/>
      </c>
      <c r="K259" s="17" t="str">
        <f aca="false">IF($C259="","",$O259+$Q259*$S259)</f>
        <v/>
      </c>
      <c r="L259" s="17" t="str">
        <f aca="false">IF($C259="","",$J259-$K259-1-N($G259))</f>
        <v/>
      </c>
      <c r="M259" s="7" t="str">
        <f aca="false">IF($B259="","",INDEX(Course!$B$2:$B$19,MATCH($B259,Course!$A$2:$A$19,0)))</f>
        <v/>
      </c>
      <c r="N259" s="17" t="str">
        <f aca="false">IF($C259="","",IF($C259="H",0,IF($C259="G",INDEX(Baseline!$I$3:$I$102,MIN(MAX(ROUND($D259,0),1),100)),IF($C259="T",IF($M259=3,INDEX(Baseline!$B$3:$B$122,MATCH(MIN(MAX(ROUND(($D259)/5,0)*5,5),600),Baseline!$A$3:$A$122,0))-Inputs!$B$9,INDEX(Course!$N$2:$N$19,MATCH($B259,Course!$A$2:$A$19,0))),INDEX(Baseline!$B$3:$E$122,MATCH(MIN(MAX(ROUND(($D259)/5,0)*5,5),600),Baseline!$A$3:$A$122,0),MATCH($C259,Baseline!$B$2:$E$2,0))))))</f>
        <v/>
      </c>
      <c r="O259" s="17" t="str">
        <f aca="false">IF($C259="","",IF($E259="H",0,IF($E259="G",INDEX(Baseline!$I$3:$I$102,MIN(MAX(ROUND($F259,0),1),100)),IF($E259="T",IF($M259=3,INDEX(Baseline!$B$3:$B$122,MATCH(MIN(MAX(ROUND(($F259)/5,0)*5,5),600),Baseline!$A$3:$A$122,0))-Inputs!$B$9,INDEX(Course!$N$2:$N$19,MATCH($B259,Course!$A$2:$A$19,0))),INDEX(Baseline!$B$3:$E$122,MATCH(MIN(MAX(ROUND(($F259)/5,0)*5,5),600),Baseline!$A$3:$A$122,0),MATCH($E259,Baseline!$B$2:$E$2,0))))))</f>
        <v/>
      </c>
      <c r="P259" s="17" t="str">
        <f aca="false">IF($B259="","",INDEX(Course!$N$2:$N$19,MATCH($B259,Course!$A$2:$A$19,0)))</f>
        <v/>
      </c>
      <c r="Q259" s="17" t="str">
        <f aca="false">IF($B259="","",INDEX(Course!$P$2:$P$19,MATCH($B259,Course!$A$2:$A$19,0)))</f>
        <v/>
      </c>
      <c r="R259" s="17" t="str">
        <f aca="false">IF($C259="","",IF(OR($C259="G",$C259="H"),0,IF($C259="T",1,MIN(1,MAX(0,($N259-Inputs!$B$8)/MAX($P259-Inputs!$B$8,0.01))))))</f>
        <v/>
      </c>
      <c r="S259" s="17" t="str">
        <f aca="false">IF($C259="","",IF(OR($E259="G",$E259="H"),0,IF($E259="T",1,MIN(1,MAX(0,($O259-Inputs!$B$8)/MAX($P259-Inputs!$B$8,0.01))))))</f>
        <v/>
      </c>
    </row>
    <row r="260" customFormat="false" ht="15" hidden="false" customHeight="false" outlineLevel="0" collapsed="false">
      <c r="I260" s="7" t="str">
        <f aca="false">IF($C260="","",IF($C260="G","PUTT",IF(AND($C260="T",$M260&gt;3),"OTT",IF($D260&lt;=30,"ARG","APP"))))</f>
        <v/>
      </c>
      <c r="J260" s="17" t="str">
        <f aca="false">IF($C260="","",$N260+$Q260*$R260)</f>
        <v/>
      </c>
      <c r="K260" s="17" t="str">
        <f aca="false">IF($C260="","",$O260+$Q260*$S260)</f>
        <v/>
      </c>
      <c r="L260" s="17" t="str">
        <f aca="false">IF($C260="","",$J260-$K260-1-N($G260))</f>
        <v/>
      </c>
      <c r="M260" s="7" t="str">
        <f aca="false">IF($B260="","",INDEX(Course!$B$2:$B$19,MATCH($B260,Course!$A$2:$A$19,0)))</f>
        <v/>
      </c>
      <c r="N260" s="17" t="str">
        <f aca="false">IF($C260="","",IF($C260="H",0,IF($C260="G",INDEX(Baseline!$I$3:$I$102,MIN(MAX(ROUND($D260,0),1),100)),IF($C260="T",IF($M260=3,INDEX(Baseline!$B$3:$B$122,MATCH(MIN(MAX(ROUND(($D260)/5,0)*5,5),600),Baseline!$A$3:$A$122,0))-Inputs!$B$9,INDEX(Course!$N$2:$N$19,MATCH($B260,Course!$A$2:$A$19,0))),INDEX(Baseline!$B$3:$E$122,MATCH(MIN(MAX(ROUND(($D260)/5,0)*5,5),600),Baseline!$A$3:$A$122,0),MATCH($C260,Baseline!$B$2:$E$2,0))))))</f>
        <v/>
      </c>
      <c r="O260" s="17" t="str">
        <f aca="false">IF($C260="","",IF($E260="H",0,IF($E260="G",INDEX(Baseline!$I$3:$I$102,MIN(MAX(ROUND($F260,0),1),100)),IF($E260="T",IF($M260=3,INDEX(Baseline!$B$3:$B$122,MATCH(MIN(MAX(ROUND(($F260)/5,0)*5,5),600),Baseline!$A$3:$A$122,0))-Inputs!$B$9,INDEX(Course!$N$2:$N$19,MATCH($B260,Course!$A$2:$A$19,0))),INDEX(Baseline!$B$3:$E$122,MATCH(MIN(MAX(ROUND(($F260)/5,0)*5,5),600),Baseline!$A$3:$A$122,0),MATCH($E260,Baseline!$B$2:$E$2,0))))))</f>
        <v/>
      </c>
      <c r="P260" s="17" t="str">
        <f aca="false">IF($B260="","",INDEX(Course!$N$2:$N$19,MATCH($B260,Course!$A$2:$A$19,0)))</f>
        <v/>
      </c>
      <c r="Q260" s="17" t="str">
        <f aca="false">IF($B260="","",INDEX(Course!$P$2:$P$19,MATCH($B260,Course!$A$2:$A$19,0)))</f>
        <v/>
      </c>
      <c r="R260" s="17" t="str">
        <f aca="false">IF($C260="","",IF(OR($C260="G",$C260="H"),0,IF($C260="T",1,MIN(1,MAX(0,($N260-Inputs!$B$8)/MAX($P260-Inputs!$B$8,0.01))))))</f>
        <v/>
      </c>
      <c r="S260" s="17" t="str">
        <f aca="false">IF($C260="","",IF(OR($E260="G",$E260="H"),0,IF($E260="T",1,MIN(1,MAX(0,($O260-Inputs!$B$8)/MAX($P260-Inputs!$B$8,0.01))))))</f>
        <v/>
      </c>
    </row>
    <row r="261" customFormat="false" ht="15" hidden="false" customHeight="false" outlineLevel="0" collapsed="false">
      <c r="I261" s="7" t="str">
        <f aca="false">IF($C261="","",IF($C261="G","PUTT",IF(AND($C261="T",$M261&gt;3),"OTT",IF($D261&lt;=30,"ARG","APP"))))</f>
        <v/>
      </c>
      <c r="J261" s="17" t="str">
        <f aca="false">IF($C261="","",$N261+$Q261*$R261)</f>
        <v/>
      </c>
      <c r="K261" s="17" t="str">
        <f aca="false">IF($C261="","",$O261+$Q261*$S261)</f>
        <v/>
      </c>
      <c r="L261" s="17" t="str">
        <f aca="false">IF($C261="","",$J261-$K261-1-N($G261))</f>
        <v/>
      </c>
      <c r="M261" s="7" t="str">
        <f aca="false">IF($B261="","",INDEX(Course!$B$2:$B$19,MATCH($B261,Course!$A$2:$A$19,0)))</f>
        <v/>
      </c>
      <c r="N261" s="17" t="str">
        <f aca="false">IF($C261="","",IF($C261="H",0,IF($C261="G",INDEX(Baseline!$I$3:$I$102,MIN(MAX(ROUND($D261,0),1),100)),IF($C261="T",IF($M261=3,INDEX(Baseline!$B$3:$B$122,MATCH(MIN(MAX(ROUND(($D261)/5,0)*5,5),600),Baseline!$A$3:$A$122,0))-Inputs!$B$9,INDEX(Course!$N$2:$N$19,MATCH($B261,Course!$A$2:$A$19,0))),INDEX(Baseline!$B$3:$E$122,MATCH(MIN(MAX(ROUND(($D261)/5,0)*5,5),600),Baseline!$A$3:$A$122,0),MATCH($C261,Baseline!$B$2:$E$2,0))))))</f>
        <v/>
      </c>
      <c r="O261" s="17" t="str">
        <f aca="false">IF($C261="","",IF($E261="H",0,IF($E261="G",INDEX(Baseline!$I$3:$I$102,MIN(MAX(ROUND($F261,0),1),100)),IF($E261="T",IF($M261=3,INDEX(Baseline!$B$3:$B$122,MATCH(MIN(MAX(ROUND(($F261)/5,0)*5,5),600),Baseline!$A$3:$A$122,0))-Inputs!$B$9,INDEX(Course!$N$2:$N$19,MATCH($B261,Course!$A$2:$A$19,0))),INDEX(Baseline!$B$3:$E$122,MATCH(MIN(MAX(ROUND(($F261)/5,0)*5,5),600),Baseline!$A$3:$A$122,0),MATCH($E261,Baseline!$B$2:$E$2,0))))))</f>
        <v/>
      </c>
      <c r="P261" s="17" t="str">
        <f aca="false">IF($B261="","",INDEX(Course!$N$2:$N$19,MATCH($B261,Course!$A$2:$A$19,0)))</f>
        <v/>
      </c>
      <c r="Q261" s="17" t="str">
        <f aca="false">IF($B261="","",INDEX(Course!$P$2:$P$19,MATCH($B261,Course!$A$2:$A$19,0)))</f>
        <v/>
      </c>
      <c r="R261" s="17" t="str">
        <f aca="false">IF($C261="","",IF(OR($C261="G",$C261="H"),0,IF($C261="T",1,MIN(1,MAX(0,($N261-Inputs!$B$8)/MAX($P261-Inputs!$B$8,0.01))))))</f>
        <v/>
      </c>
      <c r="S261" s="17" t="str">
        <f aca="false">IF($C261="","",IF(OR($E261="G",$E261="H"),0,IF($E261="T",1,MIN(1,MAX(0,($O261-Inputs!$B$8)/MAX($P261-Inputs!$B$8,0.01))))))</f>
        <v/>
      </c>
    </row>
    <row r="262" customFormat="false" ht="15" hidden="false" customHeight="false" outlineLevel="0" collapsed="false">
      <c r="I262" s="7" t="str">
        <f aca="false">IF($C262="","",IF($C262="G","PUTT",IF(AND($C262="T",$M262&gt;3),"OTT",IF($D262&lt;=30,"ARG","APP"))))</f>
        <v/>
      </c>
      <c r="J262" s="17" t="str">
        <f aca="false">IF($C262="","",$N262+$Q262*$R262)</f>
        <v/>
      </c>
      <c r="K262" s="17" t="str">
        <f aca="false">IF($C262="","",$O262+$Q262*$S262)</f>
        <v/>
      </c>
      <c r="L262" s="17" t="str">
        <f aca="false">IF($C262="","",$J262-$K262-1-N($G262))</f>
        <v/>
      </c>
      <c r="M262" s="7" t="str">
        <f aca="false">IF($B262="","",INDEX(Course!$B$2:$B$19,MATCH($B262,Course!$A$2:$A$19,0)))</f>
        <v/>
      </c>
      <c r="N262" s="17" t="str">
        <f aca="false">IF($C262="","",IF($C262="H",0,IF($C262="G",INDEX(Baseline!$I$3:$I$102,MIN(MAX(ROUND($D262,0),1),100)),IF($C262="T",IF($M262=3,INDEX(Baseline!$B$3:$B$122,MATCH(MIN(MAX(ROUND(($D262)/5,0)*5,5),600),Baseline!$A$3:$A$122,0))-Inputs!$B$9,INDEX(Course!$N$2:$N$19,MATCH($B262,Course!$A$2:$A$19,0))),INDEX(Baseline!$B$3:$E$122,MATCH(MIN(MAX(ROUND(($D262)/5,0)*5,5),600),Baseline!$A$3:$A$122,0),MATCH($C262,Baseline!$B$2:$E$2,0))))))</f>
        <v/>
      </c>
      <c r="O262" s="17" t="str">
        <f aca="false">IF($C262="","",IF($E262="H",0,IF($E262="G",INDEX(Baseline!$I$3:$I$102,MIN(MAX(ROUND($F262,0),1),100)),IF($E262="T",IF($M262=3,INDEX(Baseline!$B$3:$B$122,MATCH(MIN(MAX(ROUND(($F262)/5,0)*5,5),600),Baseline!$A$3:$A$122,0))-Inputs!$B$9,INDEX(Course!$N$2:$N$19,MATCH($B262,Course!$A$2:$A$19,0))),INDEX(Baseline!$B$3:$E$122,MATCH(MIN(MAX(ROUND(($F262)/5,0)*5,5),600),Baseline!$A$3:$A$122,0),MATCH($E262,Baseline!$B$2:$E$2,0))))))</f>
        <v/>
      </c>
      <c r="P262" s="17" t="str">
        <f aca="false">IF($B262="","",INDEX(Course!$N$2:$N$19,MATCH($B262,Course!$A$2:$A$19,0)))</f>
        <v/>
      </c>
      <c r="Q262" s="17" t="str">
        <f aca="false">IF($B262="","",INDEX(Course!$P$2:$P$19,MATCH($B262,Course!$A$2:$A$19,0)))</f>
        <v/>
      </c>
      <c r="R262" s="17" t="str">
        <f aca="false">IF($C262="","",IF(OR($C262="G",$C262="H"),0,IF($C262="T",1,MIN(1,MAX(0,($N262-Inputs!$B$8)/MAX($P262-Inputs!$B$8,0.01))))))</f>
        <v/>
      </c>
      <c r="S262" s="17" t="str">
        <f aca="false">IF($C262="","",IF(OR($E262="G",$E262="H"),0,IF($E262="T",1,MIN(1,MAX(0,($O262-Inputs!$B$8)/MAX($P262-Inputs!$B$8,0.01))))))</f>
        <v/>
      </c>
    </row>
    <row r="263" customFormat="false" ht="15" hidden="false" customHeight="false" outlineLevel="0" collapsed="false">
      <c r="I263" s="7" t="str">
        <f aca="false">IF($C263="","",IF($C263="G","PUTT",IF(AND($C263="T",$M263&gt;3),"OTT",IF($D263&lt;=30,"ARG","APP"))))</f>
        <v/>
      </c>
      <c r="J263" s="17" t="str">
        <f aca="false">IF($C263="","",$N263+$Q263*$R263)</f>
        <v/>
      </c>
      <c r="K263" s="17" t="str">
        <f aca="false">IF($C263="","",$O263+$Q263*$S263)</f>
        <v/>
      </c>
      <c r="L263" s="17" t="str">
        <f aca="false">IF($C263="","",$J263-$K263-1-N($G263))</f>
        <v/>
      </c>
      <c r="M263" s="7" t="str">
        <f aca="false">IF($B263="","",INDEX(Course!$B$2:$B$19,MATCH($B263,Course!$A$2:$A$19,0)))</f>
        <v/>
      </c>
      <c r="N263" s="17" t="str">
        <f aca="false">IF($C263="","",IF($C263="H",0,IF($C263="G",INDEX(Baseline!$I$3:$I$102,MIN(MAX(ROUND($D263,0),1),100)),IF($C263="T",IF($M263=3,INDEX(Baseline!$B$3:$B$122,MATCH(MIN(MAX(ROUND(($D263)/5,0)*5,5),600),Baseline!$A$3:$A$122,0))-Inputs!$B$9,INDEX(Course!$N$2:$N$19,MATCH($B263,Course!$A$2:$A$19,0))),INDEX(Baseline!$B$3:$E$122,MATCH(MIN(MAX(ROUND(($D263)/5,0)*5,5),600),Baseline!$A$3:$A$122,0),MATCH($C263,Baseline!$B$2:$E$2,0))))))</f>
        <v/>
      </c>
      <c r="O263" s="17" t="str">
        <f aca="false">IF($C263="","",IF($E263="H",0,IF($E263="G",INDEX(Baseline!$I$3:$I$102,MIN(MAX(ROUND($F263,0),1),100)),IF($E263="T",IF($M263=3,INDEX(Baseline!$B$3:$B$122,MATCH(MIN(MAX(ROUND(($F263)/5,0)*5,5),600),Baseline!$A$3:$A$122,0))-Inputs!$B$9,INDEX(Course!$N$2:$N$19,MATCH($B263,Course!$A$2:$A$19,0))),INDEX(Baseline!$B$3:$E$122,MATCH(MIN(MAX(ROUND(($F263)/5,0)*5,5),600),Baseline!$A$3:$A$122,0),MATCH($E263,Baseline!$B$2:$E$2,0))))))</f>
        <v/>
      </c>
      <c r="P263" s="17" t="str">
        <f aca="false">IF($B263="","",INDEX(Course!$N$2:$N$19,MATCH($B263,Course!$A$2:$A$19,0)))</f>
        <v/>
      </c>
      <c r="Q263" s="17" t="str">
        <f aca="false">IF($B263="","",INDEX(Course!$P$2:$P$19,MATCH($B263,Course!$A$2:$A$19,0)))</f>
        <v/>
      </c>
      <c r="R263" s="17" t="str">
        <f aca="false">IF($C263="","",IF(OR($C263="G",$C263="H"),0,IF($C263="T",1,MIN(1,MAX(0,($N263-Inputs!$B$8)/MAX($P263-Inputs!$B$8,0.01))))))</f>
        <v/>
      </c>
      <c r="S263" s="17" t="str">
        <f aca="false">IF($C263="","",IF(OR($E263="G",$E263="H"),0,IF($E263="T",1,MIN(1,MAX(0,($O263-Inputs!$B$8)/MAX($P263-Inputs!$B$8,0.01))))))</f>
        <v/>
      </c>
    </row>
    <row r="264" customFormat="false" ht="15" hidden="false" customHeight="false" outlineLevel="0" collapsed="false">
      <c r="I264" s="7" t="str">
        <f aca="false">IF($C264="","",IF($C264="G","PUTT",IF(AND($C264="T",$M264&gt;3),"OTT",IF($D264&lt;=30,"ARG","APP"))))</f>
        <v/>
      </c>
      <c r="J264" s="17" t="str">
        <f aca="false">IF($C264="","",$N264+$Q264*$R264)</f>
        <v/>
      </c>
      <c r="K264" s="17" t="str">
        <f aca="false">IF($C264="","",$O264+$Q264*$S264)</f>
        <v/>
      </c>
      <c r="L264" s="17" t="str">
        <f aca="false">IF($C264="","",$J264-$K264-1-N($G264))</f>
        <v/>
      </c>
      <c r="M264" s="7" t="str">
        <f aca="false">IF($B264="","",INDEX(Course!$B$2:$B$19,MATCH($B264,Course!$A$2:$A$19,0)))</f>
        <v/>
      </c>
      <c r="N264" s="17" t="str">
        <f aca="false">IF($C264="","",IF($C264="H",0,IF($C264="G",INDEX(Baseline!$I$3:$I$102,MIN(MAX(ROUND($D264,0),1),100)),IF($C264="T",IF($M264=3,INDEX(Baseline!$B$3:$B$122,MATCH(MIN(MAX(ROUND(($D264)/5,0)*5,5),600),Baseline!$A$3:$A$122,0))-Inputs!$B$9,INDEX(Course!$N$2:$N$19,MATCH($B264,Course!$A$2:$A$19,0))),INDEX(Baseline!$B$3:$E$122,MATCH(MIN(MAX(ROUND(($D264)/5,0)*5,5),600),Baseline!$A$3:$A$122,0),MATCH($C264,Baseline!$B$2:$E$2,0))))))</f>
        <v/>
      </c>
      <c r="O264" s="17" t="str">
        <f aca="false">IF($C264="","",IF($E264="H",0,IF($E264="G",INDEX(Baseline!$I$3:$I$102,MIN(MAX(ROUND($F264,0),1),100)),IF($E264="T",IF($M264=3,INDEX(Baseline!$B$3:$B$122,MATCH(MIN(MAX(ROUND(($F264)/5,0)*5,5),600),Baseline!$A$3:$A$122,0))-Inputs!$B$9,INDEX(Course!$N$2:$N$19,MATCH($B264,Course!$A$2:$A$19,0))),INDEX(Baseline!$B$3:$E$122,MATCH(MIN(MAX(ROUND(($F264)/5,0)*5,5),600),Baseline!$A$3:$A$122,0),MATCH($E264,Baseline!$B$2:$E$2,0))))))</f>
        <v/>
      </c>
      <c r="P264" s="17" t="str">
        <f aca="false">IF($B264="","",INDEX(Course!$N$2:$N$19,MATCH($B264,Course!$A$2:$A$19,0)))</f>
        <v/>
      </c>
      <c r="Q264" s="17" t="str">
        <f aca="false">IF($B264="","",INDEX(Course!$P$2:$P$19,MATCH($B264,Course!$A$2:$A$19,0)))</f>
        <v/>
      </c>
      <c r="R264" s="17" t="str">
        <f aca="false">IF($C264="","",IF(OR($C264="G",$C264="H"),0,IF($C264="T",1,MIN(1,MAX(0,($N264-Inputs!$B$8)/MAX($P264-Inputs!$B$8,0.01))))))</f>
        <v/>
      </c>
      <c r="S264" s="17" t="str">
        <f aca="false">IF($C264="","",IF(OR($E264="G",$E264="H"),0,IF($E264="T",1,MIN(1,MAX(0,($O264-Inputs!$B$8)/MAX($P264-Inputs!$B$8,0.01))))))</f>
        <v/>
      </c>
    </row>
    <row r="265" customFormat="false" ht="15" hidden="false" customHeight="false" outlineLevel="0" collapsed="false">
      <c r="I265" s="7" t="str">
        <f aca="false">IF($C265="","",IF($C265="G","PUTT",IF(AND($C265="T",$M265&gt;3),"OTT",IF($D265&lt;=30,"ARG","APP"))))</f>
        <v/>
      </c>
      <c r="J265" s="17" t="str">
        <f aca="false">IF($C265="","",$N265+$Q265*$R265)</f>
        <v/>
      </c>
      <c r="K265" s="17" t="str">
        <f aca="false">IF($C265="","",$O265+$Q265*$S265)</f>
        <v/>
      </c>
      <c r="L265" s="17" t="str">
        <f aca="false">IF($C265="","",$J265-$K265-1-N($G265))</f>
        <v/>
      </c>
      <c r="M265" s="7" t="str">
        <f aca="false">IF($B265="","",INDEX(Course!$B$2:$B$19,MATCH($B265,Course!$A$2:$A$19,0)))</f>
        <v/>
      </c>
      <c r="N265" s="17" t="str">
        <f aca="false">IF($C265="","",IF($C265="H",0,IF($C265="G",INDEX(Baseline!$I$3:$I$102,MIN(MAX(ROUND($D265,0),1),100)),IF($C265="T",IF($M265=3,INDEX(Baseline!$B$3:$B$122,MATCH(MIN(MAX(ROUND(($D265)/5,0)*5,5),600),Baseline!$A$3:$A$122,0))-Inputs!$B$9,INDEX(Course!$N$2:$N$19,MATCH($B265,Course!$A$2:$A$19,0))),INDEX(Baseline!$B$3:$E$122,MATCH(MIN(MAX(ROUND(($D265)/5,0)*5,5),600),Baseline!$A$3:$A$122,0),MATCH($C265,Baseline!$B$2:$E$2,0))))))</f>
        <v/>
      </c>
      <c r="O265" s="17" t="str">
        <f aca="false">IF($C265="","",IF($E265="H",0,IF($E265="G",INDEX(Baseline!$I$3:$I$102,MIN(MAX(ROUND($F265,0),1),100)),IF($E265="T",IF($M265=3,INDEX(Baseline!$B$3:$B$122,MATCH(MIN(MAX(ROUND(($F265)/5,0)*5,5),600),Baseline!$A$3:$A$122,0))-Inputs!$B$9,INDEX(Course!$N$2:$N$19,MATCH($B265,Course!$A$2:$A$19,0))),INDEX(Baseline!$B$3:$E$122,MATCH(MIN(MAX(ROUND(($F265)/5,0)*5,5),600),Baseline!$A$3:$A$122,0),MATCH($E265,Baseline!$B$2:$E$2,0))))))</f>
        <v/>
      </c>
      <c r="P265" s="17" t="str">
        <f aca="false">IF($B265="","",INDEX(Course!$N$2:$N$19,MATCH($B265,Course!$A$2:$A$19,0)))</f>
        <v/>
      </c>
      <c r="Q265" s="17" t="str">
        <f aca="false">IF($B265="","",INDEX(Course!$P$2:$P$19,MATCH($B265,Course!$A$2:$A$19,0)))</f>
        <v/>
      </c>
      <c r="R265" s="17" t="str">
        <f aca="false">IF($C265="","",IF(OR($C265="G",$C265="H"),0,IF($C265="T",1,MIN(1,MAX(0,($N265-Inputs!$B$8)/MAX($P265-Inputs!$B$8,0.01))))))</f>
        <v/>
      </c>
      <c r="S265" s="17" t="str">
        <f aca="false">IF($C265="","",IF(OR($E265="G",$E265="H"),0,IF($E265="T",1,MIN(1,MAX(0,($O265-Inputs!$B$8)/MAX($P265-Inputs!$B$8,0.01))))))</f>
        <v/>
      </c>
    </row>
    <row r="266" customFormat="false" ht="15" hidden="false" customHeight="false" outlineLevel="0" collapsed="false">
      <c r="I266" s="7" t="str">
        <f aca="false">IF($C266="","",IF($C266="G","PUTT",IF(AND($C266="T",$M266&gt;3),"OTT",IF($D266&lt;=30,"ARG","APP"))))</f>
        <v/>
      </c>
      <c r="J266" s="17" t="str">
        <f aca="false">IF($C266="","",$N266+$Q266*$R266)</f>
        <v/>
      </c>
      <c r="K266" s="17" t="str">
        <f aca="false">IF($C266="","",$O266+$Q266*$S266)</f>
        <v/>
      </c>
      <c r="L266" s="17" t="str">
        <f aca="false">IF($C266="","",$J266-$K266-1-N($G266))</f>
        <v/>
      </c>
      <c r="M266" s="7" t="str">
        <f aca="false">IF($B266="","",INDEX(Course!$B$2:$B$19,MATCH($B266,Course!$A$2:$A$19,0)))</f>
        <v/>
      </c>
      <c r="N266" s="17" t="str">
        <f aca="false">IF($C266="","",IF($C266="H",0,IF($C266="G",INDEX(Baseline!$I$3:$I$102,MIN(MAX(ROUND($D266,0),1),100)),IF($C266="T",IF($M266=3,INDEX(Baseline!$B$3:$B$122,MATCH(MIN(MAX(ROUND(($D266)/5,0)*5,5),600),Baseline!$A$3:$A$122,0))-Inputs!$B$9,INDEX(Course!$N$2:$N$19,MATCH($B266,Course!$A$2:$A$19,0))),INDEX(Baseline!$B$3:$E$122,MATCH(MIN(MAX(ROUND(($D266)/5,0)*5,5),600),Baseline!$A$3:$A$122,0),MATCH($C266,Baseline!$B$2:$E$2,0))))))</f>
        <v/>
      </c>
      <c r="O266" s="17" t="str">
        <f aca="false">IF($C266="","",IF($E266="H",0,IF($E266="G",INDEX(Baseline!$I$3:$I$102,MIN(MAX(ROUND($F266,0),1),100)),IF($E266="T",IF($M266=3,INDEX(Baseline!$B$3:$B$122,MATCH(MIN(MAX(ROUND(($F266)/5,0)*5,5),600),Baseline!$A$3:$A$122,0))-Inputs!$B$9,INDEX(Course!$N$2:$N$19,MATCH($B266,Course!$A$2:$A$19,0))),INDEX(Baseline!$B$3:$E$122,MATCH(MIN(MAX(ROUND(($F266)/5,0)*5,5),600),Baseline!$A$3:$A$122,0),MATCH($E266,Baseline!$B$2:$E$2,0))))))</f>
        <v/>
      </c>
      <c r="P266" s="17" t="str">
        <f aca="false">IF($B266="","",INDEX(Course!$N$2:$N$19,MATCH($B266,Course!$A$2:$A$19,0)))</f>
        <v/>
      </c>
      <c r="Q266" s="17" t="str">
        <f aca="false">IF($B266="","",INDEX(Course!$P$2:$P$19,MATCH($B266,Course!$A$2:$A$19,0)))</f>
        <v/>
      </c>
      <c r="R266" s="17" t="str">
        <f aca="false">IF($C266="","",IF(OR($C266="G",$C266="H"),0,IF($C266="T",1,MIN(1,MAX(0,($N266-Inputs!$B$8)/MAX($P266-Inputs!$B$8,0.01))))))</f>
        <v/>
      </c>
      <c r="S266" s="17" t="str">
        <f aca="false">IF($C266="","",IF(OR($E266="G",$E266="H"),0,IF($E266="T",1,MIN(1,MAX(0,($O266-Inputs!$B$8)/MAX($P266-Inputs!$B$8,0.01))))))</f>
        <v/>
      </c>
    </row>
    <row r="267" customFormat="false" ht="15" hidden="false" customHeight="false" outlineLevel="0" collapsed="false">
      <c r="I267" s="7" t="str">
        <f aca="false">IF($C267="","",IF($C267="G","PUTT",IF(AND($C267="T",$M267&gt;3),"OTT",IF($D267&lt;=30,"ARG","APP"))))</f>
        <v/>
      </c>
      <c r="J267" s="17" t="str">
        <f aca="false">IF($C267="","",$N267+$Q267*$R267)</f>
        <v/>
      </c>
      <c r="K267" s="17" t="str">
        <f aca="false">IF($C267="","",$O267+$Q267*$S267)</f>
        <v/>
      </c>
      <c r="L267" s="17" t="str">
        <f aca="false">IF($C267="","",$J267-$K267-1-N($G267))</f>
        <v/>
      </c>
      <c r="M267" s="7" t="str">
        <f aca="false">IF($B267="","",INDEX(Course!$B$2:$B$19,MATCH($B267,Course!$A$2:$A$19,0)))</f>
        <v/>
      </c>
      <c r="N267" s="17" t="str">
        <f aca="false">IF($C267="","",IF($C267="H",0,IF($C267="G",INDEX(Baseline!$I$3:$I$102,MIN(MAX(ROUND($D267,0),1),100)),IF($C267="T",IF($M267=3,INDEX(Baseline!$B$3:$B$122,MATCH(MIN(MAX(ROUND(($D267)/5,0)*5,5),600),Baseline!$A$3:$A$122,0))-Inputs!$B$9,INDEX(Course!$N$2:$N$19,MATCH($B267,Course!$A$2:$A$19,0))),INDEX(Baseline!$B$3:$E$122,MATCH(MIN(MAX(ROUND(($D267)/5,0)*5,5),600),Baseline!$A$3:$A$122,0),MATCH($C267,Baseline!$B$2:$E$2,0))))))</f>
        <v/>
      </c>
      <c r="O267" s="17" t="str">
        <f aca="false">IF($C267="","",IF($E267="H",0,IF($E267="G",INDEX(Baseline!$I$3:$I$102,MIN(MAX(ROUND($F267,0),1),100)),IF($E267="T",IF($M267=3,INDEX(Baseline!$B$3:$B$122,MATCH(MIN(MAX(ROUND(($F267)/5,0)*5,5),600),Baseline!$A$3:$A$122,0))-Inputs!$B$9,INDEX(Course!$N$2:$N$19,MATCH($B267,Course!$A$2:$A$19,0))),INDEX(Baseline!$B$3:$E$122,MATCH(MIN(MAX(ROUND(($F267)/5,0)*5,5),600),Baseline!$A$3:$A$122,0),MATCH($E267,Baseline!$B$2:$E$2,0))))))</f>
        <v/>
      </c>
      <c r="P267" s="17" t="str">
        <f aca="false">IF($B267="","",INDEX(Course!$N$2:$N$19,MATCH($B267,Course!$A$2:$A$19,0)))</f>
        <v/>
      </c>
      <c r="Q267" s="17" t="str">
        <f aca="false">IF($B267="","",INDEX(Course!$P$2:$P$19,MATCH($B267,Course!$A$2:$A$19,0)))</f>
        <v/>
      </c>
      <c r="R267" s="17" t="str">
        <f aca="false">IF($C267="","",IF(OR($C267="G",$C267="H"),0,IF($C267="T",1,MIN(1,MAX(0,($N267-Inputs!$B$8)/MAX($P267-Inputs!$B$8,0.01))))))</f>
        <v/>
      </c>
      <c r="S267" s="17" t="str">
        <f aca="false">IF($C267="","",IF(OR($E267="G",$E267="H"),0,IF($E267="T",1,MIN(1,MAX(0,($O267-Inputs!$B$8)/MAX($P267-Inputs!$B$8,0.01))))))</f>
        <v/>
      </c>
    </row>
    <row r="268" customFormat="false" ht="15" hidden="false" customHeight="false" outlineLevel="0" collapsed="false">
      <c r="I268" s="7" t="str">
        <f aca="false">IF($C268="","",IF($C268="G","PUTT",IF(AND($C268="T",$M268&gt;3),"OTT",IF($D268&lt;=30,"ARG","APP"))))</f>
        <v/>
      </c>
      <c r="J268" s="17" t="str">
        <f aca="false">IF($C268="","",$N268+$Q268*$R268)</f>
        <v/>
      </c>
      <c r="K268" s="17" t="str">
        <f aca="false">IF($C268="","",$O268+$Q268*$S268)</f>
        <v/>
      </c>
      <c r="L268" s="17" t="str">
        <f aca="false">IF($C268="","",$J268-$K268-1-N($G268))</f>
        <v/>
      </c>
      <c r="M268" s="7" t="str">
        <f aca="false">IF($B268="","",INDEX(Course!$B$2:$B$19,MATCH($B268,Course!$A$2:$A$19,0)))</f>
        <v/>
      </c>
      <c r="N268" s="17" t="str">
        <f aca="false">IF($C268="","",IF($C268="H",0,IF($C268="G",INDEX(Baseline!$I$3:$I$102,MIN(MAX(ROUND($D268,0),1),100)),IF($C268="T",IF($M268=3,INDEX(Baseline!$B$3:$B$122,MATCH(MIN(MAX(ROUND(($D268)/5,0)*5,5),600),Baseline!$A$3:$A$122,0))-Inputs!$B$9,INDEX(Course!$N$2:$N$19,MATCH($B268,Course!$A$2:$A$19,0))),INDEX(Baseline!$B$3:$E$122,MATCH(MIN(MAX(ROUND(($D268)/5,0)*5,5),600),Baseline!$A$3:$A$122,0),MATCH($C268,Baseline!$B$2:$E$2,0))))))</f>
        <v/>
      </c>
      <c r="O268" s="17" t="str">
        <f aca="false">IF($C268="","",IF($E268="H",0,IF($E268="G",INDEX(Baseline!$I$3:$I$102,MIN(MAX(ROUND($F268,0),1),100)),IF($E268="T",IF($M268=3,INDEX(Baseline!$B$3:$B$122,MATCH(MIN(MAX(ROUND(($F268)/5,0)*5,5),600),Baseline!$A$3:$A$122,0))-Inputs!$B$9,INDEX(Course!$N$2:$N$19,MATCH($B268,Course!$A$2:$A$19,0))),INDEX(Baseline!$B$3:$E$122,MATCH(MIN(MAX(ROUND(($F268)/5,0)*5,5),600),Baseline!$A$3:$A$122,0),MATCH($E268,Baseline!$B$2:$E$2,0))))))</f>
        <v/>
      </c>
      <c r="P268" s="17" t="str">
        <f aca="false">IF($B268="","",INDEX(Course!$N$2:$N$19,MATCH($B268,Course!$A$2:$A$19,0)))</f>
        <v/>
      </c>
      <c r="Q268" s="17" t="str">
        <f aca="false">IF($B268="","",INDEX(Course!$P$2:$P$19,MATCH($B268,Course!$A$2:$A$19,0)))</f>
        <v/>
      </c>
      <c r="R268" s="17" t="str">
        <f aca="false">IF($C268="","",IF(OR($C268="G",$C268="H"),0,IF($C268="T",1,MIN(1,MAX(0,($N268-Inputs!$B$8)/MAX($P268-Inputs!$B$8,0.01))))))</f>
        <v/>
      </c>
      <c r="S268" s="17" t="str">
        <f aca="false">IF($C268="","",IF(OR($E268="G",$E268="H"),0,IF($E268="T",1,MIN(1,MAX(0,($O268-Inputs!$B$8)/MAX($P268-Inputs!$B$8,0.01))))))</f>
        <v/>
      </c>
    </row>
    <row r="269" customFormat="false" ht="15" hidden="false" customHeight="false" outlineLevel="0" collapsed="false">
      <c r="I269" s="7" t="str">
        <f aca="false">IF($C269="","",IF($C269="G","PUTT",IF(AND($C269="T",$M269&gt;3),"OTT",IF($D269&lt;=30,"ARG","APP"))))</f>
        <v/>
      </c>
      <c r="J269" s="17" t="str">
        <f aca="false">IF($C269="","",$N269+$Q269*$R269)</f>
        <v/>
      </c>
      <c r="K269" s="17" t="str">
        <f aca="false">IF($C269="","",$O269+$Q269*$S269)</f>
        <v/>
      </c>
      <c r="L269" s="17" t="str">
        <f aca="false">IF($C269="","",$J269-$K269-1-N($G269))</f>
        <v/>
      </c>
      <c r="M269" s="7" t="str">
        <f aca="false">IF($B269="","",INDEX(Course!$B$2:$B$19,MATCH($B269,Course!$A$2:$A$19,0)))</f>
        <v/>
      </c>
      <c r="N269" s="17" t="str">
        <f aca="false">IF($C269="","",IF($C269="H",0,IF($C269="G",INDEX(Baseline!$I$3:$I$102,MIN(MAX(ROUND($D269,0),1),100)),IF($C269="T",IF($M269=3,INDEX(Baseline!$B$3:$B$122,MATCH(MIN(MAX(ROUND(($D269)/5,0)*5,5),600),Baseline!$A$3:$A$122,0))-Inputs!$B$9,INDEX(Course!$N$2:$N$19,MATCH($B269,Course!$A$2:$A$19,0))),INDEX(Baseline!$B$3:$E$122,MATCH(MIN(MAX(ROUND(($D269)/5,0)*5,5),600),Baseline!$A$3:$A$122,0),MATCH($C269,Baseline!$B$2:$E$2,0))))))</f>
        <v/>
      </c>
      <c r="O269" s="17" t="str">
        <f aca="false">IF($C269="","",IF($E269="H",0,IF($E269="G",INDEX(Baseline!$I$3:$I$102,MIN(MAX(ROUND($F269,0),1),100)),IF($E269="T",IF($M269=3,INDEX(Baseline!$B$3:$B$122,MATCH(MIN(MAX(ROUND(($F269)/5,0)*5,5),600),Baseline!$A$3:$A$122,0))-Inputs!$B$9,INDEX(Course!$N$2:$N$19,MATCH($B269,Course!$A$2:$A$19,0))),INDEX(Baseline!$B$3:$E$122,MATCH(MIN(MAX(ROUND(($F269)/5,0)*5,5),600),Baseline!$A$3:$A$122,0),MATCH($E269,Baseline!$B$2:$E$2,0))))))</f>
        <v/>
      </c>
      <c r="P269" s="17" t="str">
        <f aca="false">IF($B269="","",INDEX(Course!$N$2:$N$19,MATCH($B269,Course!$A$2:$A$19,0)))</f>
        <v/>
      </c>
      <c r="Q269" s="17" t="str">
        <f aca="false">IF($B269="","",INDEX(Course!$P$2:$P$19,MATCH($B269,Course!$A$2:$A$19,0)))</f>
        <v/>
      </c>
      <c r="R269" s="17" t="str">
        <f aca="false">IF($C269="","",IF(OR($C269="G",$C269="H"),0,IF($C269="T",1,MIN(1,MAX(0,($N269-Inputs!$B$8)/MAX($P269-Inputs!$B$8,0.01))))))</f>
        <v/>
      </c>
      <c r="S269" s="17" t="str">
        <f aca="false">IF($C269="","",IF(OR($E269="G",$E269="H"),0,IF($E269="T",1,MIN(1,MAX(0,($O269-Inputs!$B$8)/MAX($P269-Inputs!$B$8,0.01))))))</f>
        <v/>
      </c>
    </row>
    <row r="270" customFormat="false" ht="15" hidden="false" customHeight="false" outlineLevel="0" collapsed="false">
      <c r="I270" s="7" t="str">
        <f aca="false">IF($C270="","",IF($C270="G","PUTT",IF(AND($C270="T",$M270&gt;3),"OTT",IF($D270&lt;=30,"ARG","APP"))))</f>
        <v/>
      </c>
      <c r="J270" s="17" t="str">
        <f aca="false">IF($C270="","",$N270+$Q270*$R270)</f>
        <v/>
      </c>
      <c r="K270" s="17" t="str">
        <f aca="false">IF($C270="","",$O270+$Q270*$S270)</f>
        <v/>
      </c>
      <c r="L270" s="17" t="str">
        <f aca="false">IF($C270="","",$J270-$K270-1-N($G270))</f>
        <v/>
      </c>
      <c r="M270" s="7" t="str">
        <f aca="false">IF($B270="","",INDEX(Course!$B$2:$B$19,MATCH($B270,Course!$A$2:$A$19,0)))</f>
        <v/>
      </c>
      <c r="N270" s="17" t="str">
        <f aca="false">IF($C270="","",IF($C270="H",0,IF($C270="G",INDEX(Baseline!$I$3:$I$102,MIN(MAX(ROUND($D270,0),1),100)),IF($C270="T",IF($M270=3,INDEX(Baseline!$B$3:$B$122,MATCH(MIN(MAX(ROUND(($D270)/5,0)*5,5),600),Baseline!$A$3:$A$122,0))-Inputs!$B$9,INDEX(Course!$N$2:$N$19,MATCH($B270,Course!$A$2:$A$19,0))),INDEX(Baseline!$B$3:$E$122,MATCH(MIN(MAX(ROUND(($D270)/5,0)*5,5),600),Baseline!$A$3:$A$122,0),MATCH($C270,Baseline!$B$2:$E$2,0))))))</f>
        <v/>
      </c>
      <c r="O270" s="17" t="str">
        <f aca="false">IF($C270="","",IF($E270="H",0,IF($E270="G",INDEX(Baseline!$I$3:$I$102,MIN(MAX(ROUND($F270,0),1),100)),IF($E270="T",IF($M270=3,INDEX(Baseline!$B$3:$B$122,MATCH(MIN(MAX(ROUND(($F270)/5,0)*5,5),600),Baseline!$A$3:$A$122,0))-Inputs!$B$9,INDEX(Course!$N$2:$N$19,MATCH($B270,Course!$A$2:$A$19,0))),INDEX(Baseline!$B$3:$E$122,MATCH(MIN(MAX(ROUND(($F270)/5,0)*5,5),600),Baseline!$A$3:$A$122,0),MATCH($E270,Baseline!$B$2:$E$2,0))))))</f>
        <v/>
      </c>
      <c r="P270" s="17" t="str">
        <f aca="false">IF($B270="","",INDEX(Course!$N$2:$N$19,MATCH($B270,Course!$A$2:$A$19,0)))</f>
        <v/>
      </c>
      <c r="Q270" s="17" t="str">
        <f aca="false">IF($B270="","",INDEX(Course!$P$2:$P$19,MATCH($B270,Course!$A$2:$A$19,0)))</f>
        <v/>
      </c>
      <c r="R270" s="17" t="str">
        <f aca="false">IF($C270="","",IF(OR($C270="G",$C270="H"),0,IF($C270="T",1,MIN(1,MAX(0,($N270-Inputs!$B$8)/MAX($P270-Inputs!$B$8,0.01))))))</f>
        <v/>
      </c>
      <c r="S270" s="17" t="str">
        <f aca="false">IF($C270="","",IF(OR($E270="G",$E270="H"),0,IF($E270="T",1,MIN(1,MAX(0,($O270-Inputs!$B$8)/MAX($P270-Inputs!$B$8,0.01))))))</f>
        <v/>
      </c>
    </row>
    <row r="271" customFormat="false" ht="15" hidden="false" customHeight="false" outlineLevel="0" collapsed="false">
      <c r="I271" s="7" t="str">
        <f aca="false">IF($C271="","",IF($C271="G","PUTT",IF(AND($C271="T",$M271&gt;3),"OTT",IF($D271&lt;=30,"ARG","APP"))))</f>
        <v/>
      </c>
      <c r="J271" s="17" t="str">
        <f aca="false">IF($C271="","",$N271+$Q271*$R271)</f>
        <v/>
      </c>
      <c r="K271" s="17" t="str">
        <f aca="false">IF($C271="","",$O271+$Q271*$S271)</f>
        <v/>
      </c>
      <c r="L271" s="17" t="str">
        <f aca="false">IF($C271="","",$J271-$K271-1-N($G271))</f>
        <v/>
      </c>
      <c r="M271" s="7" t="str">
        <f aca="false">IF($B271="","",INDEX(Course!$B$2:$B$19,MATCH($B271,Course!$A$2:$A$19,0)))</f>
        <v/>
      </c>
      <c r="N271" s="17" t="str">
        <f aca="false">IF($C271="","",IF($C271="H",0,IF($C271="G",INDEX(Baseline!$I$3:$I$102,MIN(MAX(ROUND($D271,0),1),100)),IF($C271="T",IF($M271=3,INDEX(Baseline!$B$3:$B$122,MATCH(MIN(MAX(ROUND(($D271)/5,0)*5,5),600),Baseline!$A$3:$A$122,0))-Inputs!$B$9,INDEX(Course!$N$2:$N$19,MATCH($B271,Course!$A$2:$A$19,0))),INDEX(Baseline!$B$3:$E$122,MATCH(MIN(MAX(ROUND(($D271)/5,0)*5,5),600),Baseline!$A$3:$A$122,0),MATCH($C271,Baseline!$B$2:$E$2,0))))))</f>
        <v/>
      </c>
      <c r="O271" s="17" t="str">
        <f aca="false">IF($C271="","",IF($E271="H",0,IF($E271="G",INDEX(Baseline!$I$3:$I$102,MIN(MAX(ROUND($F271,0),1),100)),IF($E271="T",IF($M271=3,INDEX(Baseline!$B$3:$B$122,MATCH(MIN(MAX(ROUND(($F271)/5,0)*5,5),600),Baseline!$A$3:$A$122,0))-Inputs!$B$9,INDEX(Course!$N$2:$N$19,MATCH($B271,Course!$A$2:$A$19,0))),INDEX(Baseline!$B$3:$E$122,MATCH(MIN(MAX(ROUND(($F271)/5,0)*5,5),600),Baseline!$A$3:$A$122,0),MATCH($E271,Baseline!$B$2:$E$2,0))))))</f>
        <v/>
      </c>
      <c r="P271" s="17" t="str">
        <f aca="false">IF($B271="","",INDEX(Course!$N$2:$N$19,MATCH($B271,Course!$A$2:$A$19,0)))</f>
        <v/>
      </c>
      <c r="Q271" s="17" t="str">
        <f aca="false">IF($B271="","",INDEX(Course!$P$2:$P$19,MATCH($B271,Course!$A$2:$A$19,0)))</f>
        <v/>
      </c>
      <c r="R271" s="17" t="str">
        <f aca="false">IF($C271="","",IF(OR($C271="G",$C271="H"),0,IF($C271="T",1,MIN(1,MAX(0,($N271-Inputs!$B$8)/MAX($P271-Inputs!$B$8,0.01))))))</f>
        <v/>
      </c>
      <c r="S271" s="17" t="str">
        <f aca="false">IF($C271="","",IF(OR($E271="G",$E271="H"),0,IF($E271="T",1,MIN(1,MAX(0,($O271-Inputs!$B$8)/MAX($P271-Inputs!$B$8,0.01))))))</f>
        <v/>
      </c>
    </row>
    <row r="272" customFormat="false" ht="15" hidden="false" customHeight="false" outlineLevel="0" collapsed="false">
      <c r="I272" s="7" t="str">
        <f aca="false">IF($C272="","",IF($C272="G","PUTT",IF(AND($C272="T",$M272&gt;3),"OTT",IF($D272&lt;=30,"ARG","APP"))))</f>
        <v/>
      </c>
      <c r="J272" s="17" t="str">
        <f aca="false">IF($C272="","",$N272+$Q272*$R272)</f>
        <v/>
      </c>
      <c r="K272" s="17" t="str">
        <f aca="false">IF($C272="","",$O272+$Q272*$S272)</f>
        <v/>
      </c>
      <c r="L272" s="17" t="str">
        <f aca="false">IF($C272="","",$J272-$K272-1-N($G272))</f>
        <v/>
      </c>
      <c r="M272" s="7" t="str">
        <f aca="false">IF($B272="","",INDEX(Course!$B$2:$B$19,MATCH($B272,Course!$A$2:$A$19,0)))</f>
        <v/>
      </c>
      <c r="N272" s="17" t="str">
        <f aca="false">IF($C272="","",IF($C272="H",0,IF($C272="G",INDEX(Baseline!$I$3:$I$102,MIN(MAX(ROUND($D272,0),1),100)),IF($C272="T",IF($M272=3,INDEX(Baseline!$B$3:$B$122,MATCH(MIN(MAX(ROUND(($D272)/5,0)*5,5),600),Baseline!$A$3:$A$122,0))-Inputs!$B$9,INDEX(Course!$N$2:$N$19,MATCH($B272,Course!$A$2:$A$19,0))),INDEX(Baseline!$B$3:$E$122,MATCH(MIN(MAX(ROUND(($D272)/5,0)*5,5),600),Baseline!$A$3:$A$122,0),MATCH($C272,Baseline!$B$2:$E$2,0))))))</f>
        <v/>
      </c>
      <c r="O272" s="17" t="str">
        <f aca="false">IF($C272="","",IF($E272="H",0,IF($E272="G",INDEX(Baseline!$I$3:$I$102,MIN(MAX(ROUND($F272,0),1),100)),IF($E272="T",IF($M272=3,INDEX(Baseline!$B$3:$B$122,MATCH(MIN(MAX(ROUND(($F272)/5,0)*5,5),600),Baseline!$A$3:$A$122,0))-Inputs!$B$9,INDEX(Course!$N$2:$N$19,MATCH($B272,Course!$A$2:$A$19,0))),INDEX(Baseline!$B$3:$E$122,MATCH(MIN(MAX(ROUND(($F272)/5,0)*5,5),600),Baseline!$A$3:$A$122,0),MATCH($E272,Baseline!$B$2:$E$2,0))))))</f>
        <v/>
      </c>
      <c r="P272" s="17" t="str">
        <f aca="false">IF($B272="","",INDEX(Course!$N$2:$N$19,MATCH($B272,Course!$A$2:$A$19,0)))</f>
        <v/>
      </c>
      <c r="Q272" s="17" t="str">
        <f aca="false">IF($B272="","",INDEX(Course!$P$2:$P$19,MATCH($B272,Course!$A$2:$A$19,0)))</f>
        <v/>
      </c>
      <c r="R272" s="17" t="str">
        <f aca="false">IF($C272="","",IF(OR($C272="G",$C272="H"),0,IF($C272="T",1,MIN(1,MAX(0,($N272-Inputs!$B$8)/MAX($P272-Inputs!$B$8,0.01))))))</f>
        <v/>
      </c>
      <c r="S272" s="17" t="str">
        <f aca="false">IF($C272="","",IF(OR($E272="G",$E272="H"),0,IF($E272="T",1,MIN(1,MAX(0,($O272-Inputs!$B$8)/MAX($P272-Inputs!$B$8,0.01))))))</f>
        <v/>
      </c>
    </row>
    <row r="273" customFormat="false" ht="15" hidden="false" customHeight="false" outlineLevel="0" collapsed="false">
      <c r="I273" s="7" t="str">
        <f aca="false">IF($C273="","",IF($C273="G","PUTT",IF(AND($C273="T",$M273&gt;3),"OTT",IF($D273&lt;=30,"ARG","APP"))))</f>
        <v/>
      </c>
      <c r="J273" s="17" t="str">
        <f aca="false">IF($C273="","",$N273+$Q273*$R273)</f>
        <v/>
      </c>
      <c r="K273" s="17" t="str">
        <f aca="false">IF($C273="","",$O273+$Q273*$S273)</f>
        <v/>
      </c>
      <c r="L273" s="17" t="str">
        <f aca="false">IF($C273="","",$J273-$K273-1-N($G273))</f>
        <v/>
      </c>
      <c r="M273" s="7" t="str">
        <f aca="false">IF($B273="","",INDEX(Course!$B$2:$B$19,MATCH($B273,Course!$A$2:$A$19,0)))</f>
        <v/>
      </c>
      <c r="N273" s="17" t="str">
        <f aca="false">IF($C273="","",IF($C273="H",0,IF($C273="G",INDEX(Baseline!$I$3:$I$102,MIN(MAX(ROUND($D273,0),1),100)),IF($C273="T",IF($M273=3,INDEX(Baseline!$B$3:$B$122,MATCH(MIN(MAX(ROUND(($D273)/5,0)*5,5),600),Baseline!$A$3:$A$122,0))-Inputs!$B$9,INDEX(Course!$N$2:$N$19,MATCH($B273,Course!$A$2:$A$19,0))),INDEX(Baseline!$B$3:$E$122,MATCH(MIN(MAX(ROUND(($D273)/5,0)*5,5),600),Baseline!$A$3:$A$122,0),MATCH($C273,Baseline!$B$2:$E$2,0))))))</f>
        <v/>
      </c>
      <c r="O273" s="17" t="str">
        <f aca="false">IF($C273="","",IF($E273="H",0,IF($E273="G",INDEX(Baseline!$I$3:$I$102,MIN(MAX(ROUND($F273,0),1),100)),IF($E273="T",IF($M273=3,INDEX(Baseline!$B$3:$B$122,MATCH(MIN(MAX(ROUND(($F273)/5,0)*5,5),600),Baseline!$A$3:$A$122,0))-Inputs!$B$9,INDEX(Course!$N$2:$N$19,MATCH($B273,Course!$A$2:$A$19,0))),INDEX(Baseline!$B$3:$E$122,MATCH(MIN(MAX(ROUND(($F273)/5,0)*5,5),600),Baseline!$A$3:$A$122,0),MATCH($E273,Baseline!$B$2:$E$2,0))))))</f>
        <v/>
      </c>
      <c r="P273" s="17" t="str">
        <f aca="false">IF($B273="","",INDEX(Course!$N$2:$N$19,MATCH($B273,Course!$A$2:$A$19,0)))</f>
        <v/>
      </c>
      <c r="Q273" s="17" t="str">
        <f aca="false">IF($B273="","",INDEX(Course!$P$2:$P$19,MATCH($B273,Course!$A$2:$A$19,0)))</f>
        <v/>
      </c>
      <c r="R273" s="17" t="str">
        <f aca="false">IF($C273="","",IF(OR($C273="G",$C273="H"),0,IF($C273="T",1,MIN(1,MAX(0,($N273-Inputs!$B$8)/MAX($P273-Inputs!$B$8,0.01))))))</f>
        <v/>
      </c>
      <c r="S273" s="17" t="str">
        <f aca="false">IF($C273="","",IF(OR($E273="G",$E273="H"),0,IF($E273="T",1,MIN(1,MAX(0,($O273-Inputs!$B$8)/MAX($P273-Inputs!$B$8,0.01))))))</f>
        <v/>
      </c>
    </row>
    <row r="274" customFormat="false" ht="15" hidden="false" customHeight="false" outlineLevel="0" collapsed="false">
      <c r="I274" s="7" t="str">
        <f aca="false">IF($C274="","",IF($C274="G","PUTT",IF(AND($C274="T",$M274&gt;3),"OTT",IF($D274&lt;=30,"ARG","APP"))))</f>
        <v/>
      </c>
      <c r="J274" s="17" t="str">
        <f aca="false">IF($C274="","",$N274+$Q274*$R274)</f>
        <v/>
      </c>
      <c r="K274" s="17" t="str">
        <f aca="false">IF($C274="","",$O274+$Q274*$S274)</f>
        <v/>
      </c>
      <c r="L274" s="17" t="str">
        <f aca="false">IF($C274="","",$J274-$K274-1-N($G274))</f>
        <v/>
      </c>
      <c r="M274" s="7" t="str">
        <f aca="false">IF($B274="","",INDEX(Course!$B$2:$B$19,MATCH($B274,Course!$A$2:$A$19,0)))</f>
        <v/>
      </c>
      <c r="N274" s="17" t="str">
        <f aca="false">IF($C274="","",IF($C274="H",0,IF($C274="G",INDEX(Baseline!$I$3:$I$102,MIN(MAX(ROUND($D274,0),1),100)),IF($C274="T",IF($M274=3,INDEX(Baseline!$B$3:$B$122,MATCH(MIN(MAX(ROUND(($D274)/5,0)*5,5),600),Baseline!$A$3:$A$122,0))-Inputs!$B$9,INDEX(Course!$N$2:$N$19,MATCH($B274,Course!$A$2:$A$19,0))),INDEX(Baseline!$B$3:$E$122,MATCH(MIN(MAX(ROUND(($D274)/5,0)*5,5),600),Baseline!$A$3:$A$122,0),MATCH($C274,Baseline!$B$2:$E$2,0))))))</f>
        <v/>
      </c>
      <c r="O274" s="17" t="str">
        <f aca="false">IF($C274="","",IF($E274="H",0,IF($E274="G",INDEX(Baseline!$I$3:$I$102,MIN(MAX(ROUND($F274,0),1),100)),IF($E274="T",IF($M274=3,INDEX(Baseline!$B$3:$B$122,MATCH(MIN(MAX(ROUND(($F274)/5,0)*5,5),600),Baseline!$A$3:$A$122,0))-Inputs!$B$9,INDEX(Course!$N$2:$N$19,MATCH($B274,Course!$A$2:$A$19,0))),INDEX(Baseline!$B$3:$E$122,MATCH(MIN(MAX(ROUND(($F274)/5,0)*5,5),600),Baseline!$A$3:$A$122,0),MATCH($E274,Baseline!$B$2:$E$2,0))))))</f>
        <v/>
      </c>
      <c r="P274" s="17" t="str">
        <f aca="false">IF($B274="","",INDEX(Course!$N$2:$N$19,MATCH($B274,Course!$A$2:$A$19,0)))</f>
        <v/>
      </c>
      <c r="Q274" s="17" t="str">
        <f aca="false">IF($B274="","",INDEX(Course!$P$2:$P$19,MATCH($B274,Course!$A$2:$A$19,0)))</f>
        <v/>
      </c>
      <c r="R274" s="17" t="str">
        <f aca="false">IF($C274="","",IF(OR($C274="G",$C274="H"),0,IF($C274="T",1,MIN(1,MAX(0,($N274-Inputs!$B$8)/MAX($P274-Inputs!$B$8,0.01))))))</f>
        <v/>
      </c>
      <c r="S274" s="17" t="str">
        <f aca="false">IF($C274="","",IF(OR($E274="G",$E274="H"),0,IF($E274="T",1,MIN(1,MAX(0,($O274-Inputs!$B$8)/MAX($P274-Inputs!$B$8,0.01))))))</f>
        <v/>
      </c>
    </row>
    <row r="275" customFormat="false" ht="15" hidden="false" customHeight="false" outlineLevel="0" collapsed="false">
      <c r="I275" s="7" t="str">
        <f aca="false">IF($C275="","",IF($C275="G","PUTT",IF(AND($C275="T",$M275&gt;3),"OTT",IF($D275&lt;=30,"ARG","APP"))))</f>
        <v/>
      </c>
      <c r="J275" s="17" t="str">
        <f aca="false">IF($C275="","",$N275+$Q275*$R275)</f>
        <v/>
      </c>
      <c r="K275" s="17" t="str">
        <f aca="false">IF($C275="","",$O275+$Q275*$S275)</f>
        <v/>
      </c>
      <c r="L275" s="17" t="str">
        <f aca="false">IF($C275="","",$J275-$K275-1-N($G275))</f>
        <v/>
      </c>
      <c r="M275" s="7" t="str">
        <f aca="false">IF($B275="","",INDEX(Course!$B$2:$B$19,MATCH($B275,Course!$A$2:$A$19,0)))</f>
        <v/>
      </c>
      <c r="N275" s="17" t="str">
        <f aca="false">IF($C275="","",IF($C275="H",0,IF($C275="G",INDEX(Baseline!$I$3:$I$102,MIN(MAX(ROUND($D275,0),1),100)),IF($C275="T",IF($M275=3,INDEX(Baseline!$B$3:$B$122,MATCH(MIN(MAX(ROUND(($D275)/5,0)*5,5),600),Baseline!$A$3:$A$122,0))-Inputs!$B$9,INDEX(Course!$N$2:$N$19,MATCH($B275,Course!$A$2:$A$19,0))),INDEX(Baseline!$B$3:$E$122,MATCH(MIN(MAX(ROUND(($D275)/5,0)*5,5),600),Baseline!$A$3:$A$122,0),MATCH($C275,Baseline!$B$2:$E$2,0))))))</f>
        <v/>
      </c>
      <c r="O275" s="17" t="str">
        <f aca="false">IF($C275="","",IF($E275="H",0,IF($E275="G",INDEX(Baseline!$I$3:$I$102,MIN(MAX(ROUND($F275,0),1),100)),IF($E275="T",IF($M275=3,INDEX(Baseline!$B$3:$B$122,MATCH(MIN(MAX(ROUND(($F275)/5,0)*5,5),600),Baseline!$A$3:$A$122,0))-Inputs!$B$9,INDEX(Course!$N$2:$N$19,MATCH($B275,Course!$A$2:$A$19,0))),INDEX(Baseline!$B$3:$E$122,MATCH(MIN(MAX(ROUND(($F275)/5,0)*5,5),600),Baseline!$A$3:$A$122,0),MATCH($E275,Baseline!$B$2:$E$2,0))))))</f>
        <v/>
      </c>
      <c r="P275" s="17" t="str">
        <f aca="false">IF($B275="","",INDEX(Course!$N$2:$N$19,MATCH($B275,Course!$A$2:$A$19,0)))</f>
        <v/>
      </c>
      <c r="Q275" s="17" t="str">
        <f aca="false">IF($B275="","",INDEX(Course!$P$2:$P$19,MATCH($B275,Course!$A$2:$A$19,0)))</f>
        <v/>
      </c>
      <c r="R275" s="17" t="str">
        <f aca="false">IF($C275="","",IF(OR($C275="G",$C275="H"),0,IF($C275="T",1,MIN(1,MAX(0,($N275-Inputs!$B$8)/MAX($P275-Inputs!$B$8,0.01))))))</f>
        <v/>
      </c>
      <c r="S275" s="17" t="str">
        <f aca="false">IF($C275="","",IF(OR($E275="G",$E275="H"),0,IF($E275="T",1,MIN(1,MAX(0,($O275-Inputs!$B$8)/MAX($P275-Inputs!$B$8,0.01))))))</f>
        <v/>
      </c>
    </row>
    <row r="276" customFormat="false" ht="15" hidden="false" customHeight="false" outlineLevel="0" collapsed="false">
      <c r="I276" s="7" t="str">
        <f aca="false">IF($C276="","",IF($C276="G","PUTT",IF(AND($C276="T",$M276&gt;3),"OTT",IF($D276&lt;=30,"ARG","APP"))))</f>
        <v/>
      </c>
      <c r="J276" s="17" t="str">
        <f aca="false">IF($C276="","",$N276+$Q276*$R276)</f>
        <v/>
      </c>
      <c r="K276" s="17" t="str">
        <f aca="false">IF($C276="","",$O276+$Q276*$S276)</f>
        <v/>
      </c>
      <c r="L276" s="17" t="str">
        <f aca="false">IF($C276="","",$J276-$K276-1-N($G276))</f>
        <v/>
      </c>
      <c r="M276" s="7" t="str">
        <f aca="false">IF($B276="","",INDEX(Course!$B$2:$B$19,MATCH($B276,Course!$A$2:$A$19,0)))</f>
        <v/>
      </c>
      <c r="N276" s="17" t="str">
        <f aca="false">IF($C276="","",IF($C276="H",0,IF($C276="G",INDEX(Baseline!$I$3:$I$102,MIN(MAX(ROUND($D276,0),1),100)),IF($C276="T",IF($M276=3,INDEX(Baseline!$B$3:$B$122,MATCH(MIN(MAX(ROUND(($D276)/5,0)*5,5),600),Baseline!$A$3:$A$122,0))-Inputs!$B$9,INDEX(Course!$N$2:$N$19,MATCH($B276,Course!$A$2:$A$19,0))),INDEX(Baseline!$B$3:$E$122,MATCH(MIN(MAX(ROUND(($D276)/5,0)*5,5),600),Baseline!$A$3:$A$122,0),MATCH($C276,Baseline!$B$2:$E$2,0))))))</f>
        <v/>
      </c>
      <c r="O276" s="17" t="str">
        <f aca="false">IF($C276="","",IF($E276="H",0,IF($E276="G",INDEX(Baseline!$I$3:$I$102,MIN(MAX(ROUND($F276,0),1),100)),IF($E276="T",IF($M276=3,INDEX(Baseline!$B$3:$B$122,MATCH(MIN(MAX(ROUND(($F276)/5,0)*5,5),600),Baseline!$A$3:$A$122,0))-Inputs!$B$9,INDEX(Course!$N$2:$N$19,MATCH($B276,Course!$A$2:$A$19,0))),INDEX(Baseline!$B$3:$E$122,MATCH(MIN(MAX(ROUND(($F276)/5,0)*5,5),600),Baseline!$A$3:$A$122,0),MATCH($E276,Baseline!$B$2:$E$2,0))))))</f>
        <v/>
      </c>
      <c r="P276" s="17" t="str">
        <f aca="false">IF($B276="","",INDEX(Course!$N$2:$N$19,MATCH($B276,Course!$A$2:$A$19,0)))</f>
        <v/>
      </c>
      <c r="Q276" s="17" t="str">
        <f aca="false">IF($B276="","",INDEX(Course!$P$2:$P$19,MATCH($B276,Course!$A$2:$A$19,0)))</f>
        <v/>
      </c>
      <c r="R276" s="17" t="str">
        <f aca="false">IF($C276="","",IF(OR($C276="G",$C276="H"),0,IF($C276="T",1,MIN(1,MAX(0,($N276-Inputs!$B$8)/MAX($P276-Inputs!$B$8,0.01))))))</f>
        <v/>
      </c>
      <c r="S276" s="17" t="str">
        <f aca="false">IF($C276="","",IF(OR($E276="G",$E276="H"),0,IF($E276="T",1,MIN(1,MAX(0,($O276-Inputs!$B$8)/MAX($P276-Inputs!$B$8,0.01))))))</f>
        <v/>
      </c>
    </row>
    <row r="277" customFormat="false" ht="15" hidden="false" customHeight="false" outlineLevel="0" collapsed="false">
      <c r="I277" s="7" t="str">
        <f aca="false">IF($C277="","",IF($C277="G","PUTT",IF(AND($C277="T",$M277&gt;3),"OTT",IF($D277&lt;=30,"ARG","APP"))))</f>
        <v/>
      </c>
      <c r="J277" s="17" t="str">
        <f aca="false">IF($C277="","",$N277+$Q277*$R277)</f>
        <v/>
      </c>
      <c r="K277" s="17" t="str">
        <f aca="false">IF($C277="","",$O277+$Q277*$S277)</f>
        <v/>
      </c>
      <c r="L277" s="17" t="str">
        <f aca="false">IF($C277="","",$J277-$K277-1-N($G277))</f>
        <v/>
      </c>
      <c r="M277" s="7" t="str">
        <f aca="false">IF($B277="","",INDEX(Course!$B$2:$B$19,MATCH($B277,Course!$A$2:$A$19,0)))</f>
        <v/>
      </c>
      <c r="N277" s="17" t="str">
        <f aca="false">IF($C277="","",IF($C277="H",0,IF($C277="G",INDEX(Baseline!$I$3:$I$102,MIN(MAX(ROUND($D277,0),1),100)),IF($C277="T",IF($M277=3,INDEX(Baseline!$B$3:$B$122,MATCH(MIN(MAX(ROUND(($D277)/5,0)*5,5),600),Baseline!$A$3:$A$122,0))-Inputs!$B$9,INDEX(Course!$N$2:$N$19,MATCH($B277,Course!$A$2:$A$19,0))),INDEX(Baseline!$B$3:$E$122,MATCH(MIN(MAX(ROUND(($D277)/5,0)*5,5),600),Baseline!$A$3:$A$122,0),MATCH($C277,Baseline!$B$2:$E$2,0))))))</f>
        <v/>
      </c>
      <c r="O277" s="17" t="str">
        <f aca="false">IF($C277="","",IF($E277="H",0,IF($E277="G",INDEX(Baseline!$I$3:$I$102,MIN(MAX(ROUND($F277,0),1),100)),IF($E277="T",IF($M277=3,INDEX(Baseline!$B$3:$B$122,MATCH(MIN(MAX(ROUND(($F277)/5,0)*5,5),600),Baseline!$A$3:$A$122,0))-Inputs!$B$9,INDEX(Course!$N$2:$N$19,MATCH($B277,Course!$A$2:$A$19,0))),INDEX(Baseline!$B$3:$E$122,MATCH(MIN(MAX(ROUND(($F277)/5,0)*5,5),600),Baseline!$A$3:$A$122,0),MATCH($E277,Baseline!$B$2:$E$2,0))))))</f>
        <v/>
      </c>
      <c r="P277" s="17" t="str">
        <f aca="false">IF($B277="","",INDEX(Course!$N$2:$N$19,MATCH($B277,Course!$A$2:$A$19,0)))</f>
        <v/>
      </c>
      <c r="Q277" s="17" t="str">
        <f aca="false">IF($B277="","",INDEX(Course!$P$2:$P$19,MATCH($B277,Course!$A$2:$A$19,0)))</f>
        <v/>
      </c>
      <c r="R277" s="17" t="str">
        <f aca="false">IF($C277="","",IF(OR($C277="G",$C277="H"),0,IF($C277="T",1,MIN(1,MAX(0,($N277-Inputs!$B$8)/MAX($P277-Inputs!$B$8,0.01))))))</f>
        <v/>
      </c>
      <c r="S277" s="17" t="str">
        <f aca="false">IF($C277="","",IF(OR($E277="G",$E277="H"),0,IF($E277="T",1,MIN(1,MAX(0,($O277-Inputs!$B$8)/MAX($P277-Inputs!$B$8,0.01))))))</f>
        <v/>
      </c>
    </row>
    <row r="278" customFormat="false" ht="15" hidden="false" customHeight="false" outlineLevel="0" collapsed="false">
      <c r="I278" s="7" t="str">
        <f aca="false">IF($C278="","",IF($C278="G","PUTT",IF(AND($C278="T",$M278&gt;3),"OTT",IF($D278&lt;=30,"ARG","APP"))))</f>
        <v/>
      </c>
      <c r="J278" s="17" t="str">
        <f aca="false">IF($C278="","",$N278+$Q278*$R278)</f>
        <v/>
      </c>
      <c r="K278" s="17" t="str">
        <f aca="false">IF($C278="","",$O278+$Q278*$S278)</f>
        <v/>
      </c>
      <c r="L278" s="17" t="str">
        <f aca="false">IF($C278="","",$J278-$K278-1-N($G278))</f>
        <v/>
      </c>
      <c r="M278" s="7" t="str">
        <f aca="false">IF($B278="","",INDEX(Course!$B$2:$B$19,MATCH($B278,Course!$A$2:$A$19,0)))</f>
        <v/>
      </c>
      <c r="N278" s="17" t="str">
        <f aca="false">IF($C278="","",IF($C278="H",0,IF($C278="G",INDEX(Baseline!$I$3:$I$102,MIN(MAX(ROUND($D278,0),1),100)),IF($C278="T",IF($M278=3,INDEX(Baseline!$B$3:$B$122,MATCH(MIN(MAX(ROUND(($D278)/5,0)*5,5),600),Baseline!$A$3:$A$122,0))-Inputs!$B$9,INDEX(Course!$N$2:$N$19,MATCH($B278,Course!$A$2:$A$19,0))),INDEX(Baseline!$B$3:$E$122,MATCH(MIN(MAX(ROUND(($D278)/5,0)*5,5),600),Baseline!$A$3:$A$122,0),MATCH($C278,Baseline!$B$2:$E$2,0))))))</f>
        <v/>
      </c>
      <c r="O278" s="17" t="str">
        <f aca="false">IF($C278="","",IF($E278="H",0,IF($E278="G",INDEX(Baseline!$I$3:$I$102,MIN(MAX(ROUND($F278,0),1),100)),IF($E278="T",IF($M278=3,INDEX(Baseline!$B$3:$B$122,MATCH(MIN(MAX(ROUND(($F278)/5,0)*5,5),600),Baseline!$A$3:$A$122,0))-Inputs!$B$9,INDEX(Course!$N$2:$N$19,MATCH($B278,Course!$A$2:$A$19,0))),INDEX(Baseline!$B$3:$E$122,MATCH(MIN(MAX(ROUND(($F278)/5,0)*5,5),600),Baseline!$A$3:$A$122,0),MATCH($E278,Baseline!$B$2:$E$2,0))))))</f>
        <v/>
      </c>
      <c r="P278" s="17" t="str">
        <f aca="false">IF($B278="","",INDEX(Course!$N$2:$N$19,MATCH($B278,Course!$A$2:$A$19,0)))</f>
        <v/>
      </c>
      <c r="Q278" s="17" t="str">
        <f aca="false">IF($B278="","",INDEX(Course!$P$2:$P$19,MATCH($B278,Course!$A$2:$A$19,0)))</f>
        <v/>
      </c>
      <c r="R278" s="17" t="str">
        <f aca="false">IF($C278="","",IF(OR($C278="G",$C278="H"),0,IF($C278="T",1,MIN(1,MAX(0,($N278-Inputs!$B$8)/MAX($P278-Inputs!$B$8,0.01))))))</f>
        <v/>
      </c>
      <c r="S278" s="17" t="str">
        <f aca="false">IF($C278="","",IF(OR($E278="G",$E278="H"),0,IF($E278="T",1,MIN(1,MAX(0,($O278-Inputs!$B$8)/MAX($P278-Inputs!$B$8,0.01))))))</f>
        <v/>
      </c>
    </row>
    <row r="279" customFormat="false" ht="15" hidden="false" customHeight="false" outlineLevel="0" collapsed="false">
      <c r="I279" s="7" t="str">
        <f aca="false">IF($C279="","",IF($C279="G","PUTT",IF(AND($C279="T",$M279&gt;3),"OTT",IF($D279&lt;=30,"ARG","APP"))))</f>
        <v/>
      </c>
      <c r="J279" s="17" t="str">
        <f aca="false">IF($C279="","",$N279+$Q279*$R279)</f>
        <v/>
      </c>
      <c r="K279" s="17" t="str">
        <f aca="false">IF($C279="","",$O279+$Q279*$S279)</f>
        <v/>
      </c>
      <c r="L279" s="17" t="str">
        <f aca="false">IF($C279="","",$J279-$K279-1-N($G279))</f>
        <v/>
      </c>
      <c r="M279" s="7" t="str">
        <f aca="false">IF($B279="","",INDEX(Course!$B$2:$B$19,MATCH($B279,Course!$A$2:$A$19,0)))</f>
        <v/>
      </c>
      <c r="N279" s="17" t="str">
        <f aca="false">IF($C279="","",IF($C279="H",0,IF($C279="G",INDEX(Baseline!$I$3:$I$102,MIN(MAX(ROUND($D279,0),1),100)),IF($C279="T",IF($M279=3,INDEX(Baseline!$B$3:$B$122,MATCH(MIN(MAX(ROUND(($D279)/5,0)*5,5),600),Baseline!$A$3:$A$122,0))-Inputs!$B$9,INDEX(Course!$N$2:$N$19,MATCH($B279,Course!$A$2:$A$19,0))),INDEX(Baseline!$B$3:$E$122,MATCH(MIN(MAX(ROUND(($D279)/5,0)*5,5),600),Baseline!$A$3:$A$122,0),MATCH($C279,Baseline!$B$2:$E$2,0))))))</f>
        <v/>
      </c>
      <c r="O279" s="17" t="str">
        <f aca="false">IF($C279="","",IF($E279="H",0,IF($E279="G",INDEX(Baseline!$I$3:$I$102,MIN(MAX(ROUND($F279,0),1),100)),IF($E279="T",IF($M279=3,INDEX(Baseline!$B$3:$B$122,MATCH(MIN(MAX(ROUND(($F279)/5,0)*5,5),600),Baseline!$A$3:$A$122,0))-Inputs!$B$9,INDEX(Course!$N$2:$N$19,MATCH($B279,Course!$A$2:$A$19,0))),INDEX(Baseline!$B$3:$E$122,MATCH(MIN(MAX(ROUND(($F279)/5,0)*5,5),600),Baseline!$A$3:$A$122,0),MATCH($E279,Baseline!$B$2:$E$2,0))))))</f>
        <v/>
      </c>
      <c r="P279" s="17" t="str">
        <f aca="false">IF($B279="","",INDEX(Course!$N$2:$N$19,MATCH($B279,Course!$A$2:$A$19,0)))</f>
        <v/>
      </c>
      <c r="Q279" s="17" t="str">
        <f aca="false">IF($B279="","",INDEX(Course!$P$2:$P$19,MATCH($B279,Course!$A$2:$A$19,0)))</f>
        <v/>
      </c>
      <c r="R279" s="17" t="str">
        <f aca="false">IF($C279="","",IF(OR($C279="G",$C279="H"),0,IF($C279="T",1,MIN(1,MAX(0,($N279-Inputs!$B$8)/MAX($P279-Inputs!$B$8,0.01))))))</f>
        <v/>
      </c>
      <c r="S279" s="17" t="str">
        <f aca="false">IF($C279="","",IF(OR($E279="G",$E279="H"),0,IF($E279="T",1,MIN(1,MAX(0,($O279-Inputs!$B$8)/MAX($P279-Inputs!$B$8,0.01))))))</f>
        <v/>
      </c>
    </row>
    <row r="280" customFormat="false" ht="15" hidden="false" customHeight="false" outlineLevel="0" collapsed="false">
      <c r="I280" s="7" t="str">
        <f aca="false">IF($C280="","",IF($C280="G","PUTT",IF(AND($C280="T",$M280&gt;3),"OTT",IF($D280&lt;=30,"ARG","APP"))))</f>
        <v/>
      </c>
      <c r="J280" s="17" t="str">
        <f aca="false">IF($C280="","",$N280+$Q280*$R280)</f>
        <v/>
      </c>
      <c r="K280" s="17" t="str">
        <f aca="false">IF($C280="","",$O280+$Q280*$S280)</f>
        <v/>
      </c>
      <c r="L280" s="17" t="str">
        <f aca="false">IF($C280="","",$J280-$K280-1-N($G280))</f>
        <v/>
      </c>
      <c r="M280" s="7" t="str">
        <f aca="false">IF($B280="","",INDEX(Course!$B$2:$B$19,MATCH($B280,Course!$A$2:$A$19,0)))</f>
        <v/>
      </c>
      <c r="N280" s="17" t="str">
        <f aca="false">IF($C280="","",IF($C280="H",0,IF($C280="G",INDEX(Baseline!$I$3:$I$102,MIN(MAX(ROUND($D280,0),1),100)),IF($C280="T",IF($M280=3,INDEX(Baseline!$B$3:$B$122,MATCH(MIN(MAX(ROUND(($D280)/5,0)*5,5),600),Baseline!$A$3:$A$122,0))-Inputs!$B$9,INDEX(Course!$N$2:$N$19,MATCH($B280,Course!$A$2:$A$19,0))),INDEX(Baseline!$B$3:$E$122,MATCH(MIN(MAX(ROUND(($D280)/5,0)*5,5),600),Baseline!$A$3:$A$122,0),MATCH($C280,Baseline!$B$2:$E$2,0))))))</f>
        <v/>
      </c>
      <c r="O280" s="17" t="str">
        <f aca="false">IF($C280="","",IF($E280="H",0,IF($E280="G",INDEX(Baseline!$I$3:$I$102,MIN(MAX(ROUND($F280,0),1),100)),IF($E280="T",IF($M280=3,INDEX(Baseline!$B$3:$B$122,MATCH(MIN(MAX(ROUND(($F280)/5,0)*5,5),600),Baseline!$A$3:$A$122,0))-Inputs!$B$9,INDEX(Course!$N$2:$N$19,MATCH($B280,Course!$A$2:$A$19,0))),INDEX(Baseline!$B$3:$E$122,MATCH(MIN(MAX(ROUND(($F280)/5,0)*5,5),600),Baseline!$A$3:$A$122,0),MATCH($E280,Baseline!$B$2:$E$2,0))))))</f>
        <v/>
      </c>
      <c r="P280" s="17" t="str">
        <f aca="false">IF($B280="","",INDEX(Course!$N$2:$N$19,MATCH($B280,Course!$A$2:$A$19,0)))</f>
        <v/>
      </c>
      <c r="Q280" s="17" t="str">
        <f aca="false">IF($B280="","",INDEX(Course!$P$2:$P$19,MATCH($B280,Course!$A$2:$A$19,0)))</f>
        <v/>
      </c>
      <c r="R280" s="17" t="str">
        <f aca="false">IF($C280="","",IF(OR($C280="G",$C280="H"),0,IF($C280="T",1,MIN(1,MAX(0,($N280-Inputs!$B$8)/MAX($P280-Inputs!$B$8,0.01))))))</f>
        <v/>
      </c>
      <c r="S280" s="17" t="str">
        <f aca="false">IF($C280="","",IF(OR($E280="G",$E280="H"),0,IF($E280="T",1,MIN(1,MAX(0,($O280-Inputs!$B$8)/MAX($P280-Inputs!$B$8,0.01))))))</f>
        <v/>
      </c>
    </row>
    <row r="281" customFormat="false" ht="15" hidden="false" customHeight="false" outlineLevel="0" collapsed="false">
      <c r="I281" s="7" t="str">
        <f aca="false">IF($C281="","",IF($C281="G","PUTT",IF(AND($C281="T",$M281&gt;3),"OTT",IF($D281&lt;=30,"ARG","APP"))))</f>
        <v/>
      </c>
      <c r="J281" s="17" t="str">
        <f aca="false">IF($C281="","",$N281+$Q281*$R281)</f>
        <v/>
      </c>
      <c r="K281" s="17" t="str">
        <f aca="false">IF($C281="","",$O281+$Q281*$S281)</f>
        <v/>
      </c>
      <c r="L281" s="17" t="str">
        <f aca="false">IF($C281="","",$J281-$K281-1-N($G281))</f>
        <v/>
      </c>
      <c r="M281" s="7" t="str">
        <f aca="false">IF($B281="","",INDEX(Course!$B$2:$B$19,MATCH($B281,Course!$A$2:$A$19,0)))</f>
        <v/>
      </c>
      <c r="N281" s="17" t="str">
        <f aca="false">IF($C281="","",IF($C281="H",0,IF($C281="G",INDEX(Baseline!$I$3:$I$102,MIN(MAX(ROUND($D281,0),1),100)),IF($C281="T",IF($M281=3,INDEX(Baseline!$B$3:$B$122,MATCH(MIN(MAX(ROUND(($D281)/5,0)*5,5),600),Baseline!$A$3:$A$122,0))-Inputs!$B$9,INDEX(Course!$N$2:$N$19,MATCH($B281,Course!$A$2:$A$19,0))),INDEX(Baseline!$B$3:$E$122,MATCH(MIN(MAX(ROUND(($D281)/5,0)*5,5),600),Baseline!$A$3:$A$122,0),MATCH($C281,Baseline!$B$2:$E$2,0))))))</f>
        <v/>
      </c>
      <c r="O281" s="17" t="str">
        <f aca="false">IF($C281="","",IF($E281="H",0,IF($E281="G",INDEX(Baseline!$I$3:$I$102,MIN(MAX(ROUND($F281,0),1),100)),IF($E281="T",IF($M281=3,INDEX(Baseline!$B$3:$B$122,MATCH(MIN(MAX(ROUND(($F281)/5,0)*5,5),600),Baseline!$A$3:$A$122,0))-Inputs!$B$9,INDEX(Course!$N$2:$N$19,MATCH($B281,Course!$A$2:$A$19,0))),INDEX(Baseline!$B$3:$E$122,MATCH(MIN(MAX(ROUND(($F281)/5,0)*5,5),600),Baseline!$A$3:$A$122,0),MATCH($E281,Baseline!$B$2:$E$2,0))))))</f>
        <v/>
      </c>
      <c r="P281" s="17" t="str">
        <f aca="false">IF($B281="","",INDEX(Course!$N$2:$N$19,MATCH($B281,Course!$A$2:$A$19,0)))</f>
        <v/>
      </c>
      <c r="Q281" s="17" t="str">
        <f aca="false">IF($B281="","",INDEX(Course!$P$2:$P$19,MATCH($B281,Course!$A$2:$A$19,0)))</f>
        <v/>
      </c>
      <c r="R281" s="17" t="str">
        <f aca="false">IF($C281="","",IF(OR($C281="G",$C281="H"),0,IF($C281="T",1,MIN(1,MAX(0,($N281-Inputs!$B$8)/MAX($P281-Inputs!$B$8,0.01))))))</f>
        <v/>
      </c>
      <c r="S281" s="17" t="str">
        <f aca="false">IF($C281="","",IF(OR($E281="G",$E281="H"),0,IF($E281="T",1,MIN(1,MAX(0,($O281-Inputs!$B$8)/MAX($P281-Inputs!$B$8,0.01))))))</f>
        <v/>
      </c>
    </row>
    <row r="282" customFormat="false" ht="15" hidden="false" customHeight="false" outlineLevel="0" collapsed="false">
      <c r="I282" s="7" t="str">
        <f aca="false">IF($C282="","",IF($C282="G","PUTT",IF(AND($C282="T",$M282&gt;3),"OTT",IF($D282&lt;=30,"ARG","APP"))))</f>
        <v/>
      </c>
      <c r="J282" s="17" t="str">
        <f aca="false">IF($C282="","",$N282+$Q282*$R282)</f>
        <v/>
      </c>
      <c r="K282" s="17" t="str">
        <f aca="false">IF($C282="","",$O282+$Q282*$S282)</f>
        <v/>
      </c>
      <c r="L282" s="17" t="str">
        <f aca="false">IF($C282="","",$J282-$K282-1-N($G282))</f>
        <v/>
      </c>
      <c r="M282" s="7" t="str">
        <f aca="false">IF($B282="","",INDEX(Course!$B$2:$B$19,MATCH($B282,Course!$A$2:$A$19,0)))</f>
        <v/>
      </c>
      <c r="N282" s="17" t="str">
        <f aca="false">IF($C282="","",IF($C282="H",0,IF($C282="G",INDEX(Baseline!$I$3:$I$102,MIN(MAX(ROUND($D282,0),1),100)),IF($C282="T",IF($M282=3,INDEX(Baseline!$B$3:$B$122,MATCH(MIN(MAX(ROUND(($D282)/5,0)*5,5),600),Baseline!$A$3:$A$122,0))-Inputs!$B$9,INDEX(Course!$N$2:$N$19,MATCH($B282,Course!$A$2:$A$19,0))),INDEX(Baseline!$B$3:$E$122,MATCH(MIN(MAX(ROUND(($D282)/5,0)*5,5),600),Baseline!$A$3:$A$122,0),MATCH($C282,Baseline!$B$2:$E$2,0))))))</f>
        <v/>
      </c>
      <c r="O282" s="17" t="str">
        <f aca="false">IF($C282="","",IF($E282="H",0,IF($E282="G",INDEX(Baseline!$I$3:$I$102,MIN(MAX(ROUND($F282,0),1),100)),IF($E282="T",IF($M282=3,INDEX(Baseline!$B$3:$B$122,MATCH(MIN(MAX(ROUND(($F282)/5,0)*5,5),600),Baseline!$A$3:$A$122,0))-Inputs!$B$9,INDEX(Course!$N$2:$N$19,MATCH($B282,Course!$A$2:$A$19,0))),INDEX(Baseline!$B$3:$E$122,MATCH(MIN(MAX(ROUND(($F282)/5,0)*5,5),600),Baseline!$A$3:$A$122,0),MATCH($E282,Baseline!$B$2:$E$2,0))))))</f>
        <v/>
      </c>
      <c r="P282" s="17" t="str">
        <f aca="false">IF($B282="","",INDEX(Course!$N$2:$N$19,MATCH($B282,Course!$A$2:$A$19,0)))</f>
        <v/>
      </c>
      <c r="Q282" s="17" t="str">
        <f aca="false">IF($B282="","",INDEX(Course!$P$2:$P$19,MATCH($B282,Course!$A$2:$A$19,0)))</f>
        <v/>
      </c>
      <c r="R282" s="17" t="str">
        <f aca="false">IF($C282="","",IF(OR($C282="G",$C282="H"),0,IF($C282="T",1,MIN(1,MAX(0,($N282-Inputs!$B$8)/MAX($P282-Inputs!$B$8,0.01))))))</f>
        <v/>
      </c>
      <c r="S282" s="17" t="str">
        <f aca="false">IF($C282="","",IF(OR($E282="G",$E282="H"),0,IF($E282="T",1,MIN(1,MAX(0,($O282-Inputs!$B$8)/MAX($P282-Inputs!$B$8,0.01))))))</f>
        <v/>
      </c>
    </row>
    <row r="283" customFormat="false" ht="15" hidden="false" customHeight="false" outlineLevel="0" collapsed="false">
      <c r="I283" s="7" t="str">
        <f aca="false">IF($C283="","",IF($C283="G","PUTT",IF(AND($C283="T",$M283&gt;3),"OTT",IF($D283&lt;=30,"ARG","APP"))))</f>
        <v/>
      </c>
      <c r="J283" s="17" t="str">
        <f aca="false">IF($C283="","",$N283+$Q283*$R283)</f>
        <v/>
      </c>
      <c r="K283" s="17" t="str">
        <f aca="false">IF($C283="","",$O283+$Q283*$S283)</f>
        <v/>
      </c>
      <c r="L283" s="17" t="str">
        <f aca="false">IF($C283="","",$J283-$K283-1-N($G283))</f>
        <v/>
      </c>
      <c r="M283" s="7" t="str">
        <f aca="false">IF($B283="","",INDEX(Course!$B$2:$B$19,MATCH($B283,Course!$A$2:$A$19,0)))</f>
        <v/>
      </c>
      <c r="N283" s="17" t="str">
        <f aca="false">IF($C283="","",IF($C283="H",0,IF($C283="G",INDEX(Baseline!$I$3:$I$102,MIN(MAX(ROUND($D283,0),1),100)),IF($C283="T",IF($M283=3,INDEX(Baseline!$B$3:$B$122,MATCH(MIN(MAX(ROUND(($D283)/5,0)*5,5),600),Baseline!$A$3:$A$122,0))-Inputs!$B$9,INDEX(Course!$N$2:$N$19,MATCH($B283,Course!$A$2:$A$19,0))),INDEX(Baseline!$B$3:$E$122,MATCH(MIN(MAX(ROUND(($D283)/5,0)*5,5),600),Baseline!$A$3:$A$122,0),MATCH($C283,Baseline!$B$2:$E$2,0))))))</f>
        <v/>
      </c>
      <c r="O283" s="17" t="str">
        <f aca="false">IF($C283="","",IF($E283="H",0,IF($E283="G",INDEX(Baseline!$I$3:$I$102,MIN(MAX(ROUND($F283,0),1),100)),IF($E283="T",IF($M283=3,INDEX(Baseline!$B$3:$B$122,MATCH(MIN(MAX(ROUND(($F283)/5,0)*5,5),600),Baseline!$A$3:$A$122,0))-Inputs!$B$9,INDEX(Course!$N$2:$N$19,MATCH($B283,Course!$A$2:$A$19,0))),INDEX(Baseline!$B$3:$E$122,MATCH(MIN(MAX(ROUND(($F283)/5,0)*5,5),600),Baseline!$A$3:$A$122,0),MATCH($E283,Baseline!$B$2:$E$2,0))))))</f>
        <v/>
      </c>
      <c r="P283" s="17" t="str">
        <f aca="false">IF($B283="","",INDEX(Course!$N$2:$N$19,MATCH($B283,Course!$A$2:$A$19,0)))</f>
        <v/>
      </c>
      <c r="Q283" s="17" t="str">
        <f aca="false">IF($B283="","",INDEX(Course!$P$2:$P$19,MATCH($B283,Course!$A$2:$A$19,0)))</f>
        <v/>
      </c>
      <c r="R283" s="17" t="str">
        <f aca="false">IF($C283="","",IF(OR($C283="G",$C283="H"),0,IF($C283="T",1,MIN(1,MAX(0,($N283-Inputs!$B$8)/MAX($P283-Inputs!$B$8,0.01))))))</f>
        <v/>
      </c>
      <c r="S283" s="17" t="str">
        <f aca="false">IF($C283="","",IF(OR($E283="G",$E283="H"),0,IF($E283="T",1,MIN(1,MAX(0,($O283-Inputs!$B$8)/MAX($P283-Inputs!$B$8,0.01))))))</f>
        <v/>
      </c>
    </row>
    <row r="284" customFormat="false" ht="15" hidden="false" customHeight="false" outlineLevel="0" collapsed="false">
      <c r="I284" s="7" t="str">
        <f aca="false">IF($C284="","",IF($C284="G","PUTT",IF(AND($C284="T",$M284&gt;3),"OTT",IF($D284&lt;=30,"ARG","APP"))))</f>
        <v/>
      </c>
      <c r="J284" s="17" t="str">
        <f aca="false">IF($C284="","",$N284+$Q284*$R284)</f>
        <v/>
      </c>
      <c r="K284" s="17" t="str">
        <f aca="false">IF($C284="","",$O284+$Q284*$S284)</f>
        <v/>
      </c>
      <c r="L284" s="17" t="str">
        <f aca="false">IF($C284="","",$J284-$K284-1-N($G284))</f>
        <v/>
      </c>
      <c r="M284" s="7" t="str">
        <f aca="false">IF($B284="","",INDEX(Course!$B$2:$B$19,MATCH($B284,Course!$A$2:$A$19,0)))</f>
        <v/>
      </c>
      <c r="N284" s="17" t="str">
        <f aca="false">IF($C284="","",IF($C284="H",0,IF($C284="G",INDEX(Baseline!$I$3:$I$102,MIN(MAX(ROUND($D284,0),1),100)),IF($C284="T",IF($M284=3,INDEX(Baseline!$B$3:$B$122,MATCH(MIN(MAX(ROUND(($D284)/5,0)*5,5),600),Baseline!$A$3:$A$122,0))-Inputs!$B$9,INDEX(Course!$N$2:$N$19,MATCH($B284,Course!$A$2:$A$19,0))),INDEX(Baseline!$B$3:$E$122,MATCH(MIN(MAX(ROUND(($D284)/5,0)*5,5),600),Baseline!$A$3:$A$122,0),MATCH($C284,Baseline!$B$2:$E$2,0))))))</f>
        <v/>
      </c>
      <c r="O284" s="17" t="str">
        <f aca="false">IF($C284="","",IF($E284="H",0,IF($E284="G",INDEX(Baseline!$I$3:$I$102,MIN(MAX(ROUND($F284,0),1),100)),IF($E284="T",IF($M284=3,INDEX(Baseline!$B$3:$B$122,MATCH(MIN(MAX(ROUND(($F284)/5,0)*5,5),600),Baseline!$A$3:$A$122,0))-Inputs!$B$9,INDEX(Course!$N$2:$N$19,MATCH($B284,Course!$A$2:$A$19,0))),INDEX(Baseline!$B$3:$E$122,MATCH(MIN(MAX(ROUND(($F284)/5,0)*5,5),600),Baseline!$A$3:$A$122,0),MATCH($E284,Baseline!$B$2:$E$2,0))))))</f>
        <v/>
      </c>
      <c r="P284" s="17" t="str">
        <f aca="false">IF($B284="","",INDEX(Course!$N$2:$N$19,MATCH($B284,Course!$A$2:$A$19,0)))</f>
        <v/>
      </c>
      <c r="Q284" s="17" t="str">
        <f aca="false">IF($B284="","",INDEX(Course!$P$2:$P$19,MATCH($B284,Course!$A$2:$A$19,0)))</f>
        <v/>
      </c>
      <c r="R284" s="17" t="str">
        <f aca="false">IF($C284="","",IF(OR($C284="G",$C284="H"),0,IF($C284="T",1,MIN(1,MAX(0,($N284-Inputs!$B$8)/MAX($P284-Inputs!$B$8,0.01))))))</f>
        <v/>
      </c>
      <c r="S284" s="17" t="str">
        <f aca="false">IF($C284="","",IF(OR($E284="G",$E284="H"),0,IF($E284="T",1,MIN(1,MAX(0,($O284-Inputs!$B$8)/MAX($P284-Inputs!$B$8,0.01))))))</f>
        <v/>
      </c>
    </row>
    <row r="285" customFormat="false" ht="15" hidden="false" customHeight="false" outlineLevel="0" collapsed="false">
      <c r="I285" s="7" t="str">
        <f aca="false">IF($C285="","",IF($C285="G","PUTT",IF(AND($C285="T",$M285&gt;3),"OTT",IF($D285&lt;=30,"ARG","APP"))))</f>
        <v/>
      </c>
      <c r="J285" s="17" t="str">
        <f aca="false">IF($C285="","",$N285+$Q285*$R285)</f>
        <v/>
      </c>
      <c r="K285" s="17" t="str">
        <f aca="false">IF($C285="","",$O285+$Q285*$S285)</f>
        <v/>
      </c>
      <c r="L285" s="17" t="str">
        <f aca="false">IF($C285="","",$J285-$K285-1-N($G285))</f>
        <v/>
      </c>
      <c r="M285" s="7" t="str">
        <f aca="false">IF($B285="","",INDEX(Course!$B$2:$B$19,MATCH($B285,Course!$A$2:$A$19,0)))</f>
        <v/>
      </c>
      <c r="N285" s="17" t="str">
        <f aca="false">IF($C285="","",IF($C285="H",0,IF($C285="G",INDEX(Baseline!$I$3:$I$102,MIN(MAX(ROUND($D285,0),1),100)),IF($C285="T",IF($M285=3,INDEX(Baseline!$B$3:$B$122,MATCH(MIN(MAX(ROUND(($D285)/5,0)*5,5),600),Baseline!$A$3:$A$122,0))-Inputs!$B$9,INDEX(Course!$N$2:$N$19,MATCH($B285,Course!$A$2:$A$19,0))),INDEX(Baseline!$B$3:$E$122,MATCH(MIN(MAX(ROUND(($D285)/5,0)*5,5),600),Baseline!$A$3:$A$122,0),MATCH($C285,Baseline!$B$2:$E$2,0))))))</f>
        <v/>
      </c>
      <c r="O285" s="17" t="str">
        <f aca="false">IF($C285="","",IF($E285="H",0,IF($E285="G",INDEX(Baseline!$I$3:$I$102,MIN(MAX(ROUND($F285,0),1),100)),IF($E285="T",IF($M285=3,INDEX(Baseline!$B$3:$B$122,MATCH(MIN(MAX(ROUND(($F285)/5,0)*5,5),600),Baseline!$A$3:$A$122,0))-Inputs!$B$9,INDEX(Course!$N$2:$N$19,MATCH($B285,Course!$A$2:$A$19,0))),INDEX(Baseline!$B$3:$E$122,MATCH(MIN(MAX(ROUND(($F285)/5,0)*5,5),600),Baseline!$A$3:$A$122,0),MATCH($E285,Baseline!$B$2:$E$2,0))))))</f>
        <v/>
      </c>
      <c r="P285" s="17" t="str">
        <f aca="false">IF($B285="","",INDEX(Course!$N$2:$N$19,MATCH($B285,Course!$A$2:$A$19,0)))</f>
        <v/>
      </c>
      <c r="Q285" s="17" t="str">
        <f aca="false">IF($B285="","",INDEX(Course!$P$2:$P$19,MATCH($B285,Course!$A$2:$A$19,0)))</f>
        <v/>
      </c>
      <c r="R285" s="17" t="str">
        <f aca="false">IF($C285="","",IF(OR($C285="G",$C285="H"),0,IF($C285="T",1,MIN(1,MAX(0,($N285-Inputs!$B$8)/MAX($P285-Inputs!$B$8,0.01))))))</f>
        <v/>
      </c>
      <c r="S285" s="17" t="str">
        <f aca="false">IF($C285="","",IF(OR($E285="G",$E285="H"),0,IF($E285="T",1,MIN(1,MAX(0,($O285-Inputs!$B$8)/MAX($P285-Inputs!$B$8,0.01))))))</f>
        <v/>
      </c>
    </row>
    <row r="286" customFormat="false" ht="15" hidden="false" customHeight="false" outlineLevel="0" collapsed="false">
      <c r="I286" s="7" t="str">
        <f aca="false">IF($C286="","",IF($C286="G","PUTT",IF(AND($C286="T",$M286&gt;3),"OTT",IF($D286&lt;=30,"ARG","APP"))))</f>
        <v/>
      </c>
      <c r="J286" s="17" t="str">
        <f aca="false">IF($C286="","",$N286+$Q286*$R286)</f>
        <v/>
      </c>
      <c r="K286" s="17" t="str">
        <f aca="false">IF($C286="","",$O286+$Q286*$S286)</f>
        <v/>
      </c>
      <c r="L286" s="17" t="str">
        <f aca="false">IF($C286="","",$J286-$K286-1-N($G286))</f>
        <v/>
      </c>
      <c r="M286" s="7" t="str">
        <f aca="false">IF($B286="","",INDEX(Course!$B$2:$B$19,MATCH($B286,Course!$A$2:$A$19,0)))</f>
        <v/>
      </c>
      <c r="N286" s="17" t="str">
        <f aca="false">IF($C286="","",IF($C286="H",0,IF($C286="G",INDEX(Baseline!$I$3:$I$102,MIN(MAX(ROUND($D286,0),1),100)),IF($C286="T",IF($M286=3,INDEX(Baseline!$B$3:$B$122,MATCH(MIN(MAX(ROUND(($D286)/5,0)*5,5),600),Baseline!$A$3:$A$122,0))-Inputs!$B$9,INDEX(Course!$N$2:$N$19,MATCH($B286,Course!$A$2:$A$19,0))),INDEX(Baseline!$B$3:$E$122,MATCH(MIN(MAX(ROUND(($D286)/5,0)*5,5),600),Baseline!$A$3:$A$122,0),MATCH($C286,Baseline!$B$2:$E$2,0))))))</f>
        <v/>
      </c>
      <c r="O286" s="17" t="str">
        <f aca="false">IF($C286="","",IF($E286="H",0,IF($E286="G",INDEX(Baseline!$I$3:$I$102,MIN(MAX(ROUND($F286,0),1),100)),IF($E286="T",IF($M286=3,INDEX(Baseline!$B$3:$B$122,MATCH(MIN(MAX(ROUND(($F286)/5,0)*5,5),600),Baseline!$A$3:$A$122,0))-Inputs!$B$9,INDEX(Course!$N$2:$N$19,MATCH($B286,Course!$A$2:$A$19,0))),INDEX(Baseline!$B$3:$E$122,MATCH(MIN(MAX(ROUND(($F286)/5,0)*5,5),600),Baseline!$A$3:$A$122,0),MATCH($E286,Baseline!$B$2:$E$2,0))))))</f>
        <v/>
      </c>
      <c r="P286" s="17" t="str">
        <f aca="false">IF($B286="","",INDEX(Course!$N$2:$N$19,MATCH($B286,Course!$A$2:$A$19,0)))</f>
        <v/>
      </c>
      <c r="Q286" s="17" t="str">
        <f aca="false">IF($B286="","",INDEX(Course!$P$2:$P$19,MATCH($B286,Course!$A$2:$A$19,0)))</f>
        <v/>
      </c>
      <c r="R286" s="17" t="str">
        <f aca="false">IF($C286="","",IF(OR($C286="G",$C286="H"),0,IF($C286="T",1,MIN(1,MAX(0,($N286-Inputs!$B$8)/MAX($P286-Inputs!$B$8,0.01))))))</f>
        <v/>
      </c>
      <c r="S286" s="17" t="str">
        <f aca="false">IF($C286="","",IF(OR($E286="G",$E286="H"),0,IF($E286="T",1,MIN(1,MAX(0,($O286-Inputs!$B$8)/MAX($P286-Inputs!$B$8,0.01))))))</f>
        <v/>
      </c>
    </row>
    <row r="287" customFormat="false" ht="15" hidden="false" customHeight="false" outlineLevel="0" collapsed="false">
      <c r="I287" s="7" t="str">
        <f aca="false">IF($C287="","",IF($C287="G","PUTT",IF(AND($C287="T",$M287&gt;3),"OTT",IF($D287&lt;=30,"ARG","APP"))))</f>
        <v/>
      </c>
      <c r="J287" s="17" t="str">
        <f aca="false">IF($C287="","",$N287+$Q287*$R287)</f>
        <v/>
      </c>
      <c r="K287" s="17" t="str">
        <f aca="false">IF($C287="","",$O287+$Q287*$S287)</f>
        <v/>
      </c>
      <c r="L287" s="17" t="str">
        <f aca="false">IF($C287="","",$J287-$K287-1-N($G287))</f>
        <v/>
      </c>
      <c r="M287" s="7" t="str">
        <f aca="false">IF($B287="","",INDEX(Course!$B$2:$B$19,MATCH($B287,Course!$A$2:$A$19,0)))</f>
        <v/>
      </c>
      <c r="N287" s="17" t="str">
        <f aca="false">IF($C287="","",IF($C287="H",0,IF($C287="G",INDEX(Baseline!$I$3:$I$102,MIN(MAX(ROUND($D287,0),1),100)),IF($C287="T",IF($M287=3,INDEX(Baseline!$B$3:$B$122,MATCH(MIN(MAX(ROUND(($D287)/5,0)*5,5),600),Baseline!$A$3:$A$122,0))-Inputs!$B$9,INDEX(Course!$N$2:$N$19,MATCH($B287,Course!$A$2:$A$19,0))),INDEX(Baseline!$B$3:$E$122,MATCH(MIN(MAX(ROUND(($D287)/5,0)*5,5),600),Baseline!$A$3:$A$122,0),MATCH($C287,Baseline!$B$2:$E$2,0))))))</f>
        <v/>
      </c>
      <c r="O287" s="17" t="str">
        <f aca="false">IF($C287="","",IF($E287="H",0,IF($E287="G",INDEX(Baseline!$I$3:$I$102,MIN(MAX(ROUND($F287,0),1),100)),IF($E287="T",IF($M287=3,INDEX(Baseline!$B$3:$B$122,MATCH(MIN(MAX(ROUND(($F287)/5,0)*5,5),600),Baseline!$A$3:$A$122,0))-Inputs!$B$9,INDEX(Course!$N$2:$N$19,MATCH($B287,Course!$A$2:$A$19,0))),INDEX(Baseline!$B$3:$E$122,MATCH(MIN(MAX(ROUND(($F287)/5,0)*5,5),600),Baseline!$A$3:$A$122,0),MATCH($E287,Baseline!$B$2:$E$2,0))))))</f>
        <v/>
      </c>
      <c r="P287" s="17" t="str">
        <f aca="false">IF($B287="","",INDEX(Course!$N$2:$N$19,MATCH($B287,Course!$A$2:$A$19,0)))</f>
        <v/>
      </c>
      <c r="Q287" s="17" t="str">
        <f aca="false">IF($B287="","",INDEX(Course!$P$2:$P$19,MATCH($B287,Course!$A$2:$A$19,0)))</f>
        <v/>
      </c>
      <c r="R287" s="17" t="str">
        <f aca="false">IF($C287="","",IF(OR($C287="G",$C287="H"),0,IF($C287="T",1,MIN(1,MAX(0,($N287-Inputs!$B$8)/MAX($P287-Inputs!$B$8,0.01))))))</f>
        <v/>
      </c>
      <c r="S287" s="17" t="str">
        <f aca="false">IF($C287="","",IF(OR($E287="G",$E287="H"),0,IF($E287="T",1,MIN(1,MAX(0,($O287-Inputs!$B$8)/MAX($P287-Inputs!$B$8,0.01))))))</f>
        <v/>
      </c>
    </row>
    <row r="288" customFormat="false" ht="15" hidden="false" customHeight="false" outlineLevel="0" collapsed="false">
      <c r="I288" s="7" t="str">
        <f aca="false">IF($C288="","",IF($C288="G","PUTT",IF(AND($C288="T",$M288&gt;3),"OTT",IF($D288&lt;=30,"ARG","APP"))))</f>
        <v/>
      </c>
      <c r="J288" s="17" t="str">
        <f aca="false">IF($C288="","",$N288+$Q288*$R288)</f>
        <v/>
      </c>
      <c r="K288" s="17" t="str">
        <f aca="false">IF($C288="","",$O288+$Q288*$S288)</f>
        <v/>
      </c>
      <c r="L288" s="17" t="str">
        <f aca="false">IF($C288="","",$J288-$K288-1-N($G288))</f>
        <v/>
      </c>
      <c r="M288" s="7" t="str">
        <f aca="false">IF($B288="","",INDEX(Course!$B$2:$B$19,MATCH($B288,Course!$A$2:$A$19,0)))</f>
        <v/>
      </c>
      <c r="N288" s="17" t="str">
        <f aca="false">IF($C288="","",IF($C288="H",0,IF($C288="G",INDEX(Baseline!$I$3:$I$102,MIN(MAX(ROUND($D288,0),1),100)),IF($C288="T",IF($M288=3,INDEX(Baseline!$B$3:$B$122,MATCH(MIN(MAX(ROUND(($D288)/5,0)*5,5),600),Baseline!$A$3:$A$122,0))-Inputs!$B$9,INDEX(Course!$N$2:$N$19,MATCH($B288,Course!$A$2:$A$19,0))),INDEX(Baseline!$B$3:$E$122,MATCH(MIN(MAX(ROUND(($D288)/5,0)*5,5),600),Baseline!$A$3:$A$122,0),MATCH($C288,Baseline!$B$2:$E$2,0))))))</f>
        <v/>
      </c>
      <c r="O288" s="17" t="str">
        <f aca="false">IF($C288="","",IF($E288="H",0,IF($E288="G",INDEX(Baseline!$I$3:$I$102,MIN(MAX(ROUND($F288,0),1),100)),IF($E288="T",IF($M288=3,INDEX(Baseline!$B$3:$B$122,MATCH(MIN(MAX(ROUND(($F288)/5,0)*5,5),600),Baseline!$A$3:$A$122,0))-Inputs!$B$9,INDEX(Course!$N$2:$N$19,MATCH($B288,Course!$A$2:$A$19,0))),INDEX(Baseline!$B$3:$E$122,MATCH(MIN(MAX(ROUND(($F288)/5,0)*5,5),600),Baseline!$A$3:$A$122,0),MATCH($E288,Baseline!$B$2:$E$2,0))))))</f>
        <v/>
      </c>
      <c r="P288" s="17" t="str">
        <f aca="false">IF($B288="","",INDEX(Course!$N$2:$N$19,MATCH($B288,Course!$A$2:$A$19,0)))</f>
        <v/>
      </c>
      <c r="Q288" s="17" t="str">
        <f aca="false">IF($B288="","",INDEX(Course!$P$2:$P$19,MATCH($B288,Course!$A$2:$A$19,0)))</f>
        <v/>
      </c>
      <c r="R288" s="17" t="str">
        <f aca="false">IF($C288="","",IF(OR($C288="G",$C288="H"),0,IF($C288="T",1,MIN(1,MAX(0,($N288-Inputs!$B$8)/MAX($P288-Inputs!$B$8,0.01))))))</f>
        <v/>
      </c>
      <c r="S288" s="17" t="str">
        <f aca="false">IF($C288="","",IF(OR($E288="G",$E288="H"),0,IF($E288="T",1,MIN(1,MAX(0,($O288-Inputs!$B$8)/MAX($P288-Inputs!$B$8,0.01))))))</f>
        <v/>
      </c>
    </row>
    <row r="289" customFormat="false" ht="15" hidden="false" customHeight="false" outlineLevel="0" collapsed="false">
      <c r="I289" s="7" t="str">
        <f aca="false">IF($C289="","",IF($C289="G","PUTT",IF(AND($C289="T",$M289&gt;3),"OTT",IF($D289&lt;=30,"ARG","APP"))))</f>
        <v/>
      </c>
      <c r="J289" s="17" t="str">
        <f aca="false">IF($C289="","",$N289+$Q289*$R289)</f>
        <v/>
      </c>
      <c r="K289" s="17" t="str">
        <f aca="false">IF($C289="","",$O289+$Q289*$S289)</f>
        <v/>
      </c>
      <c r="L289" s="17" t="str">
        <f aca="false">IF($C289="","",$J289-$K289-1-N($G289))</f>
        <v/>
      </c>
      <c r="M289" s="7" t="str">
        <f aca="false">IF($B289="","",INDEX(Course!$B$2:$B$19,MATCH($B289,Course!$A$2:$A$19,0)))</f>
        <v/>
      </c>
      <c r="N289" s="17" t="str">
        <f aca="false">IF($C289="","",IF($C289="H",0,IF($C289="G",INDEX(Baseline!$I$3:$I$102,MIN(MAX(ROUND($D289,0),1),100)),IF($C289="T",IF($M289=3,INDEX(Baseline!$B$3:$B$122,MATCH(MIN(MAX(ROUND(($D289)/5,0)*5,5),600),Baseline!$A$3:$A$122,0))-Inputs!$B$9,INDEX(Course!$N$2:$N$19,MATCH($B289,Course!$A$2:$A$19,0))),INDEX(Baseline!$B$3:$E$122,MATCH(MIN(MAX(ROUND(($D289)/5,0)*5,5),600),Baseline!$A$3:$A$122,0),MATCH($C289,Baseline!$B$2:$E$2,0))))))</f>
        <v/>
      </c>
      <c r="O289" s="17" t="str">
        <f aca="false">IF($C289="","",IF($E289="H",0,IF($E289="G",INDEX(Baseline!$I$3:$I$102,MIN(MAX(ROUND($F289,0),1),100)),IF($E289="T",IF($M289=3,INDEX(Baseline!$B$3:$B$122,MATCH(MIN(MAX(ROUND(($F289)/5,0)*5,5),600),Baseline!$A$3:$A$122,0))-Inputs!$B$9,INDEX(Course!$N$2:$N$19,MATCH($B289,Course!$A$2:$A$19,0))),INDEX(Baseline!$B$3:$E$122,MATCH(MIN(MAX(ROUND(($F289)/5,0)*5,5),600),Baseline!$A$3:$A$122,0),MATCH($E289,Baseline!$B$2:$E$2,0))))))</f>
        <v/>
      </c>
      <c r="P289" s="17" t="str">
        <f aca="false">IF($B289="","",INDEX(Course!$N$2:$N$19,MATCH($B289,Course!$A$2:$A$19,0)))</f>
        <v/>
      </c>
      <c r="Q289" s="17" t="str">
        <f aca="false">IF($B289="","",INDEX(Course!$P$2:$P$19,MATCH($B289,Course!$A$2:$A$19,0)))</f>
        <v/>
      </c>
      <c r="R289" s="17" t="str">
        <f aca="false">IF($C289="","",IF(OR($C289="G",$C289="H"),0,IF($C289="T",1,MIN(1,MAX(0,($N289-Inputs!$B$8)/MAX($P289-Inputs!$B$8,0.01))))))</f>
        <v/>
      </c>
      <c r="S289" s="17" t="str">
        <f aca="false">IF($C289="","",IF(OR($E289="G",$E289="H"),0,IF($E289="T",1,MIN(1,MAX(0,($O289-Inputs!$B$8)/MAX($P289-Inputs!$B$8,0.01))))))</f>
        <v/>
      </c>
    </row>
    <row r="290" customFormat="false" ht="15" hidden="false" customHeight="false" outlineLevel="0" collapsed="false">
      <c r="I290" s="7" t="str">
        <f aca="false">IF($C290="","",IF($C290="G","PUTT",IF(AND($C290="T",$M290&gt;3),"OTT",IF($D290&lt;=30,"ARG","APP"))))</f>
        <v/>
      </c>
      <c r="J290" s="17" t="str">
        <f aca="false">IF($C290="","",$N290+$Q290*$R290)</f>
        <v/>
      </c>
      <c r="K290" s="17" t="str">
        <f aca="false">IF($C290="","",$O290+$Q290*$S290)</f>
        <v/>
      </c>
      <c r="L290" s="17" t="str">
        <f aca="false">IF($C290="","",$J290-$K290-1-N($G290))</f>
        <v/>
      </c>
      <c r="M290" s="7" t="str">
        <f aca="false">IF($B290="","",INDEX(Course!$B$2:$B$19,MATCH($B290,Course!$A$2:$A$19,0)))</f>
        <v/>
      </c>
      <c r="N290" s="17" t="str">
        <f aca="false">IF($C290="","",IF($C290="H",0,IF($C290="G",INDEX(Baseline!$I$3:$I$102,MIN(MAX(ROUND($D290,0),1),100)),IF($C290="T",IF($M290=3,INDEX(Baseline!$B$3:$B$122,MATCH(MIN(MAX(ROUND(($D290)/5,0)*5,5),600),Baseline!$A$3:$A$122,0))-Inputs!$B$9,INDEX(Course!$N$2:$N$19,MATCH($B290,Course!$A$2:$A$19,0))),INDEX(Baseline!$B$3:$E$122,MATCH(MIN(MAX(ROUND(($D290)/5,0)*5,5),600),Baseline!$A$3:$A$122,0),MATCH($C290,Baseline!$B$2:$E$2,0))))))</f>
        <v/>
      </c>
      <c r="O290" s="17" t="str">
        <f aca="false">IF($C290="","",IF($E290="H",0,IF($E290="G",INDEX(Baseline!$I$3:$I$102,MIN(MAX(ROUND($F290,0),1),100)),IF($E290="T",IF($M290=3,INDEX(Baseline!$B$3:$B$122,MATCH(MIN(MAX(ROUND(($F290)/5,0)*5,5),600),Baseline!$A$3:$A$122,0))-Inputs!$B$9,INDEX(Course!$N$2:$N$19,MATCH($B290,Course!$A$2:$A$19,0))),INDEX(Baseline!$B$3:$E$122,MATCH(MIN(MAX(ROUND(($F290)/5,0)*5,5),600),Baseline!$A$3:$A$122,0),MATCH($E290,Baseline!$B$2:$E$2,0))))))</f>
        <v/>
      </c>
      <c r="P290" s="17" t="str">
        <f aca="false">IF($B290="","",INDEX(Course!$N$2:$N$19,MATCH($B290,Course!$A$2:$A$19,0)))</f>
        <v/>
      </c>
      <c r="Q290" s="17" t="str">
        <f aca="false">IF($B290="","",INDEX(Course!$P$2:$P$19,MATCH($B290,Course!$A$2:$A$19,0)))</f>
        <v/>
      </c>
      <c r="R290" s="17" t="str">
        <f aca="false">IF($C290="","",IF(OR($C290="G",$C290="H"),0,IF($C290="T",1,MIN(1,MAX(0,($N290-Inputs!$B$8)/MAX($P290-Inputs!$B$8,0.01))))))</f>
        <v/>
      </c>
      <c r="S290" s="17" t="str">
        <f aca="false">IF($C290="","",IF(OR($E290="G",$E290="H"),0,IF($E290="T",1,MIN(1,MAX(0,($O290-Inputs!$B$8)/MAX($P290-Inputs!$B$8,0.01))))))</f>
        <v/>
      </c>
    </row>
    <row r="291" customFormat="false" ht="15" hidden="false" customHeight="false" outlineLevel="0" collapsed="false">
      <c r="I291" s="7" t="str">
        <f aca="false">IF($C291="","",IF($C291="G","PUTT",IF(AND($C291="T",$M291&gt;3),"OTT",IF($D291&lt;=30,"ARG","APP"))))</f>
        <v/>
      </c>
      <c r="J291" s="17" t="str">
        <f aca="false">IF($C291="","",$N291+$Q291*$R291)</f>
        <v/>
      </c>
      <c r="K291" s="17" t="str">
        <f aca="false">IF($C291="","",$O291+$Q291*$S291)</f>
        <v/>
      </c>
      <c r="L291" s="17" t="str">
        <f aca="false">IF($C291="","",$J291-$K291-1-N($G291))</f>
        <v/>
      </c>
      <c r="M291" s="7" t="str">
        <f aca="false">IF($B291="","",INDEX(Course!$B$2:$B$19,MATCH($B291,Course!$A$2:$A$19,0)))</f>
        <v/>
      </c>
      <c r="N291" s="17" t="str">
        <f aca="false">IF($C291="","",IF($C291="H",0,IF($C291="G",INDEX(Baseline!$I$3:$I$102,MIN(MAX(ROUND($D291,0),1),100)),IF($C291="T",IF($M291=3,INDEX(Baseline!$B$3:$B$122,MATCH(MIN(MAX(ROUND(($D291)/5,0)*5,5),600),Baseline!$A$3:$A$122,0))-Inputs!$B$9,INDEX(Course!$N$2:$N$19,MATCH($B291,Course!$A$2:$A$19,0))),INDEX(Baseline!$B$3:$E$122,MATCH(MIN(MAX(ROUND(($D291)/5,0)*5,5),600),Baseline!$A$3:$A$122,0),MATCH($C291,Baseline!$B$2:$E$2,0))))))</f>
        <v/>
      </c>
      <c r="O291" s="17" t="str">
        <f aca="false">IF($C291="","",IF($E291="H",0,IF($E291="G",INDEX(Baseline!$I$3:$I$102,MIN(MAX(ROUND($F291,0),1),100)),IF($E291="T",IF($M291=3,INDEX(Baseline!$B$3:$B$122,MATCH(MIN(MAX(ROUND(($F291)/5,0)*5,5),600),Baseline!$A$3:$A$122,0))-Inputs!$B$9,INDEX(Course!$N$2:$N$19,MATCH($B291,Course!$A$2:$A$19,0))),INDEX(Baseline!$B$3:$E$122,MATCH(MIN(MAX(ROUND(($F291)/5,0)*5,5),600),Baseline!$A$3:$A$122,0),MATCH($E291,Baseline!$B$2:$E$2,0))))))</f>
        <v/>
      </c>
      <c r="P291" s="17" t="str">
        <f aca="false">IF($B291="","",INDEX(Course!$N$2:$N$19,MATCH($B291,Course!$A$2:$A$19,0)))</f>
        <v/>
      </c>
      <c r="Q291" s="17" t="str">
        <f aca="false">IF($B291="","",INDEX(Course!$P$2:$P$19,MATCH($B291,Course!$A$2:$A$19,0)))</f>
        <v/>
      </c>
      <c r="R291" s="17" t="str">
        <f aca="false">IF($C291="","",IF(OR($C291="G",$C291="H"),0,IF($C291="T",1,MIN(1,MAX(0,($N291-Inputs!$B$8)/MAX($P291-Inputs!$B$8,0.01))))))</f>
        <v/>
      </c>
      <c r="S291" s="17" t="str">
        <f aca="false">IF($C291="","",IF(OR($E291="G",$E291="H"),0,IF($E291="T",1,MIN(1,MAX(0,($O291-Inputs!$B$8)/MAX($P291-Inputs!$B$8,0.01))))))</f>
        <v/>
      </c>
    </row>
    <row r="292" customFormat="false" ht="15" hidden="false" customHeight="false" outlineLevel="0" collapsed="false">
      <c r="I292" s="7" t="str">
        <f aca="false">IF($C292="","",IF($C292="G","PUTT",IF(AND($C292="T",$M292&gt;3),"OTT",IF($D292&lt;=30,"ARG","APP"))))</f>
        <v/>
      </c>
      <c r="J292" s="17" t="str">
        <f aca="false">IF($C292="","",$N292+$Q292*$R292)</f>
        <v/>
      </c>
      <c r="K292" s="17" t="str">
        <f aca="false">IF($C292="","",$O292+$Q292*$S292)</f>
        <v/>
      </c>
      <c r="L292" s="17" t="str">
        <f aca="false">IF($C292="","",$J292-$K292-1-N($G292))</f>
        <v/>
      </c>
      <c r="M292" s="7" t="str">
        <f aca="false">IF($B292="","",INDEX(Course!$B$2:$B$19,MATCH($B292,Course!$A$2:$A$19,0)))</f>
        <v/>
      </c>
      <c r="N292" s="17" t="str">
        <f aca="false">IF($C292="","",IF($C292="H",0,IF($C292="G",INDEX(Baseline!$I$3:$I$102,MIN(MAX(ROUND($D292,0),1),100)),IF($C292="T",IF($M292=3,INDEX(Baseline!$B$3:$B$122,MATCH(MIN(MAX(ROUND(($D292)/5,0)*5,5),600),Baseline!$A$3:$A$122,0))-Inputs!$B$9,INDEX(Course!$N$2:$N$19,MATCH($B292,Course!$A$2:$A$19,0))),INDEX(Baseline!$B$3:$E$122,MATCH(MIN(MAX(ROUND(($D292)/5,0)*5,5),600),Baseline!$A$3:$A$122,0),MATCH($C292,Baseline!$B$2:$E$2,0))))))</f>
        <v/>
      </c>
      <c r="O292" s="17" t="str">
        <f aca="false">IF($C292="","",IF($E292="H",0,IF($E292="G",INDEX(Baseline!$I$3:$I$102,MIN(MAX(ROUND($F292,0),1),100)),IF($E292="T",IF($M292=3,INDEX(Baseline!$B$3:$B$122,MATCH(MIN(MAX(ROUND(($F292)/5,0)*5,5),600),Baseline!$A$3:$A$122,0))-Inputs!$B$9,INDEX(Course!$N$2:$N$19,MATCH($B292,Course!$A$2:$A$19,0))),INDEX(Baseline!$B$3:$E$122,MATCH(MIN(MAX(ROUND(($F292)/5,0)*5,5),600),Baseline!$A$3:$A$122,0),MATCH($E292,Baseline!$B$2:$E$2,0))))))</f>
        <v/>
      </c>
      <c r="P292" s="17" t="str">
        <f aca="false">IF($B292="","",INDEX(Course!$N$2:$N$19,MATCH($B292,Course!$A$2:$A$19,0)))</f>
        <v/>
      </c>
      <c r="Q292" s="17" t="str">
        <f aca="false">IF($B292="","",INDEX(Course!$P$2:$P$19,MATCH($B292,Course!$A$2:$A$19,0)))</f>
        <v/>
      </c>
      <c r="R292" s="17" t="str">
        <f aca="false">IF($C292="","",IF(OR($C292="G",$C292="H"),0,IF($C292="T",1,MIN(1,MAX(0,($N292-Inputs!$B$8)/MAX($P292-Inputs!$B$8,0.01))))))</f>
        <v/>
      </c>
      <c r="S292" s="17" t="str">
        <f aca="false">IF($C292="","",IF(OR($E292="G",$E292="H"),0,IF($E292="T",1,MIN(1,MAX(0,($O292-Inputs!$B$8)/MAX($P292-Inputs!$B$8,0.01))))))</f>
        <v/>
      </c>
    </row>
    <row r="293" customFormat="false" ht="15" hidden="false" customHeight="false" outlineLevel="0" collapsed="false">
      <c r="I293" s="7" t="str">
        <f aca="false">IF($C293="","",IF($C293="G","PUTT",IF(AND($C293="T",$M293&gt;3),"OTT",IF($D293&lt;=30,"ARG","APP"))))</f>
        <v/>
      </c>
      <c r="J293" s="17" t="str">
        <f aca="false">IF($C293="","",$N293+$Q293*$R293)</f>
        <v/>
      </c>
      <c r="K293" s="17" t="str">
        <f aca="false">IF($C293="","",$O293+$Q293*$S293)</f>
        <v/>
      </c>
      <c r="L293" s="17" t="str">
        <f aca="false">IF($C293="","",$J293-$K293-1-N($G293))</f>
        <v/>
      </c>
      <c r="M293" s="7" t="str">
        <f aca="false">IF($B293="","",INDEX(Course!$B$2:$B$19,MATCH($B293,Course!$A$2:$A$19,0)))</f>
        <v/>
      </c>
      <c r="N293" s="17" t="str">
        <f aca="false">IF($C293="","",IF($C293="H",0,IF($C293="G",INDEX(Baseline!$I$3:$I$102,MIN(MAX(ROUND($D293,0),1),100)),IF($C293="T",IF($M293=3,INDEX(Baseline!$B$3:$B$122,MATCH(MIN(MAX(ROUND(($D293)/5,0)*5,5),600),Baseline!$A$3:$A$122,0))-Inputs!$B$9,INDEX(Course!$N$2:$N$19,MATCH($B293,Course!$A$2:$A$19,0))),INDEX(Baseline!$B$3:$E$122,MATCH(MIN(MAX(ROUND(($D293)/5,0)*5,5),600),Baseline!$A$3:$A$122,0),MATCH($C293,Baseline!$B$2:$E$2,0))))))</f>
        <v/>
      </c>
      <c r="O293" s="17" t="str">
        <f aca="false">IF($C293="","",IF($E293="H",0,IF($E293="G",INDEX(Baseline!$I$3:$I$102,MIN(MAX(ROUND($F293,0),1),100)),IF($E293="T",IF($M293=3,INDEX(Baseline!$B$3:$B$122,MATCH(MIN(MAX(ROUND(($F293)/5,0)*5,5),600),Baseline!$A$3:$A$122,0))-Inputs!$B$9,INDEX(Course!$N$2:$N$19,MATCH($B293,Course!$A$2:$A$19,0))),INDEX(Baseline!$B$3:$E$122,MATCH(MIN(MAX(ROUND(($F293)/5,0)*5,5),600),Baseline!$A$3:$A$122,0),MATCH($E293,Baseline!$B$2:$E$2,0))))))</f>
        <v/>
      </c>
      <c r="P293" s="17" t="str">
        <f aca="false">IF($B293="","",INDEX(Course!$N$2:$N$19,MATCH($B293,Course!$A$2:$A$19,0)))</f>
        <v/>
      </c>
      <c r="Q293" s="17" t="str">
        <f aca="false">IF($B293="","",INDEX(Course!$P$2:$P$19,MATCH($B293,Course!$A$2:$A$19,0)))</f>
        <v/>
      </c>
      <c r="R293" s="17" t="str">
        <f aca="false">IF($C293="","",IF(OR($C293="G",$C293="H"),0,IF($C293="T",1,MIN(1,MAX(0,($N293-Inputs!$B$8)/MAX($P293-Inputs!$B$8,0.01))))))</f>
        <v/>
      </c>
      <c r="S293" s="17" t="str">
        <f aca="false">IF($C293="","",IF(OR($E293="G",$E293="H"),0,IF($E293="T",1,MIN(1,MAX(0,($O293-Inputs!$B$8)/MAX($P293-Inputs!$B$8,0.01))))))</f>
        <v/>
      </c>
    </row>
    <row r="294" customFormat="false" ht="15" hidden="false" customHeight="false" outlineLevel="0" collapsed="false">
      <c r="I294" s="7" t="str">
        <f aca="false">IF($C294="","",IF($C294="G","PUTT",IF(AND($C294="T",$M294&gt;3),"OTT",IF($D294&lt;=30,"ARG","APP"))))</f>
        <v/>
      </c>
      <c r="J294" s="17" t="str">
        <f aca="false">IF($C294="","",$N294+$Q294*$R294)</f>
        <v/>
      </c>
      <c r="K294" s="17" t="str">
        <f aca="false">IF($C294="","",$O294+$Q294*$S294)</f>
        <v/>
      </c>
      <c r="L294" s="17" t="str">
        <f aca="false">IF($C294="","",$J294-$K294-1-N($G294))</f>
        <v/>
      </c>
      <c r="M294" s="7" t="str">
        <f aca="false">IF($B294="","",INDEX(Course!$B$2:$B$19,MATCH($B294,Course!$A$2:$A$19,0)))</f>
        <v/>
      </c>
      <c r="N294" s="17" t="str">
        <f aca="false">IF($C294="","",IF($C294="H",0,IF($C294="G",INDEX(Baseline!$I$3:$I$102,MIN(MAX(ROUND($D294,0),1),100)),IF($C294="T",IF($M294=3,INDEX(Baseline!$B$3:$B$122,MATCH(MIN(MAX(ROUND(($D294)/5,0)*5,5),600),Baseline!$A$3:$A$122,0))-Inputs!$B$9,INDEX(Course!$N$2:$N$19,MATCH($B294,Course!$A$2:$A$19,0))),INDEX(Baseline!$B$3:$E$122,MATCH(MIN(MAX(ROUND(($D294)/5,0)*5,5),600),Baseline!$A$3:$A$122,0),MATCH($C294,Baseline!$B$2:$E$2,0))))))</f>
        <v/>
      </c>
      <c r="O294" s="17" t="str">
        <f aca="false">IF($C294="","",IF($E294="H",0,IF($E294="G",INDEX(Baseline!$I$3:$I$102,MIN(MAX(ROUND($F294,0),1),100)),IF($E294="T",IF($M294=3,INDEX(Baseline!$B$3:$B$122,MATCH(MIN(MAX(ROUND(($F294)/5,0)*5,5),600),Baseline!$A$3:$A$122,0))-Inputs!$B$9,INDEX(Course!$N$2:$N$19,MATCH($B294,Course!$A$2:$A$19,0))),INDEX(Baseline!$B$3:$E$122,MATCH(MIN(MAX(ROUND(($F294)/5,0)*5,5),600),Baseline!$A$3:$A$122,0),MATCH($E294,Baseline!$B$2:$E$2,0))))))</f>
        <v/>
      </c>
      <c r="P294" s="17" t="str">
        <f aca="false">IF($B294="","",INDEX(Course!$N$2:$N$19,MATCH($B294,Course!$A$2:$A$19,0)))</f>
        <v/>
      </c>
      <c r="Q294" s="17" t="str">
        <f aca="false">IF($B294="","",INDEX(Course!$P$2:$P$19,MATCH($B294,Course!$A$2:$A$19,0)))</f>
        <v/>
      </c>
      <c r="R294" s="17" t="str">
        <f aca="false">IF($C294="","",IF(OR($C294="G",$C294="H"),0,IF($C294="T",1,MIN(1,MAX(0,($N294-Inputs!$B$8)/MAX($P294-Inputs!$B$8,0.01))))))</f>
        <v/>
      </c>
      <c r="S294" s="17" t="str">
        <f aca="false">IF($C294="","",IF(OR($E294="G",$E294="H"),0,IF($E294="T",1,MIN(1,MAX(0,($O294-Inputs!$B$8)/MAX($P294-Inputs!$B$8,0.01))))))</f>
        <v/>
      </c>
    </row>
    <row r="295" customFormat="false" ht="15" hidden="false" customHeight="false" outlineLevel="0" collapsed="false">
      <c r="I295" s="7" t="str">
        <f aca="false">IF($C295="","",IF($C295="G","PUTT",IF(AND($C295="T",$M295&gt;3),"OTT",IF($D295&lt;=30,"ARG","APP"))))</f>
        <v/>
      </c>
      <c r="J295" s="17" t="str">
        <f aca="false">IF($C295="","",$N295+$Q295*$R295)</f>
        <v/>
      </c>
      <c r="K295" s="17" t="str">
        <f aca="false">IF($C295="","",$O295+$Q295*$S295)</f>
        <v/>
      </c>
      <c r="L295" s="17" t="str">
        <f aca="false">IF($C295="","",$J295-$K295-1-N($G295))</f>
        <v/>
      </c>
      <c r="M295" s="7" t="str">
        <f aca="false">IF($B295="","",INDEX(Course!$B$2:$B$19,MATCH($B295,Course!$A$2:$A$19,0)))</f>
        <v/>
      </c>
      <c r="N295" s="17" t="str">
        <f aca="false">IF($C295="","",IF($C295="H",0,IF($C295="G",INDEX(Baseline!$I$3:$I$102,MIN(MAX(ROUND($D295,0),1),100)),IF($C295="T",IF($M295=3,INDEX(Baseline!$B$3:$B$122,MATCH(MIN(MAX(ROUND(($D295)/5,0)*5,5),600),Baseline!$A$3:$A$122,0))-Inputs!$B$9,INDEX(Course!$N$2:$N$19,MATCH($B295,Course!$A$2:$A$19,0))),INDEX(Baseline!$B$3:$E$122,MATCH(MIN(MAX(ROUND(($D295)/5,0)*5,5),600),Baseline!$A$3:$A$122,0),MATCH($C295,Baseline!$B$2:$E$2,0))))))</f>
        <v/>
      </c>
      <c r="O295" s="17" t="str">
        <f aca="false">IF($C295="","",IF($E295="H",0,IF($E295="G",INDEX(Baseline!$I$3:$I$102,MIN(MAX(ROUND($F295,0),1),100)),IF($E295="T",IF($M295=3,INDEX(Baseline!$B$3:$B$122,MATCH(MIN(MAX(ROUND(($F295)/5,0)*5,5),600),Baseline!$A$3:$A$122,0))-Inputs!$B$9,INDEX(Course!$N$2:$N$19,MATCH($B295,Course!$A$2:$A$19,0))),INDEX(Baseline!$B$3:$E$122,MATCH(MIN(MAX(ROUND(($F295)/5,0)*5,5),600),Baseline!$A$3:$A$122,0),MATCH($E295,Baseline!$B$2:$E$2,0))))))</f>
        <v/>
      </c>
      <c r="P295" s="17" t="str">
        <f aca="false">IF($B295="","",INDEX(Course!$N$2:$N$19,MATCH($B295,Course!$A$2:$A$19,0)))</f>
        <v/>
      </c>
      <c r="Q295" s="17" t="str">
        <f aca="false">IF($B295="","",INDEX(Course!$P$2:$P$19,MATCH($B295,Course!$A$2:$A$19,0)))</f>
        <v/>
      </c>
      <c r="R295" s="17" t="str">
        <f aca="false">IF($C295="","",IF(OR($C295="G",$C295="H"),0,IF($C295="T",1,MIN(1,MAX(0,($N295-Inputs!$B$8)/MAX($P295-Inputs!$B$8,0.01))))))</f>
        <v/>
      </c>
      <c r="S295" s="17" t="str">
        <f aca="false">IF($C295="","",IF(OR($E295="G",$E295="H"),0,IF($E295="T",1,MIN(1,MAX(0,($O295-Inputs!$B$8)/MAX($P295-Inputs!$B$8,0.01))))))</f>
        <v/>
      </c>
    </row>
    <row r="296" customFormat="false" ht="15" hidden="false" customHeight="false" outlineLevel="0" collapsed="false">
      <c r="I296" s="7" t="str">
        <f aca="false">IF($C296="","",IF($C296="G","PUTT",IF(AND($C296="T",$M296&gt;3),"OTT",IF($D296&lt;=30,"ARG","APP"))))</f>
        <v/>
      </c>
      <c r="J296" s="17" t="str">
        <f aca="false">IF($C296="","",$N296+$Q296*$R296)</f>
        <v/>
      </c>
      <c r="K296" s="17" t="str">
        <f aca="false">IF($C296="","",$O296+$Q296*$S296)</f>
        <v/>
      </c>
      <c r="L296" s="17" t="str">
        <f aca="false">IF($C296="","",$J296-$K296-1-N($G296))</f>
        <v/>
      </c>
      <c r="M296" s="7" t="str">
        <f aca="false">IF($B296="","",INDEX(Course!$B$2:$B$19,MATCH($B296,Course!$A$2:$A$19,0)))</f>
        <v/>
      </c>
      <c r="N296" s="17" t="str">
        <f aca="false">IF($C296="","",IF($C296="H",0,IF($C296="G",INDEX(Baseline!$I$3:$I$102,MIN(MAX(ROUND($D296,0),1),100)),IF($C296="T",IF($M296=3,INDEX(Baseline!$B$3:$B$122,MATCH(MIN(MAX(ROUND(($D296)/5,0)*5,5),600),Baseline!$A$3:$A$122,0))-Inputs!$B$9,INDEX(Course!$N$2:$N$19,MATCH($B296,Course!$A$2:$A$19,0))),INDEX(Baseline!$B$3:$E$122,MATCH(MIN(MAX(ROUND(($D296)/5,0)*5,5),600),Baseline!$A$3:$A$122,0),MATCH($C296,Baseline!$B$2:$E$2,0))))))</f>
        <v/>
      </c>
      <c r="O296" s="17" t="str">
        <f aca="false">IF($C296="","",IF($E296="H",0,IF($E296="G",INDEX(Baseline!$I$3:$I$102,MIN(MAX(ROUND($F296,0),1),100)),IF($E296="T",IF($M296=3,INDEX(Baseline!$B$3:$B$122,MATCH(MIN(MAX(ROUND(($F296)/5,0)*5,5),600),Baseline!$A$3:$A$122,0))-Inputs!$B$9,INDEX(Course!$N$2:$N$19,MATCH($B296,Course!$A$2:$A$19,0))),INDEX(Baseline!$B$3:$E$122,MATCH(MIN(MAX(ROUND(($F296)/5,0)*5,5),600),Baseline!$A$3:$A$122,0),MATCH($E296,Baseline!$B$2:$E$2,0))))))</f>
        <v/>
      </c>
      <c r="P296" s="17" t="str">
        <f aca="false">IF($B296="","",INDEX(Course!$N$2:$N$19,MATCH($B296,Course!$A$2:$A$19,0)))</f>
        <v/>
      </c>
      <c r="Q296" s="17" t="str">
        <f aca="false">IF($B296="","",INDEX(Course!$P$2:$P$19,MATCH($B296,Course!$A$2:$A$19,0)))</f>
        <v/>
      </c>
      <c r="R296" s="17" t="str">
        <f aca="false">IF($C296="","",IF(OR($C296="G",$C296="H"),0,IF($C296="T",1,MIN(1,MAX(0,($N296-Inputs!$B$8)/MAX($P296-Inputs!$B$8,0.01))))))</f>
        <v/>
      </c>
      <c r="S296" s="17" t="str">
        <f aca="false">IF($C296="","",IF(OR($E296="G",$E296="H"),0,IF($E296="T",1,MIN(1,MAX(0,($O296-Inputs!$B$8)/MAX($P296-Inputs!$B$8,0.01))))))</f>
        <v/>
      </c>
    </row>
    <row r="297" customFormat="false" ht="15" hidden="false" customHeight="false" outlineLevel="0" collapsed="false">
      <c r="I297" s="7" t="str">
        <f aca="false">IF($C297="","",IF($C297="G","PUTT",IF(AND($C297="T",$M297&gt;3),"OTT",IF($D297&lt;=30,"ARG","APP"))))</f>
        <v/>
      </c>
      <c r="J297" s="17" t="str">
        <f aca="false">IF($C297="","",$N297+$Q297*$R297)</f>
        <v/>
      </c>
      <c r="K297" s="17" t="str">
        <f aca="false">IF($C297="","",$O297+$Q297*$S297)</f>
        <v/>
      </c>
      <c r="L297" s="17" t="str">
        <f aca="false">IF($C297="","",$J297-$K297-1-N($G297))</f>
        <v/>
      </c>
      <c r="M297" s="7" t="str">
        <f aca="false">IF($B297="","",INDEX(Course!$B$2:$B$19,MATCH($B297,Course!$A$2:$A$19,0)))</f>
        <v/>
      </c>
      <c r="N297" s="17" t="str">
        <f aca="false">IF($C297="","",IF($C297="H",0,IF($C297="G",INDEX(Baseline!$I$3:$I$102,MIN(MAX(ROUND($D297,0),1),100)),IF($C297="T",IF($M297=3,INDEX(Baseline!$B$3:$B$122,MATCH(MIN(MAX(ROUND(($D297)/5,0)*5,5),600),Baseline!$A$3:$A$122,0))-Inputs!$B$9,INDEX(Course!$N$2:$N$19,MATCH($B297,Course!$A$2:$A$19,0))),INDEX(Baseline!$B$3:$E$122,MATCH(MIN(MAX(ROUND(($D297)/5,0)*5,5),600),Baseline!$A$3:$A$122,0),MATCH($C297,Baseline!$B$2:$E$2,0))))))</f>
        <v/>
      </c>
      <c r="O297" s="17" t="str">
        <f aca="false">IF($C297="","",IF($E297="H",0,IF($E297="G",INDEX(Baseline!$I$3:$I$102,MIN(MAX(ROUND($F297,0),1),100)),IF($E297="T",IF($M297=3,INDEX(Baseline!$B$3:$B$122,MATCH(MIN(MAX(ROUND(($F297)/5,0)*5,5),600),Baseline!$A$3:$A$122,0))-Inputs!$B$9,INDEX(Course!$N$2:$N$19,MATCH($B297,Course!$A$2:$A$19,0))),INDEX(Baseline!$B$3:$E$122,MATCH(MIN(MAX(ROUND(($F297)/5,0)*5,5),600),Baseline!$A$3:$A$122,0),MATCH($E297,Baseline!$B$2:$E$2,0))))))</f>
        <v/>
      </c>
      <c r="P297" s="17" t="str">
        <f aca="false">IF($B297="","",INDEX(Course!$N$2:$N$19,MATCH($B297,Course!$A$2:$A$19,0)))</f>
        <v/>
      </c>
      <c r="Q297" s="17" t="str">
        <f aca="false">IF($B297="","",INDEX(Course!$P$2:$P$19,MATCH($B297,Course!$A$2:$A$19,0)))</f>
        <v/>
      </c>
      <c r="R297" s="17" t="str">
        <f aca="false">IF($C297="","",IF(OR($C297="G",$C297="H"),0,IF($C297="T",1,MIN(1,MAX(0,($N297-Inputs!$B$8)/MAX($P297-Inputs!$B$8,0.01))))))</f>
        <v/>
      </c>
      <c r="S297" s="17" t="str">
        <f aca="false">IF($C297="","",IF(OR($E297="G",$E297="H"),0,IF($E297="T",1,MIN(1,MAX(0,($O297-Inputs!$B$8)/MAX($P297-Inputs!$B$8,0.01))))))</f>
        <v/>
      </c>
    </row>
    <row r="298" customFormat="false" ht="15" hidden="false" customHeight="false" outlineLevel="0" collapsed="false">
      <c r="I298" s="7" t="str">
        <f aca="false">IF($C298="","",IF($C298="G","PUTT",IF(AND($C298="T",$M298&gt;3),"OTT",IF($D298&lt;=30,"ARG","APP"))))</f>
        <v/>
      </c>
      <c r="J298" s="17" t="str">
        <f aca="false">IF($C298="","",$N298+$Q298*$R298)</f>
        <v/>
      </c>
      <c r="K298" s="17" t="str">
        <f aca="false">IF($C298="","",$O298+$Q298*$S298)</f>
        <v/>
      </c>
      <c r="L298" s="17" t="str">
        <f aca="false">IF($C298="","",$J298-$K298-1-N($G298))</f>
        <v/>
      </c>
      <c r="M298" s="7" t="str">
        <f aca="false">IF($B298="","",INDEX(Course!$B$2:$B$19,MATCH($B298,Course!$A$2:$A$19,0)))</f>
        <v/>
      </c>
      <c r="N298" s="17" t="str">
        <f aca="false">IF($C298="","",IF($C298="H",0,IF($C298="G",INDEX(Baseline!$I$3:$I$102,MIN(MAX(ROUND($D298,0),1),100)),IF($C298="T",IF($M298=3,INDEX(Baseline!$B$3:$B$122,MATCH(MIN(MAX(ROUND(($D298)/5,0)*5,5),600),Baseline!$A$3:$A$122,0))-Inputs!$B$9,INDEX(Course!$N$2:$N$19,MATCH($B298,Course!$A$2:$A$19,0))),INDEX(Baseline!$B$3:$E$122,MATCH(MIN(MAX(ROUND(($D298)/5,0)*5,5),600),Baseline!$A$3:$A$122,0),MATCH($C298,Baseline!$B$2:$E$2,0))))))</f>
        <v/>
      </c>
      <c r="O298" s="17" t="str">
        <f aca="false">IF($C298="","",IF($E298="H",0,IF($E298="G",INDEX(Baseline!$I$3:$I$102,MIN(MAX(ROUND($F298,0),1),100)),IF($E298="T",IF($M298=3,INDEX(Baseline!$B$3:$B$122,MATCH(MIN(MAX(ROUND(($F298)/5,0)*5,5),600),Baseline!$A$3:$A$122,0))-Inputs!$B$9,INDEX(Course!$N$2:$N$19,MATCH($B298,Course!$A$2:$A$19,0))),INDEX(Baseline!$B$3:$E$122,MATCH(MIN(MAX(ROUND(($F298)/5,0)*5,5),600),Baseline!$A$3:$A$122,0),MATCH($E298,Baseline!$B$2:$E$2,0))))))</f>
        <v/>
      </c>
      <c r="P298" s="17" t="str">
        <f aca="false">IF($B298="","",INDEX(Course!$N$2:$N$19,MATCH($B298,Course!$A$2:$A$19,0)))</f>
        <v/>
      </c>
      <c r="Q298" s="17" t="str">
        <f aca="false">IF($B298="","",INDEX(Course!$P$2:$P$19,MATCH($B298,Course!$A$2:$A$19,0)))</f>
        <v/>
      </c>
      <c r="R298" s="17" t="str">
        <f aca="false">IF($C298="","",IF(OR($C298="G",$C298="H"),0,IF($C298="T",1,MIN(1,MAX(0,($N298-Inputs!$B$8)/MAX($P298-Inputs!$B$8,0.01))))))</f>
        <v/>
      </c>
      <c r="S298" s="17" t="str">
        <f aca="false">IF($C298="","",IF(OR($E298="G",$E298="H"),0,IF($E298="T",1,MIN(1,MAX(0,($O298-Inputs!$B$8)/MAX($P298-Inputs!$B$8,0.01))))))</f>
        <v/>
      </c>
    </row>
    <row r="299" customFormat="false" ht="15" hidden="false" customHeight="false" outlineLevel="0" collapsed="false">
      <c r="I299" s="7" t="str">
        <f aca="false">IF($C299="","",IF($C299="G","PUTT",IF(AND($C299="T",$M299&gt;3),"OTT",IF($D299&lt;=30,"ARG","APP"))))</f>
        <v/>
      </c>
      <c r="J299" s="17" t="str">
        <f aca="false">IF($C299="","",$N299+$Q299*$R299)</f>
        <v/>
      </c>
      <c r="K299" s="17" t="str">
        <f aca="false">IF($C299="","",$O299+$Q299*$S299)</f>
        <v/>
      </c>
      <c r="L299" s="17" t="str">
        <f aca="false">IF($C299="","",$J299-$K299-1-N($G299))</f>
        <v/>
      </c>
      <c r="M299" s="7" t="str">
        <f aca="false">IF($B299="","",INDEX(Course!$B$2:$B$19,MATCH($B299,Course!$A$2:$A$19,0)))</f>
        <v/>
      </c>
      <c r="N299" s="17" t="str">
        <f aca="false">IF($C299="","",IF($C299="H",0,IF($C299="G",INDEX(Baseline!$I$3:$I$102,MIN(MAX(ROUND($D299,0),1),100)),IF($C299="T",IF($M299=3,INDEX(Baseline!$B$3:$B$122,MATCH(MIN(MAX(ROUND(($D299)/5,0)*5,5),600),Baseline!$A$3:$A$122,0))-Inputs!$B$9,INDEX(Course!$N$2:$N$19,MATCH($B299,Course!$A$2:$A$19,0))),INDEX(Baseline!$B$3:$E$122,MATCH(MIN(MAX(ROUND(($D299)/5,0)*5,5),600),Baseline!$A$3:$A$122,0),MATCH($C299,Baseline!$B$2:$E$2,0))))))</f>
        <v/>
      </c>
      <c r="O299" s="17" t="str">
        <f aca="false">IF($C299="","",IF($E299="H",0,IF($E299="G",INDEX(Baseline!$I$3:$I$102,MIN(MAX(ROUND($F299,0),1),100)),IF($E299="T",IF($M299=3,INDEX(Baseline!$B$3:$B$122,MATCH(MIN(MAX(ROUND(($F299)/5,0)*5,5),600),Baseline!$A$3:$A$122,0))-Inputs!$B$9,INDEX(Course!$N$2:$N$19,MATCH($B299,Course!$A$2:$A$19,0))),INDEX(Baseline!$B$3:$E$122,MATCH(MIN(MAX(ROUND(($F299)/5,0)*5,5),600),Baseline!$A$3:$A$122,0),MATCH($E299,Baseline!$B$2:$E$2,0))))))</f>
        <v/>
      </c>
      <c r="P299" s="17" t="str">
        <f aca="false">IF($B299="","",INDEX(Course!$N$2:$N$19,MATCH($B299,Course!$A$2:$A$19,0)))</f>
        <v/>
      </c>
      <c r="Q299" s="17" t="str">
        <f aca="false">IF($B299="","",INDEX(Course!$P$2:$P$19,MATCH($B299,Course!$A$2:$A$19,0)))</f>
        <v/>
      </c>
      <c r="R299" s="17" t="str">
        <f aca="false">IF($C299="","",IF(OR($C299="G",$C299="H"),0,IF($C299="T",1,MIN(1,MAX(0,($N299-Inputs!$B$8)/MAX($P299-Inputs!$B$8,0.01))))))</f>
        <v/>
      </c>
      <c r="S299" s="17" t="str">
        <f aca="false">IF($C299="","",IF(OR($E299="G",$E299="H"),0,IF($E299="T",1,MIN(1,MAX(0,($O299-Inputs!$B$8)/MAX($P299-Inputs!$B$8,0.01))))))</f>
        <v/>
      </c>
    </row>
    <row r="300" customFormat="false" ht="15" hidden="false" customHeight="false" outlineLevel="0" collapsed="false">
      <c r="I300" s="7" t="str">
        <f aca="false">IF($C300="","",IF($C300="G","PUTT",IF(AND($C300="T",$M300&gt;3),"OTT",IF($D300&lt;=30,"ARG","APP"))))</f>
        <v/>
      </c>
      <c r="J300" s="17" t="str">
        <f aca="false">IF($C300="","",$N300+$Q300*$R300)</f>
        <v/>
      </c>
      <c r="K300" s="17" t="str">
        <f aca="false">IF($C300="","",$O300+$Q300*$S300)</f>
        <v/>
      </c>
      <c r="L300" s="17" t="str">
        <f aca="false">IF($C300="","",$J300-$K300-1-N($G300))</f>
        <v/>
      </c>
      <c r="M300" s="7" t="str">
        <f aca="false">IF($B300="","",INDEX(Course!$B$2:$B$19,MATCH($B300,Course!$A$2:$A$19,0)))</f>
        <v/>
      </c>
      <c r="N300" s="17" t="str">
        <f aca="false">IF($C300="","",IF($C300="H",0,IF($C300="G",INDEX(Baseline!$I$3:$I$102,MIN(MAX(ROUND($D300,0),1),100)),IF($C300="T",IF($M300=3,INDEX(Baseline!$B$3:$B$122,MATCH(MIN(MAX(ROUND(($D300)/5,0)*5,5),600),Baseline!$A$3:$A$122,0))-Inputs!$B$9,INDEX(Course!$N$2:$N$19,MATCH($B300,Course!$A$2:$A$19,0))),INDEX(Baseline!$B$3:$E$122,MATCH(MIN(MAX(ROUND(($D300)/5,0)*5,5),600),Baseline!$A$3:$A$122,0),MATCH($C300,Baseline!$B$2:$E$2,0))))))</f>
        <v/>
      </c>
      <c r="O300" s="17" t="str">
        <f aca="false">IF($C300="","",IF($E300="H",0,IF($E300="G",INDEX(Baseline!$I$3:$I$102,MIN(MAX(ROUND($F300,0),1),100)),IF($E300="T",IF($M300=3,INDEX(Baseline!$B$3:$B$122,MATCH(MIN(MAX(ROUND(($F300)/5,0)*5,5),600),Baseline!$A$3:$A$122,0))-Inputs!$B$9,INDEX(Course!$N$2:$N$19,MATCH($B300,Course!$A$2:$A$19,0))),INDEX(Baseline!$B$3:$E$122,MATCH(MIN(MAX(ROUND(($F300)/5,0)*5,5),600),Baseline!$A$3:$A$122,0),MATCH($E300,Baseline!$B$2:$E$2,0))))))</f>
        <v/>
      </c>
      <c r="P300" s="17" t="str">
        <f aca="false">IF($B300="","",INDEX(Course!$N$2:$N$19,MATCH($B300,Course!$A$2:$A$19,0)))</f>
        <v/>
      </c>
      <c r="Q300" s="17" t="str">
        <f aca="false">IF($B300="","",INDEX(Course!$P$2:$P$19,MATCH($B300,Course!$A$2:$A$19,0)))</f>
        <v/>
      </c>
      <c r="R300" s="17" t="str">
        <f aca="false">IF($C300="","",IF(OR($C300="G",$C300="H"),0,IF($C300="T",1,MIN(1,MAX(0,($N300-Inputs!$B$8)/MAX($P300-Inputs!$B$8,0.01))))))</f>
        <v/>
      </c>
      <c r="S300" s="17" t="str">
        <f aca="false">IF($C300="","",IF(OR($E300="G",$E300="H"),0,IF($E300="T",1,MIN(1,MAX(0,($O300-Inputs!$B$8)/MAX($P300-Inputs!$B$8,0.01))))))</f>
        <v/>
      </c>
    </row>
    <row r="301" customFormat="false" ht="15" hidden="false" customHeight="false" outlineLevel="0" collapsed="false">
      <c r="I301" s="7" t="str">
        <f aca="false">IF($C301="","",IF($C301="G","PUTT",IF(AND($C301="T",$M301&gt;3),"OTT",IF($D301&lt;=30,"ARG","APP"))))</f>
        <v/>
      </c>
      <c r="J301" s="17" t="str">
        <f aca="false">IF($C301="","",$N301+$Q301*$R301)</f>
        <v/>
      </c>
      <c r="K301" s="17" t="str">
        <f aca="false">IF($C301="","",$O301+$Q301*$S301)</f>
        <v/>
      </c>
      <c r="L301" s="17" t="str">
        <f aca="false">IF($C301="","",$J301-$K301-1-N($G301))</f>
        <v/>
      </c>
      <c r="M301" s="7" t="str">
        <f aca="false">IF($B301="","",INDEX(Course!$B$2:$B$19,MATCH($B301,Course!$A$2:$A$19,0)))</f>
        <v/>
      </c>
      <c r="N301" s="17" t="str">
        <f aca="false">IF($C301="","",IF($C301="H",0,IF($C301="G",INDEX(Baseline!$I$3:$I$102,MIN(MAX(ROUND($D301,0),1),100)),IF($C301="T",IF($M301=3,INDEX(Baseline!$B$3:$B$122,MATCH(MIN(MAX(ROUND(($D301)/5,0)*5,5),600),Baseline!$A$3:$A$122,0))-Inputs!$B$9,INDEX(Course!$N$2:$N$19,MATCH($B301,Course!$A$2:$A$19,0))),INDEX(Baseline!$B$3:$E$122,MATCH(MIN(MAX(ROUND(($D301)/5,0)*5,5),600),Baseline!$A$3:$A$122,0),MATCH($C301,Baseline!$B$2:$E$2,0))))))</f>
        <v/>
      </c>
      <c r="O301" s="17" t="str">
        <f aca="false">IF($C301="","",IF($E301="H",0,IF($E301="G",INDEX(Baseline!$I$3:$I$102,MIN(MAX(ROUND($F301,0),1),100)),IF($E301="T",IF($M301=3,INDEX(Baseline!$B$3:$B$122,MATCH(MIN(MAX(ROUND(($F301)/5,0)*5,5),600),Baseline!$A$3:$A$122,0))-Inputs!$B$9,INDEX(Course!$N$2:$N$19,MATCH($B301,Course!$A$2:$A$19,0))),INDEX(Baseline!$B$3:$E$122,MATCH(MIN(MAX(ROUND(($F301)/5,0)*5,5),600),Baseline!$A$3:$A$122,0),MATCH($E301,Baseline!$B$2:$E$2,0))))))</f>
        <v/>
      </c>
      <c r="P301" s="17" t="str">
        <f aca="false">IF($B301="","",INDEX(Course!$N$2:$N$19,MATCH($B301,Course!$A$2:$A$19,0)))</f>
        <v/>
      </c>
      <c r="Q301" s="17" t="str">
        <f aca="false">IF($B301="","",INDEX(Course!$P$2:$P$19,MATCH($B301,Course!$A$2:$A$19,0)))</f>
        <v/>
      </c>
      <c r="R301" s="17" t="str">
        <f aca="false">IF($C301="","",IF(OR($C301="G",$C301="H"),0,IF($C301="T",1,MIN(1,MAX(0,($N301-Inputs!$B$8)/MAX($P301-Inputs!$B$8,0.01))))))</f>
        <v/>
      </c>
      <c r="S301" s="17" t="str">
        <f aca="false">IF($C301="","",IF(OR($E301="G",$E301="H"),0,IF($E301="T",1,MIN(1,MAX(0,($O301-Inputs!$B$8)/MAX($P301-Inputs!$B$8,0.01))))))</f>
        <v/>
      </c>
    </row>
    <row r="302" customFormat="false" ht="15" hidden="false" customHeight="false" outlineLevel="0" collapsed="false">
      <c r="I302" s="7" t="str">
        <f aca="false">IF($C302="","",IF($C302="G","PUTT",IF(AND($C302="T",$M302&gt;3),"OTT",IF($D302&lt;=30,"ARG","APP"))))</f>
        <v/>
      </c>
      <c r="J302" s="17" t="str">
        <f aca="false">IF($C302="","",$N302+$Q302*$R302)</f>
        <v/>
      </c>
      <c r="K302" s="17" t="str">
        <f aca="false">IF($C302="","",$O302+$Q302*$S302)</f>
        <v/>
      </c>
      <c r="L302" s="17" t="str">
        <f aca="false">IF($C302="","",$J302-$K302-1-N($G302))</f>
        <v/>
      </c>
      <c r="M302" s="7" t="str">
        <f aca="false">IF($B302="","",INDEX(Course!$B$2:$B$19,MATCH($B302,Course!$A$2:$A$19,0)))</f>
        <v/>
      </c>
      <c r="N302" s="17" t="str">
        <f aca="false">IF($C302="","",IF($C302="H",0,IF($C302="G",INDEX(Baseline!$I$3:$I$102,MIN(MAX(ROUND($D302,0),1),100)),IF($C302="T",IF($M302=3,INDEX(Baseline!$B$3:$B$122,MATCH(MIN(MAX(ROUND(($D302)/5,0)*5,5),600),Baseline!$A$3:$A$122,0))-Inputs!$B$9,INDEX(Course!$N$2:$N$19,MATCH($B302,Course!$A$2:$A$19,0))),INDEX(Baseline!$B$3:$E$122,MATCH(MIN(MAX(ROUND(($D302)/5,0)*5,5),600),Baseline!$A$3:$A$122,0),MATCH($C302,Baseline!$B$2:$E$2,0))))))</f>
        <v/>
      </c>
      <c r="O302" s="17" t="str">
        <f aca="false">IF($C302="","",IF($E302="H",0,IF($E302="G",INDEX(Baseline!$I$3:$I$102,MIN(MAX(ROUND($F302,0),1),100)),IF($E302="T",IF($M302=3,INDEX(Baseline!$B$3:$B$122,MATCH(MIN(MAX(ROUND(($F302)/5,0)*5,5),600),Baseline!$A$3:$A$122,0))-Inputs!$B$9,INDEX(Course!$N$2:$N$19,MATCH($B302,Course!$A$2:$A$19,0))),INDEX(Baseline!$B$3:$E$122,MATCH(MIN(MAX(ROUND(($F302)/5,0)*5,5),600),Baseline!$A$3:$A$122,0),MATCH($E302,Baseline!$B$2:$E$2,0))))))</f>
        <v/>
      </c>
      <c r="P302" s="17" t="str">
        <f aca="false">IF($B302="","",INDEX(Course!$N$2:$N$19,MATCH($B302,Course!$A$2:$A$19,0)))</f>
        <v/>
      </c>
      <c r="Q302" s="17" t="str">
        <f aca="false">IF($B302="","",INDEX(Course!$P$2:$P$19,MATCH($B302,Course!$A$2:$A$19,0)))</f>
        <v/>
      </c>
      <c r="R302" s="17" t="str">
        <f aca="false">IF($C302="","",IF(OR($C302="G",$C302="H"),0,IF($C302="T",1,MIN(1,MAX(0,($N302-Inputs!$B$8)/MAX($P302-Inputs!$B$8,0.01))))))</f>
        <v/>
      </c>
      <c r="S302" s="17" t="str">
        <f aca="false">IF($C302="","",IF(OR($E302="G",$E302="H"),0,IF($E302="T",1,MIN(1,MAX(0,($O302-Inputs!$B$8)/MAX($P302-Inputs!$B$8,0.01))))))</f>
        <v/>
      </c>
    </row>
    <row r="303" customFormat="false" ht="15" hidden="false" customHeight="false" outlineLevel="0" collapsed="false">
      <c r="I303" s="7" t="str">
        <f aca="false">IF($C303="","",IF($C303="G","PUTT",IF(AND($C303="T",$M303&gt;3),"OTT",IF($D303&lt;=30,"ARG","APP"))))</f>
        <v/>
      </c>
      <c r="J303" s="17" t="str">
        <f aca="false">IF($C303="","",$N303+$Q303*$R303)</f>
        <v/>
      </c>
      <c r="K303" s="17" t="str">
        <f aca="false">IF($C303="","",$O303+$Q303*$S303)</f>
        <v/>
      </c>
      <c r="L303" s="17" t="str">
        <f aca="false">IF($C303="","",$J303-$K303-1-N($G303))</f>
        <v/>
      </c>
      <c r="M303" s="7" t="str">
        <f aca="false">IF($B303="","",INDEX(Course!$B$2:$B$19,MATCH($B303,Course!$A$2:$A$19,0)))</f>
        <v/>
      </c>
      <c r="N303" s="17" t="str">
        <f aca="false">IF($C303="","",IF($C303="H",0,IF($C303="G",INDEX(Baseline!$I$3:$I$102,MIN(MAX(ROUND($D303,0),1),100)),IF($C303="T",IF($M303=3,INDEX(Baseline!$B$3:$B$122,MATCH(MIN(MAX(ROUND(($D303)/5,0)*5,5),600),Baseline!$A$3:$A$122,0))-Inputs!$B$9,INDEX(Course!$N$2:$N$19,MATCH($B303,Course!$A$2:$A$19,0))),INDEX(Baseline!$B$3:$E$122,MATCH(MIN(MAX(ROUND(($D303)/5,0)*5,5),600),Baseline!$A$3:$A$122,0),MATCH($C303,Baseline!$B$2:$E$2,0))))))</f>
        <v/>
      </c>
      <c r="O303" s="17" t="str">
        <f aca="false">IF($C303="","",IF($E303="H",0,IF($E303="G",INDEX(Baseline!$I$3:$I$102,MIN(MAX(ROUND($F303,0),1),100)),IF($E303="T",IF($M303=3,INDEX(Baseline!$B$3:$B$122,MATCH(MIN(MAX(ROUND(($F303)/5,0)*5,5),600),Baseline!$A$3:$A$122,0))-Inputs!$B$9,INDEX(Course!$N$2:$N$19,MATCH($B303,Course!$A$2:$A$19,0))),INDEX(Baseline!$B$3:$E$122,MATCH(MIN(MAX(ROUND(($F303)/5,0)*5,5),600),Baseline!$A$3:$A$122,0),MATCH($E303,Baseline!$B$2:$E$2,0))))))</f>
        <v/>
      </c>
      <c r="P303" s="17" t="str">
        <f aca="false">IF($B303="","",INDEX(Course!$N$2:$N$19,MATCH($B303,Course!$A$2:$A$19,0)))</f>
        <v/>
      </c>
      <c r="Q303" s="17" t="str">
        <f aca="false">IF($B303="","",INDEX(Course!$P$2:$P$19,MATCH($B303,Course!$A$2:$A$19,0)))</f>
        <v/>
      </c>
      <c r="R303" s="17" t="str">
        <f aca="false">IF($C303="","",IF(OR($C303="G",$C303="H"),0,IF($C303="T",1,MIN(1,MAX(0,($N303-Inputs!$B$8)/MAX($P303-Inputs!$B$8,0.01))))))</f>
        <v/>
      </c>
      <c r="S303" s="17" t="str">
        <f aca="false">IF($C303="","",IF(OR($E303="G",$E303="H"),0,IF($E303="T",1,MIN(1,MAX(0,($O303-Inputs!$B$8)/MAX($P303-Inputs!$B$8,0.01))))))</f>
        <v/>
      </c>
    </row>
    <row r="304" customFormat="false" ht="15" hidden="false" customHeight="false" outlineLevel="0" collapsed="false">
      <c r="I304" s="7" t="str">
        <f aca="false">IF($C304="","",IF($C304="G","PUTT",IF(AND($C304="T",$M304&gt;3),"OTT",IF($D304&lt;=30,"ARG","APP"))))</f>
        <v/>
      </c>
      <c r="J304" s="17" t="str">
        <f aca="false">IF($C304="","",$N304+$Q304*$R304)</f>
        <v/>
      </c>
      <c r="K304" s="17" t="str">
        <f aca="false">IF($C304="","",$O304+$Q304*$S304)</f>
        <v/>
      </c>
      <c r="L304" s="17" t="str">
        <f aca="false">IF($C304="","",$J304-$K304-1-N($G304))</f>
        <v/>
      </c>
      <c r="M304" s="7" t="str">
        <f aca="false">IF($B304="","",INDEX(Course!$B$2:$B$19,MATCH($B304,Course!$A$2:$A$19,0)))</f>
        <v/>
      </c>
      <c r="N304" s="17" t="str">
        <f aca="false">IF($C304="","",IF($C304="H",0,IF($C304="G",INDEX(Baseline!$I$3:$I$102,MIN(MAX(ROUND($D304,0),1),100)),IF($C304="T",IF($M304=3,INDEX(Baseline!$B$3:$B$122,MATCH(MIN(MAX(ROUND(($D304)/5,0)*5,5),600),Baseline!$A$3:$A$122,0))-Inputs!$B$9,INDEX(Course!$N$2:$N$19,MATCH($B304,Course!$A$2:$A$19,0))),INDEX(Baseline!$B$3:$E$122,MATCH(MIN(MAX(ROUND(($D304)/5,0)*5,5),600),Baseline!$A$3:$A$122,0),MATCH($C304,Baseline!$B$2:$E$2,0))))))</f>
        <v/>
      </c>
      <c r="O304" s="17" t="str">
        <f aca="false">IF($C304="","",IF($E304="H",0,IF($E304="G",INDEX(Baseline!$I$3:$I$102,MIN(MAX(ROUND($F304,0),1),100)),IF($E304="T",IF($M304=3,INDEX(Baseline!$B$3:$B$122,MATCH(MIN(MAX(ROUND(($F304)/5,0)*5,5),600),Baseline!$A$3:$A$122,0))-Inputs!$B$9,INDEX(Course!$N$2:$N$19,MATCH($B304,Course!$A$2:$A$19,0))),INDEX(Baseline!$B$3:$E$122,MATCH(MIN(MAX(ROUND(($F304)/5,0)*5,5),600),Baseline!$A$3:$A$122,0),MATCH($E304,Baseline!$B$2:$E$2,0))))))</f>
        <v/>
      </c>
      <c r="P304" s="17" t="str">
        <f aca="false">IF($B304="","",INDEX(Course!$N$2:$N$19,MATCH($B304,Course!$A$2:$A$19,0)))</f>
        <v/>
      </c>
      <c r="Q304" s="17" t="str">
        <f aca="false">IF($B304="","",INDEX(Course!$P$2:$P$19,MATCH($B304,Course!$A$2:$A$19,0)))</f>
        <v/>
      </c>
      <c r="R304" s="17" t="str">
        <f aca="false">IF($C304="","",IF(OR($C304="G",$C304="H"),0,IF($C304="T",1,MIN(1,MAX(0,($N304-Inputs!$B$8)/MAX($P304-Inputs!$B$8,0.01))))))</f>
        <v/>
      </c>
      <c r="S304" s="17" t="str">
        <f aca="false">IF($C304="","",IF(OR($E304="G",$E304="H"),0,IF($E304="T",1,MIN(1,MAX(0,($O304-Inputs!$B$8)/MAX($P304-Inputs!$B$8,0.01))))))</f>
        <v/>
      </c>
    </row>
    <row r="305" customFormat="false" ht="15" hidden="false" customHeight="false" outlineLevel="0" collapsed="false">
      <c r="I305" s="7" t="str">
        <f aca="false">IF($C305="","",IF($C305="G","PUTT",IF(AND($C305="T",$M305&gt;3),"OTT",IF($D305&lt;=30,"ARG","APP"))))</f>
        <v/>
      </c>
      <c r="J305" s="17" t="str">
        <f aca="false">IF($C305="","",$N305+$Q305*$R305)</f>
        <v/>
      </c>
      <c r="K305" s="17" t="str">
        <f aca="false">IF($C305="","",$O305+$Q305*$S305)</f>
        <v/>
      </c>
      <c r="L305" s="17" t="str">
        <f aca="false">IF($C305="","",$J305-$K305-1-N($G305))</f>
        <v/>
      </c>
      <c r="M305" s="7" t="str">
        <f aca="false">IF($B305="","",INDEX(Course!$B$2:$B$19,MATCH($B305,Course!$A$2:$A$19,0)))</f>
        <v/>
      </c>
      <c r="N305" s="17" t="str">
        <f aca="false">IF($C305="","",IF($C305="H",0,IF($C305="G",INDEX(Baseline!$I$3:$I$102,MIN(MAX(ROUND($D305,0),1),100)),IF($C305="T",IF($M305=3,INDEX(Baseline!$B$3:$B$122,MATCH(MIN(MAX(ROUND(($D305)/5,0)*5,5),600),Baseline!$A$3:$A$122,0))-Inputs!$B$9,INDEX(Course!$N$2:$N$19,MATCH($B305,Course!$A$2:$A$19,0))),INDEX(Baseline!$B$3:$E$122,MATCH(MIN(MAX(ROUND(($D305)/5,0)*5,5),600),Baseline!$A$3:$A$122,0),MATCH($C305,Baseline!$B$2:$E$2,0))))))</f>
        <v/>
      </c>
      <c r="O305" s="17" t="str">
        <f aca="false">IF($C305="","",IF($E305="H",0,IF($E305="G",INDEX(Baseline!$I$3:$I$102,MIN(MAX(ROUND($F305,0),1),100)),IF($E305="T",IF($M305=3,INDEX(Baseline!$B$3:$B$122,MATCH(MIN(MAX(ROUND(($F305)/5,0)*5,5),600),Baseline!$A$3:$A$122,0))-Inputs!$B$9,INDEX(Course!$N$2:$N$19,MATCH($B305,Course!$A$2:$A$19,0))),INDEX(Baseline!$B$3:$E$122,MATCH(MIN(MAX(ROUND(($F305)/5,0)*5,5),600),Baseline!$A$3:$A$122,0),MATCH($E305,Baseline!$B$2:$E$2,0))))))</f>
        <v/>
      </c>
      <c r="P305" s="17" t="str">
        <f aca="false">IF($B305="","",INDEX(Course!$N$2:$N$19,MATCH($B305,Course!$A$2:$A$19,0)))</f>
        <v/>
      </c>
      <c r="Q305" s="17" t="str">
        <f aca="false">IF($B305="","",INDEX(Course!$P$2:$P$19,MATCH($B305,Course!$A$2:$A$19,0)))</f>
        <v/>
      </c>
      <c r="R305" s="17" t="str">
        <f aca="false">IF($C305="","",IF(OR($C305="G",$C305="H"),0,IF($C305="T",1,MIN(1,MAX(0,($N305-Inputs!$B$8)/MAX($P305-Inputs!$B$8,0.01))))))</f>
        <v/>
      </c>
      <c r="S305" s="17" t="str">
        <f aca="false">IF($C305="","",IF(OR($E305="G",$E305="H"),0,IF($E305="T",1,MIN(1,MAX(0,($O305-Inputs!$B$8)/MAX($P305-Inputs!$B$8,0.01))))))</f>
        <v/>
      </c>
    </row>
    <row r="306" customFormat="false" ht="15" hidden="false" customHeight="false" outlineLevel="0" collapsed="false">
      <c r="I306" s="7" t="str">
        <f aca="false">IF($C306="","",IF($C306="G","PUTT",IF(AND($C306="T",$M306&gt;3),"OTT",IF($D306&lt;=30,"ARG","APP"))))</f>
        <v/>
      </c>
      <c r="J306" s="17" t="str">
        <f aca="false">IF($C306="","",$N306+$Q306*$R306)</f>
        <v/>
      </c>
      <c r="K306" s="17" t="str">
        <f aca="false">IF($C306="","",$O306+$Q306*$S306)</f>
        <v/>
      </c>
      <c r="L306" s="17" t="str">
        <f aca="false">IF($C306="","",$J306-$K306-1-N($G306))</f>
        <v/>
      </c>
      <c r="M306" s="7" t="str">
        <f aca="false">IF($B306="","",INDEX(Course!$B$2:$B$19,MATCH($B306,Course!$A$2:$A$19,0)))</f>
        <v/>
      </c>
      <c r="N306" s="17" t="str">
        <f aca="false">IF($C306="","",IF($C306="H",0,IF($C306="G",INDEX(Baseline!$I$3:$I$102,MIN(MAX(ROUND($D306,0),1),100)),IF($C306="T",IF($M306=3,INDEX(Baseline!$B$3:$B$122,MATCH(MIN(MAX(ROUND(($D306)/5,0)*5,5),600),Baseline!$A$3:$A$122,0))-Inputs!$B$9,INDEX(Course!$N$2:$N$19,MATCH($B306,Course!$A$2:$A$19,0))),INDEX(Baseline!$B$3:$E$122,MATCH(MIN(MAX(ROUND(($D306)/5,0)*5,5),600),Baseline!$A$3:$A$122,0),MATCH($C306,Baseline!$B$2:$E$2,0))))))</f>
        <v/>
      </c>
      <c r="O306" s="17" t="str">
        <f aca="false">IF($C306="","",IF($E306="H",0,IF($E306="G",INDEX(Baseline!$I$3:$I$102,MIN(MAX(ROUND($F306,0),1),100)),IF($E306="T",IF($M306=3,INDEX(Baseline!$B$3:$B$122,MATCH(MIN(MAX(ROUND(($F306)/5,0)*5,5),600),Baseline!$A$3:$A$122,0))-Inputs!$B$9,INDEX(Course!$N$2:$N$19,MATCH($B306,Course!$A$2:$A$19,0))),INDEX(Baseline!$B$3:$E$122,MATCH(MIN(MAX(ROUND(($F306)/5,0)*5,5),600),Baseline!$A$3:$A$122,0),MATCH($E306,Baseline!$B$2:$E$2,0))))))</f>
        <v/>
      </c>
      <c r="P306" s="17" t="str">
        <f aca="false">IF($B306="","",INDEX(Course!$N$2:$N$19,MATCH($B306,Course!$A$2:$A$19,0)))</f>
        <v/>
      </c>
      <c r="Q306" s="17" t="str">
        <f aca="false">IF($B306="","",INDEX(Course!$P$2:$P$19,MATCH($B306,Course!$A$2:$A$19,0)))</f>
        <v/>
      </c>
      <c r="R306" s="17" t="str">
        <f aca="false">IF($C306="","",IF(OR($C306="G",$C306="H"),0,IF($C306="T",1,MIN(1,MAX(0,($N306-Inputs!$B$8)/MAX($P306-Inputs!$B$8,0.01))))))</f>
        <v/>
      </c>
      <c r="S306" s="17" t="str">
        <f aca="false">IF($C306="","",IF(OR($E306="G",$E306="H"),0,IF($E306="T",1,MIN(1,MAX(0,($O306-Inputs!$B$8)/MAX($P306-Inputs!$B$8,0.01))))))</f>
        <v/>
      </c>
    </row>
    <row r="307" customFormat="false" ht="15" hidden="false" customHeight="false" outlineLevel="0" collapsed="false">
      <c r="I307" s="7" t="str">
        <f aca="false">IF($C307="","",IF($C307="G","PUTT",IF(AND($C307="T",$M307&gt;3),"OTT",IF($D307&lt;=30,"ARG","APP"))))</f>
        <v/>
      </c>
      <c r="J307" s="17" t="str">
        <f aca="false">IF($C307="","",$N307+$Q307*$R307)</f>
        <v/>
      </c>
      <c r="K307" s="17" t="str">
        <f aca="false">IF($C307="","",$O307+$Q307*$S307)</f>
        <v/>
      </c>
      <c r="L307" s="17" t="str">
        <f aca="false">IF($C307="","",$J307-$K307-1-N($G307))</f>
        <v/>
      </c>
      <c r="M307" s="7" t="str">
        <f aca="false">IF($B307="","",INDEX(Course!$B$2:$B$19,MATCH($B307,Course!$A$2:$A$19,0)))</f>
        <v/>
      </c>
      <c r="N307" s="17" t="str">
        <f aca="false">IF($C307="","",IF($C307="H",0,IF($C307="G",INDEX(Baseline!$I$3:$I$102,MIN(MAX(ROUND($D307,0),1),100)),IF($C307="T",IF($M307=3,INDEX(Baseline!$B$3:$B$122,MATCH(MIN(MAX(ROUND(($D307)/5,0)*5,5),600),Baseline!$A$3:$A$122,0))-Inputs!$B$9,INDEX(Course!$N$2:$N$19,MATCH($B307,Course!$A$2:$A$19,0))),INDEX(Baseline!$B$3:$E$122,MATCH(MIN(MAX(ROUND(($D307)/5,0)*5,5),600),Baseline!$A$3:$A$122,0),MATCH($C307,Baseline!$B$2:$E$2,0))))))</f>
        <v/>
      </c>
      <c r="O307" s="17" t="str">
        <f aca="false">IF($C307="","",IF($E307="H",0,IF($E307="G",INDEX(Baseline!$I$3:$I$102,MIN(MAX(ROUND($F307,0),1),100)),IF($E307="T",IF($M307=3,INDEX(Baseline!$B$3:$B$122,MATCH(MIN(MAX(ROUND(($F307)/5,0)*5,5),600),Baseline!$A$3:$A$122,0))-Inputs!$B$9,INDEX(Course!$N$2:$N$19,MATCH($B307,Course!$A$2:$A$19,0))),INDEX(Baseline!$B$3:$E$122,MATCH(MIN(MAX(ROUND(($F307)/5,0)*5,5),600),Baseline!$A$3:$A$122,0),MATCH($E307,Baseline!$B$2:$E$2,0))))))</f>
        <v/>
      </c>
      <c r="P307" s="17" t="str">
        <f aca="false">IF($B307="","",INDEX(Course!$N$2:$N$19,MATCH($B307,Course!$A$2:$A$19,0)))</f>
        <v/>
      </c>
      <c r="Q307" s="17" t="str">
        <f aca="false">IF($B307="","",INDEX(Course!$P$2:$P$19,MATCH($B307,Course!$A$2:$A$19,0)))</f>
        <v/>
      </c>
      <c r="R307" s="17" t="str">
        <f aca="false">IF($C307="","",IF(OR($C307="G",$C307="H"),0,IF($C307="T",1,MIN(1,MAX(0,($N307-Inputs!$B$8)/MAX($P307-Inputs!$B$8,0.01))))))</f>
        <v/>
      </c>
      <c r="S307" s="17" t="str">
        <f aca="false">IF($C307="","",IF(OR($E307="G",$E307="H"),0,IF($E307="T",1,MIN(1,MAX(0,($O307-Inputs!$B$8)/MAX($P307-Inputs!$B$8,0.01))))))</f>
        <v/>
      </c>
    </row>
    <row r="308" customFormat="false" ht="15" hidden="false" customHeight="false" outlineLevel="0" collapsed="false">
      <c r="I308" s="7" t="str">
        <f aca="false">IF($C308="","",IF($C308="G","PUTT",IF(AND($C308="T",$M308&gt;3),"OTT",IF($D308&lt;=30,"ARG","APP"))))</f>
        <v/>
      </c>
      <c r="J308" s="17" t="str">
        <f aca="false">IF($C308="","",$N308+$Q308*$R308)</f>
        <v/>
      </c>
      <c r="K308" s="17" t="str">
        <f aca="false">IF($C308="","",$O308+$Q308*$S308)</f>
        <v/>
      </c>
      <c r="L308" s="17" t="str">
        <f aca="false">IF($C308="","",$J308-$K308-1-N($G308))</f>
        <v/>
      </c>
      <c r="M308" s="7" t="str">
        <f aca="false">IF($B308="","",INDEX(Course!$B$2:$B$19,MATCH($B308,Course!$A$2:$A$19,0)))</f>
        <v/>
      </c>
      <c r="N308" s="17" t="str">
        <f aca="false">IF($C308="","",IF($C308="H",0,IF($C308="G",INDEX(Baseline!$I$3:$I$102,MIN(MAX(ROUND($D308,0),1),100)),IF($C308="T",IF($M308=3,INDEX(Baseline!$B$3:$B$122,MATCH(MIN(MAX(ROUND(($D308)/5,0)*5,5),600),Baseline!$A$3:$A$122,0))-Inputs!$B$9,INDEX(Course!$N$2:$N$19,MATCH($B308,Course!$A$2:$A$19,0))),INDEX(Baseline!$B$3:$E$122,MATCH(MIN(MAX(ROUND(($D308)/5,0)*5,5),600),Baseline!$A$3:$A$122,0),MATCH($C308,Baseline!$B$2:$E$2,0))))))</f>
        <v/>
      </c>
      <c r="O308" s="17" t="str">
        <f aca="false">IF($C308="","",IF($E308="H",0,IF($E308="G",INDEX(Baseline!$I$3:$I$102,MIN(MAX(ROUND($F308,0),1),100)),IF($E308="T",IF($M308=3,INDEX(Baseline!$B$3:$B$122,MATCH(MIN(MAX(ROUND(($F308)/5,0)*5,5),600),Baseline!$A$3:$A$122,0))-Inputs!$B$9,INDEX(Course!$N$2:$N$19,MATCH($B308,Course!$A$2:$A$19,0))),INDEX(Baseline!$B$3:$E$122,MATCH(MIN(MAX(ROUND(($F308)/5,0)*5,5),600),Baseline!$A$3:$A$122,0),MATCH($E308,Baseline!$B$2:$E$2,0))))))</f>
        <v/>
      </c>
      <c r="P308" s="17" t="str">
        <f aca="false">IF($B308="","",INDEX(Course!$N$2:$N$19,MATCH($B308,Course!$A$2:$A$19,0)))</f>
        <v/>
      </c>
      <c r="Q308" s="17" t="str">
        <f aca="false">IF($B308="","",INDEX(Course!$P$2:$P$19,MATCH($B308,Course!$A$2:$A$19,0)))</f>
        <v/>
      </c>
      <c r="R308" s="17" t="str">
        <f aca="false">IF($C308="","",IF(OR($C308="G",$C308="H"),0,IF($C308="T",1,MIN(1,MAX(0,($N308-Inputs!$B$8)/MAX($P308-Inputs!$B$8,0.01))))))</f>
        <v/>
      </c>
      <c r="S308" s="17" t="str">
        <f aca="false">IF($C308="","",IF(OR($E308="G",$E308="H"),0,IF($E308="T",1,MIN(1,MAX(0,($O308-Inputs!$B$8)/MAX($P308-Inputs!$B$8,0.01))))))</f>
        <v/>
      </c>
    </row>
    <row r="309" customFormat="false" ht="15" hidden="false" customHeight="false" outlineLevel="0" collapsed="false">
      <c r="I309" s="7" t="str">
        <f aca="false">IF($C309="","",IF($C309="G","PUTT",IF(AND($C309="T",$M309&gt;3),"OTT",IF($D309&lt;=30,"ARG","APP"))))</f>
        <v/>
      </c>
      <c r="J309" s="17" t="str">
        <f aca="false">IF($C309="","",$N309+$Q309*$R309)</f>
        <v/>
      </c>
      <c r="K309" s="17" t="str">
        <f aca="false">IF($C309="","",$O309+$Q309*$S309)</f>
        <v/>
      </c>
      <c r="L309" s="17" t="str">
        <f aca="false">IF($C309="","",$J309-$K309-1-N($G309))</f>
        <v/>
      </c>
      <c r="M309" s="7" t="str">
        <f aca="false">IF($B309="","",INDEX(Course!$B$2:$B$19,MATCH($B309,Course!$A$2:$A$19,0)))</f>
        <v/>
      </c>
      <c r="N309" s="17" t="str">
        <f aca="false">IF($C309="","",IF($C309="H",0,IF($C309="G",INDEX(Baseline!$I$3:$I$102,MIN(MAX(ROUND($D309,0),1),100)),IF($C309="T",IF($M309=3,INDEX(Baseline!$B$3:$B$122,MATCH(MIN(MAX(ROUND(($D309)/5,0)*5,5),600),Baseline!$A$3:$A$122,0))-Inputs!$B$9,INDEX(Course!$N$2:$N$19,MATCH($B309,Course!$A$2:$A$19,0))),INDEX(Baseline!$B$3:$E$122,MATCH(MIN(MAX(ROUND(($D309)/5,0)*5,5),600),Baseline!$A$3:$A$122,0),MATCH($C309,Baseline!$B$2:$E$2,0))))))</f>
        <v/>
      </c>
      <c r="O309" s="17" t="str">
        <f aca="false">IF($C309="","",IF($E309="H",0,IF($E309="G",INDEX(Baseline!$I$3:$I$102,MIN(MAX(ROUND($F309,0),1),100)),IF($E309="T",IF($M309=3,INDEX(Baseline!$B$3:$B$122,MATCH(MIN(MAX(ROUND(($F309)/5,0)*5,5),600),Baseline!$A$3:$A$122,0))-Inputs!$B$9,INDEX(Course!$N$2:$N$19,MATCH($B309,Course!$A$2:$A$19,0))),INDEX(Baseline!$B$3:$E$122,MATCH(MIN(MAX(ROUND(($F309)/5,0)*5,5),600),Baseline!$A$3:$A$122,0),MATCH($E309,Baseline!$B$2:$E$2,0))))))</f>
        <v/>
      </c>
      <c r="P309" s="17" t="str">
        <f aca="false">IF($B309="","",INDEX(Course!$N$2:$N$19,MATCH($B309,Course!$A$2:$A$19,0)))</f>
        <v/>
      </c>
      <c r="Q309" s="17" t="str">
        <f aca="false">IF($B309="","",INDEX(Course!$P$2:$P$19,MATCH($B309,Course!$A$2:$A$19,0)))</f>
        <v/>
      </c>
      <c r="R309" s="17" t="str">
        <f aca="false">IF($C309="","",IF(OR($C309="G",$C309="H"),0,IF($C309="T",1,MIN(1,MAX(0,($N309-Inputs!$B$8)/MAX($P309-Inputs!$B$8,0.01))))))</f>
        <v/>
      </c>
      <c r="S309" s="17" t="str">
        <f aca="false">IF($C309="","",IF(OR($E309="G",$E309="H"),0,IF($E309="T",1,MIN(1,MAX(0,($O309-Inputs!$B$8)/MAX($P309-Inputs!$B$8,0.01))))))</f>
        <v/>
      </c>
    </row>
    <row r="310" customFormat="false" ht="15" hidden="false" customHeight="false" outlineLevel="0" collapsed="false">
      <c r="I310" s="7" t="str">
        <f aca="false">IF($C310="","",IF($C310="G","PUTT",IF(AND($C310="T",$M310&gt;3),"OTT",IF($D310&lt;=30,"ARG","APP"))))</f>
        <v/>
      </c>
      <c r="J310" s="17" t="str">
        <f aca="false">IF($C310="","",$N310+$Q310*$R310)</f>
        <v/>
      </c>
      <c r="K310" s="17" t="str">
        <f aca="false">IF($C310="","",$O310+$Q310*$S310)</f>
        <v/>
      </c>
      <c r="L310" s="17" t="str">
        <f aca="false">IF($C310="","",$J310-$K310-1-N($G310))</f>
        <v/>
      </c>
      <c r="M310" s="7" t="str">
        <f aca="false">IF($B310="","",INDEX(Course!$B$2:$B$19,MATCH($B310,Course!$A$2:$A$19,0)))</f>
        <v/>
      </c>
      <c r="N310" s="17" t="str">
        <f aca="false">IF($C310="","",IF($C310="H",0,IF($C310="G",INDEX(Baseline!$I$3:$I$102,MIN(MAX(ROUND($D310,0),1),100)),IF($C310="T",IF($M310=3,INDEX(Baseline!$B$3:$B$122,MATCH(MIN(MAX(ROUND(($D310)/5,0)*5,5),600),Baseline!$A$3:$A$122,0))-Inputs!$B$9,INDEX(Course!$N$2:$N$19,MATCH($B310,Course!$A$2:$A$19,0))),INDEX(Baseline!$B$3:$E$122,MATCH(MIN(MAX(ROUND(($D310)/5,0)*5,5),600),Baseline!$A$3:$A$122,0),MATCH($C310,Baseline!$B$2:$E$2,0))))))</f>
        <v/>
      </c>
      <c r="O310" s="17" t="str">
        <f aca="false">IF($C310="","",IF($E310="H",0,IF($E310="G",INDEX(Baseline!$I$3:$I$102,MIN(MAX(ROUND($F310,0),1),100)),IF($E310="T",IF($M310=3,INDEX(Baseline!$B$3:$B$122,MATCH(MIN(MAX(ROUND(($F310)/5,0)*5,5),600),Baseline!$A$3:$A$122,0))-Inputs!$B$9,INDEX(Course!$N$2:$N$19,MATCH($B310,Course!$A$2:$A$19,0))),INDEX(Baseline!$B$3:$E$122,MATCH(MIN(MAX(ROUND(($F310)/5,0)*5,5),600),Baseline!$A$3:$A$122,0),MATCH($E310,Baseline!$B$2:$E$2,0))))))</f>
        <v/>
      </c>
      <c r="P310" s="17" t="str">
        <f aca="false">IF($B310="","",INDEX(Course!$N$2:$N$19,MATCH($B310,Course!$A$2:$A$19,0)))</f>
        <v/>
      </c>
      <c r="Q310" s="17" t="str">
        <f aca="false">IF($B310="","",INDEX(Course!$P$2:$P$19,MATCH($B310,Course!$A$2:$A$19,0)))</f>
        <v/>
      </c>
      <c r="R310" s="17" t="str">
        <f aca="false">IF($C310="","",IF(OR($C310="G",$C310="H"),0,IF($C310="T",1,MIN(1,MAX(0,($N310-Inputs!$B$8)/MAX($P310-Inputs!$B$8,0.01))))))</f>
        <v/>
      </c>
      <c r="S310" s="17" t="str">
        <f aca="false">IF($C310="","",IF(OR($E310="G",$E310="H"),0,IF($E310="T",1,MIN(1,MAX(0,($O310-Inputs!$B$8)/MAX($P310-Inputs!$B$8,0.01))))))</f>
        <v/>
      </c>
    </row>
    <row r="311" customFormat="false" ht="15" hidden="false" customHeight="false" outlineLevel="0" collapsed="false">
      <c r="I311" s="7" t="str">
        <f aca="false">IF($C311="","",IF($C311="G","PUTT",IF(AND($C311="T",$M311&gt;3),"OTT",IF($D311&lt;=30,"ARG","APP"))))</f>
        <v/>
      </c>
      <c r="J311" s="17" t="str">
        <f aca="false">IF($C311="","",$N311+$Q311*$R311)</f>
        <v/>
      </c>
      <c r="K311" s="17" t="str">
        <f aca="false">IF($C311="","",$O311+$Q311*$S311)</f>
        <v/>
      </c>
      <c r="L311" s="17" t="str">
        <f aca="false">IF($C311="","",$J311-$K311-1-N($G311))</f>
        <v/>
      </c>
      <c r="M311" s="7" t="str">
        <f aca="false">IF($B311="","",INDEX(Course!$B$2:$B$19,MATCH($B311,Course!$A$2:$A$19,0)))</f>
        <v/>
      </c>
      <c r="N311" s="17" t="str">
        <f aca="false">IF($C311="","",IF($C311="H",0,IF($C311="G",INDEX(Baseline!$I$3:$I$102,MIN(MAX(ROUND($D311,0),1),100)),IF($C311="T",IF($M311=3,INDEX(Baseline!$B$3:$B$122,MATCH(MIN(MAX(ROUND(($D311)/5,0)*5,5),600),Baseline!$A$3:$A$122,0))-Inputs!$B$9,INDEX(Course!$N$2:$N$19,MATCH($B311,Course!$A$2:$A$19,0))),INDEX(Baseline!$B$3:$E$122,MATCH(MIN(MAX(ROUND(($D311)/5,0)*5,5),600),Baseline!$A$3:$A$122,0),MATCH($C311,Baseline!$B$2:$E$2,0))))))</f>
        <v/>
      </c>
      <c r="O311" s="17" t="str">
        <f aca="false">IF($C311="","",IF($E311="H",0,IF($E311="G",INDEX(Baseline!$I$3:$I$102,MIN(MAX(ROUND($F311,0),1),100)),IF($E311="T",IF($M311=3,INDEX(Baseline!$B$3:$B$122,MATCH(MIN(MAX(ROUND(($F311)/5,0)*5,5),600),Baseline!$A$3:$A$122,0))-Inputs!$B$9,INDEX(Course!$N$2:$N$19,MATCH($B311,Course!$A$2:$A$19,0))),INDEX(Baseline!$B$3:$E$122,MATCH(MIN(MAX(ROUND(($F311)/5,0)*5,5),600),Baseline!$A$3:$A$122,0),MATCH($E311,Baseline!$B$2:$E$2,0))))))</f>
        <v/>
      </c>
      <c r="P311" s="17" t="str">
        <f aca="false">IF($B311="","",INDEX(Course!$N$2:$N$19,MATCH($B311,Course!$A$2:$A$19,0)))</f>
        <v/>
      </c>
      <c r="Q311" s="17" t="str">
        <f aca="false">IF($B311="","",INDEX(Course!$P$2:$P$19,MATCH($B311,Course!$A$2:$A$19,0)))</f>
        <v/>
      </c>
      <c r="R311" s="17" t="str">
        <f aca="false">IF($C311="","",IF(OR($C311="G",$C311="H"),0,IF($C311="T",1,MIN(1,MAX(0,($N311-Inputs!$B$8)/MAX($P311-Inputs!$B$8,0.01))))))</f>
        <v/>
      </c>
      <c r="S311" s="17" t="str">
        <f aca="false">IF($C311="","",IF(OR($E311="G",$E311="H"),0,IF($E311="T",1,MIN(1,MAX(0,($O311-Inputs!$B$8)/MAX($P311-Inputs!$B$8,0.01))))))</f>
        <v/>
      </c>
    </row>
    <row r="312" customFormat="false" ht="15" hidden="false" customHeight="false" outlineLevel="0" collapsed="false">
      <c r="I312" s="7" t="str">
        <f aca="false">IF($C312="","",IF($C312="G","PUTT",IF(AND($C312="T",$M312&gt;3),"OTT",IF($D312&lt;=30,"ARG","APP"))))</f>
        <v/>
      </c>
      <c r="J312" s="17" t="str">
        <f aca="false">IF($C312="","",$N312+$Q312*$R312)</f>
        <v/>
      </c>
      <c r="K312" s="17" t="str">
        <f aca="false">IF($C312="","",$O312+$Q312*$S312)</f>
        <v/>
      </c>
      <c r="L312" s="17" t="str">
        <f aca="false">IF($C312="","",$J312-$K312-1-N($G312))</f>
        <v/>
      </c>
      <c r="M312" s="7" t="str">
        <f aca="false">IF($B312="","",INDEX(Course!$B$2:$B$19,MATCH($B312,Course!$A$2:$A$19,0)))</f>
        <v/>
      </c>
      <c r="N312" s="17" t="str">
        <f aca="false">IF($C312="","",IF($C312="H",0,IF($C312="G",INDEX(Baseline!$I$3:$I$102,MIN(MAX(ROUND($D312,0),1),100)),IF($C312="T",IF($M312=3,INDEX(Baseline!$B$3:$B$122,MATCH(MIN(MAX(ROUND(($D312)/5,0)*5,5),600),Baseline!$A$3:$A$122,0))-Inputs!$B$9,INDEX(Course!$N$2:$N$19,MATCH($B312,Course!$A$2:$A$19,0))),INDEX(Baseline!$B$3:$E$122,MATCH(MIN(MAX(ROUND(($D312)/5,0)*5,5),600),Baseline!$A$3:$A$122,0),MATCH($C312,Baseline!$B$2:$E$2,0))))))</f>
        <v/>
      </c>
      <c r="O312" s="17" t="str">
        <f aca="false">IF($C312="","",IF($E312="H",0,IF($E312="G",INDEX(Baseline!$I$3:$I$102,MIN(MAX(ROUND($F312,0),1),100)),IF($E312="T",IF($M312=3,INDEX(Baseline!$B$3:$B$122,MATCH(MIN(MAX(ROUND(($F312)/5,0)*5,5),600),Baseline!$A$3:$A$122,0))-Inputs!$B$9,INDEX(Course!$N$2:$N$19,MATCH($B312,Course!$A$2:$A$19,0))),INDEX(Baseline!$B$3:$E$122,MATCH(MIN(MAX(ROUND(($F312)/5,0)*5,5),600),Baseline!$A$3:$A$122,0),MATCH($E312,Baseline!$B$2:$E$2,0))))))</f>
        <v/>
      </c>
      <c r="P312" s="17" t="str">
        <f aca="false">IF($B312="","",INDEX(Course!$N$2:$N$19,MATCH($B312,Course!$A$2:$A$19,0)))</f>
        <v/>
      </c>
      <c r="Q312" s="17" t="str">
        <f aca="false">IF($B312="","",INDEX(Course!$P$2:$P$19,MATCH($B312,Course!$A$2:$A$19,0)))</f>
        <v/>
      </c>
      <c r="R312" s="17" t="str">
        <f aca="false">IF($C312="","",IF(OR($C312="G",$C312="H"),0,IF($C312="T",1,MIN(1,MAX(0,($N312-Inputs!$B$8)/MAX($P312-Inputs!$B$8,0.01))))))</f>
        <v/>
      </c>
      <c r="S312" s="17" t="str">
        <f aca="false">IF($C312="","",IF(OR($E312="G",$E312="H"),0,IF($E312="T",1,MIN(1,MAX(0,($O312-Inputs!$B$8)/MAX($P312-Inputs!$B$8,0.01))))))</f>
        <v/>
      </c>
    </row>
    <row r="313" customFormat="false" ht="15" hidden="false" customHeight="false" outlineLevel="0" collapsed="false">
      <c r="I313" s="7" t="str">
        <f aca="false">IF($C313="","",IF($C313="G","PUTT",IF(AND($C313="T",$M313&gt;3),"OTT",IF($D313&lt;=30,"ARG","APP"))))</f>
        <v/>
      </c>
      <c r="J313" s="17" t="str">
        <f aca="false">IF($C313="","",$N313+$Q313*$R313)</f>
        <v/>
      </c>
      <c r="K313" s="17" t="str">
        <f aca="false">IF($C313="","",$O313+$Q313*$S313)</f>
        <v/>
      </c>
      <c r="L313" s="17" t="str">
        <f aca="false">IF($C313="","",$J313-$K313-1-N($G313))</f>
        <v/>
      </c>
      <c r="M313" s="7" t="str">
        <f aca="false">IF($B313="","",INDEX(Course!$B$2:$B$19,MATCH($B313,Course!$A$2:$A$19,0)))</f>
        <v/>
      </c>
      <c r="N313" s="17" t="str">
        <f aca="false">IF($C313="","",IF($C313="H",0,IF($C313="G",INDEX(Baseline!$I$3:$I$102,MIN(MAX(ROUND($D313,0),1),100)),IF($C313="T",IF($M313=3,INDEX(Baseline!$B$3:$B$122,MATCH(MIN(MAX(ROUND(($D313)/5,0)*5,5),600),Baseline!$A$3:$A$122,0))-Inputs!$B$9,INDEX(Course!$N$2:$N$19,MATCH($B313,Course!$A$2:$A$19,0))),INDEX(Baseline!$B$3:$E$122,MATCH(MIN(MAX(ROUND(($D313)/5,0)*5,5),600),Baseline!$A$3:$A$122,0),MATCH($C313,Baseline!$B$2:$E$2,0))))))</f>
        <v/>
      </c>
      <c r="O313" s="17" t="str">
        <f aca="false">IF($C313="","",IF($E313="H",0,IF($E313="G",INDEX(Baseline!$I$3:$I$102,MIN(MAX(ROUND($F313,0),1),100)),IF($E313="T",IF($M313=3,INDEX(Baseline!$B$3:$B$122,MATCH(MIN(MAX(ROUND(($F313)/5,0)*5,5),600),Baseline!$A$3:$A$122,0))-Inputs!$B$9,INDEX(Course!$N$2:$N$19,MATCH($B313,Course!$A$2:$A$19,0))),INDEX(Baseline!$B$3:$E$122,MATCH(MIN(MAX(ROUND(($F313)/5,0)*5,5),600),Baseline!$A$3:$A$122,0),MATCH($E313,Baseline!$B$2:$E$2,0))))))</f>
        <v/>
      </c>
      <c r="P313" s="17" t="str">
        <f aca="false">IF($B313="","",INDEX(Course!$N$2:$N$19,MATCH($B313,Course!$A$2:$A$19,0)))</f>
        <v/>
      </c>
      <c r="Q313" s="17" t="str">
        <f aca="false">IF($B313="","",INDEX(Course!$P$2:$P$19,MATCH($B313,Course!$A$2:$A$19,0)))</f>
        <v/>
      </c>
      <c r="R313" s="17" t="str">
        <f aca="false">IF($C313="","",IF(OR($C313="G",$C313="H"),0,IF($C313="T",1,MIN(1,MAX(0,($N313-Inputs!$B$8)/MAX($P313-Inputs!$B$8,0.01))))))</f>
        <v/>
      </c>
      <c r="S313" s="17" t="str">
        <f aca="false">IF($C313="","",IF(OR($E313="G",$E313="H"),0,IF($E313="T",1,MIN(1,MAX(0,($O313-Inputs!$B$8)/MAX($P313-Inputs!$B$8,0.01))))))</f>
        <v/>
      </c>
    </row>
    <row r="314" customFormat="false" ht="15" hidden="false" customHeight="false" outlineLevel="0" collapsed="false">
      <c r="I314" s="7" t="str">
        <f aca="false">IF($C314="","",IF($C314="G","PUTT",IF(AND($C314="T",$M314&gt;3),"OTT",IF($D314&lt;=30,"ARG","APP"))))</f>
        <v/>
      </c>
      <c r="J314" s="17" t="str">
        <f aca="false">IF($C314="","",$N314+$Q314*$R314)</f>
        <v/>
      </c>
      <c r="K314" s="17" t="str">
        <f aca="false">IF($C314="","",$O314+$Q314*$S314)</f>
        <v/>
      </c>
      <c r="L314" s="17" t="str">
        <f aca="false">IF($C314="","",$J314-$K314-1-N($G314))</f>
        <v/>
      </c>
      <c r="M314" s="7" t="str">
        <f aca="false">IF($B314="","",INDEX(Course!$B$2:$B$19,MATCH($B314,Course!$A$2:$A$19,0)))</f>
        <v/>
      </c>
      <c r="N314" s="17" t="str">
        <f aca="false">IF($C314="","",IF($C314="H",0,IF($C314="G",INDEX(Baseline!$I$3:$I$102,MIN(MAX(ROUND($D314,0),1),100)),IF($C314="T",IF($M314=3,INDEX(Baseline!$B$3:$B$122,MATCH(MIN(MAX(ROUND(($D314)/5,0)*5,5),600),Baseline!$A$3:$A$122,0))-Inputs!$B$9,INDEX(Course!$N$2:$N$19,MATCH($B314,Course!$A$2:$A$19,0))),INDEX(Baseline!$B$3:$E$122,MATCH(MIN(MAX(ROUND(($D314)/5,0)*5,5),600),Baseline!$A$3:$A$122,0),MATCH($C314,Baseline!$B$2:$E$2,0))))))</f>
        <v/>
      </c>
      <c r="O314" s="17" t="str">
        <f aca="false">IF($C314="","",IF($E314="H",0,IF($E314="G",INDEX(Baseline!$I$3:$I$102,MIN(MAX(ROUND($F314,0),1),100)),IF($E314="T",IF($M314=3,INDEX(Baseline!$B$3:$B$122,MATCH(MIN(MAX(ROUND(($F314)/5,0)*5,5),600),Baseline!$A$3:$A$122,0))-Inputs!$B$9,INDEX(Course!$N$2:$N$19,MATCH($B314,Course!$A$2:$A$19,0))),INDEX(Baseline!$B$3:$E$122,MATCH(MIN(MAX(ROUND(($F314)/5,0)*5,5),600),Baseline!$A$3:$A$122,0),MATCH($E314,Baseline!$B$2:$E$2,0))))))</f>
        <v/>
      </c>
      <c r="P314" s="17" t="str">
        <f aca="false">IF($B314="","",INDEX(Course!$N$2:$N$19,MATCH($B314,Course!$A$2:$A$19,0)))</f>
        <v/>
      </c>
      <c r="Q314" s="17" t="str">
        <f aca="false">IF($B314="","",INDEX(Course!$P$2:$P$19,MATCH($B314,Course!$A$2:$A$19,0)))</f>
        <v/>
      </c>
      <c r="R314" s="17" t="str">
        <f aca="false">IF($C314="","",IF(OR($C314="G",$C314="H"),0,IF($C314="T",1,MIN(1,MAX(0,($N314-Inputs!$B$8)/MAX($P314-Inputs!$B$8,0.01))))))</f>
        <v/>
      </c>
      <c r="S314" s="17" t="str">
        <f aca="false">IF($C314="","",IF(OR($E314="G",$E314="H"),0,IF($E314="T",1,MIN(1,MAX(0,($O314-Inputs!$B$8)/MAX($P314-Inputs!$B$8,0.01))))))</f>
        <v/>
      </c>
    </row>
    <row r="315" customFormat="false" ht="15" hidden="false" customHeight="false" outlineLevel="0" collapsed="false">
      <c r="I315" s="7" t="str">
        <f aca="false">IF($C315="","",IF($C315="G","PUTT",IF(AND($C315="T",$M315&gt;3),"OTT",IF($D315&lt;=30,"ARG","APP"))))</f>
        <v/>
      </c>
      <c r="J315" s="17" t="str">
        <f aca="false">IF($C315="","",$N315+$Q315*$R315)</f>
        <v/>
      </c>
      <c r="K315" s="17" t="str">
        <f aca="false">IF($C315="","",$O315+$Q315*$S315)</f>
        <v/>
      </c>
      <c r="L315" s="17" t="str">
        <f aca="false">IF($C315="","",$J315-$K315-1-N($G315))</f>
        <v/>
      </c>
      <c r="M315" s="7" t="str">
        <f aca="false">IF($B315="","",INDEX(Course!$B$2:$B$19,MATCH($B315,Course!$A$2:$A$19,0)))</f>
        <v/>
      </c>
      <c r="N315" s="17" t="str">
        <f aca="false">IF($C315="","",IF($C315="H",0,IF($C315="G",INDEX(Baseline!$I$3:$I$102,MIN(MAX(ROUND($D315,0),1),100)),IF($C315="T",IF($M315=3,INDEX(Baseline!$B$3:$B$122,MATCH(MIN(MAX(ROUND(($D315)/5,0)*5,5),600),Baseline!$A$3:$A$122,0))-Inputs!$B$9,INDEX(Course!$N$2:$N$19,MATCH($B315,Course!$A$2:$A$19,0))),INDEX(Baseline!$B$3:$E$122,MATCH(MIN(MAX(ROUND(($D315)/5,0)*5,5),600),Baseline!$A$3:$A$122,0),MATCH($C315,Baseline!$B$2:$E$2,0))))))</f>
        <v/>
      </c>
      <c r="O315" s="17" t="str">
        <f aca="false">IF($C315="","",IF($E315="H",0,IF($E315="G",INDEX(Baseline!$I$3:$I$102,MIN(MAX(ROUND($F315,0),1),100)),IF($E315="T",IF($M315=3,INDEX(Baseline!$B$3:$B$122,MATCH(MIN(MAX(ROUND(($F315)/5,0)*5,5),600),Baseline!$A$3:$A$122,0))-Inputs!$B$9,INDEX(Course!$N$2:$N$19,MATCH($B315,Course!$A$2:$A$19,0))),INDEX(Baseline!$B$3:$E$122,MATCH(MIN(MAX(ROUND(($F315)/5,0)*5,5),600),Baseline!$A$3:$A$122,0),MATCH($E315,Baseline!$B$2:$E$2,0))))))</f>
        <v/>
      </c>
      <c r="P315" s="17" t="str">
        <f aca="false">IF($B315="","",INDEX(Course!$N$2:$N$19,MATCH($B315,Course!$A$2:$A$19,0)))</f>
        <v/>
      </c>
      <c r="Q315" s="17" t="str">
        <f aca="false">IF($B315="","",INDEX(Course!$P$2:$P$19,MATCH($B315,Course!$A$2:$A$19,0)))</f>
        <v/>
      </c>
      <c r="R315" s="17" t="str">
        <f aca="false">IF($C315="","",IF(OR($C315="G",$C315="H"),0,IF($C315="T",1,MIN(1,MAX(0,($N315-Inputs!$B$8)/MAX($P315-Inputs!$B$8,0.01))))))</f>
        <v/>
      </c>
      <c r="S315" s="17" t="str">
        <f aca="false">IF($C315="","",IF(OR($E315="G",$E315="H"),0,IF($E315="T",1,MIN(1,MAX(0,($O315-Inputs!$B$8)/MAX($P315-Inputs!$B$8,0.01))))))</f>
        <v/>
      </c>
    </row>
    <row r="316" customFormat="false" ht="15" hidden="false" customHeight="false" outlineLevel="0" collapsed="false">
      <c r="I316" s="7" t="str">
        <f aca="false">IF($C316="","",IF($C316="G","PUTT",IF(AND($C316="T",$M316&gt;3),"OTT",IF($D316&lt;=30,"ARG","APP"))))</f>
        <v/>
      </c>
      <c r="J316" s="17" t="str">
        <f aca="false">IF($C316="","",$N316+$Q316*$R316)</f>
        <v/>
      </c>
      <c r="K316" s="17" t="str">
        <f aca="false">IF($C316="","",$O316+$Q316*$S316)</f>
        <v/>
      </c>
      <c r="L316" s="17" t="str">
        <f aca="false">IF($C316="","",$J316-$K316-1-N($G316))</f>
        <v/>
      </c>
      <c r="M316" s="7" t="str">
        <f aca="false">IF($B316="","",INDEX(Course!$B$2:$B$19,MATCH($B316,Course!$A$2:$A$19,0)))</f>
        <v/>
      </c>
      <c r="N316" s="17" t="str">
        <f aca="false">IF($C316="","",IF($C316="H",0,IF($C316="G",INDEX(Baseline!$I$3:$I$102,MIN(MAX(ROUND($D316,0),1),100)),IF($C316="T",IF($M316=3,INDEX(Baseline!$B$3:$B$122,MATCH(MIN(MAX(ROUND(($D316)/5,0)*5,5),600),Baseline!$A$3:$A$122,0))-Inputs!$B$9,INDEX(Course!$N$2:$N$19,MATCH($B316,Course!$A$2:$A$19,0))),INDEX(Baseline!$B$3:$E$122,MATCH(MIN(MAX(ROUND(($D316)/5,0)*5,5),600),Baseline!$A$3:$A$122,0),MATCH($C316,Baseline!$B$2:$E$2,0))))))</f>
        <v/>
      </c>
      <c r="O316" s="17" t="str">
        <f aca="false">IF($C316="","",IF($E316="H",0,IF($E316="G",INDEX(Baseline!$I$3:$I$102,MIN(MAX(ROUND($F316,0),1),100)),IF($E316="T",IF($M316=3,INDEX(Baseline!$B$3:$B$122,MATCH(MIN(MAX(ROUND(($F316)/5,0)*5,5),600),Baseline!$A$3:$A$122,0))-Inputs!$B$9,INDEX(Course!$N$2:$N$19,MATCH($B316,Course!$A$2:$A$19,0))),INDEX(Baseline!$B$3:$E$122,MATCH(MIN(MAX(ROUND(($F316)/5,0)*5,5),600),Baseline!$A$3:$A$122,0),MATCH($E316,Baseline!$B$2:$E$2,0))))))</f>
        <v/>
      </c>
      <c r="P316" s="17" t="str">
        <f aca="false">IF($B316="","",INDEX(Course!$N$2:$N$19,MATCH($B316,Course!$A$2:$A$19,0)))</f>
        <v/>
      </c>
      <c r="Q316" s="17" t="str">
        <f aca="false">IF($B316="","",INDEX(Course!$P$2:$P$19,MATCH($B316,Course!$A$2:$A$19,0)))</f>
        <v/>
      </c>
      <c r="R316" s="17" t="str">
        <f aca="false">IF($C316="","",IF(OR($C316="G",$C316="H"),0,IF($C316="T",1,MIN(1,MAX(0,($N316-Inputs!$B$8)/MAX($P316-Inputs!$B$8,0.01))))))</f>
        <v/>
      </c>
      <c r="S316" s="17" t="str">
        <f aca="false">IF($C316="","",IF(OR($E316="G",$E316="H"),0,IF($E316="T",1,MIN(1,MAX(0,($O316-Inputs!$B$8)/MAX($P316-Inputs!$B$8,0.01))))))</f>
        <v/>
      </c>
    </row>
    <row r="317" customFormat="false" ht="15" hidden="false" customHeight="false" outlineLevel="0" collapsed="false">
      <c r="I317" s="7" t="str">
        <f aca="false">IF($C317="","",IF($C317="G","PUTT",IF(AND($C317="T",$M317&gt;3),"OTT",IF($D317&lt;=30,"ARG","APP"))))</f>
        <v/>
      </c>
      <c r="J317" s="17" t="str">
        <f aca="false">IF($C317="","",$N317+$Q317*$R317)</f>
        <v/>
      </c>
      <c r="K317" s="17" t="str">
        <f aca="false">IF($C317="","",$O317+$Q317*$S317)</f>
        <v/>
      </c>
      <c r="L317" s="17" t="str">
        <f aca="false">IF($C317="","",$J317-$K317-1-N($G317))</f>
        <v/>
      </c>
      <c r="M317" s="7" t="str">
        <f aca="false">IF($B317="","",INDEX(Course!$B$2:$B$19,MATCH($B317,Course!$A$2:$A$19,0)))</f>
        <v/>
      </c>
      <c r="N317" s="17" t="str">
        <f aca="false">IF($C317="","",IF($C317="H",0,IF($C317="G",INDEX(Baseline!$I$3:$I$102,MIN(MAX(ROUND($D317,0),1),100)),IF($C317="T",IF($M317=3,INDEX(Baseline!$B$3:$B$122,MATCH(MIN(MAX(ROUND(($D317)/5,0)*5,5),600),Baseline!$A$3:$A$122,0))-Inputs!$B$9,INDEX(Course!$N$2:$N$19,MATCH($B317,Course!$A$2:$A$19,0))),INDEX(Baseline!$B$3:$E$122,MATCH(MIN(MAX(ROUND(($D317)/5,0)*5,5),600),Baseline!$A$3:$A$122,0),MATCH($C317,Baseline!$B$2:$E$2,0))))))</f>
        <v/>
      </c>
      <c r="O317" s="17" t="str">
        <f aca="false">IF($C317="","",IF($E317="H",0,IF($E317="G",INDEX(Baseline!$I$3:$I$102,MIN(MAX(ROUND($F317,0),1),100)),IF($E317="T",IF($M317=3,INDEX(Baseline!$B$3:$B$122,MATCH(MIN(MAX(ROUND(($F317)/5,0)*5,5),600),Baseline!$A$3:$A$122,0))-Inputs!$B$9,INDEX(Course!$N$2:$N$19,MATCH($B317,Course!$A$2:$A$19,0))),INDEX(Baseline!$B$3:$E$122,MATCH(MIN(MAX(ROUND(($F317)/5,0)*5,5),600),Baseline!$A$3:$A$122,0),MATCH($E317,Baseline!$B$2:$E$2,0))))))</f>
        <v/>
      </c>
      <c r="P317" s="17" t="str">
        <f aca="false">IF($B317="","",INDEX(Course!$N$2:$N$19,MATCH($B317,Course!$A$2:$A$19,0)))</f>
        <v/>
      </c>
      <c r="Q317" s="17" t="str">
        <f aca="false">IF($B317="","",INDEX(Course!$P$2:$P$19,MATCH($B317,Course!$A$2:$A$19,0)))</f>
        <v/>
      </c>
      <c r="R317" s="17" t="str">
        <f aca="false">IF($C317="","",IF(OR($C317="G",$C317="H"),0,IF($C317="T",1,MIN(1,MAX(0,($N317-Inputs!$B$8)/MAX($P317-Inputs!$B$8,0.01))))))</f>
        <v/>
      </c>
      <c r="S317" s="17" t="str">
        <f aca="false">IF($C317="","",IF(OR($E317="G",$E317="H"),0,IF($E317="T",1,MIN(1,MAX(0,($O317-Inputs!$B$8)/MAX($P317-Inputs!$B$8,0.01))))))</f>
        <v/>
      </c>
    </row>
    <row r="318" customFormat="false" ht="15" hidden="false" customHeight="false" outlineLevel="0" collapsed="false">
      <c r="I318" s="7" t="str">
        <f aca="false">IF($C318="","",IF($C318="G","PUTT",IF(AND($C318="T",$M318&gt;3),"OTT",IF($D318&lt;=30,"ARG","APP"))))</f>
        <v/>
      </c>
      <c r="J318" s="17" t="str">
        <f aca="false">IF($C318="","",$N318+$Q318*$R318)</f>
        <v/>
      </c>
      <c r="K318" s="17" t="str">
        <f aca="false">IF($C318="","",$O318+$Q318*$S318)</f>
        <v/>
      </c>
      <c r="L318" s="17" t="str">
        <f aca="false">IF($C318="","",$J318-$K318-1-N($G318))</f>
        <v/>
      </c>
      <c r="M318" s="7" t="str">
        <f aca="false">IF($B318="","",INDEX(Course!$B$2:$B$19,MATCH($B318,Course!$A$2:$A$19,0)))</f>
        <v/>
      </c>
      <c r="N318" s="17" t="str">
        <f aca="false">IF($C318="","",IF($C318="H",0,IF($C318="G",INDEX(Baseline!$I$3:$I$102,MIN(MAX(ROUND($D318,0),1),100)),IF($C318="T",IF($M318=3,INDEX(Baseline!$B$3:$B$122,MATCH(MIN(MAX(ROUND(($D318)/5,0)*5,5),600),Baseline!$A$3:$A$122,0))-Inputs!$B$9,INDEX(Course!$N$2:$N$19,MATCH($B318,Course!$A$2:$A$19,0))),INDEX(Baseline!$B$3:$E$122,MATCH(MIN(MAX(ROUND(($D318)/5,0)*5,5),600),Baseline!$A$3:$A$122,0),MATCH($C318,Baseline!$B$2:$E$2,0))))))</f>
        <v/>
      </c>
      <c r="O318" s="17" t="str">
        <f aca="false">IF($C318="","",IF($E318="H",0,IF($E318="G",INDEX(Baseline!$I$3:$I$102,MIN(MAX(ROUND($F318,0),1),100)),IF($E318="T",IF($M318=3,INDEX(Baseline!$B$3:$B$122,MATCH(MIN(MAX(ROUND(($F318)/5,0)*5,5),600),Baseline!$A$3:$A$122,0))-Inputs!$B$9,INDEX(Course!$N$2:$N$19,MATCH($B318,Course!$A$2:$A$19,0))),INDEX(Baseline!$B$3:$E$122,MATCH(MIN(MAX(ROUND(($F318)/5,0)*5,5),600),Baseline!$A$3:$A$122,0),MATCH($E318,Baseline!$B$2:$E$2,0))))))</f>
        <v/>
      </c>
      <c r="P318" s="17" t="str">
        <f aca="false">IF($B318="","",INDEX(Course!$N$2:$N$19,MATCH($B318,Course!$A$2:$A$19,0)))</f>
        <v/>
      </c>
      <c r="Q318" s="17" t="str">
        <f aca="false">IF($B318="","",INDEX(Course!$P$2:$P$19,MATCH($B318,Course!$A$2:$A$19,0)))</f>
        <v/>
      </c>
      <c r="R318" s="17" t="str">
        <f aca="false">IF($C318="","",IF(OR($C318="G",$C318="H"),0,IF($C318="T",1,MIN(1,MAX(0,($N318-Inputs!$B$8)/MAX($P318-Inputs!$B$8,0.01))))))</f>
        <v/>
      </c>
      <c r="S318" s="17" t="str">
        <f aca="false">IF($C318="","",IF(OR($E318="G",$E318="H"),0,IF($E318="T",1,MIN(1,MAX(0,($O318-Inputs!$B$8)/MAX($P318-Inputs!$B$8,0.01))))))</f>
        <v/>
      </c>
    </row>
    <row r="319" customFormat="false" ht="15" hidden="false" customHeight="false" outlineLevel="0" collapsed="false">
      <c r="I319" s="7" t="str">
        <f aca="false">IF($C319="","",IF($C319="G","PUTT",IF(AND($C319="T",$M319&gt;3),"OTT",IF($D319&lt;=30,"ARG","APP"))))</f>
        <v/>
      </c>
      <c r="J319" s="17" t="str">
        <f aca="false">IF($C319="","",$N319+$Q319*$R319)</f>
        <v/>
      </c>
      <c r="K319" s="17" t="str">
        <f aca="false">IF($C319="","",$O319+$Q319*$S319)</f>
        <v/>
      </c>
      <c r="L319" s="17" t="str">
        <f aca="false">IF($C319="","",$J319-$K319-1-N($G319))</f>
        <v/>
      </c>
      <c r="M319" s="7" t="str">
        <f aca="false">IF($B319="","",INDEX(Course!$B$2:$B$19,MATCH($B319,Course!$A$2:$A$19,0)))</f>
        <v/>
      </c>
      <c r="N319" s="17" t="str">
        <f aca="false">IF($C319="","",IF($C319="H",0,IF($C319="G",INDEX(Baseline!$I$3:$I$102,MIN(MAX(ROUND($D319,0),1),100)),IF($C319="T",IF($M319=3,INDEX(Baseline!$B$3:$B$122,MATCH(MIN(MAX(ROUND(($D319)/5,0)*5,5),600),Baseline!$A$3:$A$122,0))-Inputs!$B$9,INDEX(Course!$N$2:$N$19,MATCH($B319,Course!$A$2:$A$19,0))),INDEX(Baseline!$B$3:$E$122,MATCH(MIN(MAX(ROUND(($D319)/5,0)*5,5),600),Baseline!$A$3:$A$122,0),MATCH($C319,Baseline!$B$2:$E$2,0))))))</f>
        <v/>
      </c>
      <c r="O319" s="17" t="str">
        <f aca="false">IF($C319="","",IF($E319="H",0,IF($E319="G",INDEX(Baseline!$I$3:$I$102,MIN(MAX(ROUND($F319,0),1),100)),IF($E319="T",IF($M319=3,INDEX(Baseline!$B$3:$B$122,MATCH(MIN(MAX(ROUND(($F319)/5,0)*5,5),600),Baseline!$A$3:$A$122,0))-Inputs!$B$9,INDEX(Course!$N$2:$N$19,MATCH($B319,Course!$A$2:$A$19,0))),INDEX(Baseline!$B$3:$E$122,MATCH(MIN(MAX(ROUND(($F319)/5,0)*5,5),600),Baseline!$A$3:$A$122,0),MATCH($E319,Baseline!$B$2:$E$2,0))))))</f>
        <v/>
      </c>
      <c r="P319" s="17" t="str">
        <f aca="false">IF($B319="","",INDEX(Course!$N$2:$N$19,MATCH($B319,Course!$A$2:$A$19,0)))</f>
        <v/>
      </c>
      <c r="Q319" s="17" t="str">
        <f aca="false">IF($B319="","",INDEX(Course!$P$2:$P$19,MATCH($B319,Course!$A$2:$A$19,0)))</f>
        <v/>
      </c>
      <c r="R319" s="17" t="str">
        <f aca="false">IF($C319="","",IF(OR($C319="G",$C319="H"),0,IF($C319="T",1,MIN(1,MAX(0,($N319-Inputs!$B$8)/MAX($P319-Inputs!$B$8,0.01))))))</f>
        <v/>
      </c>
      <c r="S319" s="17" t="str">
        <f aca="false">IF($C319="","",IF(OR($E319="G",$E319="H"),0,IF($E319="T",1,MIN(1,MAX(0,($O319-Inputs!$B$8)/MAX($P319-Inputs!$B$8,0.01))))))</f>
        <v/>
      </c>
    </row>
    <row r="320" customFormat="false" ht="15" hidden="false" customHeight="false" outlineLevel="0" collapsed="false">
      <c r="I320" s="7" t="str">
        <f aca="false">IF($C320="","",IF($C320="G","PUTT",IF(AND($C320="T",$M320&gt;3),"OTT",IF($D320&lt;=30,"ARG","APP"))))</f>
        <v/>
      </c>
      <c r="J320" s="17" t="str">
        <f aca="false">IF($C320="","",$N320+$Q320*$R320)</f>
        <v/>
      </c>
      <c r="K320" s="17" t="str">
        <f aca="false">IF($C320="","",$O320+$Q320*$S320)</f>
        <v/>
      </c>
      <c r="L320" s="17" t="str">
        <f aca="false">IF($C320="","",$J320-$K320-1-N($G320))</f>
        <v/>
      </c>
      <c r="M320" s="7" t="str">
        <f aca="false">IF($B320="","",INDEX(Course!$B$2:$B$19,MATCH($B320,Course!$A$2:$A$19,0)))</f>
        <v/>
      </c>
      <c r="N320" s="17" t="str">
        <f aca="false">IF($C320="","",IF($C320="H",0,IF($C320="G",INDEX(Baseline!$I$3:$I$102,MIN(MAX(ROUND($D320,0),1),100)),IF($C320="T",IF($M320=3,INDEX(Baseline!$B$3:$B$122,MATCH(MIN(MAX(ROUND(($D320)/5,0)*5,5),600),Baseline!$A$3:$A$122,0))-Inputs!$B$9,INDEX(Course!$N$2:$N$19,MATCH($B320,Course!$A$2:$A$19,0))),INDEX(Baseline!$B$3:$E$122,MATCH(MIN(MAX(ROUND(($D320)/5,0)*5,5),600),Baseline!$A$3:$A$122,0),MATCH($C320,Baseline!$B$2:$E$2,0))))))</f>
        <v/>
      </c>
      <c r="O320" s="17" t="str">
        <f aca="false">IF($C320="","",IF($E320="H",0,IF($E320="G",INDEX(Baseline!$I$3:$I$102,MIN(MAX(ROUND($F320,0),1),100)),IF($E320="T",IF($M320=3,INDEX(Baseline!$B$3:$B$122,MATCH(MIN(MAX(ROUND(($F320)/5,0)*5,5),600),Baseline!$A$3:$A$122,0))-Inputs!$B$9,INDEX(Course!$N$2:$N$19,MATCH($B320,Course!$A$2:$A$19,0))),INDEX(Baseline!$B$3:$E$122,MATCH(MIN(MAX(ROUND(($F320)/5,0)*5,5),600),Baseline!$A$3:$A$122,0),MATCH($E320,Baseline!$B$2:$E$2,0))))))</f>
        <v/>
      </c>
      <c r="P320" s="17" t="str">
        <f aca="false">IF($B320="","",INDEX(Course!$N$2:$N$19,MATCH($B320,Course!$A$2:$A$19,0)))</f>
        <v/>
      </c>
      <c r="Q320" s="17" t="str">
        <f aca="false">IF($B320="","",INDEX(Course!$P$2:$P$19,MATCH($B320,Course!$A$2:$A$19,0)))</f>
        <v/>
      </c>
      <c r="R320" s="17" t="str">
        <f aca="false">IF($C320="","",IF(OR($C320="G",$C320="H"),0,IF($C320="T",1,MIN(1,MAX(0,($N320-Inputs!$B$8)/MAX($P320-Inputs!$B$8,0.01))))))</f>
        <v/>
      </c>
      <c r="S320" s="17" t="str">
        <f aca="false">IF($C320="","",IF(OR($E320="G",$E320="H"),0,IF($E320="T",1,MIN(1,MAX(0,($O320-Inputs!$B$8)/MAX($P320-Inputs!$B$8,0.01))))))</f>
        <v/>
      </c>
    </row>
    <row r="321" customFormat="false" ht="15" hidden="false" customHeight="false" outlineLevel="0" collapsed="false">
      <c r="I321" s="7" t="str">
        <f aca="false">IF($C321="","",IF($C321="G","PUTT",IF(AND($C321="T",$M321&gt;3),"OTT",IF($D321&lt;=30,"ARG","APP"))))</f>
        <v/>
      </c>
      <c r="J321" s="17" t="str">
        <f aca="false">IF($C321="","",$N321+$Q321*$R321)</f>
        <v/>
      </c>
      <c r="K321" s="17" t="str">
        <f aca="false">IF($C321="","",$O321+$Q321*$S321)</f>
        <v/>
      </c>
      <c r="L321" s="17" t="str">
        <f aca="false">IF($C321="","",$J321-$K321-1-N($G321))</f>
        <v/>
      </c>
      <c r="M321" s="7" t="str">
        <f aca="false">IF($B321="","",INDEX(Course!$B$2:$B$19,MATCH($B321,Course!$A$2:$A$19,0)))</f>
        <v/>
      </c>
      <c r="N321" s="17" t="str">
        <f aca="false">IF($C321="","",IF($C321="H",0,IF($C321="G",INDEX(Baseline!$I$3:$I$102,MIN(MAX(ROUND($D321,0),1),100)),IF($C321="T",IF($M321=3,INDEX(Baseline!$B$3:$B$122,MATCH(MIN(MAX(ROUND(($D321)/5,0)*5,5),600),Baseline!$A$3:$A$122,0))-Inputs!$B$9,INDEX(Course!$N$2:$N$19,MATCH($B321,Course!$A$2:$A$19,0))),INDEX(Baseline!$B$3:$E$122,MATCH(MIN(MAX(ROUND(($D321)/5,0)*5,5),600),Baseline!$A$3:$A$122,0),MATCH($C321,Baseline!$B$2:$E$2,0))))))</f>
        <v/>
      </c>
      <c r="O321" s="17" t="str">
        <f aca="false">IF($C321="","",IF($E321="H",0,IF($E321="G",INDEX(Baseline!$I$3:$I$102,MIN(MAX(ROUND($F321,0),1),100)),IF($E321="T",IF($M321=3,INDEX(Baseline!$B$3:$B$122,MATCH(MIN(MAX(ROUND(($F321)/5,0)*5,5),600),Baseline!$A$3:$A$122,0))-Inputs!$B$9,INDEX(Course!$N$2:$N$19,MATCH($B321,Course!$A$2:$A$19,0))),INDEX(Baseline!$B$3:$E$122,MATCH(MIN(MAX(ROUND(($F321)/5,0)*5,5),600),Baseline!$A$3:$A$122,0),MATCH($E321,Baseline!$B$2:$E$2,0))))))</f>
        <v/>
      </c>
      <c r="P321" s="17" t="str">
        <f aca="false">IF($B321="","",INDEX(Course!$N$2:$N$19,MATCH($B321,Course!$A$2:$A$19,0)))</f>
        <v/>
      </c>
      <c r="Q321" s="17" t="str">
        <f aca="false">IF($B321="","",INDEX(Course!$P$2:$P$19,MATCH($B321,Course!$A$2:$A$19,0)))</f>
        <v/>
      </c>
      <c r="R321" s="17" t="str">
        <f aca="false">IF($C321="","",IF(OR($C321="G",$C321="H"),0,IF($C321="T",1,MIN(1,MAX(0,($N321-Inputs!$B$8)/MAX($P321-Inputs!$B$8,0.01))))))</f>
        <v/>
      </c>
      <c r="S321" s="17" t="str">
        <f aca="false">IF($C321="","",IF(OR($E321="G",$E321="H"),0,IF($E321="T",1,MIN(1,MAX(0,($O321-Inputs!$B$8)/MAX($P321-Inputs!$B$8,0.01))))))</f>
        <v/>
      </c>
    </row>
    <row r="322" customFormat="false" ht="15" hidden="false" customHeight="false" outlineLevel="0" collapsed="false">
      <c r="I322" s="7" t="str">
        <f aca="false">IF($C322="","",IF($C322="G","PUTT",IF(AND($C322="T",$M322&gt;3),"OTT",IF($D322&lt;=30,"ARG","APP"))))</f>
        <v/>
      </c>
      <c r="J322" s="17" t="str">
        <f aca="false">IF($C322="","",$N322+$Q322*$R322)</f>
        <v/>
      </c>
      <c r="K322" s="17" t="str">
        <f aca="false">IF($C322="","",$O322+$Q322*$S322)</f>
        <v/>
      </c>
      <c r="L322" s="17" t="str">
        <f aca="false">IF($C322="","",$J322-$K322-1-N($G322))</f>
        <v/>
      </c>
      <c r="M322" s="7" t="str">
        <f aca="false">IF($B322="","",INDEX(Course!$B$2:$B$19,MATCH($B322,Course!$A$2:$A$19,0)))</f>
        <v/>
      </c>
      <c r="N322" s="17" t="str">
        <f aca="false">IF($C322="","",IF($C322="H",0,IF($C322="G",INDEX(Baseline!$I$3:$I$102,MIN(MAX(ROUND($D322,0),1),100)),IF($C322="T",IF($M322=3,INDEX(Baseline!$B$3:$B$122,MATCH(MIN(MAX(ROUND(($D322)/5,0)*5,5),600),Baseline!$A$3:$A$122,0))-Inputs!$B$9,INDEX(Course!$N$2:$N$19,MATCH($B322,Course!$A$2:$A$19,0))),INDEX(Baseline!$B$3:$E$122,MATCH(MIN(MAX(ROUND(($D322)/5,0)*5,5),600),Baseline!$A$3:$A$122,0),MATCH($C322,Baseline!$B$2:$E$2,0))))))</f>
        <v/>
      </c>
      <c r="O322" s="17" t="str">
        <f aca="false">IF($C322="","",IF($E322="H",0,IF($E322="G",INDEX(Baseline!$I$3:$I$102,MIN(MAX(ROUND($F322,0),1),100)),IF($E322="T",IF($M322=3,INDEX(Baseline!$B$3:$B$122,MATCH(MIN(MAX(ROUND(($F322)/5,0)*5,5),600),Baseline!$A$3:$A$122,0))-Inputs!$B$9,INDEX(Course!$N$2:$N$19,MATCH($B322,Course!$A$2:$A$19,0))),INDEX(Baseline!$B$3:$E$122,MATCH(MIN(MAX(ROUND(($F322)/5,0)*5,5),600),Baseline!$A$3:$A$122,0),MATCH($E322,Baseline!$B$2:$E$2,0))))))</f>
        <v/>
      </c>
      <c r="P322" s="17" t="str">
        <f aca="false">IF($B322="","",INDEX(Course!$N$2:$N$19,MATCH($B322,Course!$A$2:$A$19,0)))</f>
        <v/>
      </c>
      <c r="Q322" s="17" t="str">
        <f aca="false">IF($B322="","",INDEX(Course!$P$2:$P$19,MATCH($B322,Course!$A$2:$A$19,0)))</f>
        <v/>
      </c>
      <c r="R322" s="17" t="str">
        <f aca="false">IF($C322="","",IF(OR($C322="G",$C322="H"),0,IF($C322="T",1,MIN(1,MAX(0,($N322-Inputs!$B$8)/MAX($P322-Inputs!$B$8,0.01))))))</f>
        <v/>
      </c>
      <c r="S322" s="17" t="str">
        <f aca="false">IF($C322="","",IF(OR($E322="G",$E322="H"),0,IF($E322="T",1,MIN(1,MAX(0,($O322-Inputs!$B$8)/MAX($P322-Inputs!$B$8,0.01))))))</f>
        <v/>
      </c>
    </row>
    <row r="323" customFormat="false" ht="15" hidden="false" customHeight="false" outlineLevel="0" collapsed="false">
      <c r="I323" s="7" t="str">
        <f aca="false">IF($C323="","",IF($C323="G","PUTT",IF(AND($C323="T",$M323&gt;3),"OTT",IF($D323&lt;=30,"ARG","APP"))))</f>
        <v/>
      </c>
      <c r="J323" s="17" t="str">
        <f aca="false">IF($C323="","",$N323+$Q323*$R323)</f>
        <v/>
      </c>
      <c r="K323" s="17" t="str">
        <f aca="false">IF($C323="","",$O323+$Q323*$S323)</f>
        <v/>
      </c>
      <c r="L323" s="17" t="str">
        <f aca="false">IF($C323="","",$J323-$K323-1-N($G323))</f>
        <v/>
      </c>
      <c r="M323" s="7" t="str">
        <f aca="false">IF($B323="","",INDEX(Course!$B$2:$B$19,MATCH($B323,Course!$A$2:$A$19,0)))</f>
        <v/>
      </c>
      <c r="N323" s="17" t="str">
        <f aca="false">IF($C323="","",IF($C323="H",0,IF($C323="G",INDEX(Baseline!$I$3:$I$102,MIN(MAX(ROUND($D323,0),1),100)),IF($C323="T",IF($M323=3,INDEX(Baseline!$B$3:$B$122,MATCH(MIN(MAX(ROUND(($D323)/5,0)*5,5),600),Baseline!$A$3:$A$122,0))-Inputs!$B$9,INDEX(Course!$N$2:$N$19,MATCH($B323,Course!$A$2:$A$19,0))),INDEX(Baseline!$B$3:$E$122,MATCH(MIN(MAX(ROUND(($D323)/5,0)*5,5),600),Baseline!$A$3:$A$122,0),MATCH($C323,Baseline!$B$2:$E$2,0))))))</f>
        <v/>
      </c>
      <c r="O323" s="17" t="str">
        <f aca="false">IF($C323="","",IF($E323="H",0,IF($E323="G",INDEX(Baseline!$I$3:$I$102,MIN(MAX(ROUND($F323,0),1),100)),IF($E323="T",IF($M323=3,INDEX(Baseline!$B$3:$B$122,MATCH(MIN(MAX(ROUND(($F323)/5,0)*5,5),600),Baseline!$A$3:$A$122,0))-Inputs!$B$9,INDEX(Course!$N$2:$N$19,MATCH($B323,Course!$A$2:$A$19,0))),INDEX(Baseline!$B$3:$E$122,MATCH(MIN(MAX(ROUND(($F323)/5,0)*5,5),600),Baseline!$A$3:$A$122,0),MATCH($E323,Baseline!$B$2:$E$2,0))))))</f>
        <v/>
      </c>
      <c r="P323" s="17" t="str">
        <f aca="false">IF($B323="","",INDEX(Course!$N$2:$N$19,MATCH($B323,Course!$A$2:$A$19,0)))</f>
        <v/>
      </c>
      <c r="Q323" s="17" t="str">
        <f aca="false">IF($B323="","",INDEX(Course!$P$2:$P$19,MATCH($B323,Course!$A$2:$A$19,0)))</f>
        <v/>
      </c>
      <c r="R323" s="17" t="str">
        <f aca="false">IF($C323="","",IF(OR($C323="G",$C323="H"),0,IF($C323="T",1,MIN(1,MAX(0,($N323-Inputs!$B$8)/MAX($P323-Inputs!$B$8,0.01))))))</f>
        <v/>
      </c>
      <c r="S323" s="17" t="str">
        <f aca="false">IF($C323="","",IF(OR($E323="G",$E323="H"),0,IF($E323="T",1,MIN(1,MAX(0,($O323-Inputs!$B$8)/MAX($P323-Inputs!$B$8,0.01))))))</f>
        <v/>
      </c>
    </row>
    <row r="324" customFormat="false" ht="15" hidden="false" customHeight="false" outlineLevel="0" collapsed="false">
      <c r="I324" s="7" t="str">
        <f aca="false">IF($C324="","",IF($C324="G","PUTT",IF(AND($C324="T",$M324&gt;3),"OTT",IF($D324&lt;=30,"ARG","APP"))))</f>
        <v/>
      </c>
      <c r="J324" s="17" t="str">
        <f aca="false">IF($C324="","",$N324+$Q324*$R324)</f>
        <v/>
      </c>
      <c r="K324" s="17" t="str">
        <f aca="false">IF($C324="","",$O324+$Q324*$S324)</f>
        <v/>
      </c>
      <c r="L324" s="17" t="str">
        <f aca="false">IF($C324="","",$J324-$K324-1-N($G324))</f>
        <v/>
      </c>
      <c r="M324" s="7" t="str">
        <f aca="false">IF($B324="","",INDEX(Course!$B$2:$B$19,MATCH($B324,Course!$A$2:$A$19,0)))</f>
        <v/>
      </c>
      <c r="N324" s="17" t="str">
        <f aca="false">IF($C324="","",IF($C324="H",0,IF($C324="G",INDEX(Baseline!$I$3:$I$102,MIN(MAX(ROUND($D324,0),1),100)),IF($C324="T",IF($M324=3,INDEX(Baseline!$B$3:$B$122,MATCH(MIN(MAX(ROUND(($D324)/5,0)*5,5),600),Baseline!$A$3:$A$122,0))-Inputs!$B$9,INDEX(Course!$N$2:$N$19,MATCH($B324,Course!$A$2:$A$19,0))),INDEX(Baseline!$B$3:$E$122,MATCH(MIN(MAX(ROUND(($D324)/5,0)*5,5),600),Baseline!$A$3:$A$122,0),MATCH($C324,Baseline!$B$2:$E$2,0))))))</f>
        <v/>
      </c>
      <c r="O324" s="17" t="str">
        <f aca="false">IF($C324="","",IF($E324="H",0,IF($E324="G",INDEX(Baseline!$I$3:$I$102,MIN(MAX(ROUND($F324,0),1),100)),IF($E324="T",IF($M324=3,INDEX(Baseline!$B$3:$B$122,MATCH(MIN(MAX(ROUND(($F324)/5,0)*5,5),600),Baseline!$A$3:$A$122,0))-Inputs!$B$9,INDEX(Course!$N$2:$N$19,MATCH($B324,Course!$A$2:$A$19,0))),INDEX(Baseline!$B$3:$E$122,MATCH(MIN(MAX(ROUND(($F324)/5,0)*5,5),600),Baseline!$A$3:$A$122,0),MATCH($E324,Baseline!$B$2:$E$2,0))))))</f>
        <v/>
      </c>
      <c r="P324" s="17" t="str">
        <f aca="false">IF($B324="","",INDEX(Course!$N$2:$N$19,MATCH($B324,Course!$A$2:$A$19,0)))</f>
        <v/>
      </c>
      <c r="Q324" s="17" t="str">
        <f aca="false">IF($B324="","",INDEX(Course!$P$2:$P$19,MATCH($B324,Course!$A$2:$A$19,0)))</f>
        <v/>
      </c>
      <c r="R324" s="17" t="str">
        <f aca="false">IF($C324="","",IF(OR($C324="G",$C324="H"),0,IF($C324="T",1,MIN(1,MAX(0,($N324-Inputs!$B$8)/MAX($P324-Inputs!$B$8,0.01))))))</f>
        <v/>
      </c>
      <c r="S324" s="17" t="str">
        <f aca="false">IF($C324="","",IF(OR($E324="G",$E324="H"),0,IF($E324="T",1,MIN(1,MAX(0,($O324-Inputs!$B$8)/MAX($P324-Inputs!$B$8,0.01))))))</f>
        <v/>
      </c>
    </row>
    <row r="325" customFormat="false" ht="15" hidden="false" customHeight="false" outlineLevel="0" collapsed="false">
      <c r="I325" s="7" t="str">
        <f aca="false">IF($C325="","",IF($C325="G","PUTT",IF(AND($C325="T",$M325&gt;3),"OTT",IF($D325&lt;=30,"ARG","APP"))))</f>
        <v/>
      </c>
      <c r="J325" s="17" t="str">
        <f aca="false">IF($C325="","",$N325+$Q325*$R325)</f>
        <v/>
      </c>
      <c r="K325" s="17" t="str">
        <f aca="false">IF($C325="","",$O325+$Q325*$S325)</f>
        <v/>
      </c>
      <c r="L325" s="17" t="str">
        <f aca="false">IF($C325="","",$J325-$K325-1-N($G325))</f>
        <v/>
      </c>
      <c r="M325" s="7" t="str">
        <f aca="false">IF($B325="","",INDEX(Course!$B$2:$B$19,MATCH($B325,Course!$A$2:$A$19,0)))</f>
        <v/>
      </c>
      <c r="N325" s="17" t="str">
        <f aca="false">IF($C325="","",IF($C325="H",0,IF($C325="G",INDEX(Baseline!$I$3:$I$102,MIN(MAX(ROUND($D325,0),1),100)),IF($C325="T",IF($M325=3,INDEX(Baseline!$B$3:$B$122,MATCH(MIN(MAX(ROUND(($D325)/5,0)*5,5),600),Baseline!$A$3:$A$122,0))-Inputs!$B$9,INDEX(Course!$N$2:$N$19,MATCH($B325,Course!$A$2:$A$19,0))),INDEX(Baseline!$B$3:$E$122,MATCH(MIN(MAX(ROUND(($D325)/5,0)*5,5),600),Baseline!$A$3:$A$122,0),MATCH($C325,Baseline!$B$2:$E$2,0))))))</f>
        <v/>
      </c>
      <c r="O325" s="17" t="str">
        <f aca="false">IF($C325="","",IF($E325="H",0,IF($E325="G",INDEX(Baseline!$I$3:$I$102,MIN(MAX(ROUND($F325,0),1),100)),IF($E325="T",IF($M325=3,INDEX(Baseline!$B$3:$B$122,MATCH(MIN(MAX(ROUND(($F325)/5,0)*5,5),600),Baseline!$A$3:$A$122,0))-Inputs!$B$9,INDEX(Course!$N$2:$N$19,MATCH($B325,Course!$A$2:$A$19,0))),INDEX(Baseline!$B$3:$E$122,MATCH(MIN(MAX(ROUND(($F325)/5,0)*5,5),600),Baseline!$A$3:$A$122,0),MATCH($E325,Baseline!$B$2:$E$2,0))))))</f>
        <v/>
      </c>
      <c r="P325" s="17" t="str">
        <f aca="false">IF($B325="","",INDEX(Course!$N$2:$N$19,MATCH($B325,Course!$A$2:$A$19,0)))</f>
        <v/>
      </c>
      <c r="Q325" s="17" t="str">
        <f aca="false">IF($B325="","",INDEX(Course!$P$2:$P$19,MATCH($B325,Course!$A$2:$A$19,0)))</f>
        <v/>
      </c>
      <c r="R325" s="17" t="str">
        <f aca="false">IF($C325="","",IF(OR($C325="G",$C325="H"),0,IF($C325="T",1,MIN(1,MAX(0,($N325-Inputs!$B$8)/MAX($P325-Inputs!$B$8,0.01))))))</f>
        <v/>
      </c>
      <c r="S325" s="17" t="str">
        <f aca="false">IF($C325="","",IF(OR($E325="G",$E325="H"),0,IF($E325="T",1,MIN(1,MAX(0,($O325-Inputs!$B$8)/MAX($P325-Inputs!$B$8,0.01))))))</f>
        <v/>
      </c>
    </row>
    <row r="326" customFormat="false" ht="15" hidden="false" customHeight="false" outlineLevel="0" collapsed="false">
      <c r="I326" s="7" t="str">
        <f aca="false">IF($C326="","",IF($C326="G","PUTT",IF(AND($C326="T",$M326&gt;3),"OTT",IF($D326&lt;=30,"ARG","APP"))))</f>
        <v/>
      </c>
      <c r="J326" s="17" t="str">
        <f aca="false">IF($C326="","",$N326+$Q326*$R326)</f>
        <v/>
      </c>
      <c r="K326" s="17" t="str">
        <f aca="false">IF($C326="","",$O326+$Q326*$S326)</f>
        <v/>
      </c>
      <c r="L326" s="17" t="str">
        <f aca="false">IF($C326="","",$J326-$K326-1-N($G326))</f>
        <v/>
      </c>
      <c r="M326" s="7" t="str">
        <f aca="false">IF($B326="","",INDEX(Course!$B$2:$B$19,MATCH($B326,Course!$A$2:$A$19,0)))</f>
        <v/>
      </c>
      <c r="N326" s="17" t="str">
        <f aca="false">IF($C326="","",IF($C326="H",0,IF($C326="G",INDEX(Baseline!$I$3:$I$102,MIN(MAX(ROUND($D326,0),1),100)),IF($C326="T",IF($M326=3,INDEX(Baseline!$B$3:$B$122,MATCH(MIN(MAX(ROUND(($D326)/5,0)*5,5),600),Baseline!$A$3:$A$122,0))-Inputs!$B$9,INDEX(Course!$N$2:$N$19,MATCH($B326,Course!$A$2:$A$19,0))),INDEX(Baseline!$B$3:$E$122,MATCH(MIN(MAX(ROUND(($D326)/5,0)*5,5),600),Baseline!$A$3:$A$122,0),MATCH($C326,Baseline!$B$2:$E$2,0))))))</f>
        <v/>
      </c>
      <c r="O326" s="17" t="str">
        <f aca="false">IF($C326="","",IF($E326="H",0,IF($E326="G",INDEX(Baseline!$I$3:$I$102,MIN(MAX(ROUND($F326,0),1),100)),IF($E326="T",IF($M326=3,INDEX(Baseline!$B$3:$B$122,MATCH(MIN(MAX(ROUND(($F326)/5,0)*5,5),600),Baseline!$A$3:$A$122,0))-Inputs!$B$9,INDEX(Course!$N$2:$N$19,MATCH($B326,Course!$A$2:$A$19,0))),INDEX(Baseline!$B$3:$E$122,MATCH(MIN(MAX(ROUND(($F326)/5,0)*5,5),600),Baseline!$A$3:$A$122,0),MATCH($E326,Baseline!$B$2:$E$2,0))))))</f>
        <v/>
      </c>
      <c r="P326" s="17" t="str">
        <f aca="false">IF($B326="","",INDEX(Course!$N$2:$N$19,MATCH($B326,Course!$A$2:$A$19,0)))</f>
        <v/>
      </c>
      <c r="Q326" s="17" t="str">
        <f aca="false">IF($B326="","",INDEX(Course!$P$2:$P$19,MATCH($B326,Course!$A$2:$A$19,0)))</f>
        <v/>
      </c>
      <c r="R326" s="17" t="str">
        <f aca="false">IF($C326="","",IF(OR($C326="G",$C326="H"),0,IF($C326="T",1,MIN(1,MAX(0,($N326-Inputs!$B$8)/MAX($P326-Inputs!$B$8,0.01))))))</f>
        <v/>
      </c>
      <c r="S326" s="17" t="str">
        <f aca="false">IF($C326="","",IF(OR($E326="G",$E326="H"),0,IF($E326="T",1,MIN(1,MAX(0,($O326-Inputs!$B$8)/MAX($P326-Inputs!$B$8,0.01))))))</f>
        <v/>
      </c>
    </row>
    <row r="327" customFormat="false" ht="15" hidden="false" customHeight="false" outlineLevel="0" collapsed="false">
      <c r="I327" s="7" t="str">
        <f aca="false">IF($C327="","",IF($C327="G","PUTT",IF(AND($C327="T",$M327&gt;3),"OTT",IF($D327&lt;=30,"ARG","APP"))))</f>
        <v/>
      </c>
      <c r="J327" s="17" t="str">
        <f aca="false">IF($C327="","",$N327+$Q327*$R327)</f>
        <v/>
      </c>
      <c r="K327" s="17" t="str">
        <f aca="false">IF($C327="","",$O327+$Q327*$S327)</f>
        <v/>
      </c>
      <c r="L327" s="17" t="str">
        <f aca="false">IF($C327="","",$J327-$K327-1-N($G327))</f>
        <v/>
      </c>
      <c r="M327" s="7" t="str">
        <f aca="false">IF($B327="","",INDEX(Course!$B$2:$B$19,MATCH($B327,Course!$A$2:$A$19,0)))</f>
        <v/>
      </c>
      <c r="N327" s="17" t="str">
        <f aca="false">IF($C327="","",IF($C327="H",0,IF($C327="G",INDEX(Baseline!$I$3:$I$102,MIN(MAX(ROUND($D327,0),1),100)),IF($C327="T",IF($M327=3,INDEX(Baseline!$B$3:$B$122,MATCH(MIN(MAX(ROUND(($D327)/5,0)*5,5),600),Baseline!$A$3:$A$122,0))-Inputs!$B$9,INDEX(Course!$N$2:$N$19,MATCH($B327,Course!$A$2:$A$19,0))),INDEX(Baseline!$B$3:$E$122,MATCH(MIN(MAX(ROUND(($D327)/5,0)*5,5),600),Baseline!$A$3:$A$122,0),MATCH($C327,Baseline!$B$2:$E$2,0))))))</f>
        <v/>
      </c>
      <c r="O327" s="17" t="str">
        <f aca="false">IF($C327="","",IF($E327="H",0,IF($E327="G",INDEX(Baseline!$I$3:$I$102,MIN(MAX(ROUND($F327,0),1),100)),IF($E327="T",IF($M327=3,INDEX(Baseline!$B$3:$B$122,MATCH(MIN(MAX(ROUND(($F327)/5,0)*5,5),600),Baseline!$A$3:$A$122,0))-Inputs!$B$9,INDEX(Course!$N$2:$N$19,MATCH($B327,Course!$A$2:$A$19,0))),INDEX(Baseline!$B$3:$E$122,MATCH(MIN(MAX(ROUND(($F327)/5,0)*5,5),600),Baseline!$A$3:$A$122,0),MATCH($E327,Baseline!$B$2:$E$2,0))))))</f>
        <v/>
      </c>
      <c r="P327" s="17" t="str">
        <f aca="false">IF($B327="","",INDEX(Course!$N$2:$N$19,MATCH($B327,Course!$A$2:$A$19,0)))</f>
        <v/>
      </c>
      <c r="Q327" s="17" t="str">
        <f aca="false">IF($B327="","",INDEX(Course!$P$2:$P$19,MATCH($B327,Course!$A$2:$A$19,0)))</f>
        <v/>
      </c>
      <c r="R327" s="17" t="str">
        <f aca="false">IF($C327="","",IF(OR($C327="G",$C327="H"),0,IF($C327="T",1,MIN(1,MAX(0,($N327-Inputs!$B$8)/MAX($P327-Inputs!$B$8,0.01))))))</f>
        <v/>
      </c>
      <c r="S327" s="17" t="str">
        <f aca="false">IF($C327="","",IF(OR($E327="G",$E327="H"),0,IF($E327="T",1,MIN(1,MAX(0,($O327-Inputs!$B$8)/MAX($P327-Inputs!$B$8,0.01))))))</f>
        <v/>
      </c>
    </row>
    <row r="328" customFormat="false" ht="15" hidden="false" customHeight="false" outlineLevel="0" collapsed="false">
      <c r="I328" s="7" t="str">
        <f aca="false">IF($C328="","",IF($C328="G","PUTT",IF(AND($C328="T",$M328&gt;3),"OTT",IF($D328&lt;=30,"ARG","APP"))))</f>
        <v/>
      </c>
      <c r="J328" s="17" t="str">
        <f aca="false">IF($C328="","",$N328+$Q328*$R328)</f>
        <v/>
      </c>
      <c r="K328" s="17" t="str">
        <f aca="false">IF($C328="","",$O328+$Q328*$S328)</f>
        <v/>
      </c>
      <c r="L328" s="17" t="str">
        <f aca="false">IF($C328="","",$J328-$K328-1-N($G328))</f>
        <v/>
      </c>
      <c r="M328" s="7" t="str">
        <f aca="false">IF($B328="","",INDEX(Course!$B$2:$B$19,MATCH($B328,Course!$A$2:$A$19,0)))</f>
        <v/>
      </c>
      <c r="N328" s="17" t="str">
        <f aca="false">IF($C328="","",IF($C328="H",0,IF($C328="G",INDEX(Baseline!$I$3:$I$102,MIN(MAX(ROUND($D328,0),1),100)),IF($C328="T",IF($M328=3,INDEX(Baseline!$B$3:$B$122,MATCH(MIN(MAX(ROUND(($D328)/5,0)*5,5),600),Baseline!$A$3:$A$122,0))-Inputs!$B$9,INDEX(Course!$N$2:$N$19,MATCH($B328,Course!$A$2:$A$19,0))),INDEX(Baseline!$B$3:$E$122,MATCH(MIN(MAX(ROUND(($D328)/5,0)*5,5),600),Baseline!$A$3:$A$122,0),MATCH($C328,Baseline!$B$2:$E$2,0))))))</f>
        <v/>
      </c>
      <c r="O328" s="17" t="str">
        <f aca="false">IF($C328="","",IF($E328="H",0,IF($E328="G",INDEX(Baseline!$I$3:$I$102,MIN(MAX(ROUND($F328,0),1),100)),IF($E328="T",IF($M328=3,INDEX(Baseline!$B$3:$B$122,MATCH(MIN(MAX(ROUND(($F328)/5,0)*5,5),600),Baseline!$A$3:$A$122,0))-Inputs!$B$9,INDEX(Course!$N$2:$N$19,MATCH($B328,Course!$A$2:$A$19,0))),INDEX(Baseline!$B$3:$E$122,MATCH(MIN(MAX(ROUND(($F328)/5,0)*5,5),600),Baseline!$A$3:$A$122,0),MATCH($E328,Baseline!$B$2:$E$2,0))))))</f>
        <v/>
      </c>
      <c r="P328" s="17" t="str">
        <f aca="false">IF($B328="","",INDEX(Course!$N$2:$N$19,MATCH($B328,Course!$A$2:$A$19,0)))</f>
        <v/>
      </c>
      <c r="Q328" s="17" t="str">
        <f aca="false">IF($B328="","",INDEX(Course!$P$2:$P$19,MATCH($B328,Course!$A$2:$A$19,0)))</f>
        <v/>
      </c>
      <c r="R328" s="17" t="str">
        <f aca="false">IF($C328="","",IF(OR($C328="G",$C328="H"),0,IF($C328="T",1,MIN(1,MAX(0,($N328-Inputs!$B$8)/MAX($P328-Inputs!$B$8,0.01))))))</f>
        <v/>
      </c>
      <c r="S328" s="17" t="str">
        <f aca="false">IF($C328="","",IF(OR($E328="G",$E328="H"),0,IF($E328="T",1,MIN(1,MAX(0,($O328-Inputs!$B$8)/MAX($P328-Inputs!$B$8,0.01))))))</f>
        <v/>
      </c>
    </row>
    <row r="329" customFormat="false" ht="15" hidden="false" customHeight="false" outlineLevel="0" collapsed="false">
      <c r="I329" s="7" t="str">
        <f aca="false">IF($C329="","",IF($C329="G","PUTT",IF(AND($C329="T",$M329&gt;3),"OTT",IF($D329&lt;=30,"ARG","APP"))))</f>
        <v/>
      </c>
      <c r="J329" s="17" t="str">
        <f aca="false">IF($C329="","",$N329+$Q329*$R329)</f>
        <v/>
      </c>
      <c r="K329" s="17" t="str">
        <f aca="false">IF($C329="","",$O329+$Q329*$S329)</f>
        <v/>
      </c>
      <c r="L329" s="17" t="str">
        <f aca="false">IF($C329="","",$J329-$K329-1-N($G329))</f>
        <v/>
      </c>
      <c r="M329" s="7" t="str">
        <f aca="false">IF($B329="","",INDEX(Course!$B$2:$B$19,MATCH($B329,Course!$A$2:$A$19,0)))</f>
        <v/>
      </c>
      <c r="N329" s="17" t="str">
        <f aca="false">IF($C329="","",IF($C329="H",0,IF($C329="G",INDEX(Baseline!$I$3:$I$102,MIN(MAX(ROUND($D329,0),1),100)),IF($C329="T",IF($M329=3,INDEX(Baseline!$B$3:$B$122,MATCH(MIN(MAX(ROUND(($D329)/5,0)*5,5),600),Baseline!$A$3:$A$122,0))-Inputs!$B$9,INDEX(Course!$N$2:$N$19,MATCH($B329,Course!$A$2:$A$19,0))),INDEX(Baseline!$B$3:$E$122,MATCH(MIN(MAX(ROUND(($D329)/5,0)*5,5),600),Baseline!$A$3:$A$122,0),MATCH($C329,Baseline!$B$2:$E$2,0))))))</f>
        <v/>
      </c>
      <c r="O329" s="17" t="str">
        <f aca="false">IF($C329="","",IF($E329="H",0,IF($E329="G",INDEX(Baseline!$I$3:$I$102,MIN(MAX(ROUND($F329,0),1),100)),IF($E329="T",IF($M329=3,INDEX(Baseline!$B$3:$B$122,MATCH(MIN(MAX(ROUND(($F329)/5,0)*5,5),600),Baseline!$A$3:$A$122,0))-Inputs!$B$9,INDEX(Course!$N$2:$N$19,MATCH($B329,Course!$A$2:$A$19,0))),INDEX(Baseline!$B$3:$E$122,MATCH(MIN(MAX(ROUND(($F329)/5,0)*5,5),600),Baseline!$A$3:$A$122,0),MATCH($E329,Baseline!$B$2:$E$2,0))))))</f>
        <v/>
      </c>
      <c r="P329" s="17" t="str">
        <f aca="false">IF($B329="","",INDEX(Course!$N$2:$N$19,MATCH($B329,Course!$A$2:$A$19,0)))</f>
        <v/>
      </c>
      <c r="Q329" s="17" t="str">
        <f aca="false">IF($B329="","",INDEX(Course!$P$2:$P$19,MATCH($B329,Course!$A$2:$A$19,0)))</f>
        <v/>
      </c>
      <c r="R329" s="17" t="str">
        <f aca="false">IF($C329="","",IF(OR($C329="G",$C329="H"),0,IF($C329="T",1,MIN(1,MAX(0,($N329-Inputs!$B$8)/MAX($P329-Inputs!$B$8,0.01))))))</f>
        <v/>
      </c>
      <c r="S329" s="17" t="str">
        <f aca="false">IF($C329="","",IF(OR($E329="G",$E329="H"),0,IF($E329="T",1,MIN(1,MAX(0,($O329-Inputs!$B$8)/MAX($P329-Inputs!$B$8,0.01))))))</f>
        <v/>
      </c>
    </row>
    <row r="330" customFormat="false" ht="15" hidden="false" customHeight="false" outlineLevel="0" collapsed="false">
      <c r="I330" s="7" t="str">
        <f aca="false">IF($C330="","",IF($C330="G","PUTT",IF(AND($C330="T",$M330&gt;3),"OTT",IF($D330&lt;=30,"ARG","APP"))))</f>
        <v/>
      </c>
      <c r="J330" s="17" t="str">
        <f aca="false">IF($C330="","",$N330+$Q330*$R330)</f>
        <v/>
      </c>
      <c r="K330" s="17" t="str">
        <f aca="false">IF($C330="","",$O330+$Q330*$S330)</f>
        <v/>
      </c>
      <c r="L330" s="17" t="str">
        <f aca="false">IF($C330="","",$J330-$K330-1-N($G330))</f>
        <v/>
      </c>
      <c r="M330" s="7" t="str">
        <f aca="false">IF($B330="","",INDEX(Course!$B$2:$B$19,MATCH($B330,Course!$A$2:$A$19,0)))</f>
        <v/>
      </c>
      <c r="N330" s="17" t="str">
        <f aca="false">IF($C330="","",IF($C330="H",0,IF($C330="G",INDEX(Baseline!$I$3:$I$102,MIN(MAX(ROUND($D330,0),1),100)),IF($C330="T",IF($M330=3,INDEX(Baseline!$B$3:$B$122,MATCH(MIN(MAX(ROUND(($D330)/5,0)*5,5),600),Baseline!$A$3:$A$122,0))-Inputs!$B$9,INDEX(Course!$N$2:$N$19,MATCH($B330,Course!$A$2:$A$19,0))),INDEX(Baseline!$B$3:$E$122,MATCH(MIN(MAX(ROUND(($D330)/5,0)*5,5),600),Baseline!$A$3:$A$122,0),MATCH($C330,Baseline!$B$2:$E$2,0))))))</f>
        <v/>
      </c>
      <c r="O330" s="17" t="str">
        <f aca="false">IF($C330="","",IF($E330="H",0,IF($E330="G",INDEX(Baseline!$I$3:$I$102,MIN(MAX(ROUND($F330,0),1),100)),IF($E330="T",IF($M330=3,INDEX(Baseline!$B$3:$B$122,MATCH(MIN(MAX(ROUND(($F330)/5,0)*5,5),600),Baseline!$A$3:$A$122,0))-Inputs!$B$9,INDEX(Course!$N$2:$N$19,MATCH($B330,Course!$A$2:$A$19,0))),INDEX(Baseline!$B$3:$E$122,MATCH(MIN(MAX(ROUND(($F330)/5,0)*5,5),600),Baseline!$A$3:$A$122,0),MATCH($E330,Baseline!$B$2:$E$2,0))))))</f>
        <v/>
      </c>
      <c r="P330" s="17" t="str">
        <f aca="false">IF($B330="","",INDEX(Course!$N$2:$N$19,MATCH($B330,Course!$A$2:$A$19,0)))</f>
        <v/>
      </c>
      <c r="Q330" s="17" t="str">
        <f aca="false">IF($B330="","",INDEX(Course!$P$2:$P$19,MATCH($B330,Course!$A$2:$A$19,0)))</f>
        <v/>
      </c>
      <c r="R330" s="17" t="str">
        <f aca="false">IF($C330="","",IF(OR($C330="G",$C330="H"),0,IF($C330="T",1,MIN(1,MAX(0,($N330-Inputs!$B$8)/MAX($P330-Inputs!$B$8,0.01))))))</f>
        <v/>
      </c>
      <c r="S330" s="17" t="str">
        <f aca="false">IF($C330="","",IF(OR($E330="G",$E330="H"),0,IF($E330="T",1,MIN(1,MAX(0,($O330-Inputs!$B$8)/MAX($P330-Inputs!$B$8,0.01))))))</f>
        <v/>
      </c>
    </row>
    <row r="331" customFormat="false" ht="15" hidden="false" customHeight="false" outlineLevel="0" collapsed="false">
      <c r="I331" s="7" t="str">
        <f aca="false">IF($C331="","",IF($C331="G","PUTT",IF(AND($C331="T",$M331&gt;3),"OTT",IF($D331&lt;=30,"ARG","APP"))))</f>
        <v/>
      </c>
      <c r="J331" s="17" t="str">
        <f aca="false">IF($C331="","",$N331+$Q331*$R331)</f>
        <v/>
      </c>
      <c r="K331" s="17" t="str">
        <f aca="false">IF($C331="","",$O331+$Q331*$S331)</f>
        <v/>
      </c>
      <c r="L331" s="17" t="str">
        <f aca="false">IF($C331="","",$J331-$K331-1-N($G331))</f>
        <v/>
      </c>
      <c r="M331" s="7" t="str">
        <f aca="false">IF($B331="","",INDEX(Course!$B$2:$B$19,MATCH($B331,Course!$A$2:$A$19,0)))</f>
        <v/>
      </c>
      <c r="N331" s="17" t="str">
        <f aca="false">IF($C331="","",IF($C331="H",0,IF($C331="G",INDEX(Baseline!$I$3:$I$102,MIN(MAX(ROUND($D331,0),1),100)),IF($C331="T",IF($M331=3,INDEX(Baseline!$B$3:$B$122,MATCH(MIN(MAX(ROUND(($D331)/5,0)*5,5),600),Baseline!$A$3:$A$122,0))-Inputs!$B$9,INDEX(Course!$N$2:$N$19,MATCH($B331,Course!$A$2:$A$19,0))),INDEX(Baseline!$B$3:$E$122,MATCH(MIN(MAX(ROUND(($D331)/5,0)*5,5),600),Baseline!$A$3:$A$122,0),MATCH($C331,Baseline!$B$2:$E$2,0))))))</f>
        <v/>
      </c>
      <c r="O331" s="17" t="str">
        <f aca="false">IF($C331="","",IF($E331="H",0,IF($E331="G",INDEX(Baseline!$I$3:$I$102,MIN(MAX(ROUND($F331,0),1),100)),IF($E331="T",IF($M331=3,INDEX(Baseline!$B$3:$B$122,MATCH(MIN(MAX(ROUND(($F331)/5,0)*5,5),600),Baseline!$A$3:$A$122,0))-Inputs!$B$9,INDEX(Course!$N$2:$N$19,MATCH($B331,Course!$A$2:$A$19,0))),INDEX(Baseline!$B$3:$E$122,MATCH(MIN(MAX(ROUND(($F331)/5,0)*5,5),600),Baseline!$A$3:$A$122,0),MATCH($E331,Baseline!$B$2:$E$2,0))))))</f>
        <v/>
      </c>
      <c r="P331" s="17" t="str">
        <f aca="false">IF($B331="","",INDEX(Course!$N$2:$N$19,MATCH($B331,Course!$A$2:$A$19,0)))</f>
        <v/>
      </c>
      <c r="Q331" s="17" t="str">
        <f aca="false">IF($B331="","",INDEX(Course!$P$2:$P$19,MATCH($B331,Course!$A$2:$A$19,0)))</f>
        <v/>
      </c>
      <c r="R331" s="17" t="str">
        <f aca="false">IF($C331="","",IF(OR($C331="G",$C331="H"),0,IF($C331="T",1,MIN(1,MAX(0,($N331-Inputs!$B$8)/MAX($P331-Inputs!$B$8,0.01))))))</f>
        <v/>
      </c>
      <c r="S331" s="17" t="str">
        <f aca="false">IF($C331="","",IF(OR($E331="G",$E331="H"),0,IF($E331="T",1,MIN(1,MAX(0,($O331-Inputs!$B$8)/MAX($P331-Inputs!$B$8,0.01))))))</f>
        <v/>
      </c>
    </row>
    <row r="332" customFormat="false" ht="15" hidden="false" customHeight="false" outlineLevel="0" collapsed="false">
      <c r="I332" s="7" t="str">
        <f aca="false">IF($C332="","",IF($C332="G","PUTT",IF(AND($C332="T",$M332&gt;3),"OTT",IF($D332&lt;=30,"ARG","APP"))))</f>
        <v/>
      </c>
      <c r="J332" s="17" t="str">
        <f aca="false">IF($C332="","",$N332+$Q332*$R332)</f>
        <v/>
      </c>
      <c r="K332" s="17" t="str">
        <f aca="false">IF($C332="","",$O332+$Q332*$S332)</f>
        <v/>
      </c>
      <c r="L332" s="17" t="str">
        <f aca="false">IF($C332="","",$J332-$K332-1-N($G332))</f>
        <v/>
      </c>
      <c r="M332" s="7" t="str">
        <f aca="false">IF($B332="","",INDEX(Course!$B$2:$B$19,MATCH($B332,Course!$A$2:$A$19,0)))</f>
        <v/>
      </c>
      <c r="N332" s="17" t="str">
        <f aca="false">IF($C332="","",IF($C332="H",0,IF($C332="G",INDEX(Baseline!$I$3:$I$102,MIN(MAX(ROUND($D332,0),1),100)),IF($C332="T",IF($M332=3,INDEX(Baseline!$B$3:$B$122,MATCH(MIN(MAX(ROUND(($D332)/5,0)*5,5),600),Baseline!$A$3:$A$122,0))-Inputs!$B$9,INDEX(Course!$N$2:$N$19,MATCH($B332,Course!$A$2:$A$19,0))),INDEX(Baseline!$B$3:$E$122,MATCH(MIN(MAX(ROUND(($D332)/5,0)*5,5),600),Baseline!$A$3:$A$122,0),MATCH($C332,Baseline!$B$2:$E$2,0))))))</f>
        <v/>
      </c>
      <c r="O332" s="17" t="str">
        <f aca="false">IF($C332="","",IF($E332="H",0,IF($E332="G",INDEX(Baseline!$I$3:$I$102,MIN(MAX(ROUND($F332,0),1),100)),IF($E332="T",IF($M332=3,INDEX(Baseline!$B$3:$B$122,MATCH(MIN(MAX(ROUND(($F332)/5,0)*5,5),600),Baseline!$A$3:$A$122,0))-Inputs!$B$9,INDEX(Course!$N$2:$N$19,MATCH($B332,Course!$A$2:$A$19,0))),INDEX(Baseline!$B$3:$E$122,MATCH(MIN(MAX(ROUND(($F332)/5,0)*5,5),600),Baseline!$A$3:$A$122,0),MATCH($E332,Baseline!$B$2:$E$2,0))))))</f>
        <v/>
      </c>
      <c r="P332" s="17" t="str">
        <f aca="false">IF($B332="","",INDEX(Course!$N$2:$N$19,MATCH($B332,Course!$A$2:$A$19,0)))</f>
        <v/>
      </c>
      <c r="Q332" s="17" t="str">
        <f aca="false">IF($B332="","",INDEX(Course!$P$2:$P$19,MATCH($B332,Course!$A$2:$A$19,0)))</f>
        <v/>
      </c>
      <c r="R332" s="17" t="str">
        <f aca="false">IF($C332="","",IF(OR($C332="G",$C332="H"),0,IF($C332="T",1,MIN(1,MAX(0,($N332-Inputs!$B$8)/MAX($P332-Inputs!$B$8,0.01))))))</f>
        <v/>
      </c>
      <c r="S332" s="17" t="str">
        <f aca="false">IF($C332="","",IF(OR($E332="G",$E332="H"),0,IF($E332="T",1,MIN(1,MAX(0,($O332-Inputs!$B$8)/MAX($P332-Inputs!$B$8,0.01))))))</f>
        <v/>
      </c>
    </row>
    <row r="333" customFormat="false" ht="15" hidden="false" customHeight="false" outlineLevel="0" collapsed="false">
      <c r="I333" s="7" t="str">
        <f aca="false">IF($C333="","",IF($C333="G","PUTT",IF(AND($C333="T",$M333&gt;3),"OTT",IF($D333&lt;=30,"ARG","APP"))))</f>
        <v/>
      </c>
      <c r="J333" s="17" t="str">
        <f aca="false">IF($C333="","",$N333+$Q333*$R333)</f>
        <v/>
      </c>
      <c r="K333" s="17" t="str">
        <f aca="false">IF($C333="","",$O333+$Q333*$S333)</f>
        <v/>
      </c>
      <c r="L333" s="17" t="str">
        <f aca="false">IF($C333="","",$J333-$K333-1-N($G333))</f>
        <v/>
      </c>
      <c r="M333" s="7" t="str">
        <f aca="false">IF($B333="","",INDEX(Course!$B$2:$B$19,MATCH($B333,Course!$A$2:$A$19,0)))</f>
        <v/>
      </c>
      <c r="N333" s="17" t="str">
        <f aca="false">IF($C333="","",IF($C333="H",0,IF($C333="G",INDEX(Baseline!$I$3:$I$102,MIN(MAX(ROUND($D333,0),1),100)),IF($C333="T",IF($M333=3,INDEX(Baseline!$B$3:$B$122,MATCH(MIN(MAX(ROUND(($D333)/5,0)*5,5),600),Baseline!$A$3:$A$122,0))-Inputs!$B$9,INDEX(Course!$N$2:$N$19,MATCH($B333,Course!$A$2:$A$19,0))),INDEX(Baseline!$B$3:$E$122,MATCH(MIN(MAX(ROUND(($D333)/5,0)*5,5),600),Baseline!$A$3:$A$122,0),MATCH($C333,Baseline!$B$2:$E$2,0))))))</f>
        <v/>
      </c>
      <c r="O333" s="17" t="str">
        <f aca="false">IF($C333="","",IF($E333="H",0,IF($E333="G",INDEX(Baseline!$I$3:$I$102,MIN(MAX(ROUND($F333,0),1),100)),IF($E333="T",IF($M333=3,INDEX(Baseline!$B$3:$B$122,MATCH(MIN(MAX(ROUND(($F333)/5,0)*5,5),600),Baseline!$A$3:$A$122,0))-Inputs!$B$9,INDEX(Course!$N$2:$N$19,MATCH($B333,Course!$A$2:$A$19,0))),INDEX(Baseline!$B$3:$E$122,MATCH(MIN(MAX(ROUND(($F333)/5,0)*5,5),600),Baseline!$A$3:$A$122,0),MATCH($E333,Baseline!$B$2:$E$2,0))))))</f>
        <v/>
      </c>
      <c r="P333" s="17" t="str">
        <f aca="false">IF($B333="","",INDEX(Course!$N$2:$N$19,MATCH($B333,Course!$A$2:$A$19,0)))</f>
        <v/>
      </c>
      <c r="Q333" s="17" t="str">
        <f aca="false">IF($B333="","",INDEX(Course!$P$2:$P$19,MATCH($B333,Course!$A$2:$A$19,0)))</f>
        <v/>
      </c>
      <c r="R333" s="17" t="str">
        <f aca="false">IF($C333="","",IF(OR($C333="G",$C333="H"),0,IF($C333="T",1,MIN(1,MAX(0,($N333-Inputs!$B$8)/MAX($P333-Inputs!$B$8,0.01))))))</f>
        <v/>
      </c>
      <c r="S333" s="17" t="str">
        <f aca="false">IF($C333="","",IF(OR($E333="G",$E333="H"),0,IF($E333="T",1,MIN(1,MAX(0,($O333-Inputs!$B$8)/MAX($P333-Inputs!$B$8,0.01))))))</f>
        <v/>
      </c>
    </row>
    <row r="334" customFormat="false" ht="15" hidden="false" customHeight="false" outlineLevel="0" collapsed="false">
      <c r="I334" s="7" t="str">
        <f aca="false">IF($C334="","",IF($C334="G","PUTT",IF(AND($C334="T",$M334&gt;3),"OTT",IF($D334&lt;=30,"ARG","APP"))))</f>
        <v/>
      </c>
      <c r="J334" s="17" t="str">
        <f aca="false">IF($C334="","",$N334+$Q334*$R334)</f>
        <v/>
      </c>
      <c r="K334" s="17" t="str">
        <f aca="false">IF($C334="","",$O334+$Q334*$S334)</f>
        <v/>
      </c>
      <c r="L334" s="17" t="str">
        <f aca="false">IF($C334="","",$J334-$K334-1-N($G334))</f>
        <v/>
      </c>
      <c r="M334" s="7" t="str">
        <f aca="false">IF($B334="","",INDEX(Course!$B$2:$B$19,MATCH($B334,Course!$A$2:$A$19,0)))</f>
        <v/>
      </c>
      <c r="N334" s="17" t="str">
        <f aca="false">IF($C334="","",IF($C334="H",0,IF($C334="G",INDEX(Baseline!$I$3:$I$102,MIN(MAX(ROUND($D334,0),1),100)),IF($C334="T",IF($M334=3,INDEX(Baseline!$B$3:$B$122,MATCH(MIN(MAX(ROUND(($D334)/5,0)*5,5),600),Baseline!$A$3:$A$122,0))-Inputs!$B$9,INDEX(Course!$N$2:$N$19,MATCH($B334,Course!$A$2:$A$19,0))),INDEX(Baseline!$B$3:$E$122,MATCH(MIN(MAX(ROUND(($D334)/5,0)*5,5),600),Baseline!$A$3:$A$122,0),MATCH($C334,Baseline!$B$2:$E$2,0))))))</f>
        <v/>
      </c>
      <c r="O334" s="17" t="str">
        <f aca="false">IF($C334="","",IF($E334="H",0,IF($E334="G",INDEX(Baseline!$I$3:$I$102,MIN(MAX(ROUND($F334,0),1),100)),IF($E334="T",IF($M334=3,INDEX(Baseline!$B$3:$B$122,MATCH(MIN(MAX(ROUND(($F334)/5,0)*5,5),600),Baseline!$A$3:$A$122,0))-Inputs!$B$9,INDEX(Course!$N$2:$N$19,MATCH($B334,Course!$A$2:$A$19,0))),INDEX(Baseline!$B$3:$E$122,MATCH(MIN(MAX(ROUND(($F334)/5,0)*5,5),600),Baseline!$A$3:$A$122,0),MATCH($E334,Baseline!$B$2:$E$2,0))))))</f>
        <v/>
      </c>
      <c r="P334" s="17" t="str">
        <f aca="false">IF($B334="","",INDEX(Course!$N$2:$N$19,MATCH($B334,Course!$A$2:$A$19,0)))</f>
        <v/>
      </c>
      <c r="Q334" s="17" t="str">
        <f aca="false">IF($B334="","",INDEX(Course!$P$2:$P$19,MATCH($B334,Course!$A$2:$A$19,0)))</f>
        <v/>
      </c>
      <c r="R334" s="17" t="str">
        <f aca="false">IF($C334="","",IF(OR($C334="G",$C334="H"),0,IF($C334="T",1,MIN(1,MAX(0,($N334-Inputs!$B$8)/MAX($P334-Inputs!$B$8,0.01))))))</f>
        <v/>
      </c>
      <c r="S334" s="17" t="str">
        <f aca="false">IF($C334="","",IF(OR($E334="G",$E334="H"),0,IF($E334="T",1,MIN(1,MAX(0,($O334-Inputs!$B$8)/MAX($P334-Inputs!$B$8,0.01))))))</f>
        <v/>
      </c>
    </row>
    <row r="335" customFormat="false" ht="15" hidden="false" customHeight="false" outlineLevel="0" collapsed="false">
      <c r="I335" s="7" t="str">
        <f aca="false">IF($C335="","",IF($C335="G","PUTT",IF(AND($C335="T",$M335&gt;3),"OTT",IF($D335&lt;=30,"ARG","APP"))))</f>
        <v/>
      </c>
      <c r="J335" s="17" t="str">
        <f aca="false">IF($C335="","",$N335+$Q335*$R335)</f>
        <v/>
      </c>
      <c r="K335" s="17" t="str">
        <f aca="false">IF($C335="","",$O335+$Q335*$S335)</f>
        <v/>
      </c>
      <c r="L335" s="17" t="str">
        <f aca="false">IF($C335="","",$J335-$K335-1-N($G335))</f>
        <v/>
      </c>
      <c r="M335" s="7" t="str">
        <f aca="false">IF($B335="","",INDEX(Course!$B$2:$B$19,MATCH($B335,Course!$A$2:$A$19,0)))</f>
        <v/>
      </c>
      <c r="N335" s="17" t="str">
        <f aca="false">IF($C335="","",IF($C335="H",0,IF($C335="G",INDEX(Baseline!$I$3:$I$102,MIN(MAX(ROUND($D335,0),1),100)),IF($C335="T",IF($M335=3,INDEX(Baseline!$B$3:$B$122,MATCH(MIN(MAX(ROUND(($D335)/5,0)*5,5),600),Baseline!$A$3:$A$122,0))-Inputs!$B$9,INDEX(Course!$N$2:$N$19,MATCH($B335,Course!$A$2:$A$19,0))),INDEX(Baseline!$B$3:$E$122,MATCH(MIN(MAX(ROUND(($D335)/5,0)*5,5),600),Baseline!$A$3:$A$122,0),MATCH($C335,Baseline!$B$2:$E$2,0))))))</f>
        <v/>
      </c>
      <c r="O335" s="17" t="str">
        <f aca="false">IF($C335="","",IF($E335="H",0,IF($E335="G",INDEX(Baseline!$I$3:$I$102,MIN(MAX(ROUND($F335,0),1),100)),IF($E335="T",IF($M335=3,INDEX(Baseline!$B$3:$B$122,MATCH(MIN(MAX(ROUND(($F335)/5,0)*5,5),600),Baseline!$A$3:$A$122,0))-Inputs!$B$9,INDEX(Course!$N$2:$N$19,MATCH($B335,Course!$A$2:$A$19,0))),INDEX(Baseline!$B$3:$E$122,MATCH(MIN(MAX(ROUND(($F335)/5,0)*5,5),600),Baseline!$A$3:$A$122,0),MATCH($E335,Baseline!$B$2:$E$2,0))))))</f>
        <v/>
      </c>
      <c r="P335" s="17" t="str">
        <f aca="false">IF($B335="","",INDEX(Course!$N$2:$N$19,MATCH($B335,Course!$A$2:$A$19,0)))</f>
        <v/>
      </c>
      <c r="Q335" s="17" t="str">
        <f aca="false">IF($B335="","",INDEX(Course!$P$2:$P$19,MATCH($B335,Course!$A$2:$A$19,0)))</f>
        <v/>
      </c>
      <c r="R335" s="17" t="str">
        <f aca="false">IF($C335="","",IF(OR($C335="G",$C335="H"),0,IF($C335="T",1,MIN(1,MAX(0,($N335-Inputs!$B$8)/MAX($P335-Inputs!$B$8,0.01))))))</f>
        <v/>
      </c>
      <c r="S335" s="17" t="str">
        <f aca="false">IF($C335="","",IF(OR($E335="G",$E335="H"),0,IF($E335="T",1,MIN(1,MAX(0,($O335-Inputs!$B$8)/MAX($P335-Inputs!$B$8,0.01))))))</f>
        <v/>
      </c>
    </row>
    <row r="336" customFormat="false" ht="15" hidden="false" customHeight="false" outlineLevel="0" collapsed="false">
      <c r="I336" s="7" t="str">
        <f aca="false">IF($C336="","",IF($C336="G","PUTT",IF(AND($C336="T",$M336&gt;3),"OTT",IF($D336&lt;=30,"ARG","APP"))))</f>
        <v/>
      </c>
      <c r="J336" s="17" t="str">
        <f aca="false">IF($C336="","",$N336+$Q336*$R336)</f>
        <v/>
      </c>
      <c r="K336" s="17" t="str">
        <f aca="false">IF($C336="","",$O336+$Q336*$S336)</f>
        <v/>
      </c>
      <c r="L336" s="17" t="str">
        <f aca="false">IF($C336="","",$J336-$K336-1-N($G336))</f>
        <v/>
      </c>
      <c r="M336" s="7" t="str">
        <f aca="false">IF($B336="","",INDEX(Course!$B$2:$B$19,MATCH($B336,Course!$A$2:$A$19,0)))</f>
        <v/>
      </c>
      <c r="N336" s="17" t="str">
        <f aca="false">IF($C336="","",IF($C336="H",0,IF($C336="G",INDEX(Baseline!$I$3:$I$102,MIN(MAX(ROUND($D336,0),1),100)),IF($C336="T",IF($M336=3,INDEX(Baseline!$B$3:$B$122,MATCH(MIN(MAX(ROUND(($D336)/5,0)*5,5),600),Baseline!$A$3:$A$122,0))-Inputs!$B$9,INDEX(Course!$N$2:$N$19,MATCH($B336,Course!$A$2:$A$19,0))),INDEX(Baseline!$B$3:$E$122,MATCH(MIN(MAX(ROUND(($D336)/5,0)*5,5),600),Baseline!$A$3:$A$122,0),MATCH($C336,Baseline!$B$2:$E$2,0))))))</f>
        <v/>
      </c>
      <c r="O336" s="17" t="str">
        <f aca="false">IF($C336="","",IF($E336="H",0,IF($E336="G",INDEX(Baseline!$I$3:$I$102,MIN(MAX(ROUND($F336,0),1),100)),IF($E336="T",IF($M336=3,INDEX(Baseline!$B$3:$B$122,MATCH(MIN(MAX(ROUND(($F336)/5,0)*5,5),600),Baseline!$A$3:$A$122,0))-Inputs!$B$9,INDEX(Course!$N$2:$N$19,MATCH($B336,Course!$A$2:$A$19,0))),INDEX(Baseline!$B$3:$E$122,MATCH(MIN(MAX(ROUND(($F336)/5,0)*5,5),600),Baseline!$A$3:$A$122,0),MATCH($E336,Baseline!$B$2:$E$2,0))))))</f>
        <v/>
      </c>
      <c r="P336" s="17" t="str">
        <f aca="false">IF($B336="","",INDEX(Course!$N$2:$N$19,MATCH($B336,Course!$A$2:$A$19,0)))</f>
        <v/>
      </c>
      <c r="Q336" s="17" t="str">
        <f aca="false">IF($B336="","",INDEX(Course!$P$2:$P$19,MATCH($B336,Course!$A$2:$A$19,0)))</f>
        <v/>
      </c>
      <c r="R336" s="17" t="str">
        <f aca="false">IF($C336="","",IF(OR($C336="G",$C336="H"),0,IF($C336="T",1,MIN(1,MAX(0,($N336-Inputs!$B$8)/MAX($P336-Inputs!$B$8,0.01))))))</f>
        <v/>
      </c>
      <c r="S336" s="17" t="str">
        <f aca="false">IF($C336="","",IF(OR($E336="G",$E336="H"),0,IF($E336="T",1,MIN(1,MAX(0,($O336-Inputs!$B$8)/MAX($P336-Inputs!$B$8,0.01))))))</f>
        <v/>
      </c>
    </row>
    <row r="337" customFormat="false" ht="15" hidden="false" customHeight="false" outlineLevel="0" collapsed="false">
      <c r="I337" s="7" t="str">
        <f aca="false">IF($C337="","",IF($C337="G","PUTT",IF(AND($C337="T",$M337&gt;3),"OTT",IF($D337&lt;=30,"ARG","APP"))))</f>
        <v/>
      </c>
      <c r="J337" s="17" t="str">
        <f aca="false">IF($C337="","",$N337+$Q337*$R337)</f>
        <v/>
      </c>
      <c r="K337" s="17" t="str">
        <f aca="false">IF($C337="","",$O337+$Q337*$S337)</f>
        <v/>
      </c>
      <c r="L337" s="17" t="str">
        <f aca="false">IF($C337="","",$J337-$K337-1-N($G337))</f>
        <v/>
      </c>
      <c r="M337" s="7" t="str">
        <f aca="false">IF($B337="","",INDEX(Course!$B$2:$B$19,MATCH($B337,Course!$A$2:$A$19,0)))</f>
        <v/>
      </c>
      <c r="N337" s="17" t="str">
        <f aca="false">IF($C337="","",IF($C337="H",0,IF($C337="G",INDEX(Baseline!$I$3:$I$102,MIN(MAX(ROUND($D337,0),1),100)),IF($C337="T",IF($M337=3,INDEX(Baseline!$B$3:$B$122,MATCH(MIN(MAX(ROUND(($D337)/5,0)*5,5),600),Baseline!$A$3:$A$122,0))-Inputs!$B$9,INDEX(Course!$N$2:$N$19,MATCH($B337,Course!$A$2:$A$19,0))),INDEX(Baseline!$B$3:$E$122,MATCH(MIN(MAX(ROUND(($D337)/5,0)*5,5),600),Baseline!$A$3:$A$122,0),MATCH($C337,Baseline!$B$2:$E$2,0))))))</f>
        <v/>
      </c>
      <c r="O337" s="17" t="str">
        <f aca="false">IF($C337="","",IF($E337="H",0,IF($E337="G",INDEX(Baseline!$I$3:$I$102,MIN(MAX(ROUND($F337,0),1),100)),IF($E337="T",IF($M337=3,INDEX(Baseline!$B$3:$B$122,MATCH(MIN(MAX(ROUND(($F337)/5,0)*5,5),600),Baseline!$A$3:$A$122,0))-Inputs!$B$9,INDEX(Course!$N$2:$N$19,MATCH($B337,Course!$A$2:$A$19,0))),INDEX(Baseline!$B$3:$E$122,MATCH(MIN(MAX(ROUND(($F337)/5,0)*5,5),600),Baseline!$A$3:$A$122,0),MATCH($E337,Baseline!$B$2:$E$2,0))))))</f>
        <v/>
      </c>
      <c r="P337" s="17" t="str">
        <f aca="false">IF($B337="","",INDEX(Course!$N$2:$N$19,MATCH($B337,Course!$A$2:$A$19,0)))</f>
        <v/>
      </c>
      <c r="Q337" s="17" t="str">
        <f aca="false">IF($B337="","",INDEX(Course!$P$2:$P$19,MATCH($B337,Course!$A$2:$A$19,0)))</f>
        <v/>
      </c>
      <c r="R337" s="17" t="str">
        <f aca="false">IF($C337="","",IF(OR($C337="G",$C337="H"),0,IF($C337="T",1,MIN(1,MAX(0,($N337-Inputs!$B$8)/MAX($P337-Inputs!$B$8,0.01))))))</f>
        <v/>
      </c>
      <c r="S337" s="17" t="str">
        <f aca="false">IF($C337="","",IF(OR($E337="G",$E337="H"),0,IF($E337="T",1,MIN(1,MAX(0,($O337-Inputs!$B$8)/MAX($P337-Inputs!$B$8,0.01))))))</f>
        <v/>
      </c>
    </row>
    <row r="338" customFormat="false" ht="15" hidden="false" customHeight="false" outlineLevel="0" collapsed="false">
      <c r="I338" s="7" t="str">
        <f aca="false">IF($C338="","",IF($C338="G","PUTT",IF(AND($C338="T",$M338&gt;3),"OTT",IF($D338&lt;=30,"ARG","APP"))))</f>
        <v/>
      </c>
      <c r="J338" s="17" t="str">
        <f aca="false">IF($C338="","",$N338+$Q338*$R338)</f>
        <v/>
      </c>
      <c r="K338" s="17" t="str">
        <f aca="false">IF($C338="","",$O338+$Q338*$S338)</f>
        <v/>
      </c>
      <c r="L338" s="17" t="str">
        <f aca="false">IF($C338="","",$J338-$K338-1-N($G338))</f>
        <v/>
      </c>
      <c r="M338" s="7" t="str">
        <f aca="false">IF($B338="","",INDEX(Course!$B$2:$B$19,MATCH($B338,Course!$A$2:$A$19,0)))</f>
        <v/>
      </c>
      <c r="N338" s="17" t="str">
        <f aca="false">IF($C338="","",IF($C338="H",0,IF($C338="G",INDEX(Baseline!$I$3:$I$102,MIN(MAX(ROUND($D338,0),1),100)),IF($C338="T",IF($M338=3,INDEX(Baseline!$B$3:$B$122,MATCH(MIN(MAX(ROUND(($D338)/5,0)*5,5),600),Baseline!$A$3:$A$122,0))-Inputs!$B$9,INDEX(Course!$N$2:$N$19,MATCH($B338,Course!$A$2:$A$19,0))),INDEX(Baseline!$B$3:$E$122,MATCH(MIN(MAX(ROUND(($D338)/5,0)*5,5),600),Baseline!$A$3:$A$122,0),MATCH($C338,Baseline!$B$2:$E$2,0))))))</f>
        <v/>
      </c>
      <c r="O338" s="17" t="str">
        <f aca="false">IF($C338="","",IF($E338="H",0,IF($E338="G",INDEX(Baseline!$I$3:$I$102,MIN(MAX(ROUND($F338,0),1),100)),IF($E338="T",IF($M338=3,INDEX(Baseline!$B$3:$B$122,MATCH(MIN(MAX(ROUND(($F338)/5,0)*5,5),600),Baseline!$A$3:$A$122,0))-Inputs!$B$9,INDEX(Course!$N$2:$N$19,MATCH($B338,Course!$A$2:$A$19,0))),INDEX(Baseline!$B$3:$E$122,MATCH(MIN(MAX(ROUND(($F338)/5,0)*5,5),600),Baseline!$A$3:$A$122,0),MATCH($E338,Baseline!$B$2:$E$2,0))))))</f>
        <v/>
      </c>
      <c r="P338" s="17" t="str">
        <f aca="false">IF($B338="","",INDEX(Course!$N$2:$N$19,MATCH($B338,Course!$A$2:$A$19,0)))</f>
        <v/>
      </c>
      <c r="Q338" s="17" t="str">
        <f aca="false">IF($B338="","",INDEX(Course!$P$2:$P$19,MATCH($B338,Course!$A$2:$A$19,0)))</f>
        <v/>
      </c>
      <c r="R338" s="17" t="str">
        <f aca="false">IF($C338="","",IF(OR($C338="G",$C338="H"),0,IF($C338="T",1,MIN(1,MAX(0,($N338-Inputs!$B$8)/MAX($P338-Inputs!$B$8,0.01))))))</f>
        <v/>
      </c>
      <c r="S338" s="17" t="str">
        <f aca="false">IF($C338="","",IF(OR($E338="G",$E338="H"),0,IF($E338="T",1,MIN(1,MAX(0,($O338-Inputs!$B$8)/MAX($P338-Inputs!$B$8,0.01))))))</f>
        <v/>
      </c>
    </row>
    <row r="339" customFormat="false" ht="15" hidden="false" customHeight="false" outlineLevel="0" collapsed="false">
      <c r="I339" s="7" t="str">
        <f aca="false">IF($C339="","",IF($C339="G","PUTT",IF(AND($C339="T",$M339&gt;3),"OTT",IF($D339&lt;=30,"ARG","APP"))))</f>
        <v/>
      </c>
      <c r="J339" s="17" t="str">
        <f aca="false">IF($C339="","",$N339+$Q339*$R339)</f>
        <v/>
      </c>
      <c r="K339" s="17" t="str">
        <f aca="false">IF($C339="","",$O339+$Q339*$S339)</f>
        <v/>
      </c>
      <c r="L339" s="17" t="str">
        <f aca="false">IF($C339="","",$J339-$K339-1-N($G339))</f>
        <v/>
      </c>
      <c r="M339" s="7" t="str">
        <f aca="false">IF($B339="","",INDEX(Course!$B$2:$B$19,MATCH($B339,Course!$A$2:$A$19,0)))</f>
        <v/>
      </c>
      <c r="N339" s="17" t="str">
        <f aca="false">IF($C339="","",IF($C339="H",0,IF($C339="G",INDEX(Baseline!$I$3:$I$102,MIN(MAX(ROUND($D339,0),1),100)),IF($C339="T",IF($M339=3,INDEX(Baseline!$B$3:$B$122,MATCH(MIN(MAX(ROUND(($D339)/5,0)*5,5),600),Baseline!$A$3:$A$122,0))-Inputs!$B$9,INDEX(Course!$N$2:$N$19,MATCH($B339,Course!$A$2:$A$19,0))),INDEX(Baseline!$B$3:$E$122,MATCH(MIN(MAX(ROUND(($D339)/5,0)*5,5),600),Baseline!$A$3:$A$122,0),MATCH($C339,Baseline!$B$2:$E$2,0))))))</f>
        <v/>
      </c>
      <c r="O339" s="17" t="str">
        <f aca="false">IF($C339="","",IF($E339="H",0,IF($E339="G",INDEX(Baseline!$I$3:$I$102,MIN(MAX(ROUND($F339,0),1),100)),IF($E339="T",IF($M339=3,INDEX(Baseline!$B$3:$B$122,MATCH(MIN(MAX(ROUND(($F339)/5,0)*5,5),600),Baseline!$A$3:$A$122,0))-Inputs!$B$9,INDEX(Course!$N$2:$N$19,MATCH($B339,Course!$A$2:$A$19,0))),INDEX(Baseline!$B$3:$E$122,MATCH(MIN(MAX(ROUND(($F339)/5,0)*5,5),600),Baseline!$A$3:$A$122,0),MATCH($E339,Baseline!$B$2:$E$2,0))))))</f>
        <v/>
      </c>
      <c r="P339" s="17" t="str">
        <f aca="false">IF($B339="","",INDEX(Course!$N$2:$N$19,MATCH($B339,Course!$A$2:$A$19,0)))</f>
        <v/>
      </c>
      <c r="Q339" s="17" t="str">
        <f aca="false">IF($B339="","",INDEX(Course!$P$2:$P$19,MATCH($B339,Course!$A$2:$A$19,0)))</f>
        <v/>
      </c>
      <c r="R339" s="17" t="str">
        <f aca="false">IF($C339="","",IF(OR($C339="G",$C339="H"),0,IF($C339="T",1,MIN(1,MAX(0,($N339-Inputs!$B$8)/MAX($P339-Inputs!$B$8,0.01))))))</f>
        <v/>
      </c>
      <c r="S339" s="17" t="str">
        <f aca="false">IF($C339="","",IF(OR($E339="G",$E339="H"),0,IF($E339="T",1,MIN(1,MAX(0,($O339-Inputs!$B$8)/MAX($P339-Inputs!$B$8,0.01))))))</f>
        <v/>
      </c>
    </row>
    <row r="340" customFormat="false" ht="15" hidden="false" customHeight="false" outlineLevel="0" collapsed="false">
      <c r="I340" s="7" t="str">
        <f aca="false">IF($C340="","",IF($C340="G","PUTT",IF(AND($C340="T",$M340&gt;3),"OTT",IF($D340&lt;=30,"ARG","APP"))))</f>
        <v/>
      </c>
      <c r="J340" s="17" t="str">
        <f aca="false">IF($C340="","",$N340+$Q340*$R340)</f>
        <v/>
      </c>
      <c r="K340" s="17" t="str">
        <f aca="false">IF($C340="","",$O340+$Q340*$S340)</f>
        <v/>
      </c>
      <c r="L340" s="17" t="str">
        <f aca="false">IF($C340="","",$J340-$K340-1-N($G340))</f>
        <v/>
      </c>
      <c r="M340" s="7" t="str">
        <f aca="false">IF($B340="","",INDEX(Course!$B$2:$B$19,MATCH($B340,Course!$A$2:$A$19,0)))</f>
        <v/>
      </c>
      <c r="N340" s="17" t="str">
        <f aca="false">IF($C340="","",IF($C340="H",0,IF($C340="G",INDEX(Baseline!$I$3:$I$102,MIN(MAX(ROUND($D340,0),1),100)),IF($C340="T",IF($M340=3,INDEX(Baseline!$B$3:$B$122,MATCH(MIN(MAX(ROUND(($D340)/5,0)*5,5),600),Baseline!$A$3:$A$122,0))-Inputs!$B$9,INDEX(Course!$N$2:$N$19,MATCH($B340,Course!$A$2:$A$19,0))),INDEX(Baseline!$B$3:$E$122,MATCH(MIN(MAX(ROUND(($D340)/5,0)*5,5),600),Baseline!$A$3:$A$122,0),MATCH($C340,Baseline!$B$2:$E$2,0))))))</f>
        <v/>
      </c>
      <c r="O340" s="17" t="str">
        <f aca="false">IF($C340="","",IF($E340="H",0,IF($E340="G",INDEX(Baseline!$I$3:$I$102,MIN(MAX(ROUND($F340,0),1),100)),IF($E340="T",IF($M340=3,INDEX(Baseline!$B$3:$B$122,MATCH(MIN(MAX(ROUND(($F340)/5,0)*5,5),600),Baseline!$A$3:$A$122,0))-Inputs!$B$9,INDEX(Course!$N$2:$N$19,MATCH($B340,Course!$A$2:$A$19,0))),INDEX(Baseline!$B$3:$E$122,MATCH(MIN(MAX(ROUND(($F340)/5,0)*5,5),600),Baseline!$A$3:$A$122,0),MATCH($E340,Baseline!$B$2:$E$2,0))))))</f>
        <v/>
      </c>
      <c r="P340" s="17" t="str">
        <f aca="false">IF($B340="","",INDEX(Course!$N$2:$N$19,MATCH($B340,Course!$A$2:$A$19,0)))</f>
        <v/>
      </c>
      <c r="Q340" s="17" t="str">
        <f aca="false">IF($B340="","",INDEX(Course!$P$2:$P$19,MATCH($B340,Course!$A$2:$A$19,0)))</f>
        <v/>
      </c>
      <c r="R340" s="17" t="str">
        <f aca="false">IF($C340="","",IF(OR($C340="G",$C340="H"),0,IF($C340="T",1,MIN(1,MAX(0,($N340-Inputs!$B$8)/MAX($P340-Inputs!$B$8,0.01))))))</f>
        <v/>
      </c>
      <c r="S340" s="17" t="str">
        <f aca="false">IF($C340="","",IF(OR($E340="G",$E340="H"),0,IF($E340="T",1,MIN(1,MAX(0,($O340-Inputs!$B$8)/MAX($P340-Inputs!$B$8,0.01))))))</f>
        <v/>
      </c>
    </row>
    <row r="341" customFormat="false" ht="15" hidden="false" customHeight="false" outlineLevel="0" collapsed="false">
      <c r="I341" s="7" t="str">
        <f aca="false">IF($C341="","",IF($C341="G","PUTT",IF(AND($C341="T",$M341&gt;3),"OTT",IF($D341&lt;=30,"ARG","APP"))))</f>
        <v/>
      </c>
      <c r="J341" s="17" t="str">
        <f aca="false">IF($C341="","",$N341+$Q341*$R341)</f>
        <v/>
      </c>
      <c r="K341" s="17" t="str">
        <f aca="false">IF($C341="","",$O341+$Q341*$S341)</f>
        <v/>
      </c>
      <c r="L341" s="17" t="str">
        <f aca="false">IF($C341="","",$J341-$K341-1-N($G341))</f>
        <v/>
      </c>
      <c r="M341" s="7" t="str">
        <f aca="false">IF($B341="","",INDEX(Course!$B$2:$B$19,MATCH($B341,Course!$A$2:$A$19,0)))</f>
        <v/>
      </c>
      <c r="N341" s="17" t="str">
        <f aca="false">IF($C341="","",IF($C341="H",0,IF($C341="G",INDEX(Baseline!$I$3:$I$102,MIN(MAX(ROUND($D341,0),1),100)),IF($C341="T",IF($M341=3,INDEX(Baseline!$B$3:$B$122,MATCH(MIN(MAX(ROUND(($D341)/5,0)*5,5),600),Baseline!$A$3:$A$122,0))-Inputs!$B$9,INDEX(Course!$N$2:$N$19,MATCH($B341,Course!$A$2:$A$19,0))),INDEX(Baseline!$B$3:$E$122,MATCH(MIN(MAX(ROUND(($D341)/5,0)*5,5),600),Baseline!$A$3:$A$122,0),MATCH($C341,Baseline!$B$2:$E$2,0))))))</f>
        <v/>
      </c>
      <c r="O341" s="17" t="str">
        <f aca="false">IF($C341="","",IF($E341="H",0,IF($E341="G",INDEX(Baseline!$I$3:$I$102,MIN(MAX(ROUND($F341,0),1),100)),IF($E341="T",IF($M341=3,INDEX(Baseline!$B$3:$B$122,MATCH(MIN(MAX(ROUND(($F341)/5,0)*5,5),600),Baseline!$A$3:$A$122,0))-Inputs!$B$9,INDEX(Course!$N$2:$N$19,MATCH($B341,Course!$A$2:$A$19,0))),INDEX(Baseline!$B$3:$E$122,MATCH(MIN(MAX(ROUND(($F341)/5,0)*5,5),600),Baseline!$A$3:$A$122,0),MATCH($E341,Baseline!$B$2:$E$2,0))))))</f>
        <v/>
      </c>
      <c r="P341" s="17" t="str">
        <f aca="false">IF($B341="","",INDEX(Course!$N$2:$N$19,MATCH($B341,Course!$A$2:$A$19,0)))</f>
        <v/>
      </c>
      <c r="Q341" s="17" t="str">
        <f aca="false">IF($B341="","",INDEX(Course!$P$2:$P$19,MATCH($B341,Course!$A$2:$A$19,0)))</f>
        <v/>
      </c>
      <c r="R341" s="17" t="str">
        <f aca="false">IF($C341="","",IF(OR($C341="G",$C341="H"),0,IF($C341="T",1,MIN(1,MAX(0,($N341-Inputs!$B$8)/MAX($P341-Inputs!$B$8,0.01))))))</f>
        <v/>
      </c>
      <c r="S341" s="17" t="str">
        <f aca="false">IF($C341="","",IF(OR($E341="G",$E341="H"),0,IF($E341="T",1,MIN(1,MAX(0,($O341-Inputs!$B$8)/MAX($P341-Inputs!$B$8,0.01))))))</f>
        <v/>
      </c>
    </row>
    <row r="342" customFormat="false" ht="15" hidden="false" customHeight="false" outlineLevel="0" collapsed="false">
      <c r="I342" s="7" t="str">
        <f aca="false">IF($C342="","",IF($C342="G","PUTT",IF(AND($C342="T",$M342&gt;3),"OTT",IF($D342&lt;=30,"ARG","APP"))))</f>
        <v/>
      </c>
      <c r="J342" s="17" t="str">
        <f aca="false">IF($C342="","",$N342+$Q342*$R342)</f>
        <v/>
      </c>
      <c r="K342" s="17" t="str">
        <f aca="false">IF($C342="","",$O342+$Q342*$S342)</f>
        <v/>
      </c>
      <c r="L342" s="17" t="str">
        <f aca="false">IF($C342="","",$J342-$K342-1-N($G342))</f>
        <v/>
      </c>
      <c r="M342" s="7" t="str">
        <f aca="false">IF($B342="","",INDEX(Course!$B$2:$B$19,MATCH($B342,Course!$A$2:$A$19,0)))</f>
        <v/>
      </c>
      <c r="N342" s="17" t="str">
        <f aca="false">IF($C342="","",IF($C342="H",0,IF($C342="G",INDEX(Baseline!$I$3:$I$102,MIN(MAX(ROUND($D342,0),1),100)),IF($C342="T",IF($M342=3,INDEX(Baseline!$B$3:$B$122,MATCH(MIN(MAX(ROUND(($D342)/5,0)*5,5),600),Baseline!$A$3:$A$122,0))-Inputs!$B$9,INDEX(Course!$N$2:$N$19,MATCH($B342,Course!$A$2:$A$19,0))),INDEX(Baseline!$B$3:$E$122,MATCH(MIN(MAX(ROUND(($D342)/5,0)*5,5),600),Baseline!$A$3:$A$122,0),MATCH($C342,Baseline!$B$2:$E$2,0))))))</f>
        <v/>
      </c>
      <c r="O342" s="17" t="str">
        <f aca="false">IF($C342="","",IF($E342="H",0,IF($E342="G",INDEX(Baseline!$I$3:$I$102,MIN(MAX(ROUND($F342,0),1),100)),IF($E342="T",IF($M342=3,INDEX(Baseline!$B$3:$B$122,MATCH(MIN(MAX(ROUND(($F342)/5,0)*5,5),600),Baseline!$A$3:$A$122,0))-Inputs!$B$9,INDEX(Course!$N$2:$N$19,MATCH($B342,Course!$A$2:$A$19,0))),INDEX(Baseline!$B$3:$E$122,MATCH(MIN(MAX(ROUND(($F342)/5,0)*5,5),600),Baseline!$A$3:$A$122,0),MATCH($E342,Baseline!$B$2:$E$2,0))))))</f>
        <v/>
      </c>
      <c r="P342" s="17" t="str">
        <f aca="false">IF($B342="","",INDEX(Course!$N$2:$N$19,MATCH($B342,Course!$A$2:$A$19,0)))</f>
        <v/>
      </c>
      <c r="Q342" s="17" t="str">
        <f aca="false">IF($B342="","",INDEX(Course!$P$2:$P$19,MATCH($B342,Course!$A$2:$A$19,0)))</f>
        <v/>
      </c>
      <c r="R342" s="17" t="str">
        <f aca="false">IF($C342="","",IF(OR($C342="G",$C342="H"),0,IF($C342="T",1,MIN(1,MAX(0,($N342-Inputs!$B$8)/MAX($P342-Inputs!$B$8,0.01))))))</f>
        <v/>
      </c>
      <c r="S342" s="17" t="str">
        <f aca="false">IF($C342="","",IF(OR($E342="G",$E342="H"),0,IF($E342="T",1,MIN(1,MAX(0,($O342-Inputs!$B$8)/MAX($P342-Inputs!$B$8,0.01))))))</f>
        <v/>
      </c>
    </row>
    <row r="343" customFormat="false" ht="15" hidden="false" customHeight="false" outlineLevel="0" collapsed="false">
      <c r="I343" s="7" t="str">
        <f aca="false">IF($C343="","",IF($C343="G","PUTT",IF(AND($C343="T",$M343&gt;3),"OTT",IF($D343&lt;=30,"ARG","APP"))))</f>
        <v/>
      </c>
      <c r="J343" s="17" t="str">
        <f aca="false">IF($C343="","",$N343+$Q343*$R343)</f>
        <v/>
      </c>
      <c r="K343" s="17" t="str">
        <f aca="false">IF($C343="","",$O343+$Q343*$S343)</f>
        <v/>
      </c>
      <c r="L343" s="17" t="str">
        <f aca="false">IF($C343="","",$J343-$K343-1-N($G343))</f>
        <v/>
      </c>
      <c r="M343" s="7" t="str">
        <f aca="false">IF($B343="","",INDEX(Course!$B$2:$B$19,MATCH($B343,Course!$A$2:$A$19,0)))</f>
        <v/>
      </c>
      <c r="N343" s="17" t="str">
        <f aca="false">IF($C343="","",IF($C343="H",0,IF($C343="G",INDEX(Baseline!$I$3:$I$102,MIN(MAX(ROUND($D343,0),1),100)),IF($C343="T",IF($M343=3,INDEX(Baseline!$B$3:$B$122,MATCH(MIN(MAX(ROUND(($D343)/5,0)*5,5),600),Baseline!$A$3:$A$122,0))-Inputs!$B$9,INDEX(Course!$N$2:$N$19,MATCH($B343,Course!$A$2:$A$19,0))),INDEX(Baseline!$B$3:$E$122,MATCH(MIN(MAX(ROUND(($D343)/5,0)*5,5),600),Baseline!$A$3:$A$122,0),MATCH($C343,Baseline!$B$2:$E$2,0))))))</f>
        <v/>
      </c>
      <c r="O343" s="17" t="str">
        <f aca="false">IF($C343="","",IF($E343="H",0,IF($E343="G",INDEX(Baseline!$I$3:$I$102,MIN(MAX(ROUND($F343,0),1),100)),IF($E343="T",IF($M343=3,INDEX(Baseline!$B$3:$B$122,MATCH(MIN(MAX(ROUND(($F343)/5,0)*5,5),600),Baseline!$A$3:$A$122,0))-Inputs!$B$9,INDEX(Course!$N$2:$N$19,MATCH($B343,Course!$A$2:$A$19,0))),INDEX(Baseline!$B$3:$E$122,MATCH(MIN(MAX(ROUND(($F343)/5,0)*5,5),600),Baseline!$A$3:$A$122,0),MATCH($E343,Baseline!$B$2:$E$2,0))))))</f>
        <v/>
      </c>
      <c r="P343" s="17" t="str">
        <f aca="false">IF($B343="","",INDEX(Course!$N$2:$N$19,MATCH($B343,Course!$A$2:$A$19,0)))</f>
        <v/>
      </c>
      <c r="Q343" s="17" t="str">
        <f aca="false">IF($B343="","",INDEX(Course!$P$2:$P$19,MATCH($B343,Course!$A$2:$A$19,0)))</f>
        <v/>
      </c>
      <c r="R343" s="17" t="str">
        <f aca="false">IF($C343="","",IF(OR($C343="G",$C343="H"),0,IF($C343="T",1,MIN(1,MAX(0,($N343-Inputs!$B$8)/MAX($P343-Inputs!$B$8,0.01))))))</f>
        <v/>
      </c>
      <c r="S343" s="17" t="str">
        <f aca="false">IF($C343="","",IF(OR($E343="G",$E343="H"),0,IF($E343="T",1,MIN(1,MAX(0,($O343-Inputs!$B$8)/MAX($P343-Inputs!$B$8,0.01))))))</f>
        <v/>
      </c>
    </row>
    <row r="344" customFormat="false" ht="15" hidden="false" customHeight="false" outlineLevel="0" collapsed="false">
      <c r="I344" s="7" t="str">
        <f aca="false">IF($C344="","",IF($C344="G","PUTT",IF(AND($C344="T",$M344&gt;3),"OTT",IF($D344&lt;=30,"ARG","APP"))))</f>
        <v/>
      </c>
      <c r="J344" s="17" t="str">
        <f aca="false">IF($C344="","",$N344+$Q344*$R344)</f>
        <v/>
      </c>
      <c r="K344" s="17" t="str">
        <f aca="false">IF($C344="","",$O344+$Q344*$S344)</f>
        <v/>
      </c>
      <c r="L344" s="17" t="str">
        <f aca="false">IF($C344="","",$J344-$K344-1-N($G344))</f>
        <v/>
      </c>
      <c r="M344" s="7" t="str">
        <f aca="false">IF($B344="","",INDEX(Course!$B$2:$B$19,MATCH($B344,Course!$A$2:$A$19,0)))</f>
        <v/>
      </c>
      <c r="N344" s="17" t="str">
        <f aca="false">IF($C344="","",IF($C344="H",0,IF($C344="G",INDEX(Baseline!$I$3:$I$102,MIN(MAX(ROUND($D344,0),1),100)),IF($C344="T",IF($M344=3,INDEX(Baseline!$B$3:$B$122,MATCH(MIN(MAX(ROUND(($D344)/5,0)*5,5),600),Baseline!$A$3:$A$122,0))-Inputs!$B$9,INDEX(Course!$N$2:$N$19,MATCH($B344,Course!$A$2:$A$19,0))),INDEX(Baseline!$B$3:$E$122,MATCH(MIN(MAX(ROUND(($D344)/5,0)*5,5),600),Baseline!$A$3:$A$122,0),MATCH($C344,Baseline!$B$2:$E$2,0))))))</f>
        <v/>
      </c>
      <c r="O344" s="17" t="str">
        <f aca="false">IF($C344="","",IF($E344="H",0,IF($E344="G",INDEX(Baseline!$I$3:$I$102,MIN(MAX(ROUND($F344,0),1),100)),IF($E344="T",IF($M344=3,INDEX(Baseline!$B$3:$B$122,MATCH(MIN(MAX(ROUND(($F344)/5,0)*5,5),600),Baseline!$A$3:$A$122,0))-Inputs!$B$9,INDEX(Course!$N$2:$N$19,MATCH($B344,Course!$A$2:$A$19,0))),INDEX(Baseline!$B$3:$E$122,MATCH(MIN(MAX(ROUND(($F344)/5,0)*5,5),600),Baseline!$A$3:$A$122,0),MATCH($E344,Baseline!$B$2:$E$2,0))))))</f>
        <v/>
      </c>
      <c r="P344" s="17" t="str">
        <f aca="false">IF($B344="","",INDEX(Course!$N$2:$N$19,MATCH($B344,Course!$A$2:$A$19,0)))</f>
        <v/>
      </c>
      <c r="Q344" s="17" t="str">
        <f aca="false">IF($B344="","",INDEX(Course!$P$2:$P$19,MATCH($B344,Course!$A$2:$A$19,0)))</f>
        <v/>
      </c>
      <c r="R344" s="17" t="str">
        <f aca="false">IF($C344="","",IF(OR($C344="G",$C344="H"),0,IF($C344="T",1,MIN(1,MAX(0,($N344-Inputs!$B$8)/MAX($P344-Inputs!$B$8,0.01))))))</f>
        <v/>
      </c>
      <c r="S344" s="17" t="str">
        <f aca="false">IF($C344="","",IF(OR($E344="G",$E344="H"),0,IF($E344="T",1,MIN(1,MAX(0,($O344-Inputs!$B$8)/MAX($P344-Inputs!$B$8,0.01))))))</f>
        <v/>
      </c>
    </row>
    <row r="345" customFormat="false" ht="15" hidden="false" customHeight="false" outlineLevel="0" collapsed="false">
      <c r="I345" s="7" t="str">
        <f aca="false">IF($C345="","",IF($C345="G","PUTT",IF(AND($C345="T",$M345&gt;3),"OTT",IF($D345&lt;=30,"ARG","APP"))))</f>
        <v/>
      </c>
      <c r="J345" s="17" t="str">
        <f aca="false">IF($C345="","",$N345+$Q345*$R345)</f>
        <v/>
      </c>
      <c r="K345" s="17" t="str">
        <f aca="false">IF($C345="","",$O345+$Q345*$S345)</f>
        <v/>
      </c>
      <c r="L345" s="17" t="str">
        <f aca="false">IF($C345="","",$J345-$K345-1-N($G345))</f>
        <v/>
      </c>
      <c r="M345" s="7" t="str">
        <f aca="false">IF($B345="","",INDEX(Course!$B$2:$B$19,MATCH($B345,Course!$A$2:$A$19,0)))</f>
        <v/>
      </c>
      <c r="N345" s="17" t="str">
        <f aca="false">IF($C345="","",IF($C345="H",0,IF($C345="G",INDEX(Baseline!$I$3:$I$102,MIN(MAX(ROUND($D345,0),1),100)),IF($C345="T",IF($M345=3,INDEX(Baseline!$B$3:$B$122,MATCH(MIN(MAX(ROUND(($D345)/5,0)*5,5),600),Baseline!$A$3:$A$122,0))-Inputs!$B$9,INDEX(Course!$N$2:$N$19,MATCH($B345,Course!$A$2:$A$19,0))),INDEX(Baseline!$B$3:$E$122,MATCH(MIN(MAX(ROUND(($D345)/5,0)*5,5),600),Baseline!$A$3:$A$122,0),MATCH($C345,Baseline!$B$2:$E$2,0))))))</f>
        <v/>
      </c>
      <c r="O345" s="17" t="str">
        <f aca="false">IF($C345="","",IF($E345="H",0,IF($E345="G",INDEX(Baseline!$I$3:$I$102,MIN(MAX(ROUND($F345,0),1),100)),IF($E345="T",IF($M345=3,INDEX(Baseline!$B$3:$B$122,MATCH(MIN(MAX(ROUND(($F345)/5,0)*5,5),600),Baseline!$A$3:$A$122,0))-Inputs!$B$9,INDEX(Course!$N$2:$N$19,MATCH($B345,Course!$A$2:$A$19,0))),INDEX(Baseline!$B$3:$E$122,MATCH(MIN(MAX(ROUND(($F345)/5,0)*5,5),600),Baseline!$A$3:$A$122,0),MATCH($E345,Baseline!$B$2:$E$2,0))))))</f>
        <v/>
      </c>
      <c r="P345" s="17" t="str">
        <f aca="false">IF($B345="","",INDEX(Course!$N$2:$N$19,MATCH($B345,Course!$A$2:$A$19,0)))</f>
        <v/>
      </c>
      <c r="Q345" s="17" t="str">
        <f aca="false">IF($B345="","",INDEX(Course!$P$2:$P$19,MATCH($B345,Course!$A$2:$A$19,0)))</f>
        <v/>
      </c>
      <c r="R345" s="17" t="str">
        <f aca="false">IF($C345="","",IF(OR($C345="G",$C345="H"),0,IF($C345="T",1,MIN(1,MAX(0,($N345-Inputs!$B$8)/MAX($P345-Inputs!$B$8,0.01))))))</f>
        <v/>
      </c>
      <c r="S345" s="17" t="str">
        <f aca="false">IF($C345="","",IF(OR($E345="G",$E345="H"),0,IF($E345="T",1,MIN(1,MAX(0,($O345-Inputs!$B$8)/MAX($P345-Inputs!$B$8,0.01))))))</f>
        <v/>
      </c>
    </row>
    <row r="346" customFormat="false" ht="15" hidden="false" customHeight="false" outlineLevel="0" collapsed="false">
      <c r="I346" s="7" t="str">
        <f aca="false">IF($C346="","",IF($C346="G","PUTT",IF(AND($C346="T",$M346&gt;3),"OTT",IF($D346&lt;=30,"ARG","APP"))))</f>
        <v/>
      </c>
      <c r="J346" s="17" t="str">
        <f aca="false">IF($C346="","",$N346+$Q346*$R346)</f>
        <v/>
      </c>
      <c r="K346" s="17" t="str">
        <f aca="false">IF($C346="","",$O346+$Q346*$S346)</f>
        <v/>
      </c>
      <c r="L346" s="17" t="str">
        <f aca="false">IF($C346="","",$J346-$K346-1-N($G346))</f>
        <v/>
      </c>
      <c r="M346" s="7" t="str">
        <f aca="false">IF($B346="","",INDEX(Course!$B$2:$B$19,MATCH($B346,Course!$A$2:$A$19,0)))</f>
        <v/>
      </c>
      <c r="N346" s="17" t="str">
        <f aca="false">IF($C346="","",IF($C346="H",0,IF($C346="G",INDEX(Baseline!$I$3:$I$102,MIN(MAX(ROUND($D346,0),1),100)),IF($C346="T",IF($M346=3,INDEX(Baseline!$B$3:$B$122,MATCH(MIN(MAX(ROUND(($D346)/5,0)*5,5),600),Baseline!$A$3:$A$122,0))-Inputs!$B$9,INDEX(Course!$N$2:$N$19,MATCH($B346,Course!$A$2:$A$19,0))),INDEX(Baseline!$B$3:$E$122,MATCH(MIN(MAX(ROUND(($D346)/5,0)*5,5),600),Baseline!$A$3:$A$122,0),MATCH($C346,Baseline!$B$2:$E$2,0))))))</f>
        <v/>
      </c>
      <c r="O346" s="17" t="str">
        <f aca="false">IF($C346="","",IF($E346="H",0,IF($E346="G",INDEX(Baseline!$I$3:$I$102,MIN(MAX(ROUND($F346,0),1),100)),IF($E346="T",IF($M346=3,INDEX(Baseline!$B$3:$B$122,MATCH(MIN(MAX(ROUND(($F346)/5,0)*5,5),600),Baseline!$A$3:$A$122,0))-Inputs!$B$9,INDEX(Course!$N$2:$N$19,MATCH($B346,Course!$A$2:$A$19,0))),INDEX(Baseline!$B$3:$E$122,MATCH(MIN(MAX(ROUND(($F346)/5,0)*5,5),600),Baseline!$A$3:$A$122,0),MATCH($E346,Baseline!$B$2:$E$2,0))))))</f>
        <v/>
      </c>
      <c r="P346" s="17" t="str">
        <f aca="false">IF($B346="","",INDEX(Course!$N$2:$N$19,MATCH($B346,Course!$A$2:$A$19,0)))</f>
        <v/>
      </c>
      <c r="Q346" s="17" t="str">
        <f aca="false">IF($B346="","",INDEX(Course!$P$2:$P$19,MATCH($B346,Course!$A$2:$A$19,0)))</f>
        <v/>
      </c>
      <c r="R346" s="17" t="str">
        <f aca="false">IF($C346="","",IF(OR($C346="G",$C346="H"),0,IF($C346="T",1,MIN(1,MAX(0,($N346-Inputs!$B$8)/MAX($P346-Inputs!$B$8,0.01))))))</f>
        <v/>
      </c>
      <c r="S346" s="17" t="str">
        <f aca="false">IF($C346="","",IF(OR($E346="G",$E346="H"),0,IF($E346="T",1,MIN(1,MAX(0,($O346-Inputs!$B$8)/MAX($P346-Inputs!$B$8,0.01))))))</f>
        <v/>
      </c>
    </row>
    <row r="347" customFormat="false" ht="15" hidden="false" customHeight="false" outlineLevel="0" collapsed="false">
      <c r="I347" s="7" t="str">
        <f aca="false">IF($C347="","",IF($C347="G","PUTT",IF(AND($C347="T",$M347&gt;3),"OTT",IF($D347&lt;=30,"ARG","APP"))))</f>
        <v/>
      </c>
      <c r="J347" s="17" t="str">
        <f aca="false">IF($C347="","",$N347+$Q347*$R347)</f>
        <v/>
      </c>
      <c r="K347" s="17" t="str">
        <f aca="false">IF($C347="","",$O347+$Q347*$S347)</f>
        <v/>
      </c>
      <c r="L347" s="17" t="str">
        <f aca="false">IF($C347="","",$J347-$K347-1-N($G347))</f>
        <v/>
      </c>
      <c r="M347" s="7" t="str">
        <f aca="false">IF($B347="","",INDEX(Course!$B$2:$B$19,MATCH($B347,Course!$A$2:$A$19,0)))</f>
        <v/>
      </c>
      <c r="N347" s="17" t="str">
        <f aca="false">IF($C347="","",IF($C347="H",0,IF($C347="G",INDEX(Baseline!$I$3:$I$102,MIN(MAX(ROUND($D347,0),1),100)),IF($C347="T",IF($M347=3,INDEX(Baseline!$B$3:$B$122,MATCH(MIN(MAX(ROUND(($D347)/5,0)*5,5),600),Baseline!$A$3:$A$122,0))-Inputs!$B$9,INDEX(Course!$N$2:$N$19,MATCH($B347,Course!$A$2:$A$19,0))),INDEX(Baseline!$B$3:$E$122,MATCH(MIN(MAX(ROUND(($D347)/5,0)*5,5),600),Baseline!$A$3:$A$122,0),MATCH($C347,Baseline!$B$2:$E$2,0))))))</f>
        <v/>
      </c>
      <c r="O347" s="17" t="str">
        <f aca="false">IF($C347="","",IF($E347="H",0,IF($E347="G",INDEX(Baseline!$I$3:$I$102,MIN(MAX(ROUND($F347,0),1),100)),IF($E347="T",IF($M347=3,INDEX(Baseline!$B$3:$B$122,MATCH(MIN(MAX(ROUND(($F347)/5,0)*5,5),600),Baseline!$A$3:$A$122,0))-Inputs!$B$9,INDEX(Course!$N$2:$N$19,MATCH($B347,Course!$A$2:$A$19,0))),INDEX(Baseline!$B$3:$E$122,MATCH(MIN(MAX(ROUND(($F347)/5,0)*5,5),600),Baseline!$A$3:$A$122,0),MATCH($E347,Baseline!$B$2:$E$2,0))))))</f>
        <v/>
      </c>
      <c r="P347" s="17" t="str">
        <f aca="false">IF($B347="","",INDEX(Course!$N$2:$N$19,MATCH($B347,Course!$A$2:$A$19,0)))</f>
        <v/>
      </c>
      <c r="Q347" s="17" t="str">
        <f aca="false">IF($B347="","",INDEX(Course!$P$2:$P$19,MATCH($B347,Course!$A$2:$A$19,0)))</f>
        <v/>
      </c>
      <c r="R347" s="17" t="str">
        <f aca="false">IF($C347="","",IF(OR($C347="G",$C347="H"),0,IF($C347="T",1,MIN(1,MAX(0,($N347-Inputs!$B$8)/MAX($P347-Inputs!$B$8,0.01))))))</f>
        <v/>
      </c>
      <c r="S347" s="17" t="str">
        <f aca="false">IF($C347="","",IF(OR($E347="G",$E347="H"),0,IF($E347="T",1,MIN(1,MAX(0,($O347-Inputs!$B$8)/MAX($P347-Inputs!$B$8,0.01))))))</f>
        <v/>
      </c>
    </row>
    <row r="348" customFormat="false" ht="15" hidden="false" customHeight="false" outlineLevel="0" collapsed="false">
      <c r="I348" s="7" t="str">
        <f aca="false">IF($C348="","",IF($C348="G","PUTT",IF(AND($C348="T",$M348&gt;3),"OTT",IF($D348&lt;=30,"ARG","APP"))))</f>
        <v/>
      </c>
      <c r="J348" s="17" t="str">
        <f aca="false">IF($C348="","",$N348+$Q348*$R348)</f>
        <v/>
      </c>
      <c r="K348" s="17" t="str">
        <f aca="false">IF($C348="","",$O348+$Q348*$S348)</f>
        <v/>
      </c>
      <c r="L348" s="17" t="str">
        <f aca="false">IF($C348="","",$J348-$K348-1-N($G348))</f>
        <v/>
      </c>
      <c r="M348" s="7" t="str">
        <f aca="false">IF($B348="","",INDEX(Course!$B$2:$B$19,MATCH($B348,Course!$A$2:$A$19,0)))</f>
        <v/>
      </c>
      <c r="N348" s="17" t="str">
        <f aca="false">IF($C348="","",IF($C348="H",0,IF($C348="G",INDEX(Baseline!$I$3:$I$102,MIN(MAX(ROUND($D348,0),1),100)),IF($C348="T",IF($M348=3,INDEX(Baseline!$B$3:$B$122,MATCH(MIN(MAX(ROUND(($D348)/5,0)*5,5),600),Baseline!$A$3:$A$122,0))-Inputs!$B$9,INDEX(Course!$N$2:$N$19,MATCH($B348,Course!$A$2:$A$19,0))),INDEX(Baseline!$B$3:$E$122,MATCH(MIN(MAX(ROUND(($D348)/5,0)*5,5),600),Baseline!$A$3:$A$122,0),MATCH($C348,Baseline!$B$2:$E$2,0))))))</f>
        <v/>
      </c>
      <c r="O348" s="17" t="str">
        <f aca="false">IF($C348="","",IF($E348="H",0,IF($E348="G",INDEX(Baseline!$I$3:$I$102,MIN(MAX(ROUND($F348,0),1),100)),IF($E348="T",IF($M348=3,INDEX(Baseline!$B$3:$B$122,MATCH(MIN(MAX(ROUND(($F348)/5,0)*5,5),600),Baseline!$A$3:$A$122,0))-Inputs!$B$9,INDEX(Course!$N$2:$N$19,MATCH($B348,Course!$A$2:$A$19,0))),INDEX(Baseline!$B$3:$E$122,MATCH(MIN(MAX(ROUND(($F348)/5,0)*5,5),600),Baseline!$A$3:$A$122,0),MATCH($E348,Baseline!$B$2:$E$2,0))))))</f>
        <v/>
      </c>
      <c r="P348" s="17" t="str">
        <f aca="false">IF($B348="","",INDEX(Course!$N$2:$N$19,MATCH($B348,Course!$A$2:$A$19,0)))</f>
        <v/>
      </c>
      <c r="Q348" s="17" t="str">
        <f aca="false">IF($B348="","",INDEX(Course!$P$2:$P$19,MATCH($B348,Course!$A$2:$A$19,0)))</f>
        <v/>
      </c>
      <c r="R348" s="17" t="str">
        <f aca="false">IF($C348="","",IF(OR($C348="G",$C348="H"),0,IF($C348="T",1,MIN(1,MAX(0,($N348-Inputs!$B$8)/MAX($P348-Inputs!$B$8,0.01))))))</f>
        <v/>
      </c>
      <c r="S348" s="17" t="str">
        <f aca="false">IF($C348="","",IF(OR($E348="G",$E348="H"),0,IF($E348="T",1,MIN(1,MAX(0,($O348-Inputs!$B$8)/MAX($P348-Inputs!$B$8,0.01))))))</f>
        <v/>
      </c>
    </row>
    <row r="349" customFormat="false" ht="15" hidden="false" customHeight="false" outlineLevel="0" collapsed="false">
      <c r="I349" s="7" t="str">
        <f aca="false">IF($C349="","",IF($C349="G","PUTT",IF(AND($C349="T",$M349&gt;3),"OTT",IF($D349&lt;=30,"ARG","APP"))))</f>
        <v/>
      </c>
      <c r="J349" s="17" t="str">
        <f aca="false">IF($C349="","",$N349+$Q349*$R349)</f>
        <v/>
      </c>
      <c r="K349" s="17" t="str">
        <f aca="false">IF($C349="","",$O349+$Q349*$S349)</f>
        <v/>
      </c>
      <c r="L349" s="17" t="str">
        <f aca="false">IF($C349="","",$J349-$K349-1-N($G349))</f>
        <v/>
      </c>
      <c r="M349" s="7" t="str">
        <f aca="false">IF($B349="","",INDEX(Course!$B$2:$B$19,MATCH($B349,Course!$A$2:$A$19,0)))</f>
        <v/>
      </c>
      <c r="N349" s="17" t="str">
        <f aca="false">IF($C349="","",IF($C349="H",0,IF($C349="G",INDEX(Baseline!$I$3:$I$102,MIN(MAX(ROUND($D349,0),1),100)),IF($C349="T",IF($M349=3,INDEX(Baseline!$B$3:$B$122,MATCH(MIN(MAX(ROUND(($D349)/5,0)*5,5),600),Baseline!$A$3:$A$122,0))-Inputs!$B$9,INDEX(Course!$N$2:$N$19,MATCH($B349,Course!$A$2:$A$19,0))),INDEX(Baseline!$B$3:$E$122,MATCH(MIN(MAX(ROUND(($D349)/5,0)*5,5),600),Baseline!$A$3:$A$122,0),MATCH($C349,Baseline!$B$2:$E$2,0))))))</f>
        <v/>
      </c>
      <c r="O349" s="17" t="str">
        <f aca="false">IF($C349="","",IF($E349="H",0,IF($E349="G",INDEX(Baseline!$I$3:$I$102,MIN(MAX(ROUND($F349,0),1),100)),IF($E349="T",IF($M349=3,INDEX(Baseline!$B$3:$B$122,MATCH(MIN(MAX(ROUND(($F349)/5,0)*5,5),600),Baseline!$A$3:$A$122,0))-Inputs!$B$9,INDEX(Course!$N$2:$N$19,MATCH($B349,Course!$A$2:$A$19,0))),INDEX(Baseline!$B$3:$E$122,MATCH(MIN(MAX(ROUND(($F349)/5,0)*5,5),600),Baseline!$A$3:$A$122,0),MATCH($E349,Baseline!$B$2:$E$2,0))))))</f>
        <v/>
      </c>
      <c r="P349" s="17" t="str">
        <f aca="false">IF($B349="","",INDEX(Course!$N$2:$N$19,MATCH($B349,Course!$A$2:$A$19,0)))</f>
        <v/>
      </c>
      <c r="Q349" s="17" t="str">
        <f aca="false">IF($B349="","",INDEX(Course!$P$2:$P$19,MATCH($B349,Course!$A$2:$A$19,0)))</f>
        <v/>
      </c>
      <c r="R349" s="17" t="str">
        <f aca="false">IF($C349="","",IF(OR($C349="G",$C349="H"),0,IF($C349="T",1,MIN(1,MAX(0,($N349-Inputs!$B$8)/MAX($P349-Inputs!$B$8,0.01))))))</f>
        <v/>
      </c>
      <c r="S349" s="17" t="str">
        <f aca="false">IF($C349="","",IF(OR($E349="G",$E349="H"),0,IF($E349="T",1,MIN(1,MAX(0,($O349-Inputs!$B$8)/MAX($P349-Inputs!$B$8,0.01))))))</f>
        <v/>
      </c>
    </row>
    <row r="350" customFormat="false" ht="15" hidden="false" customHeight="false" outlineLevel="0" collapsed="false">
      <c r="I350" s="7" t="str">
        <f aca="false">IF($C350="","",IF($C350="G","PUTT",IF(AND($C350="T",$M350&gt;3),"OTT",IF($D350&lt;=30,"ARG","APP"))))</f>
        <v/>
      </c>
      <c r="J350" s="17" t="str">
        <f aca="false">IF($C350="","",$N350+$Q350*$R350)</f>
        <v/>
      </c>
      <c r="K350" s="17" t="str">
        <f aca="false">IF($C350="","",$O350+$Q350*$S350)</f>
        <v/>
      </c>
      <c r="L350" s="17" t="str">
        <f aca="false">IF($C350="","",$J350-$K350-1-N($G350))</f>
        <v/>
      </c>
      <c r="M350" s="7" t="str">
        <f aca="false">IF($B350="","",INDEX(Course!$B$2:$B$19,MATCH($B350,Course!$A$2:$A$19,0)))</f>
        <v/>
      </c>
      <c r="N350" s="17" t="str">
        <f aca="false">IF($C350="","",IF($C350="H",0,IF($C350="G",INDEX(Baseline!$I$3:$I$102,MIN(MAX(ROUND($D350,0),1),100)),IF($C350="T",IF($M350=3,INDEX(Baseline!$B$3:$B$122,MATCH(MIN(MAX(ROUND(($D350)/5,0)*5,5),600),Baseline!$A$3:$A$122,0))-Inputs!$B$9,INDEX(Course!$N$2:$N$19,MATCH($B350,Course!$A$2:$A$19,0))),INDEX(Baseline!$B$3:$E$122,MATCH(MIN(MAX(ROUND(($D350)/5,0)*5,5),600),Baseline!$A$3:$A$122,0),MATCH($C350,Baseline!$B$2:$E$2,0))))))</f>
        <v/>
      </c>
      <c r="O350" s="17" t="str">
        <f aca="false">IF($C350="","",IF($E350="H",0,IF($E350="G",INDEX(Baseline!$I$3:$I$102,MIN(MAX(ROUND($F350,0),1),100)),IF($E350="T",IF($M350=3,INDEX(Baseline!$B$3:$B$122,MATCH(MIN(MAX(ROUND(($F350)/5,0)*5,5),600),Baseline!$A$3:$A$122,0))-Inputs!$B$9,INDEX(Course!$N$2:$N$19,MATCH($B350,Course!$A$2:$A$19,0))),INDEX(Baseline!$B$3:$E$122,MATCH(MIN(MAX(ROUND(($F350)/5,0)*5,5),600),Baseline!$A$3:$A$122,0),MATCH($E350,Baseline!$B$2:$E$2,0))))))</f>
        <v/>
      </c>
      <c r="P350" s="17" t="str">
        <f aca="false">IF($B350="","",INDEX(Course!$N$2:$N$19,MATCH($B350,Course!$A$2:$A$19,0)))</f>
        <v/>
      </c>
      <c r="Q350" s="17" t="str">
        <f aca="false">IF($B350="","",INDEX(Course!$P$2:$P$19,MATCH($B350,Course!$A$2:$A$19,0)))</f>
        <v/>
      </c>
      <c r="R350" s="17" t="str">
        <f aca="false">IF($C350="","",IF(OR($C350="G",$C350="H"),0,IF($C350="T",1,MIN(1,MAX(0,($N350-Inputs!$B$8)/MAX($P350-Inputs!$B$8,0.01))))))</f>
        <v/>
      </c>
      <c r="S350" s="17" t="str">
        <f aca="false">IF($C350="","",IF(OR($E350="G",$E350="H"),0,IF($E350="T",1,MIN(1,MAX(0,($O350-Inputs!$B$8)/MAX($P350-Inputs!$B$8,0.01))))))</f>
        <v/>
      </c>
    </row>
    <row r="351" customFormat="false" ht="15" hidden="false" customHeight="false" outlineLevel="0" collapsed="false">
      <c r="I351" s="7" t="str">
        <f aca="false">IF($C351="","",IF($C351="G","PUTT",IF(AND($C351="T",$M351&gt;3),"OTT",IF($D351&lt;=30,"ARG","APP"))))</f>
        <v/>
      </c>
      <c r="J351" s="17" t="str">
        <f aca="false">IF($C351="","",$N351+$Q351*$R351)</f>
        <v/>
      </c>
      <c r="K351" s="17" t="str">
        <f aca="false">IF($C351="","",$O351+$Q351*$S351)</f>
        <v/>
      </c>
      <c r="L351" s="17" t="str">
        <f aca="false">IF($C351="","",$J351-$K351-1-N($G351))</f>
        <v/>
      </c>
      <c r="M351" s="7" t="str">
        <f aca="false">IF($B351="","",INDEX(Course!$B$2:$B$19,MATCH($B351,Course!$A$2:$A$19,0)))</f>
        <v/>
      </c>
      <c r="N351" s="17" t="str">
        <f aca="false">IF($C351="","",IF($C351="H",0,IF($C351="G",INDEX(Baseline!$I$3:$I$102,MIN(MAX(ROUND($D351,0),1),100)),IF($C351="T",IF($M351=3,INDEX(Baseline!$B$3:$B$122,MATCH(MIN(MAX(ROUND(($D351)/5,0)*5,5),600),Baseline!$A$3:$A$122,0))-Inputs!$B$9,INDEX(Course!$N$2:$N$19,MATCH($B351,Course!$A$2:$A$19,0))),INDEX(Baseline!$B$3:$E$122,MATCH(MIN(MAX(ROUND(($D351)/5,0)*5,5),600),Baseline!$A$3:$A$122,0),MATCH($C351,Baseline!$B$2:$E$2,0))))))</f>
        <v/>
      </c>
      <c r="O351" s="17" t="str">
        <f aca="false">IF($C351="","",IF($E351="H",0,IF($E351="G",INDEX(Baseline!$I$3:$I$102,MIN(MAX(ROUND($F351,0),1),100)),IF($E351="T",IF($M351=3,INDEX(Baseline!$B$3:$B$122,MATCH(MIN(MAX(ROUND(($F351)/5,0)*5,5),600),Baseline!$A$3:$A$122,0))-Inputs!$B$9,INDEX(Course!$N$2:$N$19,MATCH($B351,Course!$A$2:$A$19,0))),INDEX(Baseline!$B$3:$E$122,MATCH(MIN(MAX(ROUND(($F351)/5,0)*5,5),600),Baseline!$A$3:$A$122,0),MATCH($E351,Baseline!$B$2:$E$2,0))))))</f>
        <v/>
      </c>
      <c r="P351" s="17" t="str">
        <f aca="false">IF($B351="","",INDEX(Course!$N$2:$N$19,MATCH($B351,Course!$A$2:$A$19,0)))</f>
        <v/>
      </c>
      <c r="Q351" s="17" t="str">
        <f aca="false">IF($B351="","",INDEX(Course!$P$2:$P$19,MATCH($B351,Course!$A$2:$A$19,0)))</f>
        <v/>
      </c>
      <c r="R351" s="17" t="str">
        <f aca="false">IF($C351="","",IF(OR($C351="G",$C351="H"),0,IF($C351="T",1,MIN(1,MAX(0,($N351-Inputs!$B$8)/MAX($P351-Inputs!$B$8,0.01))))))</f>
        <v/>
      </c>
      <c r="S351" s="17" t="str">
        <f aca="false">IF($C351="","",IF(OR($E351="G",$E351="H"),0,IF($E351="T",1,MIN(1,MAX(0,($O351-Inputs!$B$8)/MAX($P351-Inputs!$B$8,0.01))))))</f>
        <v/>
      </c>
    </row>
    <row r="352" customFormat="false" ht="15" hidden="false" customHeight="false" outlineLevel="0" collapsed="false">
      <c r="I352" s="7" t="str">
        <f aca="false">IF($C352="","",IF($C352="G","PUTT",IF(AND($C352="T",$M352&gt;3),"OTT",IF($D352&lt;=30,"ARG","APP"))))</f>
        <v/>
      </c>
      <c r="J352" s="17" t="str">
        <f aca="false">IF($C352="","",$N352+$Q352*$R352)</f>
        <v/>
      </c>
      <c r="K352" s="17" t="str">
        <f aca="false">IF($C352="","",$O352+$Q352*$S352)</f>
        <v/>
      </c>
      <c r="L352" s="17" t="str">
        <f aca="false">IF($C352="","",$J352-$K352-1-N($G352))</f>
        <v/>
      </c>
      <c r="M352" s="7" t="str">
        <f aca="false">IF($B352="","",INDEX(Course!$B$2:$B$19,MATCH($B352,Course!$A$2:$A$19,0)))</f>
        <v/>
      </c>
      <c r="N352" s="17" t="str">
        <f aca="false">IF($C352="","",IF($C352="H",0,IF($C352="G",INDEX(Baseline!$I$3:$I$102,MIN(MAX(ROUND($D352,0),1),100)),IF($C352="T",IF($M352=3,INDEX(Baseline!$B$3:$B$122,MATCH(MIN(MAX(ROUND(($D352)/5,0)*5,5),600),Baseline!$A$3:$A$122,0))-Inputs!$B$9,INDEX(Course!$N$2:$N$19,MATCH($B352,Course!$A$2:$A$19,0))),INDEX(Baseline!$B$3:$E$122,MATCH(MIN(MAX(ROUND(($D352)/5,0)*5,5),600),Baseline!$A$3:$A$122,0),MATCH($C352,Baseline!$B$2:$E$2,0))))))</f>
        <v/>
      </c>
      <c r="O352" s="17" t="str">
        <f aca="false">IF($C352="","",IF($E352="H",0,IF($E352="G",INDEX(Baseline!$I$3:$I$102,MIN(MAX(ROUND($F352,0),1),100)),IF($E352="T",IF($M352=3,INDEX(Baseline!$B$3:$B$122,MATCH(MIN(MAX(ROUND(($F352)/5,0)*5,5),600),Baseline!$A$3:$A$122,0))-Inputs!$B$9,INDEX(Course!$N$2:$N$19,MATCH($B352,Course!$A$2:$A$19,0))),INDEX(Baseline!$B$3:$E$122,MATCH(MIN(MAX(ROUND(($F352)/5,0)*5,5),600),Baseline!$A$3:$A$122,0),MATCH($E352,Baseline!$B$2:$E$2,0))))))</f>
        <v/>
      </c>
      <c r="P352" s="17" t="str">
        <f aca="false">IF($B352="","",INDEX(Course!$N$2:$N$19,MATCH($B352,Course!$A$2:$A$19,0)))</f>
        <v/>
      </c>
      <c r="Q352" s="17" t="str">
        <f aca="false">IF($B352="","",INDEX(Course!$P$2:$P$19,MATCH($B352,Course!$A$2:$A$19,0)))</f>
        <v/>
      </c>
      <c r="R352" s="17" t="str">
        <f aca="false">IF($C352="","",IF(OR($C352="G",$C352="H"),0,IF($C352="T",1,MIN(1,MAX(0,($N352-Inputs!$B$8)/MAX($P352-Inputs!$B$8,0.01))))))</f>
        <v/>
      </c>
      <c r="S352" s="17" t="str">
        <f aca="false">IF($C352="","",IF(OR($E352="G",$E352="H"),0,IF($E352="T",1,MIN(1,MAX(0,($O352-Inputs!$B$8)/MAX($P352-Inputs!$B$8,0.01))))))</f>
        <v/>
      </c>
    </row>
    <row r="353" customFormat="false" ht="15" hidden="false" customHeight="false" outlineLevel="0" collapsed="false">
      <c r="I353" s="7" t="str">
        <f aca="false">IF($C353="","",IF($C353="G","PUTT",IF(AND($C353="T",$M353&gt;3),"OTT",IF($D353&lt;=30,"ARG","APP"))))</f>
        <v/>
      </c>
      <c r="J353" s="17" t="str">
        <f aca="false">IF($C353="","",$N353+$Q353*$R353)</f>
        <v/>
      </c>
      <c r="K353" s="17" t="str">
        <f aca="false">IF($C353="","",$O353+$Q353*$S353)</f>
        <v/>
      </c>
      <c r="L353" s="17" t="str">
        <f aca="false">IF($C353="","",$J353-$K353-1-N($G353))</f>
        <v/>
      </c>
      <c r="M353" s="7" t="str">
        <f aca="false">IF($B353="","",INDEX(Course!$B$2:$B$19,MATCH($B353,Course!$A$2:$A$19,0)))</f>
        <v/>
      </c>
      <c r="N353" s="17" t="str">
        <f aca="false">IF($C353="","",IF($C353="H",0,IF($C353="G",INDEX(Baseline!$I$3:$I$102,MIN(MAX(ROUND($D353,0),1),100)),IF($C353="T",IF($M353=3,INDEX(Baseline!$B$3:$B$122,MATCH(MIN(MAX(ROUND(($D353)/5,0)*5,5),600),Baseline!$A$3:$A$122,0))-Inputs!$B$9,INDEX(Course!$N$2:$N$19,MATCH($B353,Course!$A$2:$A$19,0))),INDEX(Baseline!$B$3:$E$122,MATCH(MIN(MAX(ROUND(($D353)/5,0)*5,5),600),Baseline!$A$3:$A$122,0),MATCH($C353,Baseline!$B$2:$E$2,0))))))</f>
        <v/>
      </c>
      <c r="O353" s="17" t="str">
        <f aca="false">IF($C353="","",IF($E353="H",0,IF($E353="G",INDEX(Baseline!$I$3:$I$102,MIN(MAX(ROUND($F353,0),1),100)),IF($E353="T",IF($M353=3,INDEX(Baseline!$B$3:$B$122,MATCH(MIN(MAX(ROUND(($F353)/5,0)*5,5),600),Baseline!$A$3:$A$122,0))-Inputs!$B$9,INDEX(Course!$N$2:$N$19,MATCH($B353,Course!$A$2:$A$19,0))),INDEX(Baseline!$B$3:$E$122,MATCH(MIN(MAX(ROUND(($F353)/5,0)*5,5),600),Baseline!$A$3:$A$122,0),MATCH($E353,Baseline!$B$2:$E$2,0))))))</f>
        <v/>
      </c>
      <c r="P353" s="17" t="str">
        <f aca="false">IF($B353="","",INDEX(Course!$N$2:$N$19,MATCH($B353,Course!$A$2:$A$19,0)))</f>
        <v/>
      </c>
      <c r="Q353" s="17" t="str">
        <f aca="false">IF($B353="","",INDEX(Course!$P$2:$P$19,MATCH($B353,Course!$A$2:$A$19,0)))</f>
        <v/>
      </c>
      <c r="R353" s="17" t="str">
        <f aca="false">IF($C353="","",IF(OR($C353="G",$C353="H"),0,IF($C353="T",1,MIN(1,MAX(0,($N353-Inputs!$B$8)/MAX($P353-Inputs!$B$8,0.01))))))</f>
        <v/>
      </c>
      <c r="S353" s="17" t="str">
        <f aca="false">IF($C353="","",IF(OR($E353="G",$E353="H"),0,IF($E353="T",1,MIN(1,MAX(0,($O353-Inputs!$B$8)/MAX($P353-Inputs!$B$8,0.01))))))</f>
        <v/>
      </c>
    </row>
    <row r="354" customFormat="false" ht="15" hidden="false" customHeight="false" outlineLevel="0" collapsed="false">
      <c r="I354" s="7" t="str">
        <f aca="false">IF($C354="","",IF($C354="G","PUTT",IF(AND($C354="T",$M354&gt;3),"OTT",IF($D354&lt;=30,"ARG","APP"))))</f>
        <v/>
      </c>
      <c r="J354" s="17" t="str">
        <f aca="false">IF($C354="","",$N354+$Q354*$R354)</f>
        <v/>
      </c>
      <c r="K354" s="17" t="str">
        <f aca="false">IF($C354="","",$O354+$Q354*$S354)</f>
        <v/>
      </c>
      <c r="L354" s="17" t="str">
        <f aca="false">IF($C354="","",$J354-$K354-1-N($G354))</f>
        <v/>
      </c>
      <c r="M354" s="7" t="str">
        <f aca="false">IF($B354="","",INDEX(Course!$B$2:$B$19,MATCH($B354,Course!$A$2:$A$19,0)))</f>
        <v/>
      </c>
      <c r="N354" s="17" t="str">
        <f aca="false">IF($C354="","",IF($C354="H",0,IF($C354="G",INDEX(Baseline!$I$3:$I$102,MIN(MAX(ROUND($D354,0),1),100)),IF($C354="T",IF($M354=3,INDEX(Baseline!$B$3:$B$122,MATCH(MIN(MAX(ROUND(($D354)/5,0)*5,5),600),Baseline!$A$3:$A$122,0))-Inputs!$B$9,INDEX(Course!$N$2:$N$19,MATCH($B354,Course!$A$2:$A$19,0))),INDEX(Baseline!$B$3:$E$122,MATCH(MIN(MAX(ROUND(($D354)/5,0)*5,5),600),Baseline!$A$3:$A$122,0),MATCH($C354,Baseline!$B$2:$E$2,0))))))</f>
        <v/>
      </c>
      <c r="O354" s="17" t="str">
        <f aca="false">IF($C354="","",IF($E354="H",0,IF($E354="G",INDEX(Baseline!$I$3:$I$102,MIN(MAX(ROUND($F354,0),1),100)),IF($E354="T",IF($M354=3,INDEX(Baseline!$B$3:$B$122,MATCH(MIN(MAX(ROUND(($F354)/5,0)*5,5),600),Baseline!$A$3:$A$122,0))-Inputs!$B$9,INDEX(Course!$N$2:$N$19,MATCH($B354,Course!$A$2:$A$19,0))),INDEX(Baseline!$B$3:$E$122,MATCH(MIN(MAX(ROUND(($F354)/5,0)*5,5),600),Baseline!$A$3:$A$122,0),MATCH($E354,Baseline!$B$2:$E$2,0))))))</f>
        <v/>
      </c>
      <c r="P354" s="17" t="str">
        <f aca="false">IF($B354="","",INDEX(Course!$N$2:$N$19,MATCH($B354,Course!$A$2:$A$19,0)))</f>
        <v/>
      </c>
      <c r="Q354" s="17" t="str">
        <f aca="false">IF($B354="","",INDEX(Course!$P$2:$P$19,MATCH($B354,Course!$A$2:$A$19,0)))</f>
        <v/>
      </c>
      <c r="R354" s="17" t="str">
        <f aca="false">IF($C354="","",IF(OR($C354="G",$C354="H"),0,IF($C354="T",1,MIN(1,MAX(0,($N354-Inputs!$B$8)/MAX($P354-Inputs!$B$8,0.01))))))</f>
        <v/>
      </c>
      <c r="S354" s="17" t="str">
        <f aca="false">IF($C354="","",IF(OR($E354="G",$E354="H"),0,IF($E354="T",1,MIN(1,MAX(0,($O354-Inputs!$B$8)/MAX($P354-Inputs!$B$8,0.01))))))</f>
        <v/>
      </c>
    </row>
    <row r="355" customFormat="false" ht="15" hidden="false" customHeight="false" outlineLevel="0" collapsed="false">
      <c r="I355" s="7" t="str">
        <f aca="false">IF($C355="","",IF($C355="G","PUTT",IF(AND($C355="T",$M355&gt;3),"OTT",IF($D355&lt;=30,"ARG","APP"))))</f>
        <v/>
      </c>
      <c r="J355" s="17" t="str">
        <f aca="false">IF($C355="","",$N355+$Q355*$R355)</f>
        <v/>
      </c>
      <c r="K355" s="17" t="str">
        <f aca="false">IF($C355="","",$O355+$Q355*$S355)</f>
        <v/>
      </c>
      <c r="L355" s="17" t="str">
        <f aca="false">IF($C355="","",$J355-$K355-1-N($G355))</f>
        <v/>
      </c>
      <c r="M355" s="7" t="str">
        <f aca="false">IF($B355="","",INDEX(Course!$B$2:$B$19,MATCH($B355,Course!$A$2:$A$19,0)))</f>
        <v/>
      </c>
      <c r="N355" s="17" t="str">
        <f aca="false">IF($C355="","",IF($C355="H",0,IF($C355="G",INDEX(Baseline!$I$3:$I$102,MIN(MAX(ROUND($D355,0),1),100)),IF($C355="T",IF($M355=3,INDEX(Baseline!$B$3:$B$122,MATCH(MIN(MAX(ROUND(($D355)/5,0)*5,5),600),Baseline!$A$3:$A$122,0))-Inputs!$B$9,INDEX(Course!$N$2:$N$19,MATCH($B355,Course!$A$2:$A$19,0))),INDEX(Baseline!$B$3:$E$122,MATCH(MIN(MAX(ROUND(($D355)/5,0)*5,5),600),Baseline!$A$3:$A$122,0),MATCH($C355,Baseline!$B$2:$E$2,0))))))</f>
        <v/>
      </c>
      <c r="O355" s="17" t="str">
        <f aca="false">IF($C355="","",IF($E355="H",0,IF($E355="G",INDEX(Baseline!$I$3:$I$102,MIN(MAX(ROUND($F355,0),1),100)),IF($E355="T",IF($M355=3,INDEX(Baseline!$B$3:$B$122,MATCH(MIN(MAX(ROUND(($F355)/5,0)*5,5),600),Baseline!$A$3:$A$122,0))-Inputs!$B$9,INDEX(Course!$N$2:$N$19,MATCH($B355,Course!$A$2:$A$19,0))),INDEX(Baseline!$B$3:$E$122,MATCH(MIN(MAX(ROUND(($F355)/5,0)*5,5),600),Baseline!$A$3:$A$122,0),MATCH($E355,Baseline!$B$2:$E$2,0))))))</f>
        <v/>
      </c>
      <c r="P355" s="17" t="str">
        <f aca="false">IF($B355="","",INDEX(Course!$N$2:$N$19,MATCH($B355,Course!$A$2:$A$19,0)))</f>
        <v/>
      </c>
      <c r="Q355" s="17" t="str">
        <f aca="false">IF($B355="","",INDEX(Course!$P$2:$P$19,MATCH($B355,Course!$A$2:$A$19,0)))</f>
        <v/>
      </c>
      <c r="R355" s="17" t="str">
        <f aca="false">IF($C355="","",IF(OR($C355="G",$C355="H"),0,IF($C355="T",1,MIN(1,MAX(0,($N355-Inputs!$B$8)/MAX($P355-Inputs!$B$8,0.01))))))</f>
        <v/>
      </c>
      <c r="S355" s="17" t="str">
        <f aca="false">IF($C355="","",IF(OR($E355="G",$E355="H"),0,IF($E355="T",1,MIN(1,MAX(0,($O355-Inputs!$B$8)/MAX($P355-Inputs!$B$8,0.01))))))</f>
        <v/>
      </c>
    </row>
    <row r="356" customFormat="false" ht="15" hidden="false" customHeight="false" outlineLevel="0" collapsed="false">
      <c r="I356" s="7" t="str">
        <f aca="false">IF($C356="","",IF($C356="G","PUTT",IF(AND($C356="T",$M356&gt;3),"OTT",IF($D356&lt;=30,"ARG","APP"))))</f>
        <v/>
      </c>
      <c r="J356" s="17" t="str">
        <f aca="false">IF($C356="","",$N356+$Q356*$R356)</f>
        <v/>
      </c>
      <c r="K356" s="17" t="str">
        <f aca="false">IF($C356="","",$O356+$Q356*$S356)</f>
        <v/>
      </c>
      <c r="L356" s="17" t="str">
        <f aca="false">IF($C356="","",$J356-$K356-1-N($G356))</f>
        <v/>
      </c>
      <c r="M356" s="7" t="str">
        <f aca="false">IF($B356="","",INDEX(Course!$B$2:$B$19,MATCH($B356,Course!$A$2:$A$19,0)))</f>
        <v/>
      </c>
      <c r="N356" s="17" t="str">
        <f aca="false">IF($C356="","",IF($C356="H",0,IF($C356="G",INDEX(Baseline!$I$3:$I$102,MIN(MAX(ROUND($D356,0),1),100)),IF($C356="T",IF($M356=3,INDEX(Baseline!$B$3:$B$122,MATCH(MIN(MAX(ROUND(($D356)/5,0)*5,5),600),Baseline!$A$3:$A$122,0))-Inputs!$B$9,INDEX(Course!$N$2:$N$19,MATCH($B356,Course!$A$2:$A$19,0))),INDEX(Baseline!$B$3:$E$122,MATCH(MIN(MAX(ROUND(($D356)/5,0)*5,5),600),Baseline!$A$3:$A$122,0),MATCH($C356,Baseline!$B$2:$E$2,0))))))</f>
        <v/>
      </c>
      <c r="O356" s="17" t="str">
        <f aca="false">IF($C356="","",IF($E356="H",0,IF($E356="G",INDEX(Baseline!$I$3:$I$102,MIN(MAX(ROUND($F356,0),1),100)),IF($E356="T",IF($M356=3,INDEX(Baseline!$B$3:$B$122,MATCH(MIN(MAX(ROUND(($F356)/5,0)*5,5),600),Baseline!$A$3:$A$122,0))-Inputs!$B$9,INDEX(Course!$N$2:$N$19,MATCH($B356,Course!$A$2:$A$19,0))),INDEX(Baseline!$B$3:$E$122,MATCH(MIN(MAX(ROUND(($F356)/5,0)*5,5),600),Baseline!$A$3:$A$122,0),MATCH($E356,Baseline!$B$2:$E$2,0))))))</f>
        <v/>
      </c>
      <c r="P356" s="17" t="str">
        <f aca="false">IF($B356="","",INDEX(Course!$N$2:$N$19,MATCH($B356,Course!$A$2:$A$19,0)))</f>
        <v/>
      </c>
      <c r="Q356" s="17" t="str">
        <f aca="false">IF($B356="","",INDEX(Course!$P$2:$P$19,MATCH($B356,Course!$A$2:$A$19,0)))</f>
        <v/>
      </c>
      <c r="R356" s="17" t="str">
        <f aca="false">IF($C356="","",IF(OR($C356="G",$C356="H"),0,IF($C356="T",1,MIN(1,MAX(0,($N356-Inputs!$B$8)/MAX($P356-Inputs!$B$8,0.01))))))</f>
        <v/>
      </c>
      <c r="S356" s="17" t="str">
        <f aca="false">IF($C356="","",IF(OR($E356="G",$E356="H"),0,IF($E356="T",1,MIN(1,MAX(0,($O356-Inputs!$B$8)/MAX($P356-Inputs!$B$8,0.01))))))</f>
        <v/>
      </c>
    </row>
    <row r="357" customFormat="false" ht="15" hidden="false" customHeight="false" outlineLevel="0" collapsed="false">
      <c r="I357" s="7" t="str">
        <f aca="false">IF($C357="","",IF($C357="G","PUTT",IF(AND($C357="T",$M357&gt;3),"OTT",IF($D357&lt;=30,"ARG","APP"))))</f>
        <v/>
      </c>
      <c r="J357" s="17" t="str">
        <f aca="false">IF($C357="","",$N357+$Q357*$R357)</f>
        <v/>
      </c>
      <c r="K357" s="17" t="str">
        <f aca="false">IF($C357="","",$O357+$Q357*$S357)</f>
        <v/>
      </c>
      <c r="L357" s="17" t="str">
        <f aca="false">IF($C357="","",$J357-$K357-1-N($G357))</f>
        <v/>
      </c>
      <c r="M357" s="7" t="str">
        <f aca="false">IF($B357="","",INDEX(Course!$B$2:$B$19,MATCH($B357,Course!$A$2:$A$19,0)))</f>
        <v/>
      </c>
      <c r="N357" s="17" t="str">
        <f aca="false">IF($C357="","",IF($C357="H",0,IF($C357="G",INDEX(Baseline!$I$3:$I$102,MIN(MAX(ROUND($D357,0),1),100)),IF($C357="T",IF($M357=3,INDEX(Baseline!$B$3:$B$122,MATCH(MIN(MAX(ROUND(($D357)/5,0)*5,5),600),Baseline!$A$3:$A$122,0))-Inputs!$B$9,INDEX(Course!$N$2:$N$19,MATCH($B357,Course!$A$2:$A$19,0))),INDEX(Baseline!$B$3:$E$122,MATCH(MIN(MAX(ROUND(($D357)/5,0)*5,5),600),Baseline!$A$3:$A$122,0),MATCH($C357,Baseline!$B$2:$E$2,0))))))</f>
        <v/>
      </c>
      <c r="O357" s="17" t="str">
        <f aca="false">IF($C357="","",IF($E357="H",0,IF($E357="G",INDEX(Baseline!$I$3:$I$102,MIN(MAX(ROUND($F357,0),1),100)),IF($E357="T",IF($M357=3,INDEX(Baseline!$B$3:$B$122,MATCH(MIN(MAX(ROUND(($F357)/5,0)*5,5),600),Baseline!$A$3:$A$122,0))-Inputs!$B$9,INDEX(Course!$N$2:$N$19,MATCH($B357,Course!$A$2:$A$19,0))),INDEX(Baseline!$B$3:$E$122,MATCH(MIN(MAX(ROUND(($F357)/5,0)*5,5),600),Baseline!$A$3:$A$122,0),MATCH($E357,Baseline!$B$2:$E$2,0))))))</f>
        <v/>
      </c>
      <c r="P357" s="17" t="str">
        <f aca="false">IF($B357="","",INDEX(Course!$N$2:$N$19,MATCH($B357,Course!$A$2:$A$19,0)))</f>
        <v/>
      </c>
      <c r="Q357" s="17" t="str">
        <f aca="false">IF($B357="","",INDEX(Course!$P$2:$P$19,MATCH($B357,Course!$A$2:$A$19,0)))</f>
        <v/>
      </c>
      <c r="R357" s="17" t="str">
        <f aca="false">IF($C357="","",IF(OR($C357="G",$C357="H"),0,IF($C357="T",1,MIN(1,MAX(0,($N357-Inputs!$B$8)/MAX($P357-Inputs!$B$8,0.01))))))</f>
        <v/>
      </c>
      <c r="S357" s="17" t="str">
        <f aca="false">IF($C357="","",IF(OR($E357="G",$E357="H"),0,IF($E357="T",1,MIN(1,MAX(0,($O357-Inputs!$B$8)/MAX($P357-Inputs!$B$8,0.01))))))</f>
        <v/>
      </c>
    </row>
    <row r="358" customFormat="false" ht="15" hidden="false" customHeight="false" outlineLevel="0" collapsed="false">
      <c r="I358" s="7" t="str">
        <f aca="false">IF($C358="","",IF($C358="G","PUTT",IF(AND($C358="T",$M358&gt;3),"OTT",IF($D358&lt;=30,"ARG","APP"))))</f>
        <v/>
      </c>
      <c r="J358" s="17" t="str">
        <f aca="false">IF($C358="","",$N358+$Q358*$R358)</f>
        <v/>
      </c>
      <c r="K358" s="17" t="str">
        <f aca="false">IF($C358="","",$O358+$Q358*$S358)</f>
        <v/>
      </c>
      <c r="L358" s="17" t="str">
        <f aca="false">IF($C358="","",$J358-$K358-1-N($G358))</f>
        <v/>
      </c>
      <c r="M358" s="7" t="str">
        <f aca="false">IF($B358="","",INDEX(Course!$B$2:$B$19,MATCH($B358,Course!$A$2:$A$19,0)))</f>
        <v/>
      </c>
      <c r="N358" s="17" t="str">
        <f aca="false">IF($C358="","",IF($C358="H",0,IF($C358="G",INDEX(Baseline!$I$3:$I$102,MIN(MAX(ROUND($D358,0),1),100)),IF($C358="T",IF($M358=3,INDEX(Baseline!$B$3:$B$122,MATCH(MIN(MAX(ROUND(($D358)/5,0)*5,5),600),Baseline!$A$3:$A$122,0))-Inputs!$B$9,INDEX(Course!$N$2:$N$19,MATCH($B358,Course!$A$2:$A$19,0))),INDEX(Baseline!$B$3:$E$122,MATCH(MIN(MAX(ROUND(($D358)/5,0)*5,5),600),Baseline!$A$3:$A$122,0),MATCH($C358,Baseline!$B$2:$E$2,0))))))</f>
        <v/>
      </c>
      <c r="O358" s="17" t="str">
        <f aca="false">IF($C358="","",IF($E358="H",0,IF($E358="G",INDEX(Baseline!$I$3:$I$102,MIN(MAX(ROUND($F358,0),1),100)),IF($E358="T",IF($M358=3,INDEX(Baseline!$B$3:$B$122,MATCH(MIN(MAX(ROUND(($F358)/5,0)*5,5),600),Baseline!$A$3:$A$122,0))-Inputs!$B$9,INDEX(Course!$N$2:$N$19,MATCH($B358,Course!$A$2:$A$19,0))),INDEX(Baseline!$B$3:$E$122,MATCH(MIN(MAX(ROUND(($F358)/5,0)*5,5),600),Baseline!$A$3:$A$122,0),MATCH($E358,Baseline!$B$2:$E$2,0))))))</f>
        <v/>
      </c>
      <c r="P358" s="17" t="str">
        <f aca="false">IF($B358="","",INDEX(Course!$N$2:$N$19,MATCH($B358,Course!$A$2:$A$19,0)))</f>
        <v/>
      </c>
      <c r="Q358" s="17" t="str">
        <f aca="false">IF($B358="","",INDEX(Course!$P$2:$P$19,MATCH($B358,Course!$A$2:$A$19,0)))</f>
        <v/>
      </c>
      <c r="R358" s="17" t="str">
        <f aca="false">IF($C358="","",IF(OR($C358="G",$C358="H"),0,IF($C358="T",1,MIN(1,MAX(0,($N358-Inputs!$B$8)/MAX($P358-Inputs!$B$8,0.01))))))</f>
        <v/>
      </c>
      <c r="S358" s="17" t="str">
        <f aca="false">IF($C358="","",IF(OR($E358="G",$E358="H"),0,IF($E358="T",1,MIN(1,MAX(0,($O358-Inputs!$B$8)/MAX($P358-Inputs!$B$8,0.01))))))</f>
        <v/>
      </c>
    </row>
    <row r="359" customFormat="false" ht="15" hidden="false" customHeight="false" outlineLevel="0" collapsed="false">
      <c r="I359" s="7" t="str">
        <f aca="false">IF($C359="","",IF($C359="G","PUTT",IF(AND($C359="T",$M359&gt;3),"OTT",IF($D359&lt;=30,"ARG","APP"))))</f>
        <v/>
      </c>
      <c r="J359" s="17" t="str">
        <f aca="false">IF($C359="","",$N359+$Q359*$R359)</f>
        <v/>
      </c>
      <c r="K359" s="17" t="str">
        <f aca="false">IF($C359="","",$O359+$Q359*$S359)</f>
        <v/>
      </c>
      <c r="L359" s="17" t="str">
        <f aca="false">IF($C359="","",$J359-$K359-1-N($G359))</f>
        <v/>
      </c>
      <c r="M359" s="7" t="str">
        <f aca="false">IF($B359="","",INDEX(Course!$B$2:$B$19,MATCH($B359,Course!$A$2:$A$19,0)))</f>
        <v/>
      </c>
      <c r="N359" s="17" t="str">
        <f aca="false">IF($C359="","",IF($C359="H",0,IF($C359="G",INDEX(Baseline!$I$3:$I$102,MIN(MAX(ROUND($D359,0),1),100)),IF($C359="T",IF($M359=3,INDEX(Baseline!$B$3:$B$122,MATCH(MIN(MAX(ROUND(($D359)/5,0)*5,5),600),Baseline!$A$3:$A$122,0))-Inputs!$B$9,INDEX(Course!$N$2:$N$19,MATCH($B359,Course!$A$2:$A$19,0))),INDEX(Baseline!$B$3:$E$122,MATCH(MIN(MAX(ROUND(($D359)/5,0)*5,5),600),Baseline!$A$3:$A$122,0),MATCH($C359,Baseline!$B$2:$E$2,0))))))</f>
        <v/>
      </c>
      <c r="O359" s="17" t="str">
        <f aca="false">IF($C359="","",IF($E359="H",0,IF($E359="G",INDEX(Baseline!$I$3:$I$102,MIN(MAX(ROUND($F359,0),1),100)),IF($E359="T",IF($M359=3,INDEX(Baseline!$B$3:$B$122,MATCH(MIN(MAX(ROUND(($F359)/5,0)*5,5),600),Baseline!$A$3:$A$122,0))-Inputs!$B$9,INDEX(Course!$N$2:$N$19,MATCH($B359,Course!$A$2:$A$19,0))),INDEX(Baseline!$B$3:$E$122,MATCH(MIN(MAX(ROUND(($F359)/5,0)*5,5),600),Baseline!$A$3:$A$122,0),MATCH($E359,Baseline!$B$2:$E$2,0))))))</f>
        <v/>
      </c>
      <c r="P359" s="17" t="str">
        <f aca="false">IF($B359="","",INDEX(Course!$N$2:$N$19,MATCH($B359,Course!$A$2:$A$19,0)))</f>
        <v/>
      </c>
      <c r="Q359" s="17" t="str">
        <f aca="false">IF($B359="","",INDEX(Course!$P$2:$P$19,MATCH($B359,Course!$A$2:$A$19,0)))</f>
        <v/>
      </c>
      <c r="R359" s="17" t="str">
        <f aca="false">IF($C359="","",IF(OR($C359="G",$C359="H"),0,IF($C359="T",1,MIN(1,MAX(0,($N359-Inputs!$B$8)/MAX($P359-Inputs!$B$8,0.01))))))</f>
        <v/>
      </c>
      <c r="S359" s="17" t="str">
        <f aca="false">IF($C359="","",IF(OR($E359="G",$E359="H"),0,IF($E359="T",1,MIN(1,MAX(0,($O359-Inputs!$B$8)/MAX($P359-Inputs!$B$8,0.01))))))</f>
        <v/>
      </c>
    </row>
    <row r="360" customFormat="false" ht="15" hidden="false" customHeight="false" outlineLevel="0" collapsed="false">
      <c r="I360" s="7" t="str">
        <f aca="false">IF($C360="","",IF($C360="G","PUTT",IF(AND($C360="T",$M360&gt;3),"OTT",IF($D360&lt;=30,"ARG","APP"))))</f>
        <v/>
      </c>
      <c r="J360" s="17" t="str">
        <f aca="false">IF($C360="","",$N360+$Q360*$R360)</f>
        <v/>
      </c>
      <c r="K360" s="17" t="str">
        <f aca="false">IF($C360="","",$O360+$Q360*$S360)</f>
        <v/>
      </c>
      <c r="L360" s="17" t="str">
        <f aca="false">IF($C360="","",$J360-$K360-1-N($G360))</f>
        <v/>
      </c>
      <c r="M360" s="7" t="str">
        <f aca="false">IF($B360="","",INDEX(Course!$B$2:$B$19,MATCH($B360,Course!$A$2:$A$19,0)))</f>
        <v/>
      </c>
      <c r="N360" s="17" t="str">
        <f aca="false">IF($C360="","",IF($C360="H",0,IF($C360="G",INDEX(Baseline!$I$3:$I$102,MIN(MAX(ROUND($D360,0),1),100)),IF($C360="T",IF($M360=3,INDEX(Baseline!$B$3:$B$122,MATCH(MIN(MAX(ROUND(($D360)/5,0)*5,5),600),Baseline!$A$3:$A$122,0))-Inputs!$B$9,INDEX(Course!$N$2:$N$19,MATCH($B360,Course!$A$2:$A$19,0))),INDEX(Baseline!$B$3:$E$122,MATCH(MIN(MAX(ROUND(($D360)/5,0)*5,5),600),Baseline!$A$3:$A$122,0),MATCH($C360,Baseline!$B$2:$E$2,0))))))</f>
        <v/>
      </c>
      <c r="O360" s="17" t="str">
        <f aca="false">IF($C360="","",IF($E360="H",0,IF($E360="G",INDEX(Baseline!$I$3:$I$102,MIN(MAX(ROUND($F360,0),1),100)),IF($E360="T",IF($M360=3,INDEX(Baseline!$B$3:$B$122,MATCH(MIN(MAX(ROUND(($F360)/5,0)*5,5),600),Baseline!$A$3:$A$122,0))-Inputs!$B$9,INDEX(Course!$N$2:$N$19,MATCH($B360,Course!$A$2:$A$19,0))),INDEX(Baseline!$B$3:$E$122,MATCH(MIN(MAX(ROUND(($F360)/5,0)*5,5),600),Baseline!$A$3:$A$122,0),MATCH($E360,Baseline!$B$2:$E$2,0))))))</f>
        <v/>
      </c>
      <c r="P360" s="17" t="str">
        <f aca="false">IF($B360="","",INDEX(Course!$N$2:$N$19,MATCH($B360,Course!$A$2:$A$19,0)))</f>
        <v/>
      </c>
      <c r="Q360" s="17" t="str">
        <f aca="false">IF($B360="","",INDEX(Course!$P$2:$P$19,MATCH($B360,Course!$A$2:$A$19,0)))</f>
        <v/>
      </c>
      <c r="R360" s="17" t="str">
        <f aca="false">IF($C360="","",IF(OR($C360="G",$C360="H"),0,IF($C360="T",1,MIN(1,MAX(0,($N360-Inputs!$B$8)/MAX($P360-Inputs!$B$8,0.01))))))</f>
        <v/>
      </c>
      <c r="S360" s="17" t="str">
        <f aca="false">IF($C360="","",IF(OR($E360="G",$E360="H"),0,IF($E360="T",1,MIN(1,MAX(0,($O360-Inputs!$B$8)/MAX($P360-Inputs!$B$8,0.01))))))</f>
        <v/>
      </c>
    </row>
    <row r="361" customFormat="false" ht="15" hidden="false" customHeight="false" outlineLevel="0" collapsed="false">
      <c r="I361" s="7" t="str">
        <f aca="false">IF($C361="","",IF($C361="G","PUTT",IF(AND($C361="T",$M361&gt;3),"OTT",IF($D361&lt;=30,"ARG","APP"))))</f>
        <v/>
      </c>
      <c r="J361" s="17" t="str">
        <f aca="false">IF($C361="","",$N361+$Q361*$R361)</f>
        <v/>
      </c>
      <c r="K361" s="17" t="str">
        <f aca="false">IF($C361="","",$O361+$Q361*$S361)</f>
        <v/>
      </c>
      <c r="L361" s="17" t="str">
        <f aca="false">IF($C361="","",$J361-$K361-1-N($G361))</f>
        <v/>
      </c>
      <c r="M361" s="7" t="str">
        <f aca="false">IF($B361="","",INDEX(Course!$B$2:$B$19,MATCH($B361,Course!$A$2:$A$19,0)))</f>
        <v/>
      </c>
      <c r="N361" s="17" t="str">
        <f aca="false">IF($C361="","",IF($C361="H",0,IF($C361="G",INDEX(Baseline!$I$3:$I$102,MIN(MAX(ROUND($D361,0),1),100)),IF($C361="T",IF($M361=3,INDEX(Baseline!$B$3:$B$122,MATCH(MIN(MAX(ROUND(($D361)/5,0)*5,5),600),Baseline!$A$3:$A$122,0))-Inputs!$B$9,INDEX(Course!$N$2:$N$19,MATCH($B361,Course!$A$2:$A$19,0))),INDEX(Baseline!$B$3:$E$122,MATCH(MIN(MAX(ROUND(($D361)/5,0)*5,5),600),Baseline!$A$3:$A$122,0),MATCH($C361,Baseline!$B$2:$E$2,0))))))</f>
        <v/>
      </c>
      <c r="O361" s="17" t="str">
        <f aca="false">IF($C361="","",IF($E361="H",0,IF($E361="G",INDEX(Baseline!$I$3:$I$102,MIN(MAX(ROUND($F361,0),1),100)),IF($E361="T",IF($M361=3,INDEX(Baseline!$B$3:$B$122,MATCH(MIN(MAX(ROUND(($F361)/5,0)*5,5),600),Baseline!$A$3:$A$122,0))-Inputs!$B$9,INDEX(Course!$N$2:$N$19,MATCH($B361,Course!$A$2:$A$19,0))),INDEX(Baseline!$B$3:$E$122,MATCH(MIN(MAX(ROUND(($F361)/5,0)*5,5),600),Baseline!$A$3:$A$122,0),MATCH($E361,Baseline!$B$2:$E$2,0))))))</f>
        <v/>
      </c>
      <c r="P361" s="17" t="str">
        <f aca="false">IF($B361="","",INDEX(Course!$N$2:$N$19,MATCH($B361,Course!$A$2:$A$19,0)))</f>
        <v/>
      </c>
      <c r="Q361" s="17" t="str">
        <f aca="false">IF($B361="","",INDEX(Course!$P$2:$P$19,MATCH($B361,Course!$A$2:$A$19,0)))</f>
        <v/>
      </c>
      <c r="R361" s="17" t="str">
        <f aca="false">IF($C361="","",IF(OR($C361="G",$C361="H"),0,IF($C361="T",1,MIN(1,MAX(0,($N361-Inputs!$B$8)/MAX($P361-Inputs!$B$8,0.01))))))</f>
        <v/>
      </c>
      <c r="S361" s="17" t="str">
        <f aca="false">IF($C361="","",IF(OR($E361="G",$E361="H"),0,IF($E361="T",1,MIN(1,MAX(0,($O361-Inputs!$B$8)/MAX($P361-Inputs!$B$8,0.01))))))</f>
        <v/>
      </c>
    </row>
    <row r="362" customFormat="false" ht="15" hidden="false" customHeight="false" outlineLevel="0" collapsed="false">
      <c r="I362" s="7" t="str">
        <f aca="false">IF($C362="","",IF($C362="G","PUTT",IF(AND($C362="T",$M362&gt;3),"OTT",IF($D362&lt;=30,"ARG","APP"))))</f>
        <v/>
      </c>
      <c r="J362" s="17" t="str">
        <f aca="false">IF($C362="","",$N362+$Q362*$R362)</f>
        <v/>
      </c>
      <c r="K362" s="17" t="str">
        <f aca="false">IF($C362="","",$O362+$Q362*$S362)</f>
        <v/>
      </c>
      <c r="L362" s="17" t="str">
        <f aca="false">IF($C362="","",$J362-$K362-1-N($G362))</f>
        <v/>
      </c>
      <c r="M362" s="7" t="str">
        <f aca="false">IF($B362="","",INDEX(Course!$B$2:$B$19,MATCH($B362,Course!$A$2:$A$19,0)))</f>
        <v/>
      </c>
      <c r="N362" s="17" t="str">
        <f aca="false">IF($C362="","",IF($C362="H",0,IF($C362="G",INDEX(Baseline!$I$3:$I$102,MIN(MAX(ROUND($D362,0),1),100)),IF($C362="T",IF($M362=3,INDEX(Baseline!$B$3:$B$122,MATCH(MIN(MAX(ROUND(($D362)/5,0)*5,5),600),Baseline!$A$3:$A$122,0))-Inputs!$B$9,INDEX(Course!$N$2:$N$19,MATCH($B362,Course!$A$2:$A$19,0))),INDEX(Baseline!$B$3:$E$122,MATCH(MIN(MAX(ROUND(($D362)/5,0)*5,5),600),Baseline!$A$3:$A$122,0),MATCH($C362,Baseline!$B$2:$E$2,0))))))</f>
        <v/>
      </c>
      <c r="O362" s="17" t="str">
        <f aca="false">IF($C362="","",IF($E362="H",0,IF($E362="G",INDEX(Baseline!$I$3:$I$102,MIN(MAX(ROUND($F362,0),1),100)),IF($E362="T",IF($M362=3,INDEX(Baseline!$B$3:$B$122,MATCH(MIN(MAX(ROUND(($F362)/5,0)*5,5),600),Baseline!$A$3:$A$122,0))-Inputs!$B$9,INDEX(Course!$N$2:$N$19,MATCH($B362,Course!$A$2:$A$19,0))),INDEX(Baseline!$B$3:$E$122,MATCH(MIN(MAX(ROUND(($F362)/5,0)*5,5),600),Baseline!$A$3:$A$122,0),MATCH($E362,Baseline!$B$2:$E$2,0))))))</f>
        <v/>
      </c>
      <c r="P362" s="17" t="str">
        <f aca="false">IF($B362="","",INDEX(Course!$N$2:$N$19,MATCH($B362,Course!$A$2:$A$19,0)))</f>
        <v/>
      </c>
      <c r="Q362" s="17" t="str">
        <f aca="false">IF($B362="","",INDEX(Course!$P$2:$P$19,MATCH($B362,Course!$A$2:$A$19,0)))</f>
        <v/>
      </c>
      <c r="R362" s="17" t="str">
        <f aca="false">IF($C362="","",IF(OR($C362="G",$C362="H"),0,IF($C362="T",1,MIN(1,MAX(0,($N362-Inputs!$B$8)/MAX($P362-Inputs!$B$8,0.01))))))</f>
        <v/>
      </c>
      <c r="S362" s="17" t="str">
        <f aca="false">IF($C362="","",IF(OR($E362="G",$E362="H"),0,IF($E362="T",1,MIN(1,MAX(0,($O362-Inputs!$B$8)/MAX($P362-Inputs!$B$8,0.01))))))</f>
        <v/>
      </c>
    </row>
    <row r="363" customFormat="false" ht="15" hidden="false" customHeight="false" outlineLevel="0" collapsed="false">
      <c r="I363" s="7" t="str">
        <f aca="false">IF($C363="","",IF($C363="G","PUTT",IF(AND($C363="T",$M363&gt;3),"OTT",IF($D363&lt;=30,"ARG","APP"))))</f>
        <v/>
      </c>
      <c r="J363" s="17" t="str">
        <f aca="false">IF($C363="","",$N363+$Q363*$R363)</f>
        <v/>
      </c>
      <c r="K363" s="17" t="str">
        <f aca="false">IF($C363="","",$O363+$Q363*$S363)</f>
        <v/>
      </c>
      <c r="L363" s="17" t="str">
        <f aca="false">IF($C363="","",$J363-$K363-1-N($G363))</f>
        <v/>
      </c>
      <c r="M363" s="7" t="str">
        <f aca="false">IF($B363="","",INDEX(Course!$B$2:$B$19,MATCH($B363,Course!$A$2:$A$19,0)))</f>
        <v/>
      </c>
      <c r="N363" s="17" t="str">
        <f aca="false">IF($C363="","",IF($C363="H",0,IF($C363="G",INDEX(Baseline!$I$3:$I$102,MIN(MAX(ROUND($D363,0),1),100)),IF($C363="T",IF($M363=3,INDEX(Baseline!$B$3:$B$122,MATCH(MIN(MAX(ROUND(($D363)/5,0)*5,5),600),Baseline!$A$3:$A$122,0))-Inputs!$B$9,INDEX(Course!$N$2:$N$19,MATCH($B363,Course!$A$2:$A$19,0))),INDEX(Baseline!$B$3:$E$122,MATCH(MIN(MAX(ROUND(($D363)/5,0)*5,5),600),Baseline!$A$3:$A$122,0),MATCH($C363,Baseline!$B$2:$E$2,0))))))</f>
        <v/>
      </c>
      <c r="O363" s="17" t="str">
        <f aca="false">IF($C363="","",IF($E363="H",0,IF($E363="G",INDEX(Baseline!$I$3:$I$102,MIN(MAX(ROUND($F363,0),1),100)),IF($E363="T",IF($M363=3,INDEX(Baseline!$B$3:$B$122,MATCH(MIN(MAX(ROUND(($F363)/5,0)*5,5),600),Baseline!$A$3:$A$122,0))-Inputs!$B$9,INDEX(Course!$N$2:$N$19,MATCH($B363,Course!$A$2:$A$19,0))),INDEX(Baseline!$B$3:$E$122,MATCH(MIN(MAX(ROUND(($F363)/5,0)*5,5),600),Baseline!$A$3:$A$122,0),MATCH($E363,Baseline!$B$2:$E$2,0))))))</f>
        <v/>
      </c>
      <c r="P363" s="17" t="str">
        <f aca="false">IF($B363="","",INDEX(Course!$N$2:$N$19,MATCH($B363,Course!$A$2:$A$19,0)))</f>
        <v/>
      </c>
      <c r="Q363" s="17" t="str">
        <f aca="false">IF($B363="","",INDEX(Course!$P$2:$P$19,MATCH($B363,Course!$A$2:$A$19,0)))</f>
        <v/>
      </c>
      <c r="R363" s="17" t="str">
        <f aca="false">IF($C363="","",IF(OR($C363="G",$C363="H"),0,IF($C363="T",1,MIN(1,MAX(0,($N363-Inputs!$B$8)/MAX($P363-Inputs!$B$8,0.01))))))</f>
        <v/>
      </c>
      <c r="S363" s="17" t="str">
        <f aca="false">IF($C363="","",IF(OR($E363="G",$E363="H"),0,IF($E363="T",1,MIN(1,MAX(0,($O363-Inputs!$B$8)/MAX($P363-Inputs!$B$8,0.01))))))</f>
        <v/>
      </c>
    </row>
    <row r="364" customFormat="false" ht="15" hidden="false" customHeight="false" outlineLevel="0" collapsed="false">
      <c r="I364" s="7" t="str">
        <f aca="false">IF($C364="","",IF($C364="G","PUTT",IF(AND($C364="T",$M364&gt;3),"OTT",IF($D364&lt;=30,"ARG","APP"))))</f>
        <v/>
      </c>
      <c r="J364" s="17" t="str">
        <f aca="false">IF($C364="","",$N364+$Q364*$R364)</f>
        <v/>
      </c>
      <c r="K364" s="17" t="str">
        <f aca="false">IF($C364="","",$O364+$Q364*$S364)</f>
        <v/>
      </c>
      <c r="L364" s="17" t="str">
        <f aca="false">IF($C364="","",$J364-$K364-1-N($G364))</f>
        <v/>
      </c>
      <c r="M364" s="7" t="str">
        <f aca="false">IF($B364="","",INDEX(Course!$B$2:$B$19,MATCH($B364,Course!$A$2:$A$19,0)))</f>
        <v/>
      </c>
      <c r="N364" s="17" t="str">
        <f aca="false">IF($C364="","",IF($C364="H",0,IF($C364="G",INDEX(Baseline!$I$3:$I$102,MIN(MAX(ROUND($D364,0),1),100)),IF($C364="T",IF($M364=3,INDEX(Baseline!$B$3:$B$122,MATCH(MIN(MAX(ROUND(($D364)/5,0)*5,5),600),Baseline!$A$3:$A$122,0))-Inputs!$B$9,INDEX(Course!$N$2:$N$19,MATCH($B364,Course!$A$2:$A$19,0))),INDEX(Baseline!$B$3:$E$122,MATCH(MIN(MAX(ROUND(($D364)/5,0)*5,5),600),Baseline!$A$3:$A$122,0),MATCH($C364,Baseline!$B$2:$E$2,0))))))</f>
        <v/>
      </c>
      <c r="O364" s="17" t="str">
        <f aca="false">IF($C364="","",IF($E364="H",0,IF($E364="G",INDEX(Baseline!$I$3:$I$102,MIN(MAX(ROUND($F364,0),1),100)),IF($E364="T",IF($M364=3,INDEX(Baseline!$B$3:$B$122,MATCH(MIN(MAX(ROUND(($F364)/5,0)*5,5),600),Baseline!$A$3:$A$122,0))-Inputs!$B$9,INDEX(Course!$N$2:$N$19,MATCH($B364,Course!$A$2:$A$19,0))),INDEX(Baseline!$B$3:$E$122,MATCH(MIN(MAX(ROUND(($F364)/5,0)*5,5),600),Baseline!$A$3:$A$122,0),MATCH($E364,Baseline!$B$2:$E$2,0))))))</f>
        <v/>
      </c>
      <c r="P364" s="17" t="str">
        <f aca="false">IF($B364="","",INDEX(Course!$N$2:$N$19,MATCH($B364,Course!$A$2:$A$19,0)))</f>
        <v/>
      </c>
      <c r="Q364" s="17" t="str">
        <f aca="false">IF($B364="","",INDEX(Course!$P$2:$P$19,MATCH($B364,Course!$A$2:$A$19,0)))</f>
        <v/>
      </c>
      <c r="R364" s="17" t="str">
        <f aca="false">IF($C364="","",IF(OR($C364="G",$C364="H"),0,IF($C364="T",1,MIN(1,MAX(0,($N364-Inputs!$B$8)/MAX($P364-Inputs!$B$8,0.01))))))</f>
        <v/>
      </c>
      <c r="S364" s="17" t="str">
        <f aca="false">IF($C364="","",IF(OR($E364="G",$E364="H"),0,IF($E364="T",1,MIN(1,MAX(0,($O364-Inputs!$B$8)/MAX($P364-Inputs!$B$8,0.01))))))</f>
        <v/>
      </c>
    </row>
    <row r="365" customFormat="false" ht="15" hidden="false" customHeight="false" outlineLevel="0" collapsed="false">
      <c r="I365" s="7" t="str">
        <f aca="false">IF($C365="","",IF($C365="G","PUTT",IF(AND($C365="T",$M365&gt;3),"OTT",IF($D365&lt;=30,"ARG","APP"))))</f>
        <v/>
      </c>
      <c r="J365" s="17" t="str">
        <f aca="false">IF($C365="","",$N365+$Q365*$R365)</f>
        <v/>
      </c>
      <c r="K365" s="17" t="str">
        <f aca="false">IF($C365="","",$O365+$Q365*$S365)</f>
        <v/>
      </c>
      <c r="L365" s="17" t="str">
        <f aca="false">IF($C365="","",$J365-$K365-1-N($G365))</f>
        <v/>
      </c>
      <c r="M365" s="7" t="str">
        <f aca="false">IF($B365="","",INDEX(Course!$B$2:$B$19,MATCH($B365,Course!$A$2:$A$19,0)))</f>
        <v/>
      </c>
      <c r="N365" s="17" t="str">
        <f aca="false">IF($C365="","",IF($C365="H",0,IF($C365="G",INDEX(Baseline!$I$3:$I$102,MIN(MAX(ROUND($D365,0),1),100)),IF($C365="T",IF($M365=3,INDEX(Baseline!$B$3:$B$122,MATCH(MIN(MAX(ROUND(($D365)/5,0)*5,5),600),Baseline!$A$3:$A$122,0))-Inputs!$B$9,INDEX(Course!$N$2:$N$19,MATCH($B365,Course!$A$2:$A$19,0))),INDEX(Baseline!$B$3:$E$122,MATCH(MIN(MAX(ROUND(($D365)/5,0)*5,5),600),Baseline!$A$3:$A$122,0),MATCH($C365,Baseline!$B$2:$E$2,0))))))</f>
        <v/>
      </c>
      <c r="O365" s="17" t="str">
        <f aca="false">IF($C365="","",IF($E365="H",0,IF($E365="G",INDEX(Baseline!$I$3:$I$102,MIN(MAX(ROUND($F365,0),1),100)),IF($E365="T",IF($M365=3,INDEX(Baseline!$B$3:$B$122,MATCH(MIN(MAX(ROUND(($F365)/5,0)*5,5),600),Baseline!$A$3:$A$122,0))-Inputs!$B$9,INDEX(Course!$N$2:$N$19,MATCH($B365,Course!$A$2:$A$19,0))),INDEX(Baseline!$B$3:$E$122,MATCH(MIN(MAX(ROUND(($F365)/5,0)*5,5),600),Baseline!$A$3:$A$122,0),MATCH($E365,Baseline!$B$2:$E$2,0))))))</f>
        <v/>
      </c>
      <c r="P365" s="17" t="str">
        <f aca="false">IF($B365="","",INDEX(Course!$N$2:$N$19,MATCH($B365,Course!$A$2:$A$19,0)))</f>
        <v/>
      </c>
      <c r="Q365" s="17" t="str">
        <f aca="false">IF($B365="","",INDEX(Course!$P$2:$P$19,MATCH($B365,Course!$A$2:$A$19,0)))</f>
        <v/>
      </c>
      <c r="R365" s="17" t="str">
        <f aca="false">IF($C365="","",IF(OR($C365="G",$C365="H"),0,IF($C365="T",1,MIN(1,MAX(0,($N365-Inputs!$B$8)/MAX($P365-Inputs!$B$8,0.01))))))</f>
        <v/>
      </c>
      <c r="S365" s="17" t="str">
        <f aca="false">IF($C365="","",IF(OR($E365="G",$E365="H"),0,IF($E365="T",1,MIN(1,MAX(0,($O365-Inputs!$B$8)/MAX($P365-Inputs!$B$8,0.01))))))</f>
        <v/>
      </c>
    </row>
    <row r="366" customFormat="false" ht="15" hidden="false" customHeight="false" outlineLevel="0" collapsed="false">
      <c r="I366" s="7" t="str">
        <f aca="false">IF($C366="","",IF($C366="G","PUTT",IF(AND($C366="T",$M366&gt;3),"OTT",IF($D366&lt;=30,"ARG","APP"))))</f>
        <v/>
      </c>
      <c r="J366" s="17" t="str">
        <f aca="false">IF($C366="","",$N366+$Q366*$R366)</f>
        <v/>
      </c>
      <c r="K366" s="17" t="str">
        <f aca="false">IF($C366="","",$O366+$Q366*$S366)</f>
        <v/>
      </c>
      <c r="L366" s="17" t="str">
        <f aca="false">IF($C366="","",$J366-$K366-1-N($G366))</f>
        <v/>
      </c>
      <c r="M366" s="7" t="str">
        <f aca="false">IF($B366="","",INDEX(Course!$B$2:$B$19,MATCH($B366,Course!$A$2:$A$19,0)))</f>
        <v/>
      </c>
      <c r="N366" s="17" t="str">
        <f aca="false">IF($C366="","",IF($C366="H",0,IF($C366="G",INDEX(Baseline!$I$3:$I$102,MIN(MAX(ROUND($D366,0),1),100)),IF($C366="T",IF($M366=3,INDEX(Baseline!$B$3:$B$122,MATCH(MIN(MAX(ROUND(($D366)/5,0)*5,5),600),Baseline!$A$3:$A$122,0))-Inputs!$B$9,INDEX(Course!$N$2:$N$19,MATCH($B366,Course!$A$2:$A$19,0))),INDEX(Baseline!$B$3:$E$122,MATCH(MIN(MAX(ROUND(($D366)/5,0)*5,5),600),Baseline!$A$3:$A$122,0),MATCH($C366,Baseline!$B$2:$E$2,0))))))</f>
        <v/>
      </c>
      <c r="O366" s="17" t="str">
        <f aca="false">IF($C366="","",IF($E366="H",0,IF($E366="G",INDEX(Baseline!$I$3:$I$102,MIN(MAX(ROUND($F366,0),1),100)),IF($E366="T",IF($M366=3,INDEX(Baseline!$B$3:$B$122,MATCH(MIN(MAX(ROUND(($F366)/5,0)*5,5),600),Baseline!$A$3:$A$122,0))-Inputs!$B$9,INDEX(Course!$N$2:$N$19,MATCH($B366,Course!$A$2:$A$19,0))),INDEX(Baseline!$B$3:$E$122,MATCH(MIN(MAX(ROUND(($F366)/5,0)*5,5),600),Baseline!$A$3:$A$122,0),MATCH($E366,Baseline!$B$2:$E$2,0))))))</f>
        <v/>
      </c>
      <c r="P366" s="17" t="str">
        <f aca="false">IF($B366="","",INDEX(Course!$N$2:$N$19,MATCH($B366,Course!$A$2:$A$19,0)))</f>
        <v/>
      </c>
      <c r="Q366" s="17" t="str">
        <f aca="false">IF($B366="","",INDEX(Course!$P$2:$P$19,MATCH($B366,Course!$A$2:$A$19,0)))</f>
        <v/>
      </c>
      <c r="R366" s="17" t="str">
        <f aca="false">IF($C366="","",IF(OR($C366="G",$C366="H"),0,IF($C366="T",1,MIN(1,MAX(0,($N366-Inputs!$B$8)/MAX($P366-Inputs!$B$8,0.01))))))</f>
        <v/>
      </c>
      <c r="S366" s="17" t="str">
        <f aca="false">IF($C366="","",IF(OR($E366="G",$E366="H"),0,IF($E366="T",1,MIN(1,MAX(0,($O366-Inputs!$B$8)/MAX($P366-Inputs!$B$8,0.01))))))</f>
        <v/>
      </c>
    </row>
    <row r="367" customFormat="false" ht="15" hidden="false" customHeight="false" outlineLevel="0" collapsed="false">
      <c r="I367" s="7" t="str">
        <f aca="false">IF($C367="","",IF($C367="G","PUTT",IF(AND($C367="T",$M367&gt;3),"OTT",IF($D367&lt;=30,"ARG","APP"))))</f>
        <v/>
      </c>
      <c r="J367" s="17" t="str">
        <f aca="false">IF($C367="","",$N367+$Q367*$R367)</f>
        <v/>
      </c>
      <c r="K367" s="17" t="str">
        <f aca="false">IF($C367="","",$O367+$Q367*$S367)</f>
        <v/>
      </c>
      <c r="L367" s="17" t="str">
        <f aca="false">IF($C367="","",$J367-$K367-1-N($G367))</f>
        <v/>
      </c>
      <c r="M367" s="7" t="str">
        <f aca="false">IF($B367="","",INDEX(Course!$B$2:$B$19,MATCH($B367,Course!$A$2:$A$19,0)))</f>
        <v/>
      </c>
      <c r="N367" s="17" t="str">
        <f aca="false">IF($C367="","",IF($C367="H",0,IF($C367="G",INDEX(Baseline!$I$3:$I$102,MIN(MAX(ROUND($D367,0),1),100)),IF($C367="T",IF($M367=3,INDEX(Baseline!$B$3:$B$122,MATCH(MIN(MAX(ROUND(($D367)/5,0)*5,5),600),Baseline!$A$3:$A$122,0))-Inputs!$B$9,INDEX(Course!$N$2:$N$19,MATCH($B367,Course!$A$2:$A$19,0))),INDEX(Baseline!$B$3:$E$122,MATCH(MIN(MAX(ROUND(($D367)/5,0)*5,5),600),Baseline!$A$3:$A$122,0),MATCH($C367,Baseline!$B$2:$E$2,0))))))</f>
        <v/>
      </c>
      <c r="O367" s="17" t="str">
        <f aca="false">IF($C367="","",IF($E367="H",0,IF($E367="G",INDEX(Baseline!$I$3:$I$102,MIN(MAX(ROUND($F367,0),1),100)),IF($E367="T",IF($M367=3,INDEX(Baseline!$B$3:$B$122,MATCH(MIN(MAX(ROUND(($F367)/5,0)*5,5),600),Baseline!$A$3:$A$122,0))-Inputs!$B$9,INDEX(Course!$N$2:$N$19,MATCH($B367,Course!$A$2:$A$19,0))),INDEX(Baseline!$B$3:$E$122,MATCH(MIN(MAX(ROUND(($F367)/5,0)*5,5),600),Baseline!$A$3:$A$122,0),MATCH($E367,Baseline!$B$2:$E$2,0))))))</f>
        <v/>
      </c>
      <c r="P367" s="17" t="str">
        <f aca="false">IF($B367="","",INDEX(Course!$N$2:$N$19,MATCH($B367,Course!$A$2:$A$19,0)))</f>
        <v/>
      </c>
      <c r="Q367" s="17" t="str">
        <f aca="false">IF($B367="","",INDEX(Course!$P$2:$P$19,MATCH($B367,Course!$A$2:$A$19,0)))</f>
        <v/>
      </c>
      <c r="R367" s="17" t="str">
        <f aca="false">IF($C367="","",IF(OR($C367="G",$C367="H"),0,IF($C367="T",1,MIN(1,MAX(0,($N367-Inputs!$B$8)/MAX($P367-Inputs!$B$8,0.01))))))</f>
        <v/>
      </c>
      <c r="S367" s="17" t="str">
        <f aca="false">IF($C367="","",IF(OR($E367="G",$E367="H"),0,IF($E367="T",1,MIN(1,MAX(0,($O367-Inputs!$B$8)/MAX($P367-Inputs!$B$8,0.01))))))</f>
        <v/>
      </c>
    </row>
    <row r="368" customFormat="false" ht="15" hidden="false" customHeight="false" outlineLevel="0" collapsed="false">
      <c r="I368" s="7" t="str">
        <f aca="false">IF($C368="","",IF($C368="G","PUTT",IF(AND($C368="T",$M368&gt;3),"OTT",IF($D368&lt;=30,"ARG","APP"))))</f>
        <v/>
      </c>
      <c r="J368" s="17" t="str">
        <f aca="false">IF($C368="","",$N368+$Q368*$R368)</f>
        <v/>
      </c>
      <c r="K368" s="17" t="str">
        <f aca="false">IF($C368="","",$O368+$Q368*$S368)</f>
        <v/>
      </c>
      <c r="L368" s="17" t="str">
        <f aca="false">IF($C368="","",$J368-$K368-1-N($G368))</f>
        <v/>
      </c>
      <c r="M368" s="7" t="str">
        <f aca="false">IF($B368="","",INDEX(Course!$B$2:$B$19,MATCH($B368,Course!$A$2:$A$19,0)))</f>
        <v/>
      </c>
      <c r="N368" s="17" t="str">
        <f aca="false">IF($C368="","",IF($C368="H",0,IF($C368="G",INDEX(Baseline!$I$3:$I$102,MIN(MAX(ROUND($D368,0),1),100)),IF($C368="T",IF($M368=3,INDEX(Baseline!$B$3:$B$122,MATCH(MIN(MAX(ROUND(($D368)/5,0)*5,5),600),Baseline!$A$3:$A$122,0))-Inputs!$B$9,INDEX(Course!$N$2:$N$19,MATCH($B368,Course!$A$2:$A$19,0))),INDEX(Baseline!$B$3:$E$122,MATCH(MIN(MAX(ROUND(($D368)/5,0)*5,5),600),Baseline!$A$3:$A$122,0),MATCH($C368,Baseline!$B$2:$E$2,0))))))</f>
        <v/>
      </c>
      <c r="O368" s="17" t="str">
        <f aca="false">IF($C368="","",IF($E368="H",0,IF($E368="G",INDEX(Baseline!$I$3:$I$102,MIN(MAX(ROUND($F368,0),1),100)),IF($E368="T",IF($M368=3,INDEX(Baseline!$B$3:$B$122,MATCH(MIN(MAX(ROUND(($F368)/5,0)*5,5),600),Baseline!$A$3:$A$122,0))-Inputs!$B$9,INDEX(Course!$N$2:$N$19,MATCH($B368,Course!$A$2:$A$19,0))),INDEX(Baseline!$B$3:$E$122,MATCH(MIN(MAX(ROUND(($F368)/5,0)*5,5),600),Baseline!$A$3:$A$122,0),MATCH($E368,Baseline!$B$2:$E$2,0))))))</f>
        <v/>
      </c>
      <c r="P368" s="17" t="str">
        <f aca="false">IF($B368="","",INDEX(Course!$N$2:$N$19,MATCH($B368,Course!$A$2:$A$19,0)))</f>
        <v/>
      </c>
      <c r="Q368" s="17" t="str">
        <f aca="false">IF($B368="","",INDEX(Course!$P$2:$P$19,MATCH($B368,Course!$A$2:$A$19,0)))</f>
        <v/>
      </c>
      <c r="R368" s="17" t="str">
        <f aca="false">IF($C368="","",IF(OR($C368="G",$C368="H"),0,IF($C368="T",1,MIN(1,MAX(0,($N368-Inputs!$B$8)/MAX($P368-Inputs!$B$8,0.01))))))</f>
        <v/>
      </c>
      <c r="S368" s="17" t="str">
        <f aca="false">IF($C368="","",IF(OR($E368="G",$E368="H"),0,IF($E368="T",1,MIN(1,MAX(0,($O368-Inputs!$B$8)/MAX($P368-Inputs!$B$8,0.01))))))</f>
        <v/>
      </c>
    </row>
    <row r="369" customFormat="false" ht="15" hidden="false" customHeight="false" outlineLevel="0" collapsed="false">
      <c r="I369" s="7" t="str">
        <f aca="false">IF($C369="","",IF($C369="G","PUTT",IF(AND($C369="T",$M369&gt;3),"OTT",IF($D369&lt;=30,"ARG","APP"))))</f>
        <v/>
      </c>
      <c r="J369" s="17" t="str">
        <f aca="false">IF($C369="","",$N369+$Q369*$R369)</f>
        <v/>
      </c>
      <c r="K369" s="17" t="str">
        <f aca="false">IF($C369="","",$O369+$Q369*$S369)</f>
        <v/>
      </c>
      <c r="L369" s="17" t="str">
        <f aca="false">IF($C369="","",$J369-$K369-1-N($G369))</f>
        <v/>
      </c>
      <c r="M369" s="7" t="str">
        <f aca="false">IF($B369="","",INDEX(Course!$B$2:$B$19,MATCH($B369,Course!$A$2:$A$19,0)))</f>
        <v/>
      </c>
      <c r="N369" s="17" t="str">
        <f aca="false">IF($C369="","",IF($C369="H",0,IF($C369="G",INDEX(Baseline!$I$3:$I$102,MIN(MAX(ROUND($D369,0),1),100)),IF($C369="T",IF($M369=3,INDEX(Baseline!$B$3:$B$122,MATCH(MIN(MAX(ROUND(($D369)/5,0)*5,5),600),Baseline!$A$3:$A$122,0))-Inputs!$B$9,INDEX(Course!$N$2:$N$19,MATCH($B369,Course!$A$2:$A$19,0))),INDEX(Baseline!$B$3:$E$122,MATCH(MIN(MAX(ROUND(($D369)/5,0)*5,5),600),Baseline!$A$3:$A$122,0),MATCH($C369,Baseline!$B$2:$E$2,0))))))</f>
        <v/>
      </c>
      <c r="O369" s="17" t="str">
        <f aca="false">IF($C369="","",IF($E369="H",0,IF($E369="G",INDEX(Baseline!$I$3:$I$102,MIN(MAX(ROUND($F369,0),1),100)),IF($E369="T",IF($M369=3,INDEX(Baseline!$B$3:$B$122,MATCH(MIN(MAX(ROUND(($F369)/5,0)*5,5),600),Baseline!$A$3:$A$122,0))-Inputs!$B$9,INDEX(Course!$N$2:$N$19,MATCH($B369,Course!$A$2:$A$19,0))),INDEX(Baseline!$B$3:$E$122,MATCH(MIN(MAX(ROUND(($F369)/5,0)*5,5),600),Baseline!$A$3:$A$122,0),MATCH($E369,Baseline!$B$2:$E$2,0))))))</f>
        <v/>
      </c>
      <c r="P369" s="17" t="str">
        <f aca="false">IF($B369="","",INDEX(Course!$N$2:$N$19,MATCH($B369,Course!$A$2:$A$19,0)))</f>
        <v/>
      </c>
      <c r="Q369" s="17" t="str">
        <f aca="false">IF($B369="","",INDEX(Course!$P$2:$P$19,MATCH($B369,Course!$A$2:$A$19,0)))</f>
        <v/>
      </c>
      <c r="R369" s="17" t="str">
        <f aca="false">IF($C369="","",IF(OR($C369="G",$C369="H"),0,IF($C369="T",1,MIN(1,MAX(0,($N369-Inputs!$B$8)/MAX($P369-Inputs!$B$8,0.01))))))</f>
        <v/>
      </c>
      <c r="S369" s="17" t="str">
        <f aca="false">IF($C369="","",IF(OR($E369="G",$E369="H"),0,IF($E369="T",1,MIN(1,MAX(0,($O369-Inputs!$B$8)/MAX($P369-Inputs!$B$8,0.01))))))</f>
        <v/>
      </c>
    </row>
    <row r="370" customFormat="false" ht="15" hidden="false" customHeight="false" outlineLevel="0" collapsed="false">
      <c r="I370" s="7" t="str">
        <f aca="false">IF($C370="","",IF($C370="G","PUTT",IF(AND($C370="T",$M370&gt;3),"OTT",IF($D370&lt;=30,"ARG","APP"))))</f>
        <v/>
      </c>
      <c r="J370" s="17" t="str">
        <f aca="false">IF($C370="","",$N370+$Q370*$R370)</f>
        <v/>
      </c>
      <c r="K370" s="17" t="str">
        <f aca="false">IF($C370="","",$O370+$Q370*$S370)</f>
        <v/>
      </c>
      <c r="L370" s="17" t="str">
        <f aca="false">IF($C370="","",$J370-$K370-1-N($G370))</f>
        <v/>
      </c>
      <c r="M370" s="7" t="str">
        <f aca="false">IF($B370="","",INDEX(Course!$B$2:$B$19,MATCH($B370,Course!$A$2:$A$19,0)))</f>
        <v/>
      </c>
      <c r="N370" s="17" t="str">
        <f aca="false">IF($C370="","",IF($C370="H",0,IF($C370="G",INDEX(Baseline!$I$3:$I$102,MIN(MAX(ROUND($D370,0),1),100)),IF($C370="T",IF($M370=3,INDEX(Baseline!$B$3:$B$122,MATCH(MIN(MAX(ROUND(($D370)/5,0)*5,5),600),Baseline!$A$3:$A$122,0))-Inputs!$B$9,INDEX(Course!$N$2:$N$19,MATCH($B370,Course!$A$2:$A$19,0))),INDEX(Baseline!$B$3:$E$122,MATCH(MIN(MAX(ROUND(($D370)/5,0)*5,5),600),Baseline!$A$3:$A$122,0),MATCH($C370,Baseline!$B$2:$E$2,0))))))</f>
        <v/>
      </c>
      <c r="O370" s="17" t="str">
        <f aca="false">IF($C370="","",IF($E370="H",0,IF($E370="G",INDEX(Baseline!$I$3:$I$102,MIN(MAX(ROUND($F370,0),1),100)),IF($E370="T",IF($M370=3,INDEX(Baseline!$B$3:$B$122,MATCH(MIN(MAX(ROUND(($F370)/5,0)*5,5),600),Baseline!$A$3:$A$122,0))-Inputs!$B$9,INDEX(Course!$N$2:$N$19,MATCH($B370,Course!$A$2:$A$19,0))),INDEX(Baseline!$B$3:$E$122,MATCH(MIN(MAX(ROUND(($F370)/5,0)*5,5),600),Baseline!$A$3:$A$122,0),MATCH($E370,Baseline!$B$2:$E$2,0))))))</f>
        <v/>
      </c>
      <c r="P370" s="17" t="str">
        <f aca="false">IF($B370="","",INDEX(Course!$N$2:$N$19,MATCH($B370,Course!$A$2:$A$19,0)))</f>
        <v/>
      </c>
      <c r="Q370" s="17" t="str">
        <f aca="false">IF($B370="","",INDEX(Course!$P$2:$P$19,MATCH($B370,Course!$A$2:$A$19,0)))</f>
        <v/>
      </c>
      <c r="R370" s="17" t="str">
        <f aca="false">IF($C370="","",IF(OR($C370="G",$C370="H"),0,IF($C370="T",1,MIN(1,MAX(0,($N370-Inputs!$B$8)/MAX($P370-Inputs!$B$8,0.01))))))</f>
        <v/>
      </c>
      <c r="S370" s="17" t="str">
        <f aca="false">IF($C370="","",IF(OR($E370="G",$E370="H"),0,IF($E370="T",1,MIN(1,MAX(0,($O370-Inputs!$B$8)/MAX($P370-Inputs!$B$8,0.01))))))</f>
        <v/>
      </c>
    </row>
    <row r="371" customFormat="false" ht="15" hidden="false" customHeight="false" outlineLevel="0" collapsed="false">
      <c r="I371" s="7" t="str">
        <f aca="false">IF($C371="","",IF($C371="G","PUTT",IF(AND($C371="T",$M371&gt;3),"OTT",IF($D371&lt;=30,"ARG","APP"))))</f>
        <v/>
      </c>
      <c r="J371" s="17" t="str">
        <f aca="false">IF($C371="","",$N371+$Q371*$R371)</f>
        <v/>
      </c>
      <c r="K371" s="17" t="str">
        <f aca="false">IF($C371="","",$O371+$Q371*$S371)</f>
        <v/>
      </c>
      <c r="L371" s="17" t="str">
        <f aca="false">IF($C371="","",$J371-$K371-1-N($G371))</f>
        <v/>
      </c>
      <c r="M371" s="7" t="str">
        <f aca="false">IF($B371="","",INDEX(Course!$B$2:$B$19,MATCH($B371,Course!$A$2:$A$19,0)))</f>
        <v/>
      </c>
      <c r="N371" s="17" t="str">
        <f aca="false">IF($C371="","",IF($C371="H",0,IF($C371="G",INDEX(Baseline!$I$3:$I$102,MIN(MAX(ROUND($D371,0),1),100)),IF($C371="T",IF($M371=3,INDEX(Baseline!$B$3:$B$122,MATCH(MIN(MAX(ROUND(($D371)/5,0)*5,5),600),Baseline!$A$3:$A$122,0))-Inputs!$B$9,INDEX(Course!$N$2:$N$19,MATCH($B371,Course!$A$2:$A$19,0))),INDEX(Baseline!$B$3:$E$122,MATCH(MIN(MAX(ROUND(($D371)/5,0)*5,5),600),Baseline!$A$3:$A$122,0),MATCH($C371,Baseline!$B$2:$E$2,0))))))</f>
        <v/>
      </c>
      <c r="O371" s="17" t="str">
        <f aca="false">IF($C371="","",IF($E371="H",0,IF($E371="G",INDEX(Baseline!$I$3:$I$102,MIN(MAX(ROUND($F371,0),1),100)),IF($E371="T",IF($M371=3,INDEX(Baseline!$B$3:$B$122,MATCH(MIN(MAX(ROUND(($F371)/5,0)*5,5),600),Baseline!$A$3:$A$122,0))-Inputs!$B$9,INDEX(Course!$N$2:$N$19,MATCH($B371,Course!$A$2:$A$19,0))),INDEX(Baseline!$B$3:$E$122,MATCH(MIN(MAX(ROUND(($F371)/5,0)*5,5),600),Baseline!$A$3:$A$122,0),MATCH($E371,Baseline!$B$2:$E$2,0))))))</f>
        <v/>
      </c>
      <c r="P371" s="17" t="str">
        <f aca="false">IF($B371="","",INDEX(Course!$N$2:$N$19,MATCH($B371,Course!$A$2:$A$19,0)))</f>
        <v/>
      </c>
      <c r="Q371" s="17" t="str">
        <f aca="false">IF($B371="","",INDEX(Course!$P$2:$P$19,MATCH($B371,Course!$A$2:$A$19,0)))</f>
        <v/>
      </c>
      <c r="R371" s="17" t="str">
        <f aca="false">IF($C371="","",IF(OR($C371="G",$C371="H"),0,IF($C371="T",1,MIN(1,MAX(0,($N371-Inputs!$B$8)/MAX($P371-Inputs!$B$8,0.01))))))</f>
        <v/>
      </c>
      <c r="S371" s="17" t="str">
        <f aca="false">IF($C371="","",IF(OR($E371="G",$E371="H"),0,IF($E371="T",1,MIN(1,MAX(0,($O371-Inputs!$B$8)/MAX($P371-Inputs!$B$8,0.01))))))</f>
        <v/>
      </c>
    </row>
    <row r="372" customFormat="false" ht="15" hidden="false" customHeight="false" outlineLevel="0" collapsed="false">
      <c r="I372" s="7" t="str">
        <f aca="false">IF($C372="","",IF($C372="G","PUTT",IF(AND($C372="T",$M372&gt;3),"OTT",IF($D372&lt;=30,"ARG","APP"))))</f>
        <v/>
      </c>
      <c r="J372" s="17" t="str">
        <f aca="false">IF($C372="","",$N372+$Q372*$R372)</f>
        <v/>
      </c>
      <c r="K372" s="17" t="str">
        <f aca="false">IF($C372="","",$O372+$Q372*$S372)</f>
        <v/>
      </c>
      <c r="L372" s="17" t="str">
        <f aca="false">IF($C372="","",$J372-$K372-1-N($G372))</f>
        <v/>
      </c>
      <c r="M372" s="7" t="str">
        <f aca="false">IF($B372="","",INDEX(Course!$B$2:$B$19,MATCH($B372,Course!$A$2:$A$19,0)))</f>
        <v/>
      </c>
      <c r="N372" s="17" t="str">
        <f aca="false">IF($C372="","",IF($C372="H",0,IF($C372="G",INDEX(Baseline!$I$3:$I$102,MIN(MAX(ROUND($D372,0),1),100)),IF($C372="T",IF($M372=3,INDEX(Baseline!$B$3:$B$122,MATCH(MIN(MAX(ROUND(($D372)/5,0)*5,5),600),Baseline!$A$3:$A$122,0))-Inputs!$B$9,INDEX(Course!$N$2:$N$19,MATCH($B372,Course!$A$2:$A$19,0))),INDEX(Baseline!$B$3:$E$122,MATCH(MIN(MAX(ROUND(($D372)/5,0)*5,5),600),Baseline!$A$3:$A$122,0),MATCH($C372,Baseline!$B$2:$E$2,0))))))</f>
        <v/>
      </c>
      <c r="O372" s="17" t="str">
        <f aca="false">IF($C372="","",IF($E372="H",0,IF($E372="G",INDEX(Baseline!$I$3:$I$102,MIN(MAX(ROUND($F372,0),1),100)),IF($E372="T",IF($M372=3,INDEX(Baseline!$B$3:$B$122,MATCH(MIN(MAX(ROUND(($F372)/5,0)*5,5),600),Baseline!$A$3:$A$122,0))-Inputs!$B$9,INDEX(Course!$N$2:$N$19,MATCH($B372,Course!$A$2:$A$19,0))),INDEX(Baseline!$B$3:$E$122,MATCH(MIN(MAX(ROUND(($F372)/5,0)*5,5),600),Baseline!$A$3:$A$122,0),MATCH($E372,Baseline!$B$2:$E$2,0))))))</f>
        <v/>
      </c>
      <c r="P372" s="17" t="str">
        <f aca="false">IF($B372="","",INDEX(Course!$N$2:$N$19,MATCH($B372,Course!$A$2:$A$19,0)))</f>
        <v/>
      </c>
      <c r="Q372" s="17" t="str">
        <f aca="false">IF($B372="","",INDEX(Course!$P$2:$P$19,MATCH($B372,Course!$A$2:$A$19,0)))</f>
        <v/>
      </c>
      <c r="R372" s="17" t="str">
        <f aca="false">IF($C372="","",IF(OR($C372="G",$C372="H"),0,IF($C372="T",1,MIN(1,MAX(0,($N372-Inputs!$B$8)/MAX($P372-Inputs!$B$8,0.01))))))</f>
        <v/>
      </c>
      <c r="S372" s="17" t="str">
        <f aca="false">IF($C372="","",IF(OR($E372="G",$E372="H"),0,IF($E372="T",1,MIN(1,MAX(0,($O372-Inputs!$B$8)/MAX($P372-Inputs!$B$8,0.01))))))</f>
        <v/>
      </c>
    </row>
    <row r="373" customFormat="false" ht="15" hidden="false" customHeight="false" outlineLevel="0" collapsed="false">
      <c r="I373" s="7" t="str">
        <f aca="false">IF($C373="","",IF($C373="G","PUTT",IF(AND($C373="T",$M373&gt;3),"OTT",IF($D373&lt;=30,"ARG","APP"))))</f>
        <v/>
      </c>
      <c r="J373" s="17" t="str">
        <f aca="false">IF($C373="","",$N373+$Q373*$R373)</f>
        <v/>
      </c>
      <c r="K373" s="17" t="str">
        <f aca="false">IF($C373="","",$O373+$Q373*$S373)</f>
        <v/>
      </c>
      <c r="L373" s="17" t="str">
        <f aca="false">IF($C373="","",$J373-$K373-1-N($G373))</f>
        <v/>
      </c>
      <c r="M373" s="7" t="str">
        <f aca="false">IF($B373="","",INDEX(Course!$B$2:$B$19,MATCH($B373,Course!$A$2:$A$19,0)))</f>
        <v/>
      </c>
      <c r="N373" s="17" t="str">
        <f aca="false">IF($C373="","",IF($C373="H",0,IF($C373="G",INDEX(Baseline!$I$3:$I$102,MIN(MAX(ROUND($D373,0),1),100)),IF($C373="T",IF($M373=3,INDEX(Baseline!$B$3:$B$122,MATCH(MIN(MAX(ROUND(($D373)/5,0)*5,5),600),Baseline!$A$3:$A$122,0))-Inputs!$B$9,INDEX(Course!$N$2:$N$19,MATCH($B373,Course!$A$2:$A$19,0))),INDEX(Baseline!$B$3:$E$122,MATCH(MIN(MAX(ROUND(($D373)/5,0)*5,5),600),Baseline!$A$3:$A$122,0),MATCH($C373,Baseline!$B$2:$E$2,0))))))</f>
        <v/>
      </c>
      <c r="O373" s="17" t="str">
        <f aca="false">IF($C373="","",IF($E373="H",0,IF($E373="G",INDEX(Baseline!$I$3:$I$102,MIN(MAX(ROUND($F373,0),1),100)),IF($E373="T",IF($M373=3,INDEX(Baseline!$B$3:$B$122,MATCH(MIN(MAX(ROUND(($F373)/5,0)*5,5),600),Baseline!$A$3:$A$122,0))-Inputs!$B$9,INDEX(Course!$N$2:$N$19,MATCH($B373,Course!$A$2:$A$19,0))),INDEX(Baseline!$B$3:$E$122,MATCH(MIN(MAX(ROUND(($F373)/5,0)*5,5),600),Baseline!$A$3:$A$122,0),MATCH($E373,Baseline!$B$2:$E$2,0))))))</f>
        <v/>
      </c>
      <c r="P373" s="17" t="str">
        <f aca="false">IF($B373="","",INDEX(Course!$N$2:$N$19,MATCH($B373,Course!$A$2:$A$19,0)))</f>
        <v/>
      </c>
      <c r="Q373" s="17" t="str">
        <f aca="false">IF($B373="","",INDEX(Course!$P$2:$P$19,MATCH($B373,Course!$A$2:$A$19,0)))</f>
        <v/>
      </c>
      <c r="R373" s="17" t="str">
        <f aca="false">IF($C373="","",IF(OR($C373="G",$C373="H"),0,IF($C373="T",1,MIN(1,MAX(0,($N373-Inputs!$B$8)/MAX($P373-Inputs!$B$8,0.01))))))</f>
        <v/>
      </c>
      <c r="S373" s="17" t="str">
        <f aca="false">IF($C373="","",IF(OR($E373="G",$E373="H"),0,IF($E373="T",1,MIN(1,MAX(0,($O373-Inputs!$B$8)/MAX($P373-Inputs!$B$8,0.01))))))</f>
        <v/>
      </c>
    </row>
    <row r="374" customFormat="false" ht="15" hidden="false" customHeight="false" outlineLevel="0" collapsed="false">
      <c r="I374" s="7" t="str">
        <f aca="false">IF($C374="","",IF($C374="G","PUTT",IF(AND($C374="T",$M374&gt;3),"OTT",IF($D374&lt;=30,"ARG","APP"))))</f>
        <v/>
      </c>
      <c r="J374" s="17" t="str">
        <f aca="false">IF($C374="","",$N374+$Q374*$R374)</f>
        <v/>
      </c>
      <c r="K374" s="17" t="str">
        <f aca="false">IF($C374="","",$O374+$Q374*$S374)</f>
        <v/>
      </c>
      <c r="L374" s="17" t="str">
        <f aca="false">IF($C374="","",$J374-$K374-1-N($G374))</f>
        <v/>
      </c>
      <c r="M374" s="7" t="str">
        <f aca="false">IF($B374="","",INDEX(Course!$B$2:$B$19,MATCH($B374,Course!$A$2:$A$19,0)))</f>
        <v/>
      </c>
      <c r="N374" s="17" t="str">
        <f aca="false">IF($C374="","",IF($C374="H",0,IF($C374="G",INDEX(Baseline!$I$3:$I$102,MIN(MAX(ROUND($D374,0),1),100)),IF($C374="T",IF($M374=3,INDEX(Baseline!$B$3:$B$122,MATCH(MIN(MAX(ROUND(($D374)/5,0)*5,5),600),Baseline!$A$3:$A$122,0))-Inputs!$B$9,INDEX(Course!$N$2:$N$19,MATCH($B374,Course!$A$2:$A$19,0))),INDEX(Baseline!$B$3:$E$122,MATCH(MIN(MAX(ROUND(($D374)/5,0)*5,5),600),Baseline!$A$3:$A$122,0),MATCH($C374,Baseline!$B$2:$E$2,0))))))</f>
        <v/>
      </c>
      <c r="O374" s="17" t="str">
        <f aca="false">IF($C374="","",IF($E374="H",0,IF($E374="G",INDEX(Baseline!$I$3:$I$102,MIN(MAX(ROUND($F374,0),1),100)),IF($E374="T",IF($M374=3,INDEX(Baseline!$B$3:$B$122,MATCH(MIN(MAX(ROUND(($F374)/5,0)*5,5),600),Baseline!$A$3:$A$122,0))-Inputs!$B$9,INDEX(Course!$N$2:$N$19,MATCH($B374,Course!$A$2:$A$19,0))),INDEX(Baseline!$B$3:$E$122,MATCH(MIN(MAX(ROUND(($F374)/5,0)*5,5),600),Baseline!$A$3:$A$122,0),MATCH($E374,Baseline!$B$2:$E$2,0))))))</f>
        <v/>
      </c>
      <c r="P374" s="17" t="str">
        <f aca="false">IF($B374="","",INDEX(Course!$N$2:$N$19,MATCH($B374,Course!$A$2:$A$19,0)))</f>
        <v/>
      </c>
      <c r="Q374" s="17" t="str">
        <f aca="false">IF($B374="","",INDEX(Course!$P$2:$P$19,MATCH($B374,Course!$A$2:$A$19,0)))</f>
        <v/>
      </c>
      <c r="R374" s="17" t="str">
        <f aca="false">IF($C374="","",IF(OR($C374="G",$C374="H"),0,IF($C374="T",1,MIN(1,MAX(0,($N374-Inputs!$B$8)/MAX($P374-Inputs!$B$8,0.01))))))</f>
        <v/>
      </c>
      <c r="S374" s="17" t="str">
        <f aca="false">IF($C374="","",IF(OR($E374="G",$E374="H"),0,IF($E374="T",1,MIN(1,MAX(0,($O374-Inputs!$B$8)/MAX($P374-Inputs!$B$8,0.01))))))</f>
        <v/>
      </c>
    </row>
    <row r="375" customFormat="false" ht="15" hidden="false" customHeight="false" outlineLevel="0" collapsed="false">
      <c r="I375" s="7" t="str">
        <f aca="false">IF($C375="","",IF($C375="G","PUTT",IF(AND($C375="T",$M375&gt;3),"OTT",IF($D375&lt;=30,"ARG","APP"))))</f>
        <v/>
      </c>
      <c r="J375" s="17" t="str">
        <f aca="false">IF($C375="","",$N375+$Q375*$R375)</f>
        <v/>
      </c>
      <c r="K375" s="17" t="str">
        <f aca="false">IF($C375="","",$O375+$Q375*$S375)</f>
        <v/>
      </c>
      <c r="L375" s="17" t="str">
        <f aca="false">IF($C375="","",$J375-$K375-1-N($G375))</f>
        <v/>
      </c>
      <c r="M375" s="7" t="str">
        <f aca="false">IF($B375="","",INDEX(Course!$B$2:$B$19,MATCH($B375,Course!$A$2:$A$19,0)))</f>
        <v/>
      </c>
      <c r="N375" s="17" t="str">
        <f aca="false">IF($C375="","",IF($C375="H",0,IF($C375="G",INDEX(Baseline!$I$3:$I$102,MIN(MAX(ROUND($D375,0),1),100)),IF($C375="T",IF($M375=3,INDEX(Baseline!$B$3:$B$122,MATCH(MIN(MAX(ROUND(($D375)/5,0)*5,5),600),Baseline!$A$3:$A$122,0))-Inputs!$B$9,INDEX(Course!$N$2:$N$19,MATCH($B375,Course!$A$2:$A$19,0))),INDEX(Baseline!$B$3:$E$122,MATCH(MIN(MAX(ROUND(($D375)/5,0)*5,5),600),Baseline!$A$3:$A$122,0),MATCH($C375,Baseline!$B$2:$E$2,0))))))</f>
        <v/>
      </c>
      <c r="O375" s="17" t="str">
        <f aca="false">IF($C375="","",IF($E375="H",0,IF($E375="G",INDEX(Baseline!$I$3:$I$102,MIN(MAX(ROUND($F375,0),1),100)),IF($E375="T",IF($M375=3,INDEX(Baseline!$B$3:$B$122,MATCH(MIN(MAX(ROUND(($F375)/5,0)*5,5),600),Baseline!$A$3:$A$122,0))-Inputs!$B$9,INDEX(Course!$N$2:$N$19,MATCH($B375,Course!$A$2:$A$19,0))),INDEX(Baseline!$B$3:$E$122,MATCH(MIN(MAX(ROUND(($F375)/5,0)*5,5),600),Baseline!$A$3:$A$122,0),MATCH($E375,Baseline!$B$2:$E$2,0))))))</f>
        <v/>
      </c>
      <c r="P375" s="17" t="str">
        <f aca="false">IF($B375="","",INDEX(Course!$N$2:$N$19,MATCH($B375,Course!$A$2:$A$19,0)))</f>
        <v/>
      </c>
      <c r="Q375" s="17" t="str">
        <f aca="false">IF($B375="","",INDEX(Course!$P$2:$P$19,MATCH($B375,Course!$A$2:$A$19,0)))</f>
        <v/>
      </c>
      <c r="R375" s="17" t="str">
        <f aca="false">IF($C375="","",IF(OR($C375="G",$C375="H"),0,IF($C375="T",1,MIN(1,MAX(0,($N375-Inputs!$B$8)/MAX($P375-Inputs!$B$8,0.01))))))</f>
        <v/>
      </c>
      <c r="S375" s="17" t="str">
        <f aca="false">IF($C375="","",IF(OR($E375="G",$E375="H"),0,IF($E375="T",1,MIN(1,MAX(0,($O375-Inputs!$B$8)/MAX($P375-Inputs!$B$8,0.01))))))</f>
        <v/>
      </c>
    </row>
    <row r="376" customFormat="false" ht="15" hidden="false" customHeight="false" outlineLevel="0" collapsed="false">
      <c r="I376" s="7" t="str">
        <f aca="false">IF($C376="","",IF($C376="G","PUTT",IF(AND($C376="T",$M376&gt;3),"OTT",IF($D376&lt;=30,"ARG","APP"))))</f>
        <v/>
      </c>
      <c r="J376" s="17" t="str">
        <f aca="false">IF($C376="","",$N376+$Q376*$R376)</f>
        <v/>
      </c>
      <c r="K376" s="17" t="str">
        <f aca="false">IF($C376="","",$O376+$Q376*$S376)</f>
        <v/>
      </c>
      <c r="L376" s="17" t="str">
        <f aca="false">IF($C376="","",$J376-$K376-1-N($G376))</f>
        <v/>
      </c>
      <c r="M376" s="7" t="str">
        <f aca="false">IF($B376="","",INDEX(Course!$B$2:$B$19,MATCH($B376,Course!$A$2:$A$19,0)))</f>
        <v/>
      </c>
      <c r="N376" s="17" t="str">
        <f aca="false">IF($C376="","",IF($C376="H",0,IF($C376="G",INDEX(Baseline!$I$3:$I$102,MIN(MAX(ROUND($D376,0),1),100)),IF($C376="T",IF($M376=3,INDEX(Baseline!$B$3:$B$122,MATCH(MIN(MAX(ROUND(($D376)/5,0)*5,5),600),Baseline!$A$3:$A$122,0))-Inputs!$B$9,INDEX(Course!$N$2:$N$19,MATCH($B376,Course!$A$2:$A$19,0))),INDEX(Baseline!$B$3:$E$122,MATCH(MIN(MAX(ROUND(($D376)/5,0)*5,5),600),Baseline!$A$3:$A$122,0),MATCH($C376,Baseline!$B$2:$E$2,0))))))</f>
        <v/>
      </c>
      <c r="O376" s="17" t="str">
        <f aca="false">IF($C376="","",IF($E376="H",0,IF($E376="G",INDEX(Baseline!$I$3:$I$102,MIN(MAX(ROUND($F376,0),1),100)),IF($E376="T",IF($M376=3,INDEX(Baseline!$B$3:$B$122,MATCH(MIN(MAX(ROUND(($F376)/5,0)*5,5),600),Baseline!$A$3:$A$122,0))-Inputs!$B$9,INDEX(Course!$N$2:$N$19,MATCH($B376,Course!$A$2:$A$19,0))),INDEX(Baseline!$B$3:$E$122,MATCH(MIN(MAX(ROUND(($F376)/5,0)*5,5),600),Baseline!$A$3:$A$122,0),MATCH($E376,Baseline!$B$2:$E$2,0))))))</f>
        <v/>
      </c>
      <c r="P376" s="17" t="str">
        <f aca="false">IF($B376="","",INDEX(Course!$N$2:$N$19,MATCH($B376,Course!$A$2:$A$19,0)))</f>
        <v/>
      </c>
      <c r="Q376" s="17" t="str">
        <f aca="false">IF($B376="","",INDEX(Course!$P$2:$P$19,MATCH($B376,Course!$A$2:$A$19,0)))</f>
        <v/>
      </c>
      <c r="R376" s="17" t="str">
        <f aca="false">IF($C376="","",IF(OR($C376="G",$C376="H"),0,IF($C376="T",1,MIN(1,MAX(0,($N376-Inputs!$B$8)/MAX($P376-Inputs!$B$8,0.01))))))</f>
        <v/>
      </c>
      <c r="S376" s="17" t="str">
        <f aca="false">IF($C376="","",IF(OR($E376="G",$E376="H"),0,IF($E376="T",1,MIN(1,MAX(0,($O376-Inputs!$B$8)/MAX($P376-Inputs!$B$8,0.01))))))</f>
        <v/>
      </c>
    </row>
    <row r="377" customFormat="false" ht="15" hidden="false" customHeight="false" outlineLevel="0" collapsed="false">
      <c r="I377" s="7" t="str">
        <f aca="false">IF($C377="","",IF($C377="G","PUTT",IF(AND($C377="T",$M377&gt;3),"OTT",IF($D377&lt;=30,"ARG","APP"))))</f>
        <v/>
      </c>
      <c r="J377" s="17" t="str">
        <f aca="false">IF($C377="","",$N377+$Q377*$R377)</f>
        <v/>
      </c>
      <c r="K377" s="17" t="str">
        <f aca="false">IF($C377="","",$O377+$Q377*$S377)</f>
        <v/>
      </c>
      <c r="L377" s="17" t="str">
        <f aca="false">IF($C377="","",$J377-$K377-1-N($G377))</f>
        <v/>
      </c>
      <c r="M377" s="7" t="str">
        <f aca="false">IF($B377="","",INDEX(Course!$B$2:$B$19,MATCH($B377,Course!$A$2:$A$19,0)))</f>
        <v/>
      </c>
      <c r="N377" s="17" t="str">
        <f aca="false">IF($C377="","",IF($C377="H",0,IF($C377="G",INDEX(Baseline!$I$3:$I$102,MIN(MAX(ROUND($D377,0),1),100)),IF($C377="T",IF($M377=3,INDEX(Baseline!$B$3:$B$122,MATCH(MIN(MAX(ROUND(($D377)/5,0)*5,5),600),Baseline!$A$3:$A$122,0))-Inputs!$B$9,INDEX(Course!$N$2:$N$19,MATCH($B377,Course!$A$2:$A$19,0))),INDEX(Baseline!$B$3:$E$122,MATCH(MIN(MAX(ROUND(($D377)/5,0)*5,5),600),Baseline!$A$3:$A$122,0),MATCH($C377,Baseline!$B$2:$E$2,0))))))</f>
        <v/>
      </c>
      <c r="O377" s="17" t="str">
        <f aca="false">IF($C377="","",IF($E377="H",0,IF($E377="G",INDEX(Baseline!$I$3:$I$102,MIN(MAX(ROUND($F377,0),1),100)),IF($E377="T",IF($M377=3,INDEX(Baseline!$B$3:$B$122,MATCH(MIN(MAX(ROUND(($F377)/5,0)*5,5),600),Baseline!$A$3:$A$122,0))-Inputs!$B$9,INDEX(Course!$N$2:$N$19,MATCH($B377,Course!$A$2:$A$19,0))),INDEX(Baseline!$B$3:$E$122,MATCH(MIN(MAX(ROUND(($F377)/5,0)*5,5),600),Baseline!$A$3:$A$122,0),MATCH($E377,Baseline!$B$2:$E$2,0))))))</f>
        <v/>
      </c>
      <c r="P377" s="17" t="str">
        <f aca="false">IF($B377="","",INDEX(Course!$N$2:$N$19,MATCH($B377,Course!$A$2:$A$19,0)))</f>
        <v/>
      </c>
      <c r="Q377" s="17" t="str">
        <f aca="false">IF($B377="","",INDEX(Course!$P$2:$P$19,MATCH($B377,Course!$A$2:$A$19,0)))</f>
        <v/>
      </c>
      <c r="R377" s="17" t="str">
        <f aca="false">IF($C377="","",IF(OR($C377="G",$C377="H"),0,IF($C377="T",1,MIN(1,MAX(0,($N377-Inputs!$B$8)/MAX($P377-Inputs!$B$8,0.01))))))</f>
        <v/>
      </c>
      <c r="S377" s="17" t="str">
        <f aca="false">IF($C377="","",IF(OR($E377="G",$E377="H"),0,IF($E377="T",1,MIN(1,MAX(0,($O377-Inputs!$B$8)/MAX($P377-Inputs!$B$8,0.01))))))</f>
        <v/>
      </c>
    </row>
    <row r="378" customFormat="false" ht="15" hidden="false" customHeight="false" outlineLevel="0" collapsed="false">
      <c r="I378" s="7" t="str">
        <f aca="false">IF($C378="","",IF($C378="G","PUTT",IF(AND($C378="T",$M378&gt;3),"OTT",IF($D378&lt;=30,"ARG","APP"))))</f>
        <v/>
      </c>
      <c r="J378" s="17" t="str">
        <f aca="false">IF($C378="","",$N378+$Q378*$R378)</f>
        <v/>
      </c>
      <c r="K378" s="17" t="str">
        <f aca="false">IF($C378="","",$O378+$Q378*$S378)</f>
        <v/>
      </c>
      <c r="L378" s="17" t="str">
        <f aca="false">IF($C378="","",$J378-$K378-1-N($G378))</f>
        <v/>
      </c>
      <c r="M378" s="7" t="str">
        <f aca="false">IF($B378="","",INDEX(Course!$B$2:$B$19,MATCH($B378,Course!$A$2:$A$19,0)))</f>
        <v/>
      </c>
      <c r="N378" s="17" t="str">
        <f aca="false">IF($C378="","",IF($C378="H",0,IF($C378="G",INDEX(Baseline!$I$3:$I$102,MIN(MAX(ROUND($D378,0),1),100)),IF($C378="T",IF($M378=3,INDEX(Baseline!$B$3:$B$122,MATCH(MIN(MAX(ROUND(($D378)/5,0)*5,5),600),Baseline!$A$3:$A$122,0))-Inputs!$B$9,INDEX(Course!$N$2:$N$19,MATCH($B378,Course!$A$2:$A$19,0))),INDEX(Baseline!$B$3:$E$122,MATCH(MIN(MAX(ROUND(($D378)/5,0)*5,5),600),Baseline!$A$3:$A$122,0),MATCH($C378,Baseline!$B$2:$E$2,0))))))</f>
        <v/>
      </c>
      <c r="O378" s="17" t="str">
        <f aca="false">IF($C378="","",IF($E378="H",0,IF($E378="G",INDEX(Baseline!$I$3:$I$102,MIN(MAX(ROUND($F378,0),1),100)),IF($E378="T",IF($M378=3,INDEX(Baseline!$B$3:$B$122,MATCH(MIN(MAX(ROUND(($F378)/5,0)*5,5),600),Baseline!$A$3:$A$122,0))-Inputs!$B$9,INDEX(Course!$N$2:$N$19,MATCH($B378,Course!$A$2:$A$19,0))),INDEX(Baseline!$B$3:$E$122,MATCH(MIN(MAX(ROUND(($F378)/5,0)*5,5),600),Baseline!$A$3:$A$122,0),MATCH($E378,Baseline!$B$2:$E$2,0))))))</f>
        <v/>
      </c>
      <c r="P378" s="17" t="str">
        <f aca="false">IF($B378="","",INDEX(Course!$N$2:$N$19,MATCH($B378,Course!$A$2:$A$19,0)))</f>
        <v/>
      </c>
      <c r="Q378" s="17" t="str">
        <f aca="false">IF($B378="","",INDEX(Course!$P$2:$P$19,MATCH($B378,Course!$A$2:$A$19,0)))</f>
        <v/>
      </c>
      <c r="R378" s="17" t="str">
        <f aca="false">IF($C378="","",IF(OR($C378="G",$C378="H"),0,IF($C378="T",1,MIN(1,MAX(0,($N378-Inputs!$B$8)/MAX($P378-Inputs!$B$8,0.01))))))</f>
        <v/>
      </c>
      <c r="S378" s="17" t="str">
        <f aca="false">IF($C378="","",IF(OR($E378="G",$E378="H"),0,IF($E378="T",1,MIN(1,MAX(0,($O378-Inputs!$B$8)/MAX($P378-Inputs!$B$8,0.01))))))</f>
        <v/>
      </c>
    </row>
    <row r="379" customFormat="false" ht="15" hidden="false" customHeight="false" outlineLevel="0" collapsed="false">
      <c r="I379" s="7" t="str">
        <f aca="false">IF($C379="","",IF($C379="G","PUTT",IF(AND($C379="T",$M379&gt;3),"OTT",IF($D379&lt;=30,"ARG","APP"))))</f>
        <v/>
      </c>
      <c r="J379" s="17" t="str">
        <f aca="false">IF($C379="","",$N379+$Q379*$R379)</f>
        <v/>
      </c>
      <c r="K379" s="17" t="str">
        <f aca="false">IF($C379="","",$O379+$Q379*$S379)</f>
        <v/>
      </c>
      <c r="L379" s="17" t="str">
        <f aca="false">IF($C379="","",$J379-$K379-1-N($G379))</f>
        <v/>
      </c>
      <c r="M379" s="7" t="str">
        <f aca="false">IF($B379="","",INDEX(Course!$B$2:$B$19,MATCH($B379,Course!$A$2:$A$19,0)))</f>
        <v/>
      </c>
      <c r="N379" s="17" t="str">
        <f aca="false">IF($C379="","",IF($C379="H",0,IF($C379="G",INDEX(Baseline!$I$3:$I$102,MIN(MAX(ROUND($D379,0),1),100)),IF($C379="T",IF($M379=3,INDEX(Baseline!$B$3:$B$122,MATCH(MIN(MAX(ROUND(($D379)/5,0)*5,5),600),Baseline!$A$3:$A$122,0))-Inputs!$B$9,INDEX(Course!$N$2:$N$19,MATCH($B379,Course!$A$2:$A$19,0))),INDEX(Baseline!$B$3:$E$122,MATCH(MIN(MAX(ROUND(($D379)/5,0)*5,5),600),Baseline!$A$3:$A$122,0),MATCH($C379,Baseline!$B$2:$E$2,0))))))</f>
        <v/>
      </c>
      <c r="O379" s="17" t="str">
        <f aca="false">IF($C379="","",IF($E379="H",0,IF($E379="G",INDEX(Baseline!$I$3:$I$102,MIN(MAX(ROUND($F379,0),1),100)),IF($E379="T",IF($M379=3,INDEX(Baseline!$B$3:$B$122,MATCH(MIN(MAX(ROUND(($F379)/5,0)*5,5),600),Baseline!$A$3:$A$122,0))-Inputs!$B$9,INDEX(Course!$N$2:$N$19,MATCH($B379,Course!$A$2:$A$19,0))),INDEX(Baseline!$B$3:$E$122,MATCH(MIN(MAX(ROUND(($F379)/5,0)*5,5),600),Baseline!$A$3:$A$122,0),MATCH($E379,Baseline!$B$2:$E$2,0))))))</f>
        <v/>
      </c>
      <c r="P379" s="17" t="str">
        <f aca="false">IF($B379="","",INDEX(Course!$N$2:$N$19,MATCH($B379,Course!$A$2:$A$19,0)))</f>
        <v/>
      </c>
      <c r="Q379" s="17" t="str">
        <f aca="false">IF($B379="","",INDEX(Course!$P$2:$P$19,MATCH($B379,Course!$A$2:$A$19,0)))</f>
        <v/>
      </c>
      <c r="R379" s="17" t="str">
        <f aca="false">IF($C379="","",IF(OR($C379="G",$C379="H"),0,IF($C379="T",1,MIN(1,MAX(0,($N379-Inputs!$B$8)/MAX($P379-Inputs!$B$8,0.01))))))</f>
        <v/>
      </c>
      <c r="S379" s="17" t="str">
        <f aca="false">IF($C379="","",IF(OR($E379="G",$E379="H"),0,IF($E379="T",1,MIN(1,MAX(0,($O379-Inputs!$B$8)/MAX($P379-Inputs!$B$8,0.01))))))</f>
        <v/>
      </c>
    </row>
    <row r="380" customFormat="false" ht="15" hidden="false" customHeight="false" outlineLevel="0" collapsed="false">
      <c r="I380" s="7" t="str">
        <f aca="false">IF($C380="","",IF($C380="G","PUTT",IF(AND($C380="T",$M380&gt;3),"OTT",IF($D380&lt;=30,"ARG","APP"))))</f>
        <v/>
      </c>
      <c r="J380" s="17" t="str">
        <f aca="false">IF($C380="","",$N380+$Q380*$R380)</f>
        <v/>
      </c>
      <c r="K380" s="17" t="str">
        <f aca="false">IF($C380="","",$O380+$Q380*$S380)</f>
        <v/>
      </c>
      <c r="L380" s="17" t="str">
        <f aca="false">IF($C380="","",$J380-$K380-1-N($G380))</f>
        <v/>
      </c>
      <c r="M380" s="7" t="str">
        <f aca="false">IF($B380="","",INDEX(Course!$B$2:$B$19,MATCH($B380,Course!$A$2:$A$19,0)))</f>
        <v/>
      </c>
      <c r="N380" s="17" t="str">
        <f aca="false">IF($C380="","",IF($C380="H",0,IF($C380="G",INDEX(Baseline!$I$3:$I$102,MIN(MAX(ROUND($D380,0),1),100)),IF($C380="T",IF($M380=3,INDEX(Baseline!$B$3:$B$122,MATCH(MIN(MAX(ROUND(($D380)/5,0)*5,5),600),Baseline!$A$3:$A$122,0))-Inputs!$B$9,INDEX(Course!$N$2:$N$19,MATCH($B380,Course!$A$2:$A$19,0))),INDEX(Baseline!$B$3:$E$122,MATCH(MIN(MAX(ROUND(($D380)/5,0)*5,5),600),Baseline!$A$3:$A$122,0),MATCH($C380,Baseline!$B$2:$E$2,0))))))</f>
        <v/>
      </c>
      <c r="O380" s="17" t="str">
        <f aca="false">IF($C380="","",IF($E380="H",0,IF($E380="G",INDEX(Baseline!$I$3:$I$102,MIN(MAX(ROUND($F380,0),1),100)),IF($E380="T",IF($M380=3,INDEX(Baseline!$B$3:$B$122,MATCH(MIN(MAX(ROUND(($F380)/5,0)*5,5),600),Baseline!$A$3:$A$122,0))-Inputs!$B$9,INDEX(Course!$N$2:$N$19,MATCH($B380,Course!$A$2:$A$19,0))),INDEX(Baseline!$B$3:$E$122,MATCH(MIN(MAX(ROUND(($F380)/5,0)*5,5),600),Baseline!$A$3:$A$122,0),MATCH($E380,Baseline!$B$2:$E$2,0))))))</f>
        <v/>
      </c>
      <c r="P380" s="17" t="str">
        <f aca="false">IF($B380="","",INDEX(Course!$N$2:$N$19,MATCH($B380,Course!$A$2:$A$19,0)))</f>
        <v/>
      </c>
      <c r="Q380" s="17" t="str">
        <f aca="false">IF($B380="","",INDEX(Course!$P$2:$P$19,MATCH($B380,Course!$A$2:$A$19,0)))</f>
        <v/>
      </c>
      <c r="R380" s="17" t="str">
        <f aca="false">IF($C380="","",IF(OR($C380="G",$C380="H"),0,IF($C380="T",1,MIN(1,MAX(0,($N380-Inputs!$B$8)/MAX($P380-Inputs!$B$8,0.01))))))</f>
        <v/>
      </c>
      <c r="S380" s="17" t="str">
        <f aca="false">IF($C380="","",IF(OR($E380="G",$E380="H"),0,IF($E380="T",1,MIN(1,MAX(0,($O380-Inputs!$B$8)/MAX($P380-Inputs!$B$8,0.01))))))</f>
        <v/>
      </c>
    </row>
    <row r="381" customFormat="false" ht="15" hidden="false" customHeight="false" outlineLevel="0" collapsed="false">
      <c r="I381" s="7" t="str">
        <f aca="false">IF($C381="","",IF($C381="G","PUTT",IF(AND($C381="T",$M381&gt;3),"OTT",IF($D381&lt;=30,"ARG","APP"))))</f>
        <v/>
      </c>
      <c r="J381" s="17" t="str">
        <f aca="false">IF($C381="","",$N381+$Q381*$R381)</f>
        <v/>
      </c>
      <c r="K381" s="17" t="str">
        <f aca="false">IF($C381="","",$O381+$Q381*$S381)</f>
        <v/>
      </c>
      <c r="L381" s="17" t="str">
        <f aca="false">IF($C381="","",$J381-$K381-1-N($G381))</f>
        <v/>
      </c>
      <c r="M381" s="7" t="str">
        <f aca="false">IF($B381="","",INDEX(Course!$B$2:$B$19,MATCH($B381,Course!$A$2:$A$19,0)))</f>
        <v/>
      </c>
      <c r="N381" s="17" t="str">
        <f aca="false">IF($C381="","",IF($C381="H",0,IF($C381="G",INDEX(Baseline!$I$3:$I$102,MIN(MAX(ROUND($D381,0),1),100)),IF($C381="T",IF($M381=3,INDEX(Baseline!$B$3:$B$122,MATCH(MIN(MAX(ROUND(($D381)/5,0)*5,5),600),Baseline!$A$3:$A$122,0))-Inputs!$B$9,INDEX(Course!$N$2:$N$19,MATCH($B381,Course!$A$2:$A$19,0))),INDEX(Baseline!$B$3:$E$122,MATCH(MIN(MAX(ROUND(($D381)/5,0)*5,5),600),Baseline!$A$3:$A$122,0),MATCH($C381,Baseline!$B$2:$E$2,0))))))</f>
        <v/>
      </c>
      <c r="O381" s="17" t="str">
        <f aca="false">IF($C381="","",IF($E381="H",0,IF($E381="G",INDEX(Baseline!$I$3:$I$102,MIN(MAX(ROUND($F381,0),1),100)),IF($E381="T",IF($M381=3,INDEX(Baseline!$B$3:$B$122,MATCH(MIN(MAX(ROUND(($F381)/5,0)*5,5),600),Baseline!$A$3:$A$122,0))-Inputs!$B$9,INDEX(Course!$N$2:$N$19,MATCH($B381,Course!$A$2:$A$19,0))),INDEX(Baseline!$B$3:$E$122,MATCH(MIN(MAX(ROUND(($F381)/5,0)*5,5),600),Baseline!$A$3:$A$122,0),MATCH($E381,Baseline!$B$2:$E$2,0))))))</f>
        <v/>
      </c>
      <c r="P381" s="17" t="str">
        <f aca="false">IF($B381="","",INDEX(Course!$N$2:$N$19,MATCH($B381,Course!$A$2:$A$19,0)))</f>
        <v/>
      </c>
      <c r="Q381" s="17" t="str">
        <f aca="false">IF($B381="","",INDEX(Course!$P$2:$P$19,MATCH($B381,Course!$A$2:$A$19,0)))</f>
        <v/>
      </c>
      <c r="R381" s="17" t="str">
        <f aca="false">IF($C381="","",IF(OR($C381="G",$C381="H"),0,IF($C381="T",1,MIN(1,MAX(0,($N381-Inputs!$B$8)/MAX($P381-Inputs!$B$8,0.01))))))</f>
        <v/>
      </c>
      <c r="S381" s="17" t="str">
        <f aca="false">IF($C381="","",IF(OR($E381="G",$E381="H"),0,IF($E381="T",1,MIN(1,MAX(0,($O381-Inputs!$B$8)/MAX($P381-Inputs!$B$8,0.01))))))</f>
        <v/>
      </c>
    </row>
    <row r="382" customFormat="false" ht="15" hidden="false" customHeight="false" outlineLevel="0" collapsed="false">
      <c r="I382" s="7" t="str">
        <f aca="false">IF($C382="","",IF($C382="G","PUTT",IF(AND($C382="T",$M382&gt;3),"OTT",IF($D382&lt;=30,"ARG","APP"))))</f>
        <v/>
      </c>
      <c r="J382" s="17" t="str">
        <f aca="false">IF($C382="","",$N382+$Q382*$R382)</f>
        <v/>
      </c>
      <c r="K382" s="17" t="str">
        <f aca="false">IF($C382="","",$O382+$Q382*$S382)</f>
        <v/>
      </c>
      <c r="L382" s="17" t="str">
        <f aca="false">IF($C382="","",$J382-$K382-1-N($G382))</f>
        <v/>
      </c>
      <c r="M382" s="7" t="str">
        <f aca="false">IF($B382="","",INDEX(Course!$B$2:$B$19,MATCH($B382,Course!$A$2:$A$19,0)))</f>
        <v/>
      </c>
      <c r="N382" s="17" t="str">
        <f aca="false">IF($C382="","",IF($C382="H",0,IF($C382="G",INDEX(Baseline!$I$3:$I$102,MIN(MAX(ROUND($D382,0),1),100)),IF($C382="T",IF($M382=3,INDEX(Baseline!$B$3:$B$122,MATCH(MIN(MAX(ROUND(($D382)/5,0)*5,5),600),Baseline!$A$3:$A$122,0))-Inputs!$B$9,INDEX(Course!$N$2:$N$19,MATCH($B382,Course!$A$2:$A$19,0))),INDEX(Baseline!$B$3:$E$122,MATCH(MIN(MAX(ROUND(($D382)/5,0)*5,5),600),Baseline!$A$3:$A$122,0),MATCH($C382,Baseline!$B$2:$E$2,0))))))</f>
        <v/>
      </c>
      <c r="O382" s="17" t="str">
        <f aca="false">IF($C382="","",IF($E382="H",0,IF($E382="G",INDEX(Baseline!$I$3:$I$102,MIN(MAX(ROUND($F382,0),1),100)),IF($E382="T",IF($M382=3,INDEX(Baseline!$B$3:$B$122,MATCH(MIN(MAX(ROUND(($F382)/5,0)*5,5),600),Baseline!$A$3:$A$122,0))-Inputs!$B$9,INDEX(Course!$N$2:$N$19,MATCH($B382,Course!$A$2:$A$19,0))),INDEX(Baseline!$B$3:$E$122,MATCH(MIN(MAX(ROUND(($F382)/5,0)*5,5),600),Baseline!$A$3:$A$122,0),MATCH($E382,Baseline!$B$2:$E$2,0))))))</f>
        <v/>
      </c>
      <c r="P382" s="17" t="str">
        <f aca="false">IF($B382="","",INDEX(Course!$N$2:$N$19,MATCH($B382,Course!$A$2:$A$19,0)))</f>
        <v/>
      </c>
      <c r="Q382" s="17" t="str">
        <f aca="false">IF($B382="","",INDEX(Course!$P$2:$P$19,MATCH($B382,Course!$A$2:$A$19,0)))</f>
        <v/>
      </c>
      <c r="R382" s="17" t="str">
        <f aca="false">IF($C382="","",IF(OR($C382="G",$C382="H"),0,IF($C382="T",1,MIN(1,MAX(0,($N382-Inputs!$B$8)/MAX($P382-Inputs!$B$8,0.01))))))</f>
        <v/>
      </c>
      <c r="S382" s="17" t="str">
        <f aca="false">IF($C382="","",IF(OR($E382="G",$E382="H"),0,IF($E382="T",1,MIN(1,MAX(0,($O382-Inputs!$B$8)/MAX($P382-Inputs!$B$8,0.01))))))</f>
        <v/>
      </c>
    </row>
    <row r="383" customFormat="false" ht="15" hidden="false" customHeight="false" outlineLevel="0" collapsed="false">
      <c r="I383" s="7" t="str">
        <f aca="false">IF($C383="","",IF($C383="G","PUTT",IF(AND($C383="T",$M383&gt;3),"OTT",IF($D383&lt;=30,"ARG","APP"))))</f>
        <v/>
      </c>
      <c r="J383" s="17" t="str">
        <f aca="false">IF($C383="","",$N383+$Q383*$R383)</f>
        <v/>
      </c>
      <c r="K383" s="17" t="str">
        <f aca="false">IF($C383="","",$O383+$Q383*$S383)</f>
        <v/>
      </c>
      <c r="L383" s="17" t="str">
        <f aca="false">IF($C383="","",$J383-$K383-1-N($G383))</f>
        <v/>
      </c>
      <c r="M383" s="7" t="str">
        <f aca="false">IF($B383="","",INDEX(Course!$B$2:$B$19,MATCH($B383,Course!$A$2:$A$19,0)))</f>
        <v/>
      </c>
      <c r="N383" s="17" t="str">
        <f aca="false">IF($C383="","",IF($C383="H",0,IF($C383="G",INDEX(Baseline!$I$3:$I$102,MIN(MAX(ROUND($D383,0),1),100)),IF($C383="T",IF($M383=3,INDEX(Baseline!$B$3:$B$122,MATCH(MIN(MAX(ROUND(($D383)/5,0)*5,5),600),Baseline!$A$3:$A$122,0))-Inputs!$B$9,INDEX(Course!$N$2:$N$19,MATCH($B383,Course!$A$2:$A$19,0))),INDEX(Baseline!$B$3:$E$122,MATCH(MIN(MAX(ROUND(($D383)/5,0)*5,5),600),Baseline!$A$3:$A$122,0),MATCH($C383,Baseline!$B$2:$E$2,0))))))</f>
        <v/>
      </c>
      <c r="O383" s="17" t="str">
        <f aca="false">IF($C383="","",IF($E383="H",0,IF($E383="G",INDEX(Baseline!$I$3:$I$102,MIN(MAX(ROUND($F383,0),1),100)),IF($E383="T",IF($M383=3,INDEX(Baseline!$B$3:$B$122,MATCH(MIN(MAX(ROUND(($F383)/5,0)*5,5),600),Baseline!$A$3:$A$122,0))-Inputs!$B$9,INDEX(Course!$N$2:$N$19,MATCH($B383,Course!$A$2:$A$19,0))),INDEX(Baseline!$B$3:$E$122,MATCH(MIN(MAX(ROUND(($F383)/5,0)*5,5),600),Baseline!$A$3:$A$122,0),MATCH($E383,Baseline!$B$2:$E$2,0))))))</f>
        <v/>
      </c>
      <c r="P383" s="17" t="str">
        <f aca="false">IF($B383="","",INDEX(Course!$N$2:$N$19,MATCH($B383,Course!$A$2:$A$19,0)))</f>
        <v/>
      </c>
      <c r="Q383" s="17" t="str">
        <f aca="false">IF($B383="","",INDEX(Course!$P$2:$P$19,MATCH($B383,Course!$A$2:$A$19,0)))</f>
        <v/>
      </c>
      <c r="R383" s="17" t="str">
        <f aca="false">IF($C383="","",IF(OR($C383="G",$C383="H"),0,IF($C383="T",1,MIN(1,MAX(0,($N383-Inputs!$B$8)/MAX($P383-Inputs!$B$8,0.01))))))</f>
        <v/>
      </c>
      <c r="S383" s="17" t="str">
        <f aca="false">IF($C383="","",IF(OR($E383="G",$E383="H"),0,IF($E383="T",1,MIN(1,MAX(0,($O383-Inputs!$B$8)/MAX($P383-Inputs!$B$8,0.01))))))</f>
        <v/>
      </c>
    </row>
    <row r="384" customFormat="false" ht="15" hidden="false" customHeight="false" outlineLevel="0" collapsed="false">
      <c r="I384" s="7" t="str">
        <f aca="false">IF($C384="","",IF($C384="G","PUTT",IF(AND($C384="T",$M384&gt;3),"OTT",IF($D384&lt;=30,"ARG","APP"))))</f>
        <v/>
      </c>
      <c r="J384" s="17" t="str">
        <f aca="false">IF($C384="","",$N384+$Q384*$R384)</f>
        <v/>
      </c>
      <c r="K384" s="17" t="str">
        <f aca="false">IF($C384="","",$O384+$Q384*$S384)</f>
        <v/>
      </c>
      <c r="L384" s="17" t="str">
        <f aca="false">IF($C384="","",$J384-$K384-1-N($G384))</f>
        <v/>
      </c>
      <c r="M384" s="7" t="str">
        <f aca="false">IF($B384="","",INDEX(Course!$B$2:$B$19,MATCH($B384,Course!$A$2:$A$19,0)))</f>
        <v/>
      </c>
      <c r="N384" s="17" t="str">
        <f aca="false">IF($C384="","",IF($C384="H",0,IF($C384="G",INDEX(Baseline!$I$3:$I$102,MIN(MAX(ROUND($D384,0),1),100)),IF($C384="T",IF($M384=3,INDEX(Baseline!$B$3:$B$122,MATCH(MIN(MAX(ROUND(($D384)/5,0)*5,5),600),Baseline!$A$3:$A$122,0))-Inputs!$B$9,INDEX(Course!$N$2:$N$19,MATCH($B384,Course!$A$2:$A$19,0))),INDEX(Baseline!$B$3:$E$122,MATCH(MIN(MAX(ROUND(($D384)/5,0)*5,5),600),Baseline!$A$3:$A$122,0),MATCH($C384,Baseline!$B$2:$E$2,0))))))</f>
        <v/>
      </c>
      <c r="O384" s="17" t="str">
        <f aca="false">IF($C384="","",IF($E384="H",0,IF($E384="G",INDEX(Baseline!$I$3:$I$102,MIN(MAX(ROUND($F384,0),1),100)),IF($E384="T",IF($M384=3,INDEX(Baseline!$B$3:$B$122,MATCH(MIN(MAX(ROUND(($F384)/5,0)*5,5),600),Baseline!$A$3:$A$122,0))-Inputs!$B$9,INDEX(Course!$N$2:$N$19,MATCH($B384,Course!$A$2:$A$19,0))),INDEX(Baseline!$B$3:$E$122,MATCH(MIN(MAX(ROUND(($F384)/5,0)*5,5),600),Baseline!$A$3:$A$122,0),MATCH($E384,Baseline!$B$2:$E$2,0))))))</f>
        <v/>
      </c>
      <c r="P384" s="17" t="str">
        <f aca="false">IF($B384="","",INDEX(Course!$N$2:$N$19,MATCH($B384,Course!$A$2:$A$19,0)))</f>
        <v/>
      </c>
      <c r="Q384" s="17" t="str">
        <f aca="false">IF($B384="","",INDEX(Course!$P$2:$P$19,MATCH($B384,Course!$A$2:$A$19,0)))</f>
        <v/>
      </c>
      <c r="R384" s="17" t="str">
        <f aca="false">IF($C384="","",IF(OR($C384="G",$C384="H"),0,IF($C384="T",1,MIN(1,MAX(0,($N384-Inputs!$B$8)/MAX($P384-Inputs!$B$8,0.01))))))</f>
        <v/>
      </c>
      <c r="S384" s="17" t="str">
        <f aca="false">IF($C384="","",IF(OR($E384="G",$E384="H"),0,IF($E384="T",1,MIN(1,MAX(0,($O384-Inputs!$B$8)/MAX($P384-Inputs!$B$8,0.01))))))</f>
        <v/>
      </c>
    </row>
    <row r="385" customFormat="false" ht="15" hidden="false" customHeight="false" outlineLevel="0" collapsed="false">
      <c r="I385" s="7" t="str">
        <f aca="false">IF($C385="","",IF($C385="G","PUTT",IF(AND($C385="T",$M385&gt;3),"OTT",IF($D385&lt;=30,"ARG","APP"))))</f>
        <v/>
      </c>
      <c r="J385" s="17" t="str">
        <f aca="false">IF($C385="","",$N385+$Q385*$R385)</f>
        <v/>
      </c>
      <c r="K385" s="17" t="str">
        <f aca="false">IF($C385="","",$O385+$Q385*$S385)</f>
        <v/>
      </c>
      <c r="L385" s="17" t="str">
        <f aca="false">IF($C385="","",$J385-$K385-1-N($G385))</f>
        <v/>
      </c>
      <c r="M385" s="7" t="str">
        <f aca="false">IF($B385="","",INDEX(Course!$B$2:$B$19,MATCH($B385,Course!$A$2:$A$19,0)))</f>
        <v/>
      </c>
      <c r="N385" s="17" t="str">
        <f aca="false">IF($C385="","",IF($C385="H",0,IF($C385="G",INDEX(Baseline!$I$3:$I$102,MIN(MAX(ROUND($D385,0),1),100)),IF($C385="T",IF($M385=3,INDEX(Baseline!$B$3:$B$122,MATCH(MIN(MAX(ROUND(($D385)/5,0)*5,5),600),Baseline!$A$3:$A$122,0))-Inputs!$B$9,INDEX(Course!$N$2:$N$19,MATCH($B385,Course!$A$2:$A$19,0))),INDEX(Baseline!$B$3:$E$122,MATCH(MIN(MAX(ROUND(($D385)/5,0)*5,5),600),Baseline!$A$3:$A$122,0),MATCH($C385,Baseline!$B$2:$E$2,0))))))</f>
        <v/>
      </c>
      <c r="O385" s="17" t="str">
        <f aca="false">IF($C385="","",IF($E385="H",0,IF($E385="G",INDEX(Baseline!$I$3:$I$102,MIN(MAX(ROUND($F385,0),1),100)),IF($E385="T",IF($M385=3,INDEX(Baseline!$B$3:$B$122,MATCH(MIN(MAX(ROUND(($F385)/5,0)*5,5),600),Baseline!$A$3:$A$122,0))-Inputs!$B$9,INDEX(Course!$N$2:$N$19,MATCH($B385,Course!$A$2:$A$19,0))),INDEX(Baseline!$B$3:$E$122,MATCH(MIN(MAX(ROUND(($F385)/5,0)*5,5),600),Baseline!$A$3:$A$122,0),MATCH($E385,Baseline!$B$2:$E$2,0))))))</f>
        <v/>
      </c>
      <c r="P385" s="17" t="str">
        <f aca="false">IF($B385="","",INDEX(Course!$N$2:$N$19,MATCH($B385,Course!$A$2:$A$19,0)))</f>
        <v/>
      </c>
      <c r="Q385" s="17" t="str">
        <f aca="false">IF($B385="","",INDEX(Course!$P$2:$P$19,MATCH($B385,Course!$A$2:$A$19,0)))</f>
        <v/>
      </c>
      <c r="R385" s="17" t="str">
        <f aca="false">IF($C385="","",IF(OR($C385="G",$C385="H"),0,IF($C385="T",1,MIN(1,MAX(0,($N385-Inputs!$B$8)/MAX($P385-Inputs!$B$8,0.01))))))</f>
        <v/>
      </c>
      <c r="S385" s="17" t="str">
        <f aca="false">IF($C385="","",IF(OR($E385="G",$E385="H"),0,IF($E385="T",1,MIN(1,MAX(0,($O385-Inputs!$B$8)/MAX($P385-Inputs!$B$8,0.01))))))</f>
        <v/>
      </c>
    </row>
    <row r="386" customFormat="false" ht="15" hidden="false" customHeight="false" outlineLevel="0" collapsed="false">
      <c r="I386" s="7" t="str">
        <f aca="false">IF($C386="","",IF($C386="G","PUTT",IF(AND($C386="T",$M386&gt;3),"OTT",IF($D386&lt;=30,"ARG","APP"))))</f>
        <v/>
      </c>
      <c r="J386" s="17" t="str">
        <f aca="false">IF($C386="","",$N386+$Q386*$R386)</f>
        <v/>
      </c>
      <c r="K386" s="17" t="str">
        <f aca="false">IF($C386="","",$O386+$Q386*$S386)</f>
        <v/>
      </c>
      <c r="L386" s="17" t="str">
        <f aca="false">IF($C386="","",$J386-$K386-1-N($G386))</f>
        <v/>
      </c>
      <c r="M386" s="7" t="str">
        <f aca="false">IF($B386="","",INDEX(Course!$B$2:$B$19,MATCH($B386,Course!$A$2:$A$19,0)))</f>
        <v/>
      </c>
      <c r="N386" s="17" t="str">
        <f aca="false">IF($C386="","",IF($C386="H",0,IF($C386="G",INDEX(Baseline!$I$3:$I$102,MIN(MAX(ROUND($D386,0),1),100)),IF($C386="T",IF($M386=3,INDEX(Baseline!$B$3:$B$122,MATCH(MIN(MAX(ROUND(($D386)/5,0)*5,5),600),Baseline!$A$3:$A$122,0))-Inputs!$B$9,INDEX(Course!$N$2:$N$19,MATCH($B386,Course!$A$2:$A$19,0))),INDEX(Baseline!$B$3:$E$122,MATCH(MIN(MAX(ROUND(($D386)/5,0)*5,5),600),Baseline!$A$3:$A$122,0),MATCH($C386,Baseline!$B$2:$E$2,0))))))</f>
        <v/>
      </c>
      <c r="O386" s="17" t="str">
        <f aca="false">IF($C386="","",IF($E386="H",0,IF($E386="G",INDEX(Baseline!$I$3:$I$102,MIN(MAX(ROUND($F386,0),1),100)),IF($E386="T",IF($M386=3,INDEX(Baseline!$B$3:$B$122,MATCH(MIN(MAX(ROUND(($F386)/5,0)*5,5),600),Baseline!$A$3:$A$122,0))-Inputs!$B$9,INDEX(Course!$N$2:$N$19,MATCH($B386,Course!$A$2:$A$19,0))),INDEX(Baseline!$B$3:$E$122,MATCH(MIN(MAX(ROUND(($F386)/5,0)*5,5),600),Baseline!$A$3:$A$122,0),MATCH($E386,Baseline!$B$2:$E$2,0))))))</f>
        <v/>
      </c>
      <c r="P386" s="17" t="str">
        <f aca="false">IF($B386="","",INDEX(Course!$N$2:$N$19,MATCH($B386,Course!$A$2:$A$19,0)))</f>
        <v/>
      </c>
      <c r="Q386" s="17" t="str">
        <f aca="false">IF($B386="","",INDEX(Course!$P$2:$P$19,MATCH($B386,Course!$A$2:$A$19,0)))</f>
        <v/>
      </c>
      <c r="R386" s="17" t="str">
        <f aca="false">IF($C386="","",IF(OR($C386="G",$C386="H"),0,IF($C386="T",1,MIN(1,MAX(0,($N386-Inputs!$B$8)/MAX($P386-Inputs!$B$8,0.01))))))</f>
        <v/>
      </c>
      <c r="S386" s="17" t="str">
        <f aca="false">IF($C386="","",IF(OR($E386="G",$E386="H"),0,IF($E386="T",1,MIN(1,MAX(0,($O386-Inputs!$B$8)/MAX($P386-Inputs!$B$8,0.01))))))</f>
        <v/>
      </c>
    </row>
    <row r="387" customFormat="false" ht="15" hidden="false" customHeight="false" outlineLevel="0" collapsed="false">
      <c r="I387" s="7" t="str">
        <f aca="false">IF($C387="","",IF($C387="G","PUTT",IF(AND($C387="T",$M387&gt;3),"OTT",IF($D387&lt;=30,"ARG","APP"))))</f>
        <v/>
      </c>
      <c r="J387" s="17" t="str">
        <f aca="false">IF($C387="","",$N387+$Q387*$R387)</f>
        <v/>
      </c>
      <c r="K387" s="17" t="str">
        <f aca="false">IF($C387="","",$O387+$Q387*$S387)</f>
        <v/>
      </c>
      <c r="L387" s="17" t="str">
        <f aca="false">IF($C387="","",$J387-$K387-1-N($G387))</f>
        <v/>
      </c>
      <c r="M387" s="7" t="str">
        <f aca="false">IF($B387="","",INDEX(Course!$B$2:$B$19,MATCH($B387,Course!$A$2:$A$19,0)))</f>
        <v/>
      </c>
      <c r="N387" s="17" t="str">
        <f aca="false">IF($C387="","",IF($C387="H",0,IF($C387="G",INDEX(Baseline!$I$3:$I$102,MIN(MAX(ROUND($D387,0),1),100)),IF($C387="T",IF($M387=3,INDEX(Baseline!$B$3:$B$122,MATCH(MIN(MAX(ROUND(($D387)/5,0)*5,5),600),Baseline!$A$3:$A$122,0))-Inputs!$B$9,INDEX(Course!$N$2:$N$19,MATCH($B387,Course!$A$2:$A$19,0))),INDEX(Baseline!$B$3:$E$122,MATCH(MIN(MAX(ROUND(($D387)/5,0)*5,5),600),Baseline!$A$3:$A$122,0),MATCH($C387,Baseline!$B$2:$E$2,0))))))</f>
        <v/>
      </c>
      <c r="O387" s="17" t="str">
        <f aca="false">IF($C387="","",IF($E387="H",0,IF($E387="G",INDEX(Baseline!$I$3:$I$102,MIN(MAX(ROUND($F387,0),1),100)),IF($E387="T",IF($M387=3,INDEX(Baseline!$B$3:$B$122,MATCH(MIN(MAX(ROUND(($F387)/5,0)*5,5),600),Baseline!$A$3:$A$122,0))-Inputs!$B$9,INDEX(Course!$N$2:$N$19,MATCH($B387,Course!$A$2:$A$19,0))),INDEX(Baseline!$B$3:$E$122,MATCH(MIN(MAX(ROUND(($F387)/5,0)*5,5),600),Baseline!$A$3:$A$122,0),MATCH($E387,Baseline!$B$2:$E$2,0))))))</f>
        <v/>
      </c>
      <c r="P387" s="17" t="str">
        <f aca="false">IF($B387="","",INDEX(Course!$N$2:$N$19,MATCH($B387,Course!$A$2:$A$19,0)))</f>
        <v/>
      </c>
      <c r="Q387" s="17" t="str">
        <f aca="false">IF($B387="","",INDEX(Course!$P$2:$P$19,MATCH($B387,Course!$A$2:$A$19,0)))</f>
        <v/>
      </c>
      <c r="R387" s="17" t="str">
        <f aca="false">IF($C387="","",IF(OR($C387="G",$C387="H"),0,IF($C387="T",1,MIN(1,MAX(0,($N387-Inputs!$B$8)/MAX($P387-Inputs!$B$8,0.01))))))</f>
        <v/>
      </c>
      <c r="S387" s="17" t="str">
        <f aca="false">IF($C387="","",IF(OR($E387="G",$E387="H"),0,IF($E387="T",1,MIN(1,MAX(0,($O387-Inputs!$B$8)/MAX($P387-Inputs!$B$8,0.01))))))</f>
        <v/>
      </c>
    </row>
    <row r="388" customFormat="false" ht="15" hidden="false" customHeight="false" outlineLevel="0" collapsed="false">
      <c r="I388" s="7" t="str">
        <f aca="false">IF($C388="","",IF($C388="G","PUTT",IF(AND($C388="T",$M388&gt;3),"OTT",IF($D388&lt;=30,"ARG","APP"))))</f>
        <v/>
      </c>
      <c r="J388" s="17" t="str">
        <f aca="false">IF($C388="","",$N388+$Q388*$R388)</f>
        <v/>
      </c>
      <c r="K388" s="17" t="str">
        <f aca="false">IF($C388="","",$O388+$Q388*$S388)</f>
        <v/>
      </c>
      <c r="L388" s="17" t="str">
        <f aca="false">IF($C388="","",$J388-$K388-1-N($G388))</f>
        <v/>
      </c>
      <c r="M388" s="7" t="str">
        <f aca="false">IF($B388="","",INDEX(Course!$B$2:$B$19,MATCH($B388,Course!$A$2:$A$19,0)))</f>
        <v/>
      </c>
      <c r="N388" s="17" t="str">
        <f aca="false">IF($C388="","",IF($C388="H",0,IF($C388="G",INDEX(Baseline!$I$3:$I$102,MIN(MAX(ROUND($D388,0),1),100)),IF($C388="T",IF($M388=3,INDEX(Baseline!$B$3:$B$122,MATCH(MIN(MAX(ROUND(($D388)/5,0)*5,5),600),Baseline!$A$3:$A$122,0))-Inputs!$B$9,INDEX(Course!$N$2:$N$19,MATCH($B388,Course!$A$2:$A$19,0))),INDEX(Baseline!$B$3:$E$122,MATCH(MIN(MAX(ROUND(($D388)/5,0)*5,5),600),Baseline!$A$3:$A$122,0),MATCH($C388,Baseline!$B$2:$E$2,0))))))</f>
        <v/>
      </c>
      <c r="O388" s="17" t="str">
        <f aca="false">IF($C388="","",IF($E388="H",0,IF($E388="G",INDEX(Baseline!$I$3:$I$102,MIN(MAX(ROUND($F388,0),1),100)),IF($E388="T",IF($M388=3,INDEX(Baseline!$B$3:$B$122,MATCH(MIN(MAX(ROUND(($F388)/5,0)*5,5),600),Baseline!$A$3:$A$122,0))-Inputs!$B$9,INDEX(Course!$N$2:$N$19,MATCH($B388,Course!$A$2:$A$19,0))),INDEX(Baseline!$B$3:$E$122,MATCH(MIN(MAX(ROUND(($F388)/5,0)*5,5),600),Baseline!$A$3:$A$122,0),MATCH($E388,Baseline!$B$2:$E$2,0))))))</f>
        <v/>
      </c>
      <c r="P388" s="17" t="str">
        <f aca="false">IF($B388="","",INDEX(Course!$N$2:$N$19,MATCH($B388,Course!$A$2:$A$19,0)))</f>
        <v/>
      </c>
      <c r="Q388" s="17" t="str">
        <f aca="false">IF($B388="","",INDEX(Course!$P$2:$P$19,MATCH($B388,Course!$A$2:$A$19,0)))</f>
        <v/>
      </c>
      <c r="R388" s="17" t="str">
        <f aca="false">IF($C388="","",IF(OR($C388="G",$C388="H"),0,IF($C388="T",1,MIN(1,MAX(0,($N388-Inputs!$B$8)/MAX($P388-Inputs!$B$8,0.01))))))</f>
        <v/>
      </c>
      <c r="S388" s="17" t="str">
        <f aca="false">IF($C388="","",IF(OR($E388="G",$E388="H"),0,IF($E388="T",1,MIN(1,MAX(0,($O388-Inputs!$B$8)/MAX($P388-Inputs!$B$8,0.01))))))</f>
        <v/>
      </c>
    </row>
    <row r="389" customFormat="false" ht="15" hidden="false" customHeight="false" outlineLevel="0" collapsed="false">
      <c r="I389" s="7" t="str">
        <f aca="false">IF($C389="","",IF($C389="G","PUTT",IF(AND($C389="T",$M389&gt;3),"OTT",IF($D389&lt;=30,"ARG","APP"))))</f>
        <v/>
      </c>
      <c r="J389" s="17" t="str">
        <f aca="false">IF($C389="","",$N389+$Q389*$R389)</f>
        <v/>
      </c>
      <c r="K389" s="17" t="str">
        <f aca="false">IF($C389="","",$O389+$Q389*$S389)</f>
        <v/>
      </c>
      <c r="L389" s="17" t="str">
        <f aca="false">IF($C389="","",$J389-$K389-1-N($G389))</f>
        <v/>
      </c>
      <c r="M389" s="7" t="str">
        <f aca="false">IF($B389="","",INDEX(Course!$B$2:$B$19,MATCH($B389,Course!$A$2:$A$19,0)))</f>
        <v/>
      </c>
      <c r="N389" s="17" t="str">
        <f aca="false">IF($C389="","",IF($C389="H",0,IF($C389="G",INDEX(Baseline!$I$3:$I$102,MIN(MAX(ROUND($D389,0),1),100)),IF($C389="T",IF($M389=3,INDEX(Baseline!$B$3:$B$122,MATCH(MIN(MAX(ROUND(($D389)/5,0)*5,5),600),Baseline!$A$3:$A$122,0))-Inputs!$B$9,INDEX(Course!$N$2:$N$19,MATCH($B389,Course!$A$2:$A$19,0))),INDEX(Baseline!$B$3:$E$122,MATCH(MIN(MAX(ROUND(($D389)/5,0)*5,5),600),Baseline!$A$3:$A$122,0),MATCH($C389,Baseline!$B$2:$E$2,0))))))</f>
        <v/>
      </c>
      <c r="O389" s="17" t="str">
        <f aca="false">IF($C389="","",IF($E389="H",0,IF($E389="G",INDEX(Baseline!$I$3:$I$102,MIN(MAX(ROUND($F389,0),1),100)),IF($E389="T",IF($M389=3,INDEX(Baseline!$B$3:$B$122,MATCH(MIN(MAX(ROUND(($F389)/5,0)*5,5),600),Baseline!$A$3:$A$122,0))-Inputs!$B$9,INDEX(Course!$N$2:$N$19,MATCH($B389,Course!$A$2:$A$19,0))),INDEX(Baseline!$B$3:$E$122,MATCH(MIN(MAX(ROUND(($F389)/5,0)*5,5),600),Baseline!$A$3:$A$122,0),MATCH($E389,Baseline!$B$2:$E$2,0))))))</f>
        <v/>
      </c>
      <c r="P389" s="17" t="str">
        <f aca="false">IF($B389="","",INDEX(Course!$N$2:$N$19,MATCH($B389,Course!$A$2:$A$19,0)))</f>
        <v/>
      </c>
      <c r="Q389" s="17" t="str">
        <f aca="false">IF($B389="","",INDEX(Course!$P$2:$P$19,MATCH($B389,Course!$A$2:$A$19,0)))</f>
        <v/>
      </c>
      <c r="R389" s="17" t="str">
        <f aca="false">IF($C389="","",IF(OR($C389="G",$C389="H"),0,IF($C389="T",1,MIN(1,MAX(0,($N389-Inputs!$B$8)/MAX($P389-Inputs!$B$8,0.01))))))</f>
        <v/>
      </c>
      <c r="S389" s="17" t="str">
        <f aca="false">IF($C389="","",IF(OR($E389="G",$E389="H"),0,IF($E389="T",1,MIN(1,MAX(0,($O389-Inputs!$B$8)/MAX($P389-Inputs!$B$8,0.01))))))</f>
        <v/>
      </c>
    </row>
    <row r="390" customFormat="false" ht="15" hidden="false" customHeight="false" outlineLevel="0" collapsed="false">
      <c r="I390" s="7" t="str">
        <f aca="false">IF($C390="","",IF($C390="G","PUTT",IF(AND($C390="T",$M390&gt;3),"OTT",IF($D390&lt;=30,"ARG","APP"))))</f>
        <v/>
      </c>
      <c r="J390" s="17" t="str">
        <f aca="false">IF($C390="","",$N390+$Q390*$R390)</f>
        <v/>
      </c>
      <c r="K390" s="17" t="str">
        <f aca="false">IF($C390="","",$O390+$Q390*$S390)</f>
        <v/>
      </c>
      <c r="L390" s="17" t="str">
        <f aca="false">IF($C390="","",$J390-$K390-1-N($G390))</f>
        <v/>
      </c>
      <c r="M390" s="7" t="str">
        <f aca="false">IF($B390="","",INDEX(Course!$B$2:$B$19,MATCH($B390,Course!$A$2:$A$19,0)))</f>
        <v/>
      </c>
      <c r="N390" s="17" t="str">
        <f aca="false">IF($C390="","",IF($C390="H",0,IF($C390="G",INDEX(Baseline!$I$3:$I$102,MIN(MAX(ROUND($D390,0),1),100)),IF($C390="T",IF($M390=3,INDEX(Baseline!$B$3:$B$122,MATCH(MIN(MAX(ROUND(($D390)/5,0)*5,5),600),Baseline!$A$3:$A$122,0))-Inputs!$B$9,INDEX(Course!$N$2:$N$19,MATCH($B390,Course!$A$2:$A$19,0))),INDEX(Baseline!$B$3:$E$122,MATCH(MIN(MAX(ROUND(($D390)/5,0)*5,5),600),Baseline!$A$3:$A$122,0),MATCH($C390,Baseline!$B$2:$E$2,0))))))</f>
        <v/>
      </c>
      <c r="O390" s="17" t="str">
        <f aca="false">IF($C390="","",IF($E390="H",0,IF($E390="G",INDEX(Baseline!$I$3:$I$102,MIN(MAX(ROUND($F390,0),1),100)),IF($E390="T",IF($M390=3,INDEX(Baseline!$B$3:$B$122,MATCH(MIN(MAX(ROUND(($F390)/5,0)*5,5),600),Baseline!$A$3:$A$122,0))-Inputs!$B$9,INDEX(Course!$N$2:$N$19,MATCH($B390,Course!$A$2:$A$19,0))),INDEX(Baseline!$B$3:$E$122,MATCH(MIN(MAX(ROUND(($F390)/5,0)*5,5),600),Baseline!$A$3:$A$122,0),MATCH($E390,Baseline!$B$2:$E$2,0))))))</f>
        <v/>
      </c>
      <c r="P390" s="17" t="str">
        <f aca="false">IF($B390="","",INDEX(Course!$N$2:$N$19,MATCH($B390,Course!$A$2:$A$19,0)))</f>
        <v/>
      </c>
      <c r="Q390" s="17" t="str">
        <f aca="false">IF($B390="","",INDEX(Course!$P$2:$P$19,MATCH($B390,Course!$A$2:$A$19,0)))</f>
        <v/>
      </c>
      <c r="R390" s="17" t="str">
        <f aca="false">IF($C390="","",IF(OR($C390="G",$C390="H"),0,IF($C390="T",1,MIN(1,MAX(0,($N390-Inputs!$B$8)/MAX($P390-Inputs!$B$8,0.01))))))</f>
        <v/>
      </c>
      <c r="S390" s="17" t="str">
        <f aca="false">IF($C390="","",IF(OR($E390="G",$E390="H"),0,IF($E390="T",1,MIN(1,MAX(0,($O390-Inputs!$B$8)/MAX($P390-Inputs!$B$8,0.01))))))</f>
        <v/>
      </c>
    </row>
    <row r="391" customFormat="false" ht="15" hidden="false" customHeight="false" outlineLevel="0" collapsed="false">
      <c r="I391" s="7" t="str">
        <f aca="false">IF($C391="","",IF($C391="G","PUTT",IF(AND($C391="T",$M391&gt;3),"OTT",IF($D391&lt;=30,"ARG","APP"))))</f>
        <v/>
      </c>
      <c r="J391" s="17" t="str">
        <f aca="false">IF($C391="","",$N391+$Q391*$R391)</f>
        <v/>
      </c>
      <c r="K391" s="17" t="str">
        <f aca="false">IF($C391="","",$O391+$Q391*$S391)</f>
        <v/>
      </c>
      <c r="L391" s="17" t="str">
        <f aca="false">IF($C391="","",$J391-$K391-1-N($G391))</f>
        <v/>
      </c>
      <c r="M391" s="7" t="str">
        <f aca="false">IF($B391="","",INDEX(Course!$B$2:$B$19,MATCH($B391,Course!$A$2:$A$19,0)))</f>
        <v/>
      </c>
      <c r="N391" s="17" t="str">
        <f aca="false">IF($C391="","",IF($C391="H",0,IF($C391="G",INDEX(Baseline!$I$3:$I$102,MIN(MAX(ROUND($D391,0),1),100)),IF($C391="T",IF($M391=3,INDEX(Baseline!$B$3:$B$122,MATCH(MIN(MAX(ROUND(($D391)/5,0)*5,5),600),Baseline!$A$3:$A$122,0))-Inputs!$B$9,INDEX(Course!$N$2:$N$19,MATCH($B391,Course!$A$2:$A$19,0))),INDEX(Baseline!$B$3:$E$122,MATCH(MIN(MAX(ROUND(($D391)/5,0)*5,5),600),Baseline!$A$3:$A$122,0),MATCH($C391,Baseline!$B$2:$E$2,0))))))</f>
        <v/>
      </c>
      <c r="O391" s="17" t="str">
        <f aca="false">IF($C391="","",IF($E391="H",0,IF($E391="G",INDEX(Baseline!$I$3:$I$102,MIN(MAX(ROUND($F391,0),1),100)),IF($E391="T",IF($M391=3,INDEX(Baseline!$B$3:$B$122,MATCH(MIN(MAX(ROUND(($F391)/5,0)*5,5),600),Baseline!$A$3:$A$122,0))-Inputs!$B$9,INDEX(Course!$N$2:$N$19,MATCH($B391,Course!$A$2:$A$19,0))),INDEX(Baseline!$B$3:$E$122,MATCH(MIN(MAX(ROUND(($F391)/5,0)*5,5),600),Baseline!$A$3:$A$122,0),MATCH($E391,Baseline!$B$2:$E$2,0))))))</f>
        <v/>
      </c>
      <c r="P391" s="17" t="str">
        <f aca="false">IF($B391="","",INDEX(Course!$N$2:$N$19,MATCH($B391,Course!$A$2:$A$19,0)))</f>
        <v/>
      </c>
      <c r="Q391" s="17" t="str">
        <f aca="false">IF($B391="","",INDEX(Course!$P$2:$P$19,MATCH($B391,Course!$A$2:$A$19,0)))</f>
        <v/>
      </c>
      <c r="R391" s="17" t="str">
        <f aca="false">IF($C391="","",IF(OR($C391="G",$C391="H"),0,IF($C391="T",1,MIN(1,MAX(0,($N391-Inputs!$B$8)/MAX($P391-Inputs!$B$8,0.01))))))</f>
        <v/>
      </c>
      <c r="S391" s="17" t="str">
        <f aca="false">IF($C391="","",IF(OR($E391="G",$E391="H"),0,IF($E391="T",1,MIN(1,MAX(0,($O391-Inputs!$B$8)/MAX($P391-Inputs!$B$8,0.01))))))</f>
        <v/>
      </c>
    </row>
    <row r="392" customFormat="false" ht="15" hidden="false" customHeight="false" outlineLevel="0" collapsed="false">
      <c r="I392" s="7" t="str">
        <f aca="false">IF($C392="","",IF($C392="G","PUTT",IF(AND($C392="T",$M392&gt;3),"OTT",IF($D392&lt;=30,"ARG","APP"))))</f>
        <v/>
      </c>
      <c r="J392" s="17" t="str">
        <f aca="false">IF($C392="","",$N392+$Q392*$R392)</f>
        <v/>
      </c>
      <c r="K392" s="17" t="str">
        <f aca="false">IF($C392="","",$O392+$Q392*$S392)</f>
        <v/>
      </c>
      <c r="L392" s="17" t="str">
        <f aca="false">IF($C392="","",$J392-$K392-1-N($G392))</f>
        <v/>
      </c>
      <c r="M392" s="7" t="str">
        <f aca="false">IF($B392="","",INDEX(Course!$B$2:$B$19,MATCH($B392,Course!$A$2:$A$19,0)))</f>
        <v/>
      </c>
      <c r="N392" s="17" t="str">
        <f aca="false">IF($C392="","",IF($C392="H",0,IF($C392="G",INDEX(Baseline!$I$3:$I$102,MIN(MAX(ROUND($D392,0),1),100)),IF($C392="T",IF($M392=3,INDEX(Baseline!$B$3:$B$122,MATCH(MIN(MAX(ROUND(($D392)/5,0)*5,5),600),Baseline!$A$3:$A$122,0))-Inputs!$B$9,INDEX(Course!$N$2:$N$19,MATCH($B392,Course!$A$2:$A$19,0))),INDEX(Baseline!$B$3:$E$122,MATCH(MIN(MAX(ROUND(($D392)/5,0)*5,5),600),Baseline!$A$3:$A$122,0),MATCH($C392,Baseline!$B$2:$E$2,0))))))</f>
        <v/>
      </c>
      <c r="O392" s="17" t="str">
        <f aca="false">IF($C392="","",IF($E392="H",0,IF($E392="G",INDEX(Baseline!$I$3:$I$102,MIN(MAX(ROUND($F392,0),1),100)),IF($E392="T",IF($M392=3,INDEX(Baseline!$B$3:$B$122,MATCH(MIN(MAX(ROUND(($F392)/5,0)*5,5),600),Baseline!$A$3:$A$122,0))-Inputs!$B$9,INDEX(Course!$N$2:$N$19,MATCH($B392,Course!$A$2:$A$19,0))),INDEX(Baseline!$B$3:$E$122,MATCH(MIN(MAX(ROUND(($F392)/5,0)*5,5),600),Baseline!$A$3:$A$122,0),MATCH($E392,Baseline!$B$2:$E$2,0))))))</f>
        <v/>
      </c>
      <c r="P392" s="17" t="str">
        <f aca="false">IF($B392="","",INDEX(Course!$N$2:$N$19,MATCH($B392,Course!$A$2:$A$19,0)))</f>
        <v/>
      </c>
      <c r="Q392" s="17" t="str">
        <f aca="false">IF($B392="","",INDEX(Course!$P$2:$P$19,MATCH($B392,Course!$A$2:$A$19,0)))</f>
        <v/>
      </c>
      <c r="R392" s="17" t="str">
        <f aca="false">IF($C392="","",IF(OR($C392="G",$C392="H"),0,IF($C392="T",1,MIN(1,MAX(0,($N392-Inputs!$B$8)/MAX($P392-Inputs!$B$8,0.01))))))</f>
        <v/>
      </c>
      <c r="S392" s="17" t="str">
        <f aca="false">IF($C392="","",IF(OR($E392="G",$E392="H"),0,IF($E392="T",1,MIN(1,MAX(0,($O392-Inputs!$B$8)/MAX($P392-Inputs!$B$8,0.01))))))</f>
        <v/>
      </c>
    </row>
    <row r="393" customFormat="false" ht="15" hidden="false" customHeight="false" outlineLevel="0" collapsed="false">
      <c r="I393" s="7" t="str">
        <f aca="false">IF($C393="","",IF($C393="G","PUTT",IF(AND($C393="T",$M393&gt;3),"OTT",IF($D393&lt;=30,"ARG","APP"))))</f>
        <v/>
      </c>
      <c r="J393" s="17" t="str">
        <f aca="false">IF($C393="","",$N393+$Q393*$R393)</f>
        <v/>
      </c>
      <c r="K393" s="17" t="str">
        <f aca="false">IF($C393="","",$O393+$Q393*$S393)</f>
        <v/>
      </c>
      <c r="L393" s="17" t="str">
        <f aca="false">IF($C393="","",$J393-$K393-1-N($G393))</f>
        <v/>
      </c>
      <c r="M393" s="7" t="str">
        <f aca="false">IF($B393="","",INDEX(Course!$B$2:$B$19,MATCH($B393,Course!$A$2:$A$19,0)))</f>
        <v/>
      </c>
      <c r="N393" s="17" t="str">
        <f aca="false">IF($C393="","",IF($C393="H",0,IF($C393="G",INDEX(Baseline!$I$3:$I$102,MIN(MAX(ROUND($D393,0),1),100)),IF($C393="T",IF($M393=3,INDEX(Baseline!$B$3:$B$122,MATCH(MIN(MAX(ROUND(($D393)/5,0)*5,5),600),Baseline!$A$3:$A$122,0))-Inputs!$B$9,INDEX(Course!$N$2:$N$19,MATCH($B393,Course!$A$2:$A$19,0))),INDEX(Baseline!$B$3:$E$122,MATCH(MIN(MAX(ROUND(($D393)/5,0)*5,5),600),Baseline!$A$3:$A$122,0),MATCH($C393,Baseline!$B$2:$E$2,0))))))</f>
        <v/>
      </c>
      <c r="O393" s="17" t="str">
        <f aca="false">IF($C393="","",IF($E393="H",0,IF($E393="G",INDEX(Baseline!$I$3:$I$102,MIN(MAX(ROUND($F393,0),1),100)),IF($E393="T",IF($M393=3,INDEX(Baseline!$B$3:$B$122,MATCH(MIN(MAX(ROUND(($F393)/5,0)*5,5),600),Baseline!$A$3:$A$122,0))-Inputs!$B$9,INDEX(Course!$N$2:$N$19,MATCH($B393,Course!$A$2:$A$19,0))),INDEX(Baseline!$B$3:$E$122,MATCH(MIN(MAX(ROUND(($F393)/5,0)*5,5),600),Baseline!$A$3:$A$122,0),MATCH($E393,Baseline!$B$2:$E$2,0))))))</f>
        <v/>
      </c>
      <c r="P393" s="17" t="str">
        <f aca="false">IF($B393="","",INDEX(Course!$N$2:$N$19,MATCH($B393,Course!$A$2:$A$19,0)))</f>
        <v/>
      </c>
      <c r="Q393" s="17" t="str">
        <f aca="false">IF($B393="","",INDEX(Course!$P$2:$P$19,MATCH($B393,Course!$A$2:$A$19,0)))</f>
        <v/>
      </c>
      <c r="R393" s="17" t="str">
        <f aca="false">IF($C393="","",IF(OR($C393="G",$C393="H"),0,IF($C393="T",1,MIN(1,MAX(0,($N393-Inputs!$B$8)/MAX($P393-Inputs!$B$8,0.01))))))</f>
        <v/>
      </c>
      <c r="S393" s="17" t="str">
        <f aca="false">IF($C393="","",IF(OR($E393="G",$E393="H"),0,IF($E393="T",1,MIN(1,MAX(0,($O393-Inputs!$B$8)/MAX($P393-Inputs!$B$8,0.01))))))</f>
        <v/>
      </c>
    </row>
    <row r="394" customFormat="false" ht="15" hidden="false" customHeight="false" outlineLevel="0" collapsed="false">
      <c r="I394" s="7" t="str">
        <f aca="false">IF($C394="","",IF($C394="G","PUTT",IF(AND($C394="T",$M394&gt;3),"OTT",IF($D394&lt;=30,"ARG","APP"))))</f>
        <v/>
      </c>
      <c r="J394" s="17" t="str">
        <f aca="false">IF($C394="","",$N394+$Q394*$R394)</f>
        <v/>
      </c>
      <c r="K394" s="17" t="str">
        <f aca="false">IF($C394="","",$O394+$Q394*$S394)</f>
        <v/>
      </c>
      <c r="L394" s="17" t="str">
        <f aca="false">IF($C394="","",$J394-$K394-1-N($G394))</f>
        <v/>
      </c>
      <c r="M394" s="7" t="str">
        <f aca="false">IF($B394="","",INDEX(Course!$B$2:$B$19,MATCH($B394,Course!$A$2:$A$19,0)))</f>
        <v/>
      </c>
      <c r="N394" s="17" t="str">
        <f aca="false">IF($C394="","",IF($C394="H",0,IF($C394="G",INDEX(Baseline!$I$3:$I$102,MIN(MAX(ROUND($D394,0),1),100)),IF($C394="T",IF($M394=3,INDEX(Baseline!$B$3:$B$122,MATCH(MIN(MAX(ROUND(($D394)/5,0)*5,5),600),Baseline!$A$3:$A$122,0))-Inputs!$B$9,INDEX(Course!$N$2:$N$19,MATCH($B394,Course!$A$2:$A$19,0))),INDEX(Baseline!$B$3:$E$122,MATCH(MIN(MAX(ROUND(($D394)/5,0)*5,5),600),Baseline!$A$3:$A$122,0),MATCH($C394,Baseline!$B$2:$E$2,0))))))</f>
        <v/>
      </c>
      <c r="O394" s="17" t="str">
        <f aca="false">IF($C394="","",IF($E394="H",0,IF($E394="G",INDEX(Baseline!$I$3:$I$102,MIN(MAX(ROUND($F394,0),1),100)),IF($E394="T",IF($M394=3,INDEX(Baseline!$B$3:$B$122,MATCH(MIN(MAX(ROUND(($F394)/5,0)*5,5),600),Baseline!$A$3:$A$122,0))-Inputs!$B$9,INDEX(Course!$N$2:$N$19,MATCH($B394,Course!$A$2:$A$19,0))),INDEX(Baseline!$B$3:$E$122,MATCH(MIN(MAX(ROUND(($F394)/5,0)*5,5),600),Baseline!$A$3:$A$122,0),MATCH($E394,Baseline!$B$2:$E$2,0))))))</f>
        <v/>
      </c>
      <c r="P394" s="17" t="str">
        <f aca="false">IF($B394="","",INDEX(Course!$N$2:$N$19,MATCH($B394,Course!$A$2:$A$19,0)))</f>
        <v/>
      </c>
      <c r="Q394" s="17" t="str">
        <f aca="false">IF($B394="","",INDEX(Course!$P$2:$P$19,MATCH($B394,Course!$A$2:$A$19,0)))</f>
        <v/>
      </c>
      <c r="R394" s="17" t="str">
        <f aca="false">IF($C394="","",IF(OR($C394="G",$C394="H"),0,IF($C394="T",1,MIN(1,MAX(0,($N394-Inputs!$B$8)/MAX($P394-Inputs!$B$8,0.01))))))</f>
        <v/>
      </c>
      <c r="S394" s="17" t="str">
        <f aca="false">IF($C394="","",IF(OR($E394="G",$E394="H"),0,IF($E394="T",1,MIN(1,MAX(0,($O394-Inputs!$B$8)/MAX($P394-Inputs!$B$8,0.01))))))</f>
        <v/>
      </c>
    </row>
    <row r="395" customFormat="false" ht="15" hidden="false" customHeight="false" outlineLevel="0" collapsed="false">
      <c r="I395" s="7" t="str">
        <f aca="false">IF($C395="","",IF($C395="G","PUTT",IF(AND($C395="T",$M395&gt;3),"OTT",IF($D395&lt;=30,"ARG","APP"))))</f>
        <v/>
      </c>
      <c r="J395" s="17" t="str">
        <f aca="false">IF($C395="","",$N395+$Q395*$R395)</f>
        <v/>
      </c>
      <c r="K395" s="17" t="str">
        <f aca="false">IF($C395="","",$O395+$Q395*$S395)</f>
        <v/>
      </c>
      <c r="L395" s="17" t="str">
        <f aca="false">IF($C395="","",$J395-$K395-1-N($G395))</f>
        <v/>
      </c>
      <c r="M395" s="7" t="str">
        <f aca="false">IF($B395="","",INDEX(Course!$B$2:$B$19,MATCH($B395,Course!$A$2:$A$19,0)))</f>
        <v/>
      </c>
      <c r="N395" s="17" t="str">
        <f aca="false">IF($C395="","",IF($C395="H",0,IF($C395="G",INDEX(Baseline!$I$3:$I$102,MIN(MAX(ROUND($D395,0),1),100)),IF($C395="T",IF($M395=3,INDEX(Baseline!$B$3:$B$122,MATCH(MIN(MAX(ROUND(($D395)/5,0)*5,5),600),Baseline!$A$3:$A$122,0))-Inputs!$B$9,INDEX(Course!$N$2:$N$19,MATCH($B395,Course!$A$2:$A$19,0))),INDEX(Baseline!$B$3:$E$122,MATCH(MIN(MAX(ROUND(($D395)/5,0)*5,5),600),Baseline!$A$3:$A$122,0),MATCH($C395,Baseline!$B$2:$E$2,0))))))</f>
        <v/>
      </c>
      <c r="O395" s="17" t="str">
        <f aca="false">IF($C395="","",IF($E395="H",0,IF($E395="G",INDEX(Baseline!$I$3:$I$102,MIN(MAX(ROUND($F395,0),1),100)),IF($E395="T",IF($M395=3,INDEX(Baseline!$B$3:$B$122,MATCH(MIN(MAX(ROUND(($F395)/5,0)*5,5),600),Baseline!$A$3:$A$122,0))-Inputs!$B$9,INDEX(Course!$N$2:$N$19,MATCH($B395,Course!$A$2:$A$19,0))),INDEX(Baseline!$B$3:$E$122,MATCH(MIN(MAX(ROUND(($F395)/5,0)*5,5),600),Baseline!$A$3:$A$122,0),MATCH($E395,Baseline!$B$2:$E$2,0))))))</f>
        <v/>
      </c>
      <c r="P395" s="17" t="str">
        <f aca="false">IF($B395="","",INDEX(Course!$N$2:$N$19,MATCH($B395,Course!$A$2:$A$19,0)))</f>
        <v/>
      </c>
      <c r="Q395" s="17" t="str">
        <f aca="false">IF($B395="","",INDEX(Course!$P$2:$P$19,MATCH($B395,Course!$A$2:$A$19,0)))</f>
        <v/>
      </c>
      <c r="R395" s="17" t="str">
        <f aca="false">IF($C395="","",IF(OR($C395="G",$C395="H"),0,IF($C395="T",1,MIN(1,MAX(0,($N395-Inputs!$B$8)/MAX($P395-Inputs!$B$8,0.01))))))</f>
        <v/>
      </c>
      <c r="S395" s="17" t="str">
        <f aca="false">IF($C395="","",IF(OR($E395="G",$E395="H"),0,IF($E395="T",1,MIN(1,MAX(0,($O395-Inputs!$B$8)/MAX($P395-Inputs!$B$8,0.01))))))</f>
        <v/>
      </c>
    </row>
    <row r="396" customFormat="false" ht="15" hidden="false" customHeight="false" outlineLevel="0" collapsed="false">
      <c r="I396" s="7" t="str">
        <f aca="false">IF($C396="","",IF($C396="G","PUTT",IF(AND($C396="T",$M396&gt;3),"OTT",IF($D396&lt;=30,"ARG","APP"))))</f>
        <v/>
      </c>
      <c r="J396" s="17" t="str">
        <f aca="false">IF($C396="","",$N396+$Q396*$R396)</f>
        <v/>
      </c>
      <c r="K396" s="17" t="str">
        <f aca="false">IF($C396="","",$O396+$Q396*$S396)</f>
        <v/>
      </c>
      <c r="L396" s="17" t="str">
        <f aca="false">IF($C396="","",$J396-$K396-1-N($G396))</f>
        <v/>
      </c>
      <c r="M396" s="7" t="str">
        <f aca="false">IF($B396="","",INDEX(Course!$B$2:$B$19,MATCH($B396,Course!$A$2:$A$19,0)))</f>
        <v/>
      </c>
      <c r="N396" s="17" t="str">
        <f aca="false">IF($C396="","",IF($C396="H",0,IF($C396="G",INDEX(Baseline!$I$3:$I$102,MIN(MAX(ROUND($D396,0),1),100)),IF($C396="T",IF($M396=3,INDEX(Baseline!$B$3:$B$122,MATCH(MIN(MAX(ROUND(($D396)/5,0)*5,5),600),Baseline!$A$3:$A$122,0))-Inputs!$B$9,INDEX(Course!$N$2:$N$19,MATCH($B396,Course!$A$2:$A$19,0))),INDEX(Baseline!$B$3:$E$122,MATCH(MIN(MAX(ROUND(($D396)/5,0)*5,5),600),Baseline!$A$3:$A$122,0),MATCH($C396,Baseline!$B$2:$E$2,0))))))</f>
        <v/>
      </c>
      <c r="O396" s="17" t="str">
        <f aca="false">IF($C396="","",IF($E396="H",0,IF($E396="G",INDEX(Baseline!$I$3:$I$102,MIN(MAX(ROUND($F396,0),1),100)),IF($E396="T",IF($M396=3,INDEX(Baseline!$B$3:$B$122,MATCH(MIN(MAX(ROUND(($F396)/5,0)*5,5),600),Baseline!$A$3:$A$122,0))-Inputs!$B$9,INDEX(Course!$N$2:$N$19,MATCH($B396,Course!$A$2:$A$19,0))),INDEX(Baseline!$B$3:$E$122,MATCH(MIN(MAX(ROUND(($F396)/5,0)*5,5),600),Baseline!$A$3:$A$122,0),MATCH($E396,Baseline!$B$2:$E$2,0))))))</f>
        <v/>
      </c>
      <c r="P396" s="17" t="str">
        <f aca="false">IF($B396="","",INDEX(Course!$N$2:$N$19,MATCH($B396,Course!$A$2:$A$19,0)))</f>
        <v/>
      </c>
      <c r="Q396" s="17" t="str">
        <f aca="false">IF($B396="","",INDEX(Course!$P$2:$P$19,MATCH($B396,Course!$A$2:$A$19,0)))</f>
        <v/>
      </c>
      <c r="R396" s="17" t="str">
        <f aca="false">IF($C396="","",IF(OR($C396="G",$C396="H"),0,IF($C396="T",1,MIN(1,MAX(0,($N396-Inputs!$B$8)/MAX($P396-Inputs!$B$8,0.01))))))</f>
        <v/>
      </c>
      <c r="S396" s="17" t="str">
        <f aca="false">IF($C396="","",IF(OR($E396="G",$E396="H"),0,IF($E396="T",1,MIN(1,MAX(0,($O396-Inputs!$B$8)/MAX($P396-Inputs!$B$8,0.01))))))</f>
        <v/>
      </c>
    </row>
    <row r="397" customFormat="false" ht="15" hidden="false" customHeight="false" outlineLevel="0" collapsed="false">
      <c r="I397" s="7" t="str">
        <f aca="false">IF($C397="","",IF($C397="G","PUTT",IF(AND($C397="T",$M397&gt;3),"OTT",IF($D397&lt;=30,"ARG","APP"))))</f>
        <v/>
      </c>
      <c r="J397" s="17" t="str">
        <f aca="false">IF($C397="","",$N397+$Q397*$R397)</f>
        <v/>
      </c>
      <c r="K397" s="17" t="str">
        <f aca="false">IF($C397="","",$O397+$Q397*$S397)</f>
        <v/>
      </c>
      <c r="L397" s="17" t="str">
        <f aca="false">IF($C397="","",$J397-$K397-1-N($G397))</f>
        <v/>
      </c>
      <c r="M397" s="7" t="str">
        <f aca="false">IF($B397="","",INDEX(Course!$B$2:$B$19,MATCH($B397,Course!$A$2:$A$19,0)))</f>
        <v/>
      </c>
      <c r="N397" s="17" t="str">
        <f aca="false">IF($C397="","",IF($C397="H",0,IF($C397="G",INDEX(Baseline!$I$3:$I$102,MIN(MAX(ROUND($D397,0),1),100)),IF($C397="T",IF($M397=3,INDEX(Baseline!$B$3:$B$122,MATCH(MIN(MAX(ROUND(($D397)/5,0)*5,5),600),Baseline!$A$3:$A$122,0))-Inputs!$B$9,INDEX(Course!$N$2:$N$19,MATCH($B397,Course!$A$2:$A$19,0))),INDEX(Baseline!$B$3:$E$122,MATCH(MIN(MAX(ROUND(($D397)/5,0)*5,5),600),Baseline!$A$3:$A$122,0),MATCH($C397,Baseline!$B$2:$E$2,0))))))</f>
        <v/>
      </c>
      <c r="O397" s="17" t="str">
        <f aca="false">IF($C397="","",IF($E397="H",0,IF($E397="G",INDEX(Baseline!$I$3:$I$102,MIN(MAX(ROUND($F397,0),1),100)),IF($E397="T",IF($M397=3,INDEX(Baseline!$B$3:$B$122,MATCH(MIN(MAX(ROUND(($F397)/5,0)*5,5),600),Baseline!$A$3:$A$122,0))-Inputs!$B$9,INDEX(Course!$N$2:$N$19,MATCH($B397,Course!$A$2:$A$19,0))),INDEX(Baseline!$B$3:$E$122,MATCH(MIN(MAX(ROUND(($F397)/5,0)*5,5),600),Baseline!$A$3:$A$122,0),MATCH($E397,Baseline!$B$2:$E$2,0))))))</f>
        <v/>
      </c>
      <c r="P397" s="17" t="str">
        <f aca="false">IF($B397="","",INDEX(Course!$N$2:$N$19,MATCH($B397,Course!$A$2:$A$19,0)))</f>
        <v/>
      </c>
      <c r="Q397" s="17" t="str">
        <f aca="false">IF($B397="","",INDEX(Course!$P$2:$P$19,MATCH($B397,Course!$A$2:$A$19,0)))</f>
        <v/>
      </c>
      <c r="R397" s="17" t="str">
        <f aca="false">IF($C397="","",IF(OR($C397="G",$C397="H"),0,IF($C397="T",1,MIN(1,MAX(0,($N397-Inputs!$B$8)/MAX($P397-Inputs!$B$8,0.01))))))</f>
        <v/>
      </c>
      <c r="S397" s="17" t="str">
        <f aca="false">IF($C397="","",IF(OR($E397="G",$E397="H"),0,IF($E397="T",1,MIN(1,MAX(0,($O397-Inputs!$B$8)/MAX($P397-Inputs!$B$8,0.01))))))</f>
        <v/>
      </c>
    </row>
    <row r="398" customFormat="false" ht="15" hidden="false" customHeight="false" outlineLevel="0" collapsed="false">
      <c r="I398" s="7" t="str">
        <f aca="false">IF($C398="","",IF($C398="G","PUTT",IF(AND($C398="T",$M398&gt;3),"OTT",IF($D398&lt;=30,"ARG","APP"))))</f>
        <v/>
      </c>
      <c r="J398" s="17" t="str">
        <f aca="false">IF($C398="","",$N398+$Q398*$R398)</f>
        <v/>
      </c>
      <c r="K398" s="17" t="str">
        <f aca="false">IF($C398="","",$O398+$Q398*$S398)</f>
        <v/>
      </c>
      <c r="L398" s="17" t="str">
        <f aca="false">IF($C398="","",$J398-$K398-1-N($G398))</f>
        <v/>
      </c>
      <c r="M398" s="7" t="str">
        <f aca="false">IF($B398="","",INDEX(Course!$B$2:$B$19,MATCH($B398,Course!$A$2:$A$19,0)))</f>
        <v/>
      </c>
      <c r="N398" s="17" t="str">
        <f aca="false">IF($C398="","",IF($C398="H",0,IF($C398="G",INDEX(Baseline!$I$3:$I$102,MIN(MAX(ROUND($D398,0),1),100)),IF($C398="T",IF($M398=3,INDEX(Baseline!$B$3:$B$122,MATCH(MIN(MAX(ROUND(($D398)/5,0)*5,5),600),Baseline!$A$3:$A$122,0))-Inputs!$B$9,INDEX(Course!$N$2:$N$19,MATCH($B398,Course!$A$2:$A$19,0))),INDEX(Baseline!$B$3:$E$122,MATCH(MIN(MAX(ROUND(($D398)/5,0)*5,5),600),Baseline!$A$3:$A$122,0),MATCH($C398,Baseline!$B$2:$E$2,0))))))</f>
        <v/>
      </c>
      <c r="O398" s="17" t="str">
        <f aca="false">IF($C398="","",IF($E398="H",0,IF($E398="G",INDEX(Baseline!$I$3:$I$102,MIN(MAX(ROUND($F398,0),1),100)),IF($E398="T",IF($M398=3,INDEX(Baseline!$B$3:$B$122,MATCH(MIN(MAX(ROUND(($F398)/5,0)*5,5),600),Baseline!$A$3:$A$122,0))-Inputs!$B$9,INDEX(Course!$N$2:$N$19,MATCH($B398,Course!$A$2:$A$19,0))),INDEX(Baseline!$B$3:$E$122,MATCH(MIN(MAX(ROUND(($F398)/5,0)*5,5),600),Baseline!$A$3:$A$122,0),MATCH($E398,Baseline!$B$2:$E$2,0))))))</f>
        <v/>
      </c>
      <c r="P398" s="17" t="str">
        <f aca="false">IF($B398="","",INDEX(Course!$N$2:$N$19,MATCH($B398,Course!$A$2:$A$19,0)))</f>
        <v/>
      </c>
      <c r="Q398" s="17" t="str">
        <f aca="false">IF($B398="","",INDEX(Course!$P$2:$P$19,MATCH($B398,Course!$A$2:$A$19,0)))</f>
        <v/>
      </c>
      <c r="R398" s="17" t="str">
        <f aca="false">IF($C398="","",IF(OR($C398="G",$C398="H"),0,IF($C398="T",1,MIN(1,MAX(0,($N398-Inputs!$B$8)/MAX($P398-Inputs!$B$8,0.01))))))</f>
        <v/>
      </c>
      <c r="S398" s="17" t="str">
        <f aca="false">IF($C398="","",IF(OR($E398="G",$E398="H"),0,IF($E398="T",1,MIN(1,MAX(0,($O398-Inputs!$B$8)/MAX($P398-Inputs!$B$8,0.01))))))</f>
        <v/>
      </c>
    </row>
    <row r="399" customFormat="false" ht="15" hidden="false" customHeight="false" outlineLevel="0" collapsed="false">
      <c r="I399" s="7" t="str">
        <f aca="false">IF($C399="","",IF($C399="G","PUTT",IF(AND($C399="T",$M399&gt;3),"OTT",IF($D399&lt;=30,"ARG","APP"))))</f>
        <v/>
      </c>
      <c r="J399" s="17" t="str">
        <f aca="false">IF($C399="","",$N399+$Q399*$R399)</f>
        <v/>
      </c>
      <c r="K399" s="17" t="str">
        <f aca="false">IF($C399="","",$O399+$Q399*$S399)</f>
        <v/>
      </c>
      <c r="L399" s="17" t="str">
        <f aca="false">IF($C399="","",$J399-$K399-1-N($G399))</f>
        <v/>
      </c>
      <c r="M399" s="7" t="str">
        <f aca="false">IF($B399="","",INDEX(Course!$B$2:$B$19,MATCH($B399,Course!$A$2:$A$19,0)))</f>
        <v/>
      </c>
      <c r="N399" s="17" t="str">
        <f aca="false">IF($C399="","",IF($C399="H",0,IF($C399="G",INDEX(Baseline!$I$3:$I$102,MIN(MAX(ROUND($D399,0),1),100)),IF($C399="T",IF($M399=3,INDEX(Baseline!$B$3:$B$122,MATCH(MIN(MAX(ROUND(($D399)/5,0)*5,5),600),Baseline!$A$3:$A$122,0))-Inputs!$B$9,INDEX(Course!$N$2:$N$19,MATCH($B399,Course!$A$2:$A$19,0))),INDEX(Baseline!$B$3:$E$122,MATCH(MIN(MAX(ROUND(($D399)/5,0)*5,5),600),Baseline!$A$3:$A$122,0),MATCH($C399,Baseline!$B$2:$E$2,0))))))</f>
        <v/>
      </c>
      <c r="O399" s="17" t="str">
        <f aca="false">IF($C399="","",IF($E399="H",0,IF($E399="G",INDEX(Baseline!$I$3:$I$102,MIN(MAX(ROUND($F399,0),1),100)),IF($E399="T",IF($M399=3,INDEX(Baseline!$B$3:$B$122,MATCH(MIN(MAX(ROUND(($F399)/5,0)*5,5),600),Baseline!$A$3:$A$122,0))-Inputs!$B$9,INDEX(Course!$N$2:$N$19,MATCH($B399,Course!$A$2:$A$19,0))),INDEX(Baseline!$B$3:$E$122,MATCH(MIN(MAX(ROUND(($F399)/5,0)*5,5),600),Baseline!$A$3:$A$122,0),MATCH($E399,Baseline!$B$2:$E$2,0))))))</f>
        <v/>
      </c>
      <c r="P399" s="17" t="str">
        <f aca="false">IF($B399="","",INDEX(Course!$N$2:$N$19,MATCH($B399,Course!$A$2:$A$19,0)))</f>
        <v/>
      </c>
      <c r="Q399" s="17" t="str">
        <f aca="false">IF($B399="","",INDEX(Course!$P$2:$P$19,MATCH($B399,Course!$A$2:$A$19,0)))</f>
        <v/>
      </c>
      <c r="R399" s="17" t="str">
        <f aca="false">IF($C399="","",IF(OR($C399="G",$C399="H"),0,IF($C399="T",1,MIN(1,MAX(0,($N399-Inputs!$B$8)/MAX($P399-Inputs!$B$8,0.01))))))</f>
        <v/>
      </c>
      <c r="S399" s="17" t="str">
        <f aca="false">IF($C399="","",IF(OR($E399="G",$E399="H"),0,IF($E399="T",1,MIN(1,MAX(0,($O399-Inputs!$B$8)/MAX($P399-Inputs!$B$8,0.01))))))</f>
        <v/>
      </c>
    </row>
    <row r="400" customFormat="false" ht="15" hidden="false" customHeight="false" outlineLevel="0" collapsed="false">
      <c r="I400" s="7" t="str">
        <f aca="false">IF($C400="","",IF($C400="G","PUTT",IF(AND($C400="T",$M400&gt;3),"OTT",IF($D400&lt;=30,"ARG","APP"))))</f>
        <v/>
      </c>
      <c r="J400" s="17" t="str">
        <f aca="false">IF($C400="","",$N400+$Q400*$R400)</f>
        <v/>
      </c>
      <c r="K400" s="17" t="str">
        <f aca="false">IF($C400="","",$O400+$Q400*$S400)</f>
        <v/>
      </c>
      <c r="L400" s="17" t="str">
        <f aca="false">IF($C400="","",$J400-$K400-1-N($G400))</f>
        <v/>
      </c>
      <c r="M400" s="7" t="str">
        <f aca="false">IF($B400="","",INDEX(Course!$B$2:$B$19,MATCH($B400,Course!$A$2:$A$19,0)))</f>
        <v/>
      </c>
      <c r="N400" s="17" t="str">
        <f aca="false">IF($C400="","",IF($C400="H",0,IF($C400="G",INDEX(Baseline!$I$3:$I$102,MIN(MAX(ROUND($D400,0),1),100)),IF($C400="T",IF($M400=3,INDEX(Baseline!$B$3:$B$122,MATCH(MIN(MAX(ROUND(($D400)/5,0)*5,5),600),Baseline!$A$3:$A$122,0))-Inputs!$B$9,INDEX(Course!$N$2:$N$19,MATCH($B400,Course!$A$2:$A$19,0))),INDEX(Baseline!$B$3:$E$122,MATCH(MIN(MAX(ROUND(($D400)/5,0)*5,5),600),Baseline!$A$3:$A$122,0),MATCH($C400,Baseline!$B$2:$E$2,0))))))</f>
        <v/>
      </c>
      <c r="O400" s="17" t="str">
        <f aca="false">IF($C400="","",IF($E400="H",0,IF($E400="G",INDEX(Baseline!$I$3:$I$102,MIN(MAX(ROUND($F400,0),1),100)),IF($E400="T",IF($M400=3,INDEX(Baseline!$B$3:$B$122,MATCH(MIN(MAX(ROUND(($F400)/5,0)*5,5),600),Baseline!$A$3:$A$122,0))-Inputs!$B$9,INDEX(Course!$N$2:$N$19,MATCH($B400,Course!$A$2:$A$19,0))),INDEX(Baseline!$B$3:$E$122,MATCH(MIN(MAX(ROUND(($F400)/5,0)*5,5),600),Baseline!$A$3:$A$122,0),MATCH($E400,Baseline!$B$2:$E$2,0))))))</f>
        <v/>
      </c>
      <c r="P400" s="17" t="str">
        <f aca="false">IF($B400="","",INDEX(Course!$N$2:$N$19,MATCH($B400,Course!$A$2:$A$19,0)))</f>
        <v/>
      </c>
      <c r="Q400" s="17" t="str">
        <f aca="false">IF($B400="","",INDEX(Course!$P$2:$P$19,MATCH($B400,Course!$A$2:$A$19,0)))</f>
        <v/>
      </c>
      <c r="R400" s="17" t="str">
        <f aca="false">IF($C400="","",IF(OR($C400="G",$C400="H"),0,IF($C400="T",1,MIN(1,MAX(0,($N400-Inputs!$B$8)/MAX($P400-Inputs!$B$8,0.01))))))</f>
        <v/>
      </c>
      <c r="S400" s="17" t="str">
        <f aca="false">IF($C400="","",IF(OR($E400="G",$E400="H"),0,IF($E400="T",1,MIN(1,MAX(0,($O400-Inputs!$B$8)/MAX($P400-Inputs!$B$8,0.01))))))</f>
        <v/>
      </c>
    </row>
    <row r="401" customFormat="false" ht="15" hidden="false" customHeight="false" outlineLevel="0" collapsed="false">
      <c r="I401" s="7" t="str">
        <f aca="false">IF($C401="","",IF($C401="G","PUTT",IF(AND($C401="T",$M401&gt;3),"OTT",IF($D401&lt;=30,"ARG","APP"))))</f>
        <v/>
      </c>
      <c r="J401" s="17" t="str">
        <f aca="false">IF($C401="","",$N401+$Q401*$R401)</f>
        <v/>
      </c>
      <c r="K401" s="17" t="str">
        <f aca="false">IF($C401="","",$O401+$Q401*$S401)</f>
        <v/>
      </c>
      <c r="L401" s="17" t="str">
        <f aca="false">IF($C401="","",$J401-$K401-1-N($G401))</f>
        <v/>
      </c>
      <c r="M401" s="7" t="str">
        <f aca="false">IF($B401="","",INDEX(Course!$B$2:$B$19,MATCH($B401,Course!$A$2:$A$19,0)))</f>
        <v/>
      </c>
      <c r="N401" s="17" t="str">
        <f aca="false">IF($C401="","",IF($C401="H",0,IF($C401="G",INDEX(Baseline!$I$3:$I$102,MIN(MAX(ROUND($D401,0),1),100)),IF($C401="T",IF($M401=3,INDEX(Baseline!$B$3:$B$122,MATCH(MIN(MAX(ROUND(($D401)/5,0)*5,5),600),Baseline!$A$3:$A$122,0))-Inputs!$B$9,INDEX(Course!$N$2:$N$19,MATCH($B401,Course!$A$2:$A$19,0))),INDEX(Baseline!$B$3:$E$122,MATCH(MIN(MAX(ROUND(($D401)/5,0)*5,5),600),Baseline!$A$3:$A$122,0),MATCH($C401,Baseline!$B$2:$E$2,0))))))</f>
        <v/>
      </c>
      <c r="O401" s="17" t="str">
        <f aca="false">IF($C401="","",IF($E401="H",0,IF($E401="G",INDEX(Baseline!$I$3:$I$102,MIN(MAX(ROUND($F401,0),1),100)),IF($E401="T",IF($M401=3,INDEX(Baseline!$B$3:$B$122,MATCH(MIN(MAX(ROUND(($F401)/5,0)*5,5),600),Baseline!$A$3:$A$122,0))-Inputs!$B$9,INDEX(Course!$N$2:$N$19,MATCH($B401,Course!$A$2:$A$19,0))),INDEX(Baseline!$B$3:$E$122,MATCH(MIN(MAX(ROUND(($F401)/5,0)*5,5),600),Baseline!$A$3:$A$122,0),MATCH($E401,Baseline!$B$2:$E$2,0))))))</f>
        <v/>
      </c>
      <c r="P401" s="17" t="str">
        <f aca="false">IF($B401="","",INDEX(Course!$N$2:$N$19,MATCH($B401,Course!$A$2:$A$19,0)))</f>
        <v/>
      </c>
      <c r="Q401" s="17" t="str">
        <f aca="false">IF($B401="","",INDEX(Course!$P$2:$P$19,MATCH($B401,Course!$A$2:$A$19,0)))</f>
        <v/>
      </c>
      <c r="R401" s="17" t="str">
        <f aca="false">IF($C401="","",IF(OR($C401="G",$C401="H"),0,IF($C401="T",1,MIN(1,MAX(0,($N401-Inputs!$B$8)/MAX($P401-Inputs!$B$8,0.01))))))</f>
        <v/>
      </c>
      <c r="S401" s="17" t="str">
        <f aca="false">IF($C401="","",IF(OR($E401="G",$E401="H"),0,IF($E401="T",1,MIN(1,MAX(0,($O401-Inputs!$B$8)/MAX($P401-Inputs!$B$8,0.01))))))</f>
        <v/>
      </c>
    </row>
    <row r="402" customFormat="false" ht="15" hidden="false" customHeight="false" outlineLevel="0" collapsed="false">
      <c r="I402" s="7" t="str">
        <f aca="false">IF($C402="","",IF($C402="G","PUTT",IF(AND($C402="T",$M402&gt;3),"OTT",IF($D402&lt;=30,"ARG","APP"))))</f>
        <v/>
      </c>
      <c r="J402" s="17" t="str">
        <f aca="false">IF($C402="","",$N402+$Q402*$R402)</f>
        <v/>
      </c>
      <c r="K402" s="17" t="str">
        <f aca="false">IF($C402="","",$O402+$Q402*$S402)</f>
        <v/>
      </c>
      <c r="L402" s="17" t="str">
        <f aca="false">IF($C402="","",$J402-$K402-1-N($G402))</f>
        <v/>
      </c>
      <c r="M402" s="7" t="str">
        <f aca="false">IF($B402="","",INDEX(Course!$B$2:$B$19,MATCH($B402,Course!$A$2:$A$19,0)))</f>
        <v/>
      </c>
      <c r="N402" s="17" t="str">
        <f aca="false">IF($C402="","",IF($C402="H",0,IF($C402="G",INDEX(Baseline!$I$3:$I$102,MIN(MAX(ROUND($D402,0),1),100)),IF($C402="T",IF($M402=3,INDEX(Baseline!$B$3:$B$122,MATCH(MIN(MAX(ROUND(($D402)/5,0)*5,5),600),Baseline!$A$3:$A$122,0))-Inputs!$B$9,INDEX(Course!$N$2:$N$19,MATCH($B402,Course!$A$2:$A$19,0))),INDEX(Baseline!$B$3:$E$122,MATCH(MIN(MAX(ROUND(($D402)/5,0)*5,5),600),Baseline!$A$3:$A$122,0),MATCH($C402,Baseline!$B$2:$E$2,0))))))</f>
        <v/>
      </c>
      <c r="O402" s="17" t="str">
        <f aca="false">IF($C402="","",IF($E402="H",0,IF($E402="G",INDEX(Baseline!$I$3:$I$102,MIN(MAX(ROUND($F402,0),1),100)),IF($E402="T",IF($M402=3,INDEX(Baseline!$B$3:$B$122,MATCH(MIN(MAX(ROUND(($F402)/5,0)*5,5),600),Baseline!$A$3:$A$122,0))-Inputs!$B$9,INDEX(Course!$N$2:$N$19,MATCH($B402,Course!$A$2:$A$19,0))),INDEX(Baseline!$B$3:$E$122,MATCH(MIN(MAX(ROUND(($F402)/5,0)*5,5),600),Baseline!$A$3:$A$122,0),MATCH($E402,Baseline!$B$2:$E$2,0))))))</f>
        <v/>
      </c>
      <c r="P402" s="17" t="str">
        <f aca="false">IF($B402="","",INDEX(Course!$N$2:$N$19,MATCH($B402,Course!$A$2:$A$19,0)))</f>
        <v/>
      </c>
      <c r="Q402" s="17" t="str">
        <f aca="false">IF($B402="","",INDEX(Course!$P$2:$P$19,MATCH($B402,Course!$A$2:$A$19,0)))</f>
        <v/>
      </c>
      <c r="R402" s="17" t="str">
        <f aca="false">IF($C402="","",IF(OR($C402="G",$C402="H"),0,IF($C402="T",1,MIN(1,MAX(0,($N402-Inputs!$B$8)/MAX($P402-Inputs!$B$8,0.01))))))</f>
        <v/>
      </c>
      <c r="S402" s="17" t="str">
        <f aca="false">IF($C402="","",IF(OR($E402="G",$E402="H"),0,IF($E402="T",1,MIN(1,MAX(0,($O402-Inputs!$B$8)/MAX($P402-Inputs!$B$8,0.01))))))</f>
        <v/>
      </c>
    </row>
    <row r="403" customFormat="false" ht="15" hidden="false" customHeight="false" outlineLevel="0" collapsed="false">
      <c r="I403" s="7" t="str">
        <f aca="false">IF($C403="","",IF($C403="G","PUTT",IF(AND($C403="T",$M403&gt;3),"OTT",IF($D403&lt;=30,"ARG","APP"))))</f>
        <v/>
      </c>
      <c r="J403" s="17" t="str">
        <f aca="false">IF($C403="","",$N403+$Q403*$R403)</f>
        <v/>
      </c>
      <c r="K403" s="17" t="str">
        <f aca="false">IF($C403="","",$O403+$Q403*$S403)</f>
        <v/>
      </c>
      <c r="L403" s="17" t="str">
        <f aca="false">IF($C403="","",$J403-$K403-1-N($G403))</f>
        <v/>
      </c>
      <c r="M403" s="7" t="str">
        <f aca="false">IF($B403="","",INDEX(Course!$B$2:$B$19,MATCH($B403,Course!$A$2:$A$19,0)))</f>
        <v/>
      </c>
      <c r="N403" s="17" t="str">
        <f aca="false">IF($C403="","",IF($C403="H",0,IF($C403="G",INDEX(Baseline!$I$3:$I$102,MIN(MAX(ROUND($D403,0),1),100)),IF($C403="T",IF($M403=3,INDEX(Baseline!$B$3:$B$122,MATCH(MIN(MAX(ROUND(($D403)/5,0)*5,5),600),Baseline!$A$3:$A$122,0))-Inputs!$B$9,INDEX(Course!$N$2:$N$19,MATCH($B403,Course!$A$2:$A$19,0))),INDEX(Baseline!$B$3:$E$122,MATCH(MIN(MAX(ROUND(($D403)/5,0)*5,5),600),Baseline!$A$3:$A$122,0),MATCH($C403,Baseline!$B$2:$E$2,0))))))</f>
        <v/>
      </c>
      <c r="O403" s="17" t="str">
        <f aca="false">IF($C403="","",IF($E403="H",0,IF($E403="G",INDEX(Baseline!$I$3:$I$102,MIN(MAX(ROUND($F403,0),1),100)),IF($E403="T",IF($M403=3,INDEX(Baseline!$B$3:$B$122,MATCH(MIN(MAX(ROUND(($F403)/5,0)*5,5),600),Baseline!$A$3:$A$122,0))-Inputs!$B$9,INDEX(Course!$N$2:$N$19,MATCH($B403,Course!$A$2:$A$19,0))),INDEX(Baseline!$B$3:$E$122,MATCH(MIN(MAX(ROUND(($F403)/5,0)*5,5),600),Baseline!$A$3:$A$122,0),MATCH($E403,Baseline!$B$2:$E$2,0))))))</f>
        <v/>
      </c>
      <c r="P403" s="17" t="str">
        <f aca="false">IF($B403="","",INDEX(Course!$N$2:$N$19,MATCH($B403,Course!$A$2:$A$19,0)))</f>
        <v/>
      </c>
      <c r="Q403" s="17" t="str">
        <f aca="false">IF($B403="","",INDEX(Course!$P$2:$P$19,MATCH($B403,Course!$A$2:$A$19,0)))</f>
        <v/>
      </c>
      <c r="R403" s="17" t="str">
        <f aca="false">IF($C403="","",IF(OR($C403="G",$C403="H"),0,IF($C403="T",1,MIN(1,MAX(0,($N403-Inputs!$B$8)/MAX($P403-Inputs!$B$8,0.01))))))</f>
        <v/>
      </c>
      <c r="S403" s="17" t="str">
        <f aca="false">IF($C403="","",IF(OR($E403="G",$E403="H"),0,IF($E403="T",1,MIN(1,MAX(0,($O403-Inputs!$B$8)/MAX($P403-Inputs!$B$8,0.01))))))</f>
        <v/>
      </c>
    </row>
    <row r="404" customFormat="false" ht="15" hidden="false" customHeight="false" outlineLevel="0" collapsed="false">
      <c r="I404" s="7" t="str">
        <f aca="false">IF($C404="","",IF($C404="G","PUTT",IF(AND($C404="T",$M404&gt;3),"OTT",IF($D404&lt;=30,"ARG","APP"))))</f>
        <v/>
      </c>
      <c r="J404" s="17" t="str">
        <f aca="false">IF($C404="","",$N404+$Q404*$R404)</f>
        <v/>
      </c>
      <c r="K404" s="17" t="str">
        <f aca="false">IF($C404="","",$O404+$Q404*$S404)</f>
        <v/>
      </c>
      <c r="L404" s="17" t="str">
        <f aca="false">IF($C404="","",$J404-$K404-1-N($G404))</f>
        <v/>
      </c>
      <c r="M404" s="7" t="str">
        <f aca="false">IF($B404="","",INDEX(Course!$B$2:$B$19,MATCH($B404,Course!$A$2:$A$19,0)))</f>
        <v/>
      </c>
      <c r="N404" s="17" t="str">
        <f aca="false">IF($C404="","",IF($C404="H",0,IF($C404="G",INDEX(Baseline!$I$3:$I$102,MIN(MAX(ROUND($D404,0),1),100)),IF($C404="T",IF($M404=3,INDEX(Baseline!$B$3:$B$122,MATCH(MIN(MAX(ROUND(($D404)/5,0)*5,5),600),Baseline!$A$3:$A$122,0))-Inputs!$B$9,INDEX(Course!$N$2:$N$19,MATCH($B404,Course!$A$2:$A$19,0))),INDEX(Baseline!$B$3:$E$122,MATCH(MIN(MAX(ROUND(($D404)/5,0)*5,5),600),Baseline!$A$3:$A$122,0),MATCH($C404,Baseline!$B$2:$E$2,0))))))</f>
        <v/>
      </c>
      <c r="O404" s="17" t="str">
        <f aca="false">IF($C404="","",IF($E404="H",0,IF($E404="G",INDEX(Baseline!$I$3:$I$102,MIN(MAX(ROUND($F404,0),1),100)),IF($E404="T",IF($M404=3,INDEX(Baseline!$B$3:$B$122,MATCH(MIN(MAX(ROUND(($F404)/5,0)*5,5),600),Baseline!$A$3:$A$122,0))-Inputs!$B$9,INDEX(Course!$N$2:$N$19,MATCH($B404,Course!$A$2:$A$19,0))),INDEX(Baseline!$B$3:$E$122,MATCH(MIN(MAX(ROUND(($F404)/5,0)*5,5),600),Baseline!$A$3:$A$122,0),MATCH($E404,Baseline!$B$2:$E$2,0))))))</f>
        <v/>
      </c>
      <c r="P404" s="17" t="str">
        <f aca="false">IF($B404="","",INDEX(Course!$N$2:$N$19,MATCH($B404,Course!$A$2:$A$19,0)))</f>
        <v/>
      </c>
      <c r="Q404" s="17" t="str">
        <f aca="false">IF($B404="","",INDEX(Course!$P$2:$P$19,MATCH($B404,Course!$A$2:$A$19,0)))</f>
        <v/>
      </c>
      <c r="R404" s="17" t="str">
        <f aca="false">IF($C404="","",IF(OR($C404="G",$C404="H"),0,IF($C404="T",1,MIN(1,MAX(0,($N404-Inputs!$B$8)/MAX($P404-Inputs!$B$8,0.01))))))</f>
        <v/>
      </c>
      <c r="S404" s="17" t="str">
        <f aca="false">IF($C404="","",IF(OR($E404="G",$E404="H"),0,IF($E404="T",1,MIN(1,MAX(0,($O404-Inputs!$B$8)/MAX($P404-Inputs!$B$8,0.01))))))</f>
        <v/>
      </c>
    </row>
    <row r="405" customFormat="false" ht="15" hidden="false" customHeight="false" outlineLevel="0" collapsed="false">
      <c r="I405" s="7" t="str">
        <f aca="false">IF($C405="","",IF($C405="G","PUTT",IF(AND($C405="T",$M405&gt;3),"OTT",IF($D405&lt;=30,"ARG","APP"))))</f>
        <v/>
      </c>
      <c r="J405" s="17" t="str">
        <f aca="false">IF($C405="","",$N405+$Q405*$R405)</f>
        <v/>
      </c>
      <c r="K405" s="17" t="str">
        <f aca="false">IF($C405="","",$O405+$Q405*$S405)</f>
        <v/>
      </c>
      <c r="L405" s="17" t="str">
        <f aca="false">IF($C405="","",$J405-$K405-1-N($G405))</f>
        <v/>
      </c>
      <c r="M405" s="7" t="str">
        <f aca="false">IF($B405="","",INDEX(Course!$B$2:$B$19,MATCH($B405,Course!$A$2:$A$19,0)))</f>
        <v/>
      </c>
      <c r="N405" s="17" t="str">
        <f aca="false">IF($C405="","",IF($C405="H",0,IF($C405="G",INDEX(Baseline!$I$3:$I$102,MIN(MAX(ROUND($D405,0),1),100)),IF($C405="T",IF($M405=3,INDEX(Baseline!$B$3:$B$122,MATCH(MIN(MAX(ROUND(($D405)/5,0)*5,5),600),Baseline!$A$3:$A$122,0))-Inputs!$B$9,INDEX(Course!$N$2:$N$19,MATCH($B405,Course!$A$2:$A$19,0))),INDEX(Baseline!$B$3:$E$122,MATCH(MIN(MAX(ROUND(($D405)/5,0)*5,5),600),Baseline!$A$3:$A$122,0),MATCH($C405,Baseline!$B$2:$E$2,0))))))</f>
        <v/>
      </c>
      <c r="O405" s="17" t="str">
        <f aca="false">IF($C405="","",IF($E405="H",0,IF($E405="G",INDEX(Baseline!$I$3:$I$102,MIN(MAX(ROUND($F405,0),1),100)),IF($E405="T",IF($M405=3,INDEX(Baseline!$B$3:$B$122,MATCH(MIN(MAX(ROUND(($F405)/5,0)*5,5),600),Baseline!$A$3:$A$122,0))-Inputs!$B$9,INDEX(Course!$N$2:$N$19,MATCH($B405,Course!$A$2:$A$19,0))),INDEX(Baseline!$B$3:$E$122,MATCH(MIN(MAX(ROUND(($F405)/5,0)*5,5),600),Baseline!$A$3:$A$122,0),MATCH($E405,Baseline!$B$2:$E$2,0))))))</f>
        <v/>
      </c>
      <c r="P405" s="17" t="str">
        <f aca="false">IF($B405="","",INDEX(Course!$N$2:$N$19,MATCH($B405,Course!$A$2:$A$19,0)))</f>
        <v/>
      </c>
      <c r="Q405" s="17" t="str">
        <f aca="false">IF($B405="","",INDEX(Course!$P$2:$P$19,MATCH($B405,Course!$A$2:$A$19,0)))</f>
        <v/>
      </c>
      <c r="R405" s="17" t="str">
        <f aca="false">IF($C405="","",IF(OR($C405="G",$C405="H"),0,IF($C405="T",1,MIN(1,MAX(0,($N405-Inputs!$B$8)/MAX($P405-Inputs!$B$8,0.01))))))</f>
        <v/>
      </c>
      <c r="S405" s="17" t="str">
        <f aca="false">IF($C405="","",IF(OR($E405="G",$E405="H"),0,IF($E405="T",1,MIN(1,MAX(0,($O405-Inputs!$B$8)/MAX($P405-Inputs!$B$8,0.01))))))</f>
        <v/>
      </c>
    </row>
    <row r="406" customFormat="false" ht="15" hidden="false" customHeight="false" outlineLevel="0" collapsed="false">
      <c r="I406" s="7" t="str">
        <f aca="false">IF($C406="","",IF($C406="G","PUTT",IF(AND($C406="T",$M406&gt;3),"OTT",IF($D406&lt;=30,"ARG","APP"))))</f>
        <v/>
      </c>
      <c r="J406" s="17" t="str">
        <f aca="false">IF($C406="","",$N406+$Q406*$R406)</f>
        <v/>
      </c>
      <c r="K406" s="17" t="str">
        <f aca="false">IF($C406="","",$O406+$Q406*$S406)</f>
        <v/>
      </c>
      <c r="L406" s="17" t="str">
        <f aca="false">IF($C406="","",$J406-$K406-1-N($G406))</f>
        <v/>
      </c>
      <c r="M406" s="7" t="str">
        <f aca="false">IF($B406="","",INDEX(Course!$B$2:$B$19,MATCH($B406,Course!$A$2:$A$19,0)))</f>
        <v/>
      </c>
      <c r="N406" s="17" t="str">
        <f aca="false">IF($C406="","",IF($C406="H",0,IF($C406="G",INDEX(Baseline!$I$3:$I$102,MIN(MAX(ROUND($D406,0),1),100)),IF($C406="T",IF($M406=3,INDEX(Baseline!$B$3:$B$122,MATCH(MIN(MAX(ROUND(($D406)/5,0)*5,5),600),Baseline!$A$3:$A$122,0))-Inputs!$B$9,INDEX(Course!$N$2:$N$19,MATCH($B406,Course!$A$2:$A$19,0))),INDEX(Baseline!$B$3:$E$122,MATCH(MIN(MAX(ROUND(($D406)/5,0)*5,5),600),Baseline!$A$3:$A$122,0),MATCH($C406,Baseline!$B$2:$E$2,0))))))</f>
        <v/>
      </c>
      <c r="O406" s="17" t="str">
        <f aca="false">IF($C406="","",IF($E406="H",0,IF($E406="G",INDEX(Baseline!$I$3:$I$102,MIN(MAX(ROUND($F406,0),1),100)),IF($E406="T",IF($M406=3,INDEX(Baseline!$B$3:$B$122,MATCH(MIN(MAX(ROUND(($F406)/5,0)*5,5),600),Baseline!$A$3:$A$122,0))-Inputs!$B$9,INDEX(Course!$N$2:$N$19,MATCH($B406,Course!$A$2:$A$19,0))),INDEX(Baseline!$B$3:$E$122,MATCH(MIN(MAX(ROUND(($F406)/5,0)*5,5),600),Baseline!$A$3:$A$122,0),MATCH($E406,Baseline!$B$2:$E$2,0))))))</f>
        <v/>
      </c>
      <c r="P406" s="17" t="str">
        <f aca="false">IF($B406="","",INDEX(Course!$N$2:$N$19,MATCH($B406,Course!$A$2:$A$19,0)))</f>
        <v/>
      </c>
      <c r="Q406" s="17" t="str">
        <f aca="false">IF($B406="","",INDEX(Course!$P$2:$P$19,MATCH($B406,Course!$A$2:$A$19,0)))</f>
        <v/>
      </c>
      <c r="R406" s="17" t="str">
        <f aca="false">IF($C406="","",IF(OR($C406="G",$C406="H"),0,IF($C406="T",1,MIN(1,MAX(0,($N406-Inputs!$B$8)/MAX($P406-Inputs!$B$8,0.01))))))</f>
        <v/>
      </c>
      <c r="S406" s="17" t="str">
        <f aca="false">IF($C406="","",IF(OR($E406="G",$E406="H"),0,IF($E406="T",1,MIN(1,MAX(0,($O406-Inputs!$B$8)/MAX($P406-Inputs!$B$8,0.01))))))</f>
        <v/>
      </c>
    </row>
    <row r="407" customFormat="false" ht="15" hidden="false" customHeight="false" outlineLevel="0" collapsed="false">
      <c r="I407" s="7" t="str">
        <f aca="false">IF($C407="","",IF($C407="G","PUTT",IF(AND($C407="T",$M407&gt;3),"OTT",IF($D407&lt;=30,"ARG","APP"))))</f>
        <v/>
      </c>
      <c r="J407" s="17" t="str">
        <f aca="false">IF($C407="","",$N407+$Q407*$R407)</f>
        <v/>
      </c>
      <c r="K407" s="17" t="str">
        <f aca="false">IF($C407="","",$O407+$Q407*$S407)</f>
        <v/>
      </c>
      <c r="L407" s="17" t="str">
        <f aca="false">IF($C407="","",$J407-$K407-1-N($G407))</f>
        <v/>
      </c>
      <c r="M407" s="7" t="str">
        <f aca="false">IF($B407="","",INDEX(Course!$B$2:$B$19,MATCH($B407,Course!$A$2:$A$19,0)))</f>
        <v/>
      </c>
      <c r="N407" s="17" t="str">
        <f aca="false">IF($C407="","",IF($C407="H",0,IF($C407="G",INDEX(Baseline!$I$3:$I$102,MIN(MAX(ROUND($D407,0),1),100)),IF($C407="T",IF($M407=3,INDEX(Baseline!$B$3:$B$122,MATCH(MIN(MAX(ROUND(($D407)/5,0)*5,5),600),Baseline!$A$3:$A$122,0))-Inputs!$B$9,INDEX(Course!$N$2:$N$19,MATCH($B407,Course!$A$2:$A$19,0))),INDEX(Baseline!$B$3:$E$122,MATCH(MIN(MAX(ROUND(($D407)/5,0)*5,5),600),Baseline!$A$3:$A$122,0),MATCH($C407,Baseline!$B$2:$E$2,0))))))</f>
        <v/>
      </c>
      <c r="O407" s="17" t="str">
        <f aca="false">IF($C407="","",IF($E407="H",0,IF($E407="G",INDEX(Baseline!$I$3:$I$102,MIN(MAX(ROUND($F407,0),1),100)),IF($E407="T",IF($M407=3,INDEX(Baseline!$B$3:$B$122,MATCH(MIN(MAX(ROUND(($F407)/5,0)*5,5),600),Baseline!$A$3:$A$122,0))-Inputs!$B$9,INDEX(Course!$N$2:$N$19,MATCH($B407,Course!$A$2:$A$19,0))),INDEX(Baseline!$B$3:$E$122,MATCH(MIN(MAX(ROUND(($F407)/5,0)*5,5),600),Baseline!$A$3:$A$122,0),MATCH($E407,Baseline!$B$2:$E$2,0))))))</f>
        <v/>
      </c>
      <c r="P407" s="17" t="str">
        <f aca="false">IF($B407="","",INDEX(Course!$N$2:$N$19,MATCH($B407,Course!$A$2:$A$19,0)))</f>
        <v/>
      </c>
      <c r="Q407" s="17" t="str">
        <f aca="false">IF($B407="","",INDEX(Course!$P$2:$P$19,MATCH($B407,Course!$A$2:$A$19,0)))</f>
        <v/>
      </c>
      <c r="R407" s="17" t="str">
        <f aca="false">IF($C407="","",IF(OR($C407="G",$C407="H"),0,IF($C407="T",1,MIN(1,MAX(0,($N407-Inputs!$B$8)/MAX($P407-Inputs!$B$8,0.01))))))</f>
        <v/>
      </c>
      <c r="S407" s="17" t="str">
        <f aca="false">IF($C407="","",IF(OR($E407="G",$E407="H"),0,IF($E407="T",1,MIN(1,MAX(0,($O407-Inputs!$B$8)/MAX($P407-Inputs!$B$8,0.01))))))</f>
        <v/>
      </c>
    </row>
    <row r="408" customFormat="false" ht="15" hidden="false" customHeight="false" outlineLevel="0" collapsed="false">
      <c r="I408" s="7" t="str">
        <f aca="false">IF($C408="","",IF($C408="G","PUTT",IF(AND($C408="T",$M408&gt;3),"OTT",IF($D408&lt;=30,"ARG","APP"))))</f>
        <v/>
      </c>
      <c r="J408" s="17" t="str">
        <f aca="false">IF($C408="","",$N408+$Q408*$R408)</f>
        <v/>
      </c>
      <c r="K408" s="17" t="str">
        <f aca="false">IF($C408="","",$O408+$Q408*$S408)</f>
        <v/>
      </c>
      <c r="L408" s="17" t="str">
        <f aca="false">IF($C408="","",$J408-$K408-1-N($G408))</f>
        <v/>
      </c>
      <c r="M408" s="7" t="str">
        <f aca="false">IF($B408="","",INDEX(Course!$B$2:$B$19,MATCH($B408,Course!$A$2:$A$19,0)))</f>
        <v/>
      </c>
      <c r="N408" s="17" t="str">
        <f aca="false">IF($C408="","",IF($C408="H",0,IF($C408="G",INDEX(Baseline!$I$3:$I$102,MIN(MAX(ROUND($D408,0),1),100)),IF($C408="T",IF($M408=3,INDEX(Baseline!$B$3:$B$122,MATCH(MIN(MAX(ROUND(($D408)/5,0)*5,5),600),Baseline!$A$3:$A$122,0))-Inputs!$B$9,INDEX(Course!$N$2:$N$19,MATCH($B408,Course!$A$2:$A$19,0))),INDEX(Baseline!$B$3:$E$122,MATCH(MIN(MAX(ROUND(($D408)/5,0)*5,5),600),Baseline!$A$3:$A$122,0),MATCH($C408,Baseline!$B$2:$E$2,0))))))</f>
        <v/>
      </c>
      <c r="O408" s="17" t="str">
        <f aca="false">IF($C408="","",IF($E408="H",0,IF($E408="G",INDEX(Baseline!$I$3:$I$102,MIN(MAX(ROUND($F408,0),1),100)),IF($E408="T",IF($M408=3,INDEX(Baseline!$B$3:$B$122,MATCH(MIN(MAX(ROUND(($F408)/5,0)*5,5),600),Baseline!$A$3:$A$122,0))-Inputs!$B$9,INDEX(Course!$N$2:$N$19,MATCH($B408,Course!$A$2:$A$19,0))),INDEX(Baseline!$B$3:$E$122,MATCH(MIN(MAX(ROUND(($F408)/5,0)*5,5),600),Baseline!$A$3:$A$122,0),MATCH($E408,Baseline!$B$2:$E$2,0))))))</f>
        <v/>
      </c>
      <c r="P408" s="17" t="str">
        <f aca="false">IF($B408="","",INDEX(Course!$N$2:$N$19,MATCH($B408,Course!$A$2:$A$19,0)))</f>
        <v/>
      </c>
      <c r="Q408" s="17" t="str">
        <f aca="false">IF($B408="","",INDEX(Course!$P$2:$P$19,MATCH($B408,Course!$A$2:$A$19,0)))</f>
        <v/>
      </c>
      <c r="R408" s="17" t="str">
        <f aca="false">IF($C408="","",IF(OR($C408="G",$C408="H"),0,IF($C408="T",1,MIN(1,MAX(0,($N408-Inputs!$B$8)/MAX($P408-Inputs!$B$8,0.01))))))</f>
        <v/>
      </c>
      <c r="S408" s="17" t="str">
        <f aca="false">IF($C408="","",IF(OR($E408="G",$E408="H"),0,IF($E408="T",1,MIN(1,MAX(0,($O408-Inputs!$B$8)/MAX($P408-Inputs!$B$8,0.01))))))</f>
        <v/>
      </c>
    </row>
    <row r="409" customFormat="false" ht="15" hidden="false" customHeight="false" outlineLevel="0" collapsed="false">
      <c r="I409" s="7" t="str">
        <f aca="false">IF($C409="","",IF($C409="G","PUTT",IF(AND($C409="T",$M409&gt;3),"OTT",IF($D409&lt;=30,"ARG","APP"))))</f>
        <v/>
      </c>
      <c r="J409" s="17" t="str">
        <f aca="false">IF($C409="","",$N409+$Q409*$R409)</f>
        <v/>
      </c>
      <c r="K409" s="17" t="str">
        <f aca="false">IF($C409="","",$O409+$Q409*$S409)</f>
        <v/>
      </c>
      <c r="L409" s="17" t="str">
        <f aca="false">IF($C409="","",$J409-$K409-1-N($G409))</f>
        <v/>
      </c>
      <c r="M409" s="7" t="str">
        <f aca="false">IF($B409="","",INDEX(Course!$B$2:$B$19,MATCH($B409,Course!$A$2:$A$19,0)))</f>
        <v/>
      </c>
      <c r="N409" s="17" t="str">
        <f aca="false">IF($C409="","",IF($C409="H",0,IF($C409="G",INDEX(Baseline!$I$3:$I$102,MIN(MAX(ROUND($D409,0),1),100)),IF($C409="T",IF($M409=3,INDEX(Baseline!$B$3:$B$122,MATCH(MIN(MAX(ROUND(($D409)/5,0)*5,5),600),Baseline!$A$3:$A$122,0))-Inputs!$B$9,INDEX(Course!$N$2:$N$19,MATCH($B409,Course!$A$2:$A$19,0))),INDEX(Baseline!$B$3:$E$122,MATCH(MIN(MAX(ROUND(($D409)/5,0)*5,5),600),Baseline!$A$3:$A$122,0),MATCH($C409,Baseline!$B$2:$E$2,0))))))</f>
        <v/>
      </c>
      <c r="O409" s="17" t="str">
        <f aca="false">IF($C409="","",IF($E409="H",0,IF($E409="G",INDEX(Baseline!$I$3:$I$102,MIN(MAX(ROUND($F409,0),1),100)),IF($E409="T",IF($M409=3,INDEX(Baseline!$B$3:$B$122,MATCH(MIN(MAX(ROUND(($F409)/5,0)*5,5),600),Baseline!$A$3:$A$122,0))-Inputs!$B$9,INDEX(Course!$N$2:$N$19,MATCH($B409,Course!$A$2:$A$19,0))),INDEX(Baseline!$B$3:$E$122,MATCH(MIN(MAX(ROUND(($F409)/5,0)*5,5),600),Baseline!$A$3:$A$122,0),MATCH($E409,Baseline!$B$2:$E$2,0))))))</f>
        <v/>
      </c>
      <c r="P409" s="17" t="str">
        <f aca="false">IF($B409="","",INDEX(Course!$N$2:$N$19,MATCH($B409,Course!$A$2:$A$19,0)))</f>
        <v/>
      </c>
      <c r="Q409" s="17" t="str">
        <f aca="false">IF($B409="","",INDEX(Course!$P$2:$P$19,MATCH($B409,Course!$A$2:$A$19,0)))</f>
        <v/>
      </c>
      <c r="R409" s="17" t="str">
        <f aca="false">IF($C409="","",IF(OR($C409="G",$C409="H"),0,IF($C409="T",1,MIN(1,MAX(0,($N409-Inputs!$B$8)/MAX($P409-Inputs!$B$8,0.01))))))</f>
        <v/>
      </c>
      <c r="S409" s="17" t="str">
        <f aca="false">IF($C409="","",IF(OR($E409="G",$E409="H"),0,IF($E409="T",1,MIN(1,MAX(0,($O409-Inputs!$B$8)/MAX($P409-Inputs!$B$8,0.01))))))</f>
        <v/>
      </c>
    </row>
    <row r="410" customFormat="false" ht="15" hidden="false" customHeight="false" outlineLevel="0" collapsed="false">
      <c r="I410" s="7" t="str">
        <f aca="false">IF($C410="","",IF($C410="G","PUTT",IF(AND($C410="T",$M410&gt;3),"OTT",IF($D410&lt;=30,"ARG","APP"))))</f>
        <v/>
      </c>
      <c r="J410" s="17" t="str">
        <f aca="false">IF($C410="","",$N410+$Q410*$R410)</f>
        <v/>
      </c>
      <c r="K410" s="17" t="str">
        <f aca="false">IF($C410="","",$O410+$Q410*$S410)</f>
        <v/>
      </c>
      <c r="L410" s="17" t="str">
        <f aca="false">IF($C410="","",$J410-$K410-1-N($G410))</f>
        <v/>
      </c>
      <c r="M410" s="7" t="str">
        <f aca="false">IF($B410="","",INDEX(Course!$B$2:$B$19,MATCH($B410,Course!$A$2:$A$19,0)))</f>
        <v/>
      </c>
      <c r="N410" s="17" t="str">
        <f aca="false">IF($C410="","",IF($C410="H",0,IF($C410="G",INDEX(Baseline!$I$3:$I$102,MIN(MAX(ROUND($D410,0),1),100)),IF($C410="T",IF($M410=3,INDEX(Baseline!$B$3:$B$122,MATCH(MIN(MAX(ROUND(($D410)/5,0)*5,5),600),Baseline!$A$3:$A$122,0))-Inputs!$B$9,INDEX(Course!$N$2:$N$19,MATCH($B410,Course!$A$2:$A$19,0))),INDEX(Baseline!$B$3:$E$122,MATCH(MIN(MAX(ROUND(($D410)/5,0)*5,5),600),Baseline!$A$3:$A$122,0),MATCH($C410,Baseline!$B$2:$E$2,0))))))</f>
        <v/>
      </c>
      <c r="O410" s="17" t="str">
        <f aca="false">IF($C410="","",IF($E410="H",0,IF($E410="G",INDEX(Baseline!$I$3:$I$102,MIN(MAX(ROUND($F410,0),1),100)),IF($E410="T",IF($M410=3,INDEX(Baseline!$B$3:$B$122,MATCH(MIN(MAX(ROUND(($F410)/5,0)*5,5),600),Baseline!$A$3:$A$122,0))-Inputs!$B$9,INDEX(Course!$N$2:$N$19,MATCH($B410,Course!$A$2:$A$19,0))),INDEX(Baseline!$B$3:$E$122,MATCH(MIN(MAX(ROUND(($F410)/5,0)*5,5),600),Baseline!$A$3:$A$122,0),MATCH($E410,Baseline!$B$2:$E$2,0))))))</f>
        <v/>
      </c>
      <c r="P410" s="17" t="str">
        <f aca="false">IF($B410="","",INDEX(Course!$N$2:$N$19,MATCH($B410,Course!$A$2:$A$19,0)))</f>
        <v/>
      </c>
      <c r="Q410" s="17" t="str">
        <f aca="false">IF($B410="","",INDEX(Course!$P$2:$P$19,MATCH($B410,Course!$A$2:$A$19,0)))</f>
        <v/>
      </c>
      <c r="R410" s="17" t="str">
        <f aca="false">IF($C410="","",IF(OR($C410="G",$C410="H"),0,IF($C410="T",1,MIN(1,MAX(0,($N410-Inputs!$B$8)/MAX($P410-Inputs!$B$8,0.01))))))</f>
        <v/>
      </c>
      <c r="S410" s="17" t="str">
        <f aca="false">IF($C410="","",IF(OR($E410="G",$E410="H"),0,IF($E410="T",1,MIN(1,MAX(0,($O410-Inputs!$B$8)/MAX($P410-Inputs!$B$8,0.01))))))</f>
        <v/>
      </c>
    </row>
    <row r="411" customFormat="false" ht="15" hidden="false" customHeight="false" outlineLevel="0" collapsed="false">
      <c r="I411" s="7" t="str">
        <f aca="false">IF($C411="","",IF($C411="G","PUTT",IF(AND($C411="T",$M411&gt;3),"OTT",IF($D411&lt;=30,"ARG","APP"))))</f>
        <v/>
      </c>
      <c r="J411" s="17" t="str">
        <f aca="false">IF($C411="","",$N411+$Q411*$R411)</f>
        <v/>
      </c>
      <c r="K411" s="17" t="str">
        <f aca="false">IF($C411="","",$O411+$Q411*$S411)</f>
        <v/>
      </c>
      <c r="L411" s="17" t="str">
        <f aca="false">IF($C411="","",$J411-$K411-1-N($G411))</f>
        <v/>
      </c>
      <c r="M411" s="7" t="str">
        <f aca="false">IF($B411="","",INDEX(Course!$B$2:$B$19,MATCH($B411,Course!$A$2:$A$19,0)))</f>
        <v/>
      </c>
      <c r="N411" s="17" t="str">
        <f aca="false">IF($C411="","",IF($C411="H",0,IF($C411="G",INDEX(Baseline!$I$3:$I$102,MIN(MAX(ROUND($D411,0),1),100)),IF($C411="T",IF($M411=3,INDEX(Baseline!$B$3:$B$122,MATCH(MIN(MAX(ROUND(($D411)/5,0)*5,5),600),Baseline!$A$3:$A$122,0))-Inputs!$B$9,INDEX(Course!$N$2:$N$19,MATCH($B411,Course!$A$2:$A$19,0))),INDEX(Baseline!$B$3:$E$122,MATCH(MIN(MAX(ROUND(($D411)/5,0)*5,5),600),Baseline!$A$3:$A$122,0),MATCH($C411,Baseline!$B$2:$E$2,0))))))</f>
        <v/>
      </c>
      <c r="O411" s="17" t="str">
        <f aca="false">IF($C411="","",IF($E411="H",0,IF($E411="G",INDEX(Baseline!$I$3:$I$102,MIN(MAX(ROUND($F411,0),1),100)),IF($E411="T",IF($M411=3,INDEX(Baseline!$B$3:$B$122,MATCH(MIN(MAX(ROUND(($F411)/5,0)*5,5),600),Baseline!$A$3:$A$122,0))-Inputs!$B$9,INDEX(Course!$N$2:$N$19,MATCH($B411,Course!$A$2:$A$19,0))),INDEX(Baseline!$B$3:$E$122,MATCH(MIN(MAX(ROUND(($F411)/5,0)*5,5),600),Baseline!$A$3:$A$122,0),MATCH($E411,Baseline!$B$2:$E$2,0))))))</f>
        <v/>
      </c>
      <c r="P411" s="17" t="str">
        <f aca="false">IF($B411="","",INDEX(Course!$N$2:$N$19,MATCH($B411,Course!$A$2:$A$19,0)))</f>
        <v/>
      </c>
      <c r="Q411" s="17" t="str">
        <f aca="false">IF($B411="","",INDEX(Course!$P$2:$P$19,MATCH($B411,Course!$A$2:$A$19,0)))</f>
        <v/>
      </c>
      <c r="R411" s="17" t="str">
        <f aca="false">IF($C411="","",IF(OR($C411="G",$C411="H"),0,IF($C411="T",1,MIN(1,MAX(0,($N411-Inputs!$B$8)/MAX($P411-Inputs!$B$8,0.01))))))</f>
        <v/>
      </c>
      <c r="S411" s="17" t="str">
        <f aca="false">IF($C411="","",IF(OR($E411="G",$E411="H"),0,IF($E411="T",1,MIN(1,MAX(0,($O411-Inputs!$B$8)/MAX($P411-Inputs!$B$8,0.01))))))</f>
        <v/>
      </c>
    </row>
    <row r="412" customFormat="false" ht="15" hidden="false" customHeight="false" outlineLevel="0" collapsed="false">
      <c r="I412" s="7" t="str">
        <f aca="false">IF($C412="","",IF($C412="G","PUTT",IF(AND($C412="T",$M412&gt;3),"OTT",IF($D412&lt;=30,"ARG","APP"))))</f>
        <v/>
      </c>
      <c r="J412" s="17" t="str">
        <f aca="false">IF($C412="","",$N412+$Q412*$R412)</f>
        <v/>
      </c>
      <c r="K412" s="17" t="str">
        <f aca="false">IF($C412="","",$O412+$Q412*$S412)</f>
        <v/>
      </c>
      <c r="L412" s="17" t="str">
        <f aca="false">IF($C412="","",$J412-$K412-1-N($G412))</f>
        <v/>
      </c>
      <c r="M412" s="7" t="str">
        <f aca="false">IF($B412="","",INDEX(Course!$B$2:$B$19,MATCH($B412,Course!$A$2:$A$19,0)))</f>
        <v/>
      </c>
      <c r="N412" s="17" t="str">
        <f aca="false">IF($C412="","",IF($C412="H",0,IF($C412="G",INDEX(Baseline!$I$3:$I$102,MIN(MAX(ROUND($D412,0),1),100)),IF($C412="T",IF($M412=3,INDEX(Baseline!$B$3:$B$122,MATCH(MIN(MAX(ROUND(($D412)/5,0)*5,5),600),Baseline!$A$3:$A$122,0))-Inputs!$B$9,INDEX(Course!$N$2:$N$19,MATCH($B412,Course!$A$2:$A$19,0))),INDEX(Baseline!$B$3:$E$122,MATCH(MIN(MAX(ROUND(($D412)/5,0)*5,5),600),Baseline!$A$3:$A$122,0),MATCH($C412,Baseline!$B$2:$E$2,0))))))</f>
        <v/>
      </c>
      <c r="O412" s="17" t="str">
        <f aca="false">IF($C412="","",IF($E412="H",0,IF($E412="G",INDEX(Baseline!$I$3:$I$102,MIN(MAX(ROUND($F412,0),1),100)),IF($E412="T",IF($M412=3,INDEX(Baseline!$B$3:$B$122,MATCH(MIN(MAX(ROUND(($F412)/5,0)*5,5),600),Baseline!$A$3:$A$122,0))-Inputs!$B$9,INDEX(Course!$N$2:$N$19,MATCH($B412,Course!$A$2:$A$19,0))),INDEX(Baseline!$B$3:$E$122,MATCH(MIN(MAX(ROUND(($F412)/5,0)*5,5),600),Baseline!$A$3:$A$122,0),MATCH($E412,Baseline!$B$2:$E$2,0))))))</f>
        <v/>
      </c>
      <c r="P412" s="17" t="str">
        <f aca="false">IF($B412="","",INDEX(Course!$N$2:$N$19,MATCH($B412,Course!$A$2:$A$19,0)))</f>
        <v/>
      </c>
      <c r="Q412" s="17" t="str">
        <f aca="false">IF($B412="","",INDEX(Course!$P$2:$P$19,MATCH($B412,Course!$A$2:$A$19,0)))</f>
        <v/>
      </c>
      <c r="R412" s="17" t="str">
        <f aca="false">IF($C412="","",IF(OR($C412="G",$C412="H"),0,IF($C412="T",1,MIN(1,MAX(0,($N412-Inputs!$B$8)/MAX($P412-Inputs!$B$8,0.01))))))</f>
        <v/>
      </c>
      <c r="S412" s="17" t="str">
        <f aca="false">IF($C412="","",IF(OR($E412="G",$E412="H"),0,IF($E412="T",1,MIN(1,MAX(0,($O412-Inputs!$B$8)/MAX($P412-Inputs!$B$8,0.01))))))</f>
        <v/>
      </c>
    </row>
    <row r="413" customFormat="false" ht="15" hidden="false" customHeight="false" outlineLevel="0" collapsed="false">
      <c r="I413" s="7" t="str">
        <f aca="false">IF($C413="","",IF($C413="G","PUTT",IF(AND($C413="T",$M413&gt;3),"OTT",IF($D413&lt;=30,"ARG","APP"))))</f>
        <v/>
      </c>
      <c r="J413" s="17" t="str">
        <f aca="false">IF($C413="","",$N413+$Q413*$R413)</f>
        <v/>
      </c>
      <c r="K413" s="17" t="str">
        <f aca="false">IF($C413="","",$O413+$Q413*$S413)</f>
        <v/>
      </c>
      <c r="L413" s="17" t="str">
        <f aca="false">IF($C413="","",$J413-$K413-1-N($G413))</f>
        <v/>
      </c>
      <c r="M413" s="7" t="str">
        <f aca="false">IF($B413="","",INDEX(Course!$B$2:$B$19,MATCH($B413,Course!$A$2:$A$19,0)))</f>
        <v/>
      </c>
      <c r="N413" s="17" t="str">
        <f aca="false">IF($C413="","",IF($C413="H",0,IF($C413="G",INDEX(Baseline!$I$3:$I$102,MIN(MAX(ROUND($D413,0),1),100)),IF($C413="T",IF($M413=3,INDEX(Baseline!$B$3:$B$122,MATCH(MIN(MAX(ROUND(($D413)/5,0)*5,5),600),Baseline!$A$3:$A$122,0))-Inputs!$B$9,INDEX(Course!$N$2:$N$19,MATCH($B413,Course!$A$2:$A$19,0))),INDEX(Baseline!$B$3:$E$122,MATCH(MIN(MAX(ROUND(($D413)/5,0)*5,5),600),Baseline!$A$3:$A$122,0),MATCH($C413,Baseline!$B$2:$E$2,0))))))</f>
        <v/>
      </c>
      <c r="O413" s="17" t="str">
        <f aca="false">IF($C413="","",IF($E413="H",0,IF($E413="G",INDEX(Baseline!$I$3:$I$102,MIN(MAX(ROUND($F413,0),1),100)),IF($E413="T",IF($M413=3,INDEX(Baseline!$B$3:$B$122,MATCH(MIN(MAX(ROUND(($F413)/5,0)*5,5),600),Baseline!$A$3:$A$122,0))-Inputs!$B$9,INDEX(Course!$N$2:$N$19,MATCH($B413,Course!$A$2:$A$19,0))),INDEX(Baseline!$B$3:$E$122,MATCH(MIN(MAX(ROUND(($F413)/5,0)*5,5),600),Baseline!$A$3:$A$122,0),MATCH($E413,Baseline!$B$2:$E$2,0))))))</f>
        <v/>
      </c>
      <c r="P413" s="17" t="str">
        <f aca="false">IF($B413="","",INDEX(Course!$N$2:$N$19,MATCH($B413,Course!$A$2:$A$19,0)))</f>
        <v/>
      </c>
      <c r="Q413" s="17" t="str">
        <f aca="false">IF($B413="","",INDEX(Course!$P$2:$P$19,MATCH($B413,Course!$A$2:$A$19,0)))</f>
        <v/>
      </c>
      <c r="R413" s="17" t="str">
        <f aca="false">IF($C413="","",IF(OR($C413="G",$C413="H"),0,IF($C413="T",1,MIN(1,MAX(0,($N413-Inputs!$B$8)/MAX($P413-Inputs!$B$8,0.01))))))</f>
        <v/>
      </c>
      <c r="S413" s="17" t="str">
        <f aca="false">IF($C413="","",IF(OR($E413="G",$E413="H"),0,IF($E413="T",1,MIN(1,MAX(0,($O413-Inputs!$B$8)/MAX($P413-Inputs!$B$8,0.01))))))</f>
        <v/>
      </c>
    </row>
    <row r="414" customFormat="false" ht="15" hidden="false" customHeight="false" outlineLevel="0" collapsed="false">
      <c r="I414" s="7" t="str">
        <f aca="false">IF($C414="","",IF($C414="G","PUTT",IF(AND($C414="T",$M414&gt;3),"OTT",IF($D414&lt;=30,"ARG","APP"))))</f>
        <v/>
      </c>
      <c r="J414" s="17" t="str">
        <f aca="false">IF($C414="","",$N414+$Q414*$R414)</f>
        <v/>
      </c>
      <c r="K414" s="17" t="str">
        <f aca="false">IF($C414="","",$O414+$Q414*$S414)</f>
        <v/>
      </c>
      <c r="L414" s="17" t="str">
        <f aca="false">IF($C414="","",$J414-$K414-1-N($G414))</f>
        <v/>
      </c>
      <c r="M414" s="7" t="str">
        <f aca="false">IF($B414="","",INDEX(Course!$B$2:$B$19,MATCH($B414,Course!$A$2:$A$19,0)))</f>
        <v/>
      </c>
      <c r="N414" s="17" t="str">
        <f aca="false">IF($C414="","",IF($C414="H",0,IF($C414="G",INDEX(Baseline!$I$3:$I$102,MIN(MAX(ROUND($D414,0),1),100)),IF($C414="T",IF($M414=3,INDEX(Baseline!$B$3:$B$122,MATCH(MIN(MAX(ROUND(($D414)/5,0)*5,5),600),Baseline!$A$3:$A$122,0))-Inputs!$B$9,INDEX(Course!$N$2:$N$19,MATCH($B414,Course!$A$2:$A$19,0))),INDEX(Baseline!$B$3:$E$122,MATCH(MIN(MAX(ROUND(($D414)/5,0)*5,5),600),Baseline!$A$3:$A$122,0),MATCH($C414,Baseline!$B$2:$E$2,0))))))</f>
        <v/>
      </c>
      <c r="O414" s="17" t="str">
        <f aca="false">IF($C414="","",IF($E414="H",0,IF($E414="G",INDEX(Baseline!$I$3:$I$102,MIN(MAX(ROUND($F414,0),1),100)),IF($E414="T",IF($M414=3,INDEX(Baseline!$B$3:$B$122,MATCH(MIN(MAX(ROUND(($F414)/5,0)*5,5),600),Baseline!$A$3:$A$122,0))-Inputs!$B$9,INDEX(Course!$N$2:$N$19,MATCH($B414,Course!$A$2:$A$19,0))),INDEX(Baseline!$B$3:$E$122,MATCH(MIN(MAX(ROUND(($F414)/5,0)*5,5),600),Baseline!$A$3:$A$122,0),MATCH($E414,Baseline!$B$2:$E$2,0))))))</f>
        <v/>
      </c>
      <c r="P414" s="17" t="str">
        <f aca="false">IF($B414="","",INDEX(Course!$N$2:$N$19,MATCH($B414,Course!$A$2:$A$19,0)))</f>
        <v/>
      </c>
      <c r="Q414" s="17" t="str">
        <f aca="false">IF($B414="","",INDEX(Course!$P$2:$P$19,MATCH($B414,Course!$A$2:$A$19,0)))</f>
        <v/>
      </c>
      <c r="R414" s="17" t="str">
        <f aca="false">IF($C414="","",IF(OR($C414="G",$C414="H"),0,IF($C414="T",1,MIN(1,MAX(0,($N414-Inputs!$B$8)/MAX($P414-Inputs!$B$8,0.01))))))</f>
        <v/>
      </c>
      <c r="S414" s="17" t="str">
        <f aca="false">IF($C414="","",IF(OR($E414="G",$E414="H"),0,IF($E414="T",1,MIN(1,MAX(0,($O414-Inputs!$B$8)/MAX($P414-Inputs!$B$8,0.01))))))</f>
        <v/>
      </c>
    </row>
    <row r="415" customFormat="false" ht="15" hidden="false" customHeight="false" outlineLevel="0" collapsed="false">
      <c r="I415" s="7" t="str">
        <f aca="false">IF($C415="","",IF($C415="G","PUTT",IF(AND($C415="T",$M415&gt;3),"OTT",IF($D415&lt;=30,"ARG","APP"))))</f>
        <v/>
      </c>
      <c r="J415" s="17" t="str">
        <f aca="false">IF($C415="","",$N415+$Q415*$R415)</f>
        <v/>
      </c>
      <c r="K415" s="17" t="str">
        <f aca="false">IF($C415="","",$O415+$Q415*$S415)</f>
        <v/>
      </c>
      <c r="L415" s="17" t="str">
        <f aca="false">IF($C415="","",$J415-$K415-1-N($G415))</f>
        <v/>
      </c>
      <c r="M415" s="7" t="str">
        <f aca="false">IF($B415="","",INDEX(Course!$B$2:$B$19,MATCH($B415,Course!$A$2:$A$19,0)))</f>
        <v/>
      </c>
      <c r="N415" s="17" t="str">
        <f aca="false">IF($C415="","",IF($C415="H",0,IF($C415="G",INDEX(Baseline!$I$3:$I$102,MIN(MAX(ROUND($D415,0),1),100)),IF($C415="T",IF($M415=3,INDEX(Baseline!$B$3:$B$122,MATCH(MIN(MAX(ROUND(($D415)/5,0)*5,5),600),Baseline!$A$3:$A$122,0))-Inputs!$B$9,INDEX(Course!$N$2:$N$19,MATCH($B415,Course!$A$2:$A$19,0))),INDEX(Baseline!$B$3:$E$122,MATCH(MIN(MAX(ROUND(($D415)/5,0)*5,5),600),Baseline!$A$3:$A$122,0),MATCH($C415,Baseline!$B$2:$E$2,0))))))</f>
        <v/>
      </c>
      <c r="O415" s="17" t="str">
        <f aca="false">IF($C415="","",IF($E415="H",0,IF($E415="G",INDEX(Baseline!$I$3:$I$102,MIN(MAX(ROUND($F415,0),1),100)),IF($E415="T",IF($M415=3,INDEX(Baseline!$B$3:$B$122,MATCH(MIN(MAX(ROUND(($F415)/5,0)*5,5),600),Baseline!$A$3:$A$122,0))-Inputs!$B$9,INDEX(Course!$N$2:$N$19,MATCH($B415,Course!$A$2:$A$19,0))),INDEX(Baseline!$B$3:$E$122,MATCH(MIN(MAX(ROUND(($F415)/5,0)*5,5),600),Baseline!$A$3:$A$122,0),MATCH($E415,Baseline!$B$2:$E$2,0))))))</f>
        <v/>
      </c>
      <c r="P415" s="17" t="str">
        <f aca="false">IF($B415="","",INDEX(Course!$N$2:$N$19,MATCH($B415,Course!$A$2:$A$19,0)))</f>
        <v/>
      </c>
      <c r="Q415" s="17" t="str">
        <f aca="false">IF($B415="","",INDEX(Course!$P$2:$P$19,MATCH($B415,Course!$A$2:$A$19,0)))</f>
        <v/>
      </c>
      <c r="R415" s="17" t="str">
        <f aca="false">IF($C415="","",IF(OR($C415="G",$C415="H"),0,IF($C415="T",1,MIN(1,MAX(0,($N415-Inputs!$B$8)/MAX($P415-Inputs!$B$8,0.01))))))</f>
        <v/>
      </c>
      <c r="S415" s="17" t="str">
        <f aca="false">IF($C415="","",IF(OR($E415="G",$E415="H"),0,IF($E415="T",1,MIN(1,MAX(0,($O415-Inputs!$B$8)/MAX($P415-Inputs!$B$8,0.01))))))</f>
        <v/>
      </c>
    </row>
    <row r="416" customFormat="false" ht="15" hidden="false" customHeight="false" outlineLevel="0" collapsed="false">
      <c r="I416" s="7" t="str">
        <f aca="false">IF($C416="","",IF($C416="G","PUTT",IF(AND($C416="T",$M416&gt;3),"OTT",IF($D416&lt;=30,"ARG","APP"))))</f>
        <v/>
      </c>
      <c r="J416" s="17" t="str">
        <f aca="false">IF($C416="","",$N416+$Q416*$R416)</f>
        <v/>
      </c>
      <c r="K416" s="17" t="str">
        <f aca="false">IF($C416="","",$O416+$Q416*$S416)</f>
        <v/>
      </c>
      <c r="L416" s="17" t="str">
        <f aca="false">IF($C416="","",$J416-$K416-1-N($G416))</f>
        <v/>
      </c>
      <c r="M416" s="7" t="str">
        <f aca="false">IF($B416="","",INDEX(Course!$B$2:$B$19,MATCH($B416,Course!$A$2:$A$19,0)))</f>
        <v/>
      </c>
      <c r="N416" s="17" t="str">
        <f aca="false">IF($C416="","",IF($C416="H",0,IF($C416="G",INDEX(Baseline!$I$3:$I$102,MIN(MAX(ROUND($D416,0),1),100)),IF($C416="T",IF($M416=3,INDEX(Baseline!$B$3:$B$122,MATCH(MIN(MAX(ROUND(($D416)/5,0)*5,5),600),Baseline!$A$3:$A$122,0))-Inputs!$B$9,INDEX(Course!$N$2:$N$19,MATCH($B416,Course!$A$2:$A$19,0))),INDEX(Baseline!$B$3:$E$122,MATCH(MIN(MAX(ROUND(($D416)/5,0)*5,5),600),Baseline!$A$3:$A$122,0),MATCH($C416,Baseline!$B$2:$E$2,0))))))</f>
        <v/>
      </c>
      <c r="O416" s="17" t="str">
        <f aca="false">IF($C416="","",IF($E416="H",0,IF($E416="G",INDEX(Baseline!$I$3:$I$102,MIN(MAX(ROUND($F416,0),1),100)),IF($E416="T",IF($M416=3,INDEX(Baseline!$B$3:$B$122,MATCH(MIN(MAX(ROUND(($F416)/5,0)*5,5),600),Baseline!$A$3:$A$122,0))-Inputs!$B$9,INDEX(Course!$N$2:$N$19,MATCH($B416,Course!$A$2:$A$19,0))),INDEX(Baseline!$B$3:$E$122,MATCH(MIN(MAX(ROUND(($F416)/5,0)*5,5),600),Baseline!$A$3:$A$122,0),MATCH($E416,Baseline!$B$2:$E$2,0))))))</f>
        <v/>
      </c>
      <c r="P416" s="17" t="str">
        <f aca="false">IF($B416="","",INDEX(Course!$N$2:$N$19,MATCH($B416,Course!$A$2:$A$19,0)))</f>
        <v/>
      </c>
      <c r="Q416" s="17" t="str">
        <f aca="false">IF($B416="","",INDEX(Course!$P$2:$P$19,MATCH($B416,Course!$A$2:$A$19,0)))</f>
        <v/>
      </c>
      <c r="R416" s="17" t="str">
        <f aca="false">IF($C416="","",IF(OR($C416="G",$C416="H"),0,IF($C416="T",1,MIN(1,MAX(0,($N416-Inputs!$B$8)/MAX($P416-Inputs!$B$8,0.01))))))</f>
        <v/>
      </c>
      <c r="S416" s="17" t="str">
        <f aca="false">IF($C416="","",IF(OR($E416="G",$E416="H"),0,IF($E416="T",1,MIN(1,MAX(0,($O416-Inputs!$B$8)/MAX($P416-Inputs!$B$8,0.01))))))</f>
        <v/>
      </c>
    </row>
    <row r="417" customFormat="false" ht="15" hidden="false" customHeight="false" outlineLevel="0" collapsed="false">
      <c r="I417" s="7" t="str">
        <f aca="false">IF($C417="","",IF($C417="G","PUTT",IF(AND($C417="T",$M417&gt;3),"OTT",IF($D417&lt;=30,"ARG","APP"))))</f>
        <v/>
      </c>
      <c r="J417" s="17" t="str">
        <f aca="false">IF($C417="","",$N417+$Q417*$R417)</f>
        <v/>
      </c>
      <c r="K417" s="17" t="str">
        <f aca="false">IF($C417="","",$O417+$Q417*$S417)</f>
        <v/>
      </c>
      <c r="L417" s="17" t="str">
        <f aca="false">IF($C417="","",$J417-$K417-1-N($G417))</f>
        <v/>
      </c>
      <c r="M417" s="7" t="str">
        <f aca="false">IF($B417="","",INDEX(Course!$B$2:$B$19,MATCH($B417,Course!$A$2:$A$19,0)))</f>
        <v/>
      </c>
      <c r="N417" s="17" t="str">
        <f aca="false">IF($C417="","",IF($C417="H",0,IF($C417="G",INDEX(Baseline!$I$3:$I$102,MIN(MAX(ROUND($D417,0),1),100)),IF($C417="T",IF($M417=3,INDEX(Baseline!$B$3:$B$122,MATCH(MIN(MAX(ROUND(($D417)/5,0)*5,5),600),Baseline!$A$3:$A$122,0))-Inputs!$B$9,INDEX(Course!$N$2:$N$19,MATCH($B417,Course!$A$2:$A$19,0))),INDEX(Baseline!$B$3:$E$122,MATCH(MIN(MAX(ROUND(($D417)/5,0)*5,5),600),Baseline!$A$3:$A$122,0),MATCH($C417,Baseline!$B$2:$E$2,0))))))</f>
        <v/>
      </c>
      <c r="O417" s="17" t="str">
        <f aca="false">IF($C417="","",IF($E417="H",0,IF($E417="G",INDEX(Baseline!$I$3:$I$102,MIN(MAX(ROUND($F417,0),1),100)),IF($E417="T",IF($M417=3,INDEX(Baseline!$B$3:$B$122,MATCH(MIN(MAX(ROUND(($F417)/5,0)*5,5),600),Baseline!$A$3:$A$122,0))-Inputs!$B$9,INDEX(Course!$N$2:$N$19,MATCH($B417,Course!$A$2:$A$19,0))),INDEX(Baseline!$B$3:$E$122,MATCH(MIN(MAX(ROUND(($F417)/5,0)*5,5),600),Baseline!$A$3:$A$122,0),MATCH($E417,Baseline!$B$2:$E$2,0))))))</f>
        <v/>
      </c>
      <c r="P417" s="17" t="str">
        <f aca="false">IF($B417="","",INDEX(Course!$N$2:$N$19,MATCH($B417,Course!$A$2:$A$19,0)))</f>
        <v/>
      </c>
      <c r="Q417" s="17" t="str">
        <f aca="false">IF($B417="","",INDEX(Course!$P$2:$P$19,MATCH($B417,Course!$A$2:$A$19,0)))</f>
        <v/>
      </c>
      <c r="R417" s="17" t="str">
        <f aca="false">IF($C417="","",IF(OR($C417="G",$C417="H"),0,IF($C417="T",1,MIN(1,MAX(0,($N417-Inputs!$B$8)/MAX($P417-Inputs!$B$8,0.01))))))</f>
        <v/>
      </c>
      <c r="S417" s="17" t="str">
        <f aca="false">IF($C417="","",IF(OR($E417="G",$E417="H"),0,IF($E417="T",1,MIN(1,MAX(0,($O417-Inputs!$B$8)/MAX($P417-Inputs!$B$8,0.01))))))</f>
        <v/>
      </c>
    </row>
    <row r="418" customFormat="false" ht="15" hidden="false" customHeight="false" outlineLevel="0" collapsed="false">
      <c r="I418" s="7" t="str">
        <f aca="false">IF($C418="","",IF($C418="G","PUTT",IF(AND($C418="T",$M418&gt;3),"OTT",IF($D418&lt;=30,"ARG","APP"))))</f>
        <v/>
      </c>
      <c r="J418" s="17" t="str">
        <f aca="false">IF($C418="","",$N418+$Q418*$R418)</f>
        <v/>
      </c>
      <c r="K418" s="17" t="str">
        <f aca="false">IF($C418="","",$O418+$Q418*$S418)</f>
        <v/>
      </c>
      <c r="L418" s="17" t="str">
        <f aca="false">IF($C418="","",$J418-$K418-1-N($G418))</f>
        <v/>
      </c>
      <c r="M418" s="7" t="str">
        <f aca="false">IF($B418="","",INDEX(Course!$B$2:$B$19,MATCH($B418,Course!$A$2:$A$19,0)))</f>
        <v/>
      </c>
      <c r="N418" s="17" t="str">
        <f aca="false">IF($C418="","",IF($C418="H",0,IF($C418="G",INDEX(Baseline!$I$3:$I$102,MIN(MAX(ROUND($D418,0),1),100)),IF($C418="T",IF($M418=3,INDEX(Baseline!$B$3:$B$122,MATCH(MIN(MAX(ROUND(($D418)/5,0)*5,5),600),Baseline!$A$3:$A$122,0))-Inputs!$B$9,INDEX(Course!$N$2:$N$19,MATCH($B418,Course!$A$2:$A$19,0))),INDEX(Baseline!$B$3:$E$122,MATCH(MIN(MAX(ROUND(($D418)/5,0)*5,5),600),Baseline!$A$3:$A$122,0),MATCH($C418,Baseline!$B$2:$E$2,0))))))</f>
        <v/>
      </c>
      <c r="O418" s="17" t="str">
        <f aca="false">IF($C418="","",IF($E418="H",0,IF($E418="G",INDEX(Baseline!$I$3:$I$102,MIN(MAX(ROUND($F418,0),1),100)),IF($E418="T",IF($M418=3,INDEX(Baseline!$B$3:$B$122,MATCH(MIN(MAX(ROUND(($F418)/5,0)*5,5),600),Baseline!$A$3:$A$122,0))-Inputs!$B$9,INDEX(Course!$N$2:$N$19,MATCH($B418,Course!$A$2:$A$19,0))),INDEX(Baseline!$B$3:$E$122,MATCH(MIN(MAX(ROUND(($F418)/5,0)*5,5),600),Baseline!$A$3:$A$122,0),MATCH($E418,Baseline!$B$2:$E$2,0))))))</f>
        <v/>
      </c>
      <c r="P418" s="17" t="str">
        <f aca="false">IF($B418="","",INDEX(Course!$N$2:$N$19,MATCH($B418,Course!$A$2:$A$19,0)))</f>
        <v/>
      </c>
      <c r="Q418" s="17" t="str">
        <f aca="false">IF($B418="","",INDEX(Course!$P$2:$P$19,MATCH($B418,Course!$A$2:$A$19,0)))</f>
        <v/>
      </c>
      <c r="R418" s="17" t="str">
        <f aca="false">IF($C418="","",IF(OR($C418="G",$C418="H"),0,IF($C418="T",1,MIN(1,MAX(0,($N418-Inputs!$B$8)/MAX($P418-Inputs!$B$8,0.01))))))</f>
        <v/>
      </c>
      <c r="S418" s="17" t="str">
        <f aca="false">IF($C418="","",IF(OR($E418="G",$E418="H"),0,IF($E418="T",1,MIN(1,MAX(0,($O418-Inputs!$B$8)/MAX($P418-Inputs!$B$8,0.01))))))</f>
        <v/>
      </c>
    </row>
    <row r="419" customFormat="false" ht="15" hidden="false" customHeight="false" outlineLevel="0" collapsed="false">
      <c r="I419" s="7" t="str">
        <f aca="false">IF($C419="","",IF($C419="G","PUTT",IF(AND($C419="T",$M419&gt;3),"OTT",IF($D419&lt;=30,"ARG","APP"))))</f>
        <v/>
      </c>
      <c r="J419" s="17" t="str">
        <f aca="false">IF($C419="","",$N419+$Q419*$R419)</f>
        <v/>
      </c>
      <c r="K419" s="17" t="str">
        <f aca="false">IF($C419="","",$O419+$Q419*$S419)</f>
        <v/>
      </c>
      <c r="L419" s="17" t="str">
        <f aca="false">IF($C419="","",$J419-$K419-1-N($G419))</f>
        <v/>
      </c>
      <c r="M419" s="7" t="str">
        <f aca="false">IF($B419="","",INDEX(Course!$B$2:$B$19,MATCH($B419,Course!$A$2:$A$19,0)))</f>
        <v/>
      </c>
      <c r="N419" s="17" t="str">
        <f aca="false">IF($C419="","",IF($C419="H",0,IF($C419="G",INDEX(Baseline!$I$3:$I$102,MIN(MAX(ROUND($D419,0),1),100)),IF($C419="T",IF($M419=3,INDEX(Baseline!$B$3:$B$122,MATCH(MIN(MAX(ROUND(($D419)/5,0)*5,5),600),Baseline!$A$3:$A$122,0))-Inputs!$B$9,INDEX(Course!$N$2:$N$19,MATCH($B419,Course!$A$2:$A$19,0))),INDEX(Baseline!$B$3:$E$122,MATCH(MIN(MAX(ROUND(($D419)/5,0)*5,5),600),Baseline!$A$3:$A$122,0),MATCH($C419,Baseline!$B$2:$E$2,0))))))</f>
        <v/>
      </c>
      <c r="O419" s="17" t="str">
        <f aca="false">IF($C419="","",IF($E419="H",0,IF($E419="G",INDEX(Baseline!$I$3:$I$102,MIN(MAX(ROUND($F419,0),1),100)),IF($E419="T",IF($M419=3,INDEX(Baseline!$B$3:$B$122,MATCH(MIN(MAX(ROUND(($F419)/5,0)*5,5),600),Baseline!$A$3:$A$122,0))-Inputs!$B$9,INDEX(Course!$N$2:$N$19,MATCH($B419,Course!$A$2:$A$19,0))),INDEX(Baseline!$B$3:$E$122,MATCH(MIN(MAX(ROUND(($F419)/5,0)*5,5),600),Baseline!$A$3:$A$122,0),MATCH($E419,Baseline!$B$2:$E$2,0))))))</f>
        <v/>
      </c>
      <c r="P419" s="17" t="str">
        <f aca="false">IF($B419="","",INDEX(Course!$N$2:$N$19,MATCH($B419,Course!$A$2:$A$19,0)))</f>
        <v/>
      </c>
      <c r="Q419" s="17" t="str">
        <f aca="false">IF($B419="","",INDEX(Course!$P$2:$P$19,MATCH($B419,Course!$A$2:$A$19,0)))</f>
        <v/>
      </c>
      <c r="R419" s="17" t="str">
        <f aca="false">IF($C419="","",IF(OR($C419="G",$C419="H"),0,IF($C419="T",1,MIN(1,MAX(0,($N419-Inputs!$B$8)/MAX($P419-Inputs!$B$8,0.01))))))</f>
        <v/>
      </c>
      <c r="S419" s="17" t="str">
        <f aca="false">IF($C419="","",IF(OR($E419="G",$E419="H"),0,IF($E419="T",1,MIN(1,MAX(0,($O419-Inputs!$B$8)/MAX($P419-Inputs!$B$8,0.01))))))</f>
        <v/>
      </c>
    </row>
    <row r="420" customFormat="false" ht="15" hidden="false" customHeight="false" outlineLevel="0" collapsed="false">
      <c r="I420" s="7" t="str">
        <f aca="false">IF($C420="","",IF($C420="G","PUTT",IF(AND($C420="T",$M420&gt;3),"OTT",IF($D420&lt;=30,"ARG","APP"))))</f>
        <v/>
      </c>
      <c r="J420" s="17" t="str">
        <f aca="false">IF($C420="","",$N420+$Q420*$R420)</f>
        <v/>
      </c>
      <c r="K420" s="17" t="str">
        <f aca="false">IF($C420="","",$O420+$Q420*$S420)</f>
        <v/>
      </c>
      <c r="L420" s="17" t="str">
        <f aca="false">IF($C420="","",$J420-$K420-1-N($G420))</f>
        <v/>
      </c>
      <c r="M420" s="7" t="str">
        <f aca="false">IF($B420="","",INDEX(Course!$B$2:$B$19,MATCH($B420,Course!$A$2:$A$19,0)))</f>
        <v/>
      </c>
      <c r="N420" s="17" t="str">
        <f aca="false">IF($C420="","",IF($C420="H",0,IF($C420="G",INDEX(Baseline!$I$3:$I$102,MIN(MAX(ROUND($D420,0),1),100)),IF($C420="T",IF($M420=3,INDEX(Baseline!$B$3:$B$122,MATCH(MIN(MAX(ROUND(($D420)/5,0)*5,5),600),Baseline!$A$3:$A$122,0))-Inputs!$B$9,INDEX(Course!$N$2:$N$19,MATCH($B420,Course!$A$2:$A$19,0))),INDEX(Baseline!$B$3:$E$122,MATCH(MIN(MAX(ROUND(($D420)/5,0)*5,5),600),Baseline!$A$3:$A$122,0),MATCH($C420,Baseline!$B$2:$E$2,0))))))</f>
        <v/>
      </c>
      <c r="O420" s="17" t="str">
        <f aca="false">IF($C420="","",IF($E420="H",0,IF($E420="G",INDEX(Baseline!$I$3:$I$102,MIN(MAX(ROUND($F420,0),1),100)),IF($E420="T",IF($M420=3,INDEX(Baseline!$B$3:$B$122,MATCH(MIN(MAX(ROUND(($F420)/5,0)*5,5),600),Baseline!$A$3:$A$122,0))-Inputs!$B$9,INDEX(Course!$N$2:$N$19,MATCH($B420,Course!$A$2:$A$19,0))),INDEX(Baseline!$B$3:$E$122,MATCH(MIN(MAX(ROUND(($F420)/5,0)*5,5),600),Baseline!$A$3:$A$122,0),MATCH($E420,Baseline!$B$2:$E$2,0))))))</f>
        <v/>
      </c>
      <c r="P420" s="17" t="str">
        <f aca="false">IF($B420="","",INDEX(Course!$N$2:$N$19,MATCH($B420,Course!$A$2:$A$19,0)))</f>
        <v/>
      </c>
      <c r="Q420" s="17" t="str">
        <f aca="false">IF($B420="","",INDEX(Course!$P$2:$P$19,MATCH($B420,Course!$A$2:$A$19,0)))</f>
        <v/>
      </c>
      <c r="R420" s="17" t="str">
        <f aca="false">IF($C420="","",IF(OR($C420="G",$C420="H"),0,IF($C420="T",1,MIN(1,MAX(0,($N420-Inputs!$B$8)/MAX($P420-Inputs!$B$8,0.01))))))</f>
        <v/>
      </c>
      <c r="S420" s="17" t="str">
        <f aca="false">IF($C420="","",IF(OR($E420="G",$E420="H"),0,IF($E420="T",1,MIN(1,MAX(0,($O420-Inputs!$B$8)/MAX($P420-Inputs!$B$8,0.01))))))</f>
        <v/>
      </c>
    </row>
    <row r="421" customFormat="false" ht="15" hidden="false" customHeight="false" outlineLevel="0" collapsed="false">
      <c r="I421" s="7" t="str">
        <f aca="false">IF($C421="","",IF($C421="G","PUTT",IF(AND($C421="T",$M421&gt;3),"OTT",IF($D421&lt;=30,"ARG","APP"))))</f>
        <v/>
      </c>
      <c r="J421" s="17" t="str">
        <f aca="false">IF($C421="","",$N421+$Q421*$R421)</f>
        <v/>
      </c>
      <c r="K421" s="17" t="str">
        <f aca="false">IF($C421="","",$O421+$Q421*$S421)</f>
        <v/>
      </c>
      <c r="L421" s="17" t="str">
        <f aca="false">IF($C421="","",$J421-$K421-1-N($G421))</f>
        <v/>
      </c>
      <c r="M421" s="7" t="str">
        <f aca="false">IF($B421="","",INDEX(Course!$B$2:$B$19,MATCH($B421,Course!$A$2:$A$19,0)))</f>
        <v/>
      </c>
      <c r="N421" s="17" t="str">
        <f aca="false">IF($C421="","",IF($C421="H",0,IF($C421="G",INDEX(Baseline!$I$3:$I$102,MIN(MAX(ROUND($D421,0),1),100)),IF($C421="T",IF($M421=3,INDEX(Baseline!$B$3:$B$122,MATCH(MIN(MAX(ROUND(($D421)/5,0)*5,5),600),Baseline!$A$3:$A$122,0))-Inputs!$B$9,INDEX(Course!$N$2:$N$19,MATCH($B421,Course!$A$2:$A$19,0))),INDEX(Baseline!$B$3:$E$122,MATCH(MIN(MAX(ROUND(($D421)/5,0)*5,5),600),Baseline!$A$3:$A$122,0),MATCH($C421,Baseline!$B$2:$E$2,0))))))</f>
        <v/>
      </c>
      <c r="O421" s="17" t="str">
        <f aca="false">IF($C421="","",IF($E421="H",0,IF($E421="G",INDEX(Baseline!$I$3:$I$102,MIN(MAX(ROUND($F421,0),1),100)),IF($E421="T",IF($M421=3,INDEX(Baseline!$B$3:$B$122,MATCH(MIN(MAX(ROUND(($F421)/5,0)*5,5),600),Baseline!$A$3:$A$122,0))-Inputs!$B$9,INDEX(Course!$N$2:$N$19,MATCH($B421,Course!$A$2:$A$19,0))),INDEX(Baseline!$B$3:$E$122,MATCH(MIN(MAX(ROUND(($F421)/5,0)*5,5),600),Baseline!$A$3:$A$122,0),MATCH($E421,Baseline!$B$2:$E$2,0))))))</f>
        <v/>
      </c>
      <c r="P421" s="17" t="str">
        <f aca="false">IF($B421="","",INDEX(Course!$N$2:$N$19,MATCH($B421,Course!$A$2:$A$19,0)))</f>
        <v/>
      </c>
      <c r="Q421" s="17" t="str">
        <f aca="false">IF($B421="","",INDEX(Course!$P$2:$P$19,MATCH($B421,Course!$A$2:$A$19,0)))</f>
        <v/>
      </c>
      <c r="R421" s="17" t="str">
        <f aca="false">IF($C421="","",IF(OR($C421="G",$C421="H"),0,IF($C421="T",1,MIN(1,MAX(0,($N421-Inputs!$B$8)/MAX($P421-Inputs!$B$8,0.01))))))</f>
        <v/>
      </c>
      <c r="S421" s="17" t="str">
        <f aca="false">IF($C421="","",IF(OR($E421="G",$E421="H"),0,IF($E421="T",1,MIN(1,MAX(0,($O421-Inputs!$B$8)/MAX($P421-Inputs!$B$8,0.01))))))</f>
        <v/>
      </c>
    </row>
    <row r="422" customFormat="false" ht="15" hidden="false" customHeight="false" outlineLevel="0" collapsed="false">
      <c r="I422" s="7" t="str">
        <f aca="false">IF($C422="","",IF($C422="G","PUTT",IF(AND($C422="T",$M422&gt;3),"OTT",IF($D422&lt;=30,"ARG","APP"))))</f>
        <v/>
      </c>
      <c r="J422" s="17" t="str">
        <f aca="false">IF($C422="","",$N422+$Q422*$R422)</f>
        <v/>
      </c>
      <c r="K422" s="17" t="str">
        <f aca="false">IF($C422="","",$O422+$Q422*$S422)</f>
        <v/>
      </c>
      <c r="L422" s="17" t="str">
        <f aca="false">IF($C422="","",$J422-$K422-1-N($G422))</f>
        <v/>
      </c>
      <c r="M422" s="7" t="str">
        <f aca="false">IF($B422="","",INDEX(Course!$B$2:$B$19,MATCH($B422,Course!$A$2:$A$19,0)))</f>
        <v/>
      </c>
      <c r="N422" s="17" t="str">
        <f aca="false">IF($C422="","",IF($C422="H",0,IF($C422="G",INDEX(Baseline!$I$3:$I$102,MIN(MAX(ROUND($D422,0),1),100)),IF($C422="T",IF($M422=3,INDEX(Baseline!$B$3:$B$122,MATCH(MIN(MAX(ROUND(($D422)/5,0)*5,5),600),Baseline!$A$3:$A$122,0))-Inputs!$B$9,INDEX(Course!$N$2:$N$19,MATCH($B422,Course!$A$2:$A$19,0))),INDEX(Baseline!$B$3:$E$122,MATCH(MIN(MAX(ROUND(($D422)/5,0)*5,5),600),Baseline!$A$3:$A$122,0),MATCH($C422,Baseline!$B$2:$E$2,0))))))</f>
        <v/>
      </c>
      <c r="O422" s="17" t="str">
        <f aca="false">IF($C422="","",IF($E422="H",0,IF($E422="G",INDEX(Baseline!$I$3:$I$102,MIN(MAX(ROUND($F422,0),1),100)),IF($E422="T",IF($M422=3,INDEX(Baseline!$B$3:$B$122,MATCH(MIN(MAX(ROUND(($F422)/5,0)*5,5),600),Baseline!$A$3:$A$122,0))-Inputs!$B$9,INDEX(Course!$N$2:$N$19,MATCH($B422,Course!$A$2:$A$19,0))),INDEX(Baseline!$B$3:$E$122,MATCH(MIN(MAX(ROUND(($F422)/5,0)*5,5),600),Baseline!$A$3:$A$122,0),MATCH($E422,Baseline!$B$2:$E$2,0))))))</f>
        <v/>
      </c>
      <c r="P422" s="17" t="str">
        <f aca="false">IF($B422="","",INDEX(Course!$N$2:$N$19,MATCH($B422,Course!$A$2:$A$19,0)))</f>
        <v/>
      </c>
      <c r="Q422" s="17" t="str">
        <f aca="false">IF($B422="","",INDEX(Course!$P$2:$P$19,MATCH($B422,Course!$A$2:$A$19,0)))</f>
        <v/>
      </c>
      <c r="R422" s="17" t="str">
        <f aca="false">IF($C422="","",IF(OR($C422="G",$C422="H"),0,IF($C422="T",1,MIN(1,MAX(0,($N422-Inputs!$B$8)/MAX($P422-Inputs!$B$8,0.01))))))</f>
        <v/>
      </c>
      <c r="S422" s="17" t="str">
        <f aca="false">IF($C422="","",IF(OR($E422="G",$E422="H"),0,IF($E422="T",1,MIN(1,MAX(0,($O422-Inputs!$B$8)/MAX($P422-Inputs!$B$8,0.01))))))</f>
        <v/>
      </c>
    </row>
    <row r="423" customFormat="false" ht="15" hidden="false" customHeight="false" outlineLevel="0" collapsed="false">
      <c r="I423" s="7" t="str">
        <f aca="false">IF($C423="","",IF($C423="G","PUTT",IF(AND($C423="T",$M423&gt;3),"OTT",IF($D423&lt;=30,"ARG","APP"))))</f>
        <v/>
      </c>
      <c r="J423" s="17" t="str">
        <f aca="false">IF($C423="","",$N423+$Q423*$R423)</f>
        <v/>
      </c>
      <c r="K423" s="17" t="str">
        <f aca="false">IF($C423="","",$O423+$Q423*$S423)</f>
        <v/>
      </c>
      <c r="L423" s="17" t="str">
        <f aca="false">IF($C423="","",$J423-$K423-1-N($G423))</f>
        <v/>
      </c>
      <c r="M423" s="7" t="str">
        <f aca="false">IF($B423="","",INDEX(Course!$B$2:$B$19,MATCH($B423,Course!$A$2:$A$19,0)))</f>
        <v/>
      </c>
      <c r="N423" s="17" t="str">
        <f aca="false">IF($C423="","",IF($C423="H",0,IF($C423="G",INDEX(Baseline!$I$3:$I$102,MIN(MAX(ROUND($D423,0),1),100)),IF($C423="T",IF($M423=3,INDEX(Baseline!$B$3:$B$122,MATCH(MIN(MAX(ROUND(($D423)/5,0)*5,5),600),Baseline!$A$3:$A$122,0))-Inputs!$B$9,INDEX(Course!$N$2:$N$19,MATCH($B423,Course!$A$2:$A$19,0))),INDEX(Baseline!$B$3:$E$122,MATCH(MIN(MAX(ROUND(($D423)/5,0)*5,5),600),Baseline!$A$3:$A$122,0),MATCH($C423,Baseline!$B$2:$E$2,0))))))</f>
        <v/>
      </c>
      <c r="O423" s="17" t="str">
        <f aca="false">IF($C423="","",IF($E423="H",0,IF($E423="G",INDEX(Baseline!$I$3:$I$102,MIN(MAX(ROUND($F423,0),1),100)),IF($E423="T",IF($M423=3,INDEX(Baseline!$B$3:$B$122,MATCH(MIN(MAX(ROUND(($F423)/5,0)*5,5),600),Baseline!$A$3:$A$122,0))-Inputs!$B$9,INDEX(Course!$N$2:$N$19,MATCH($B423,Course!$A$2:$A$19,0))),INDEX(Baseline!$B$3:$E$122,MATCH(MIN(MAX(ROUND(($F423)/5,0)*5,5),600),Baseline!$A$3:$A$122,0),MATCH($E423,Baseline!$B$2:$E$2,0))))))</f>
        <v/>
      </c>
      <c r="P423" s="17" t="str">
        <f aca="false">IF($B423="","",INDEX(Course!$N$2:$N$19,MATCH($B423,Course!$A$2:$A$19,0)))</f>
        <v/>
      </c>
      <c r="Q423" s="17" t="str">
        <f aca="false">IF($B423="","",INDEX(Course!$P$2:$P$19,MATCH($B423,Course!$A$2:$A$19,0)))</f>
        <v/>
      </c>
      <c r="R423" s="17" t="str">
        <f aca="false">IF($C423="","",IF(OR($C423="G",$C423="H"),0,IF($C423="T",1,MIN(1,MAX(0,($N423-Inputs!$B$8)/MAX($P423-Inputs!$B$8,0.01))))))</f>
        <v/>
      </c>
      <c r="S423" s="17" t="str">
        <f aca="false">IF($C423="","",IF(OR($E423="G",$E423="H"),0,IF($E423="T",1,MIN(1,MAX(0,($O423-Inputs!$B$8)/MAX($P423-Inputs!$B$8,0.01))))))</f>
        <v/>
      </c>
    </row>
    <row r="424" customFormat="false" ht="15" hidden="false" customHeight="false" outlineLevel="0" collapsed="false">
      <c r="I424" s="7" t="str">
        <f aca="false">IF($C424="","",IF($C424="G","PUTT",IF(AND($C424="T",$M424&gt;3),"OTT",IF($D424&lt;=30,"ARG","APP"))))</f>
        <v/>
      </c>
      <c r="J424" s="17" t="str">
        <f aca="false">IF($C424="","",$N424+$Q424*$R424)</f>
        <v/>
      </c>
      <c r="K424" s="17" t="str">
        <f aca="false">IF($C424="","",$O424+$Q424*$S424)</f>
        <v/>
      </c>
      <c r="L424" s="17" t="str">
        <f aca="false">IF($C424="","",$J424-$K424-1-N($G424))</f>
        <v/>
      </c>
      <c r="M424" s="7" t="str">
        <f aca="false">IF($B424="","",INDEX(Course!$B$2:$B$19,MATCH($B424,Course!$A$2:$A$19,0)))</f>
        <v/>
      </c>
      <c r="N424" s="17" t="str">
        <f aca="false">IF($C424="","",IF($C424="H",0,IF($C424="G",INDEX(Baseline!$I$3:$I$102,MIN(MAX(ROUND($D424,0),1),100)),IF($C424="T",IF($M424=3,INDEX(Baseline!$B$3:$B$122,MATCH(MIN(MAX(ROUND(($D424)/5,0)*5,5),600),Baseline!$A$3:$A$122,0))-Inputs!$B$9,INDEX(Course!$N$2:$N$19,MATCH($B424,Course!$A$2:$A$19,0))),INDEX(Baseline!$B$3:$E$122,MATCH(MIN(MAX(ROUND(($D424)/5,0)*5,5),600),Baseline!$A$3:$A$122,0),MATCH($C424,Baseline!$B$2:$E$2,0))))))</f>
        <v/>
      </c>
      <c r="O424" s="17" t="str">
        <f aca="false">IF($C424="","",IF($E424="H",0,IF($E424="G",INDEX(Baseline!$I$3:$I$102,MIN(MAX(ROUND($F424,0),1),100)),IF($E424="T",IF($M424=3,INDEX(Baseline!$B$3:$B$122,MATCH(MIN(MAX(ROUND(($F424)/5,0)*5,5),600),Baseline!$A$3:$A$122,0))-Inputs!$B$9,INDEX(Course!$N$2:$N$19,MATCH($B424,Course!$A$2:$A$19,0))),INDEX(Baseline!$B$3:$E$122,MATCH(MIN(MAX(ROUND(($F424)/5,0)*5,5),600),Baseline!$A$3:$A$122,0),MATCH($E424,Baseline!$B$2:$E$2,0))))))</f>
        <v/>
      </c>
      <c r="P424" s="17" t="str">
        <f aca="false">IF($B424="","",INDEX(Course!$N$2:$N$19,MATCH($B424,Course!$A$2:$A$19,0)))</f>
        <v/>
      </c>
      <c r="Q424" s="17" t="str">
        <f aca="false">IF($B424="","",INDEX(Course!$P$2:$P$19,MATCH($B424,Course!$A$2:$A$19,0)))</f>
        <v/>
      </c>
      <c r="R424" s="17" t="str">
        <f aca="false">IF($C424="","",IF(OR($C424="G",$C424="H"),0,IF($C424="T",1,MIN(1,MAX(0,($N424-Inputs!$B$8)/MAX($P424-Inputs!$B$8,0.01))))))</f>
        <v/>
      </c>
      <c r="S424" s="17" t="str">
        <f aca="false">IF($C424="","",IF(OR($E424="G",$E424="H"),0,IF($E424="T",1,MIN(1,MAX(0,($O424-Inputs!$B$8)/MAX($P424-Inputs!$B$8,0.01))))))</f>
        <v/>
      </c>
    </row>
    <row r="425" customFormat="false" ht="15" hidden="false" customHeight="false" outlineLevel="0" collapsed="false">
      <c r="I425" s="7" t="str">
        <f aca="false">IF($C425="","",IF($C425="G","PUTT",IF(AND($C425="T",$M425&gt;3),"OTT",IF($D425&lt;=30,"ARG","APP"))))</f>
        <v/>
      </c>
      <c r="J425" s="17" t="str">
        <f aca="false">IF($C425="","",$N425+$Q425*$R425)</f>
        <v/>
      </c>
      <c r="K425" s="17" t="str">
        <f aca="false">IF($C425="","",$O425+$Q425*$S425)</f>
        <v/>
      </c>
      <c r="L425" s="17" t="str">
        <f aca="false">IF($C425="","",$J425-$K425-1-N($G425))</f>
        <v/>
      </c>
      <c r="M425" s="7" t="str">
        <f aca="false">IF($B425="","",INDEX(Course!$B$2:$B$19,MATCH($B425,Course!$A$2:$A$19,0)))</f>
        <v/>
      </c>
      <c r="N425" s="17" t="str">
        <f aca="false">IF($C425="","",IF($C425="H",0,IF($C425="G",INDEX(Baseline!$I$3:$I$102,MIN(MAX(ROUND($D425,0),1),100)),IF($C425="T",IF($M425=3,INDEX(Baseline!$B$3:$B$122,MATCH(MIN(MAX(ROUND(($D425)/5,0)*5,5),600),Baseline!$A$3:$A$122,0))-Inputs!$B$9,INDEX(Course!$N$2:$N$19,MATCH($B425,Course!$A$2:$A$19,0))),INDEX(Baseline!$B$3:$E$122,MATCH(MIN(MAX(ROUND(($D425)/5,0)*5,5),600),Baseline!$A$3:$A$122,0),MATCH($C425,Baseline!$B$2:$E$2,0))))))</f>
        <v/>
      </c>
      <c r="O425" s="17" t="str">
        <f aca="false">IF($C425="","",IF($E425="H",0,IF($E425="G",INDEX(Baseline!$I$3:$I$102,MIN(MAX(ROUND($F425,0),1),100)),IF($E425="T",IF($M425=3,INDEX(Baseline!$B$3:$B$122,MATCH(MIN(MAX(ROUND(($F425)/5,0)*5,5),600),Baseline!$A$3:$A$122,0))-Inputs!$B$9,INDEX(Course!$N$2:$N$19,MATCH($B425,Course!$A$2:$A$19,0))),INDEX(Baseline!$B$3:$E$122,MATCH(MIN(MAX(ROUND(($F425)/5,0)*5,5),600),Baseline!$A$3:$A$122,0),MATCH($E425,Baseline!$B$2:$E$2,0))))))</f>
        <v/>
      </c>
      <c r="P425" s="17" t="str">
        <f aca="false">IF($B425="","",INDEX(Course!$N$2:$N$19,MATCH($B425,Course!$A$2:$A$19,0)))</f>
        <v/>
      </c>
      <c r="Q425" s="17" t="str">
        <f aca="false">IF($B425="","",INDEX(Course!$P$2:$P$19,MATCH($B425,Course!$A$2:$A$19,0)))</f>
        <v/>
      </c>
      <c r="R425" s="17" t="str">
        <f aca="false">IF($C425="","",IF(OR($C425="G",$C425="H"),0,IF($C425="T",1,MIN(1,MAX(0,($N425-Inputs!$B$8)/MAX($P425-Inputs!$B$8,0.01))))))</f>
        <v/>
      </c>
      <c r="S425" s="17" t="str">
        <f aca="false">IF($C425="","",IF(OR($E425="G",$E425="H"),0,IF($E425="T",1,MIN(1,MAX(0,($O425-Inputs!$B$8)/MAX($P425-Inputs!$B$8,0.01))))))</f>
        <v/>
      </c>
    </row>
    <row r="426" customFormat="false" ht="15" hidden="false" customHeight="false" outlineLevel="0" collapsed="false">
      <c r="I426" s="7" t="str">
        <f aca="false">IF($C426="","",IF($C426="G","PUTT",IF(AND($C426="T",$M426&gt;3),"OTT",IF($D426&lt;=30,"ARG","APP"))))</f>
        <v/>
      </c>
      <c r="J426" s="17" t="str">
        <f aca="false">IF($C426="","",$N426+$Q426*$R426)</f>
        <v/>
      </c>
      <c r="K426" s="17" t="str">
        <f aca="false">IF($C426="","",$O426+$Q426*$S426)</f>
        <v/>
      </c>
      <c r="L426" s="17" t="str">
        <f aca="false">IF($C426="","",$J426-$K426-1-N($G426))</f>
        <v/>
      </c>
      <c r="M426" s="7" t="str">
        <f aca="false">IF($B426="","",INDEX(Course!$B$2:$B$19,MATCH($B426,Course!$A$2:$A$19,0)))</f>
        <v/>
      </c>
      <c r="N426" s="17" t="str">
        <f aca="false">IF($C426="","",IF($C426="H",0,IF($C426="G",INDEX(Baseline!$I$3:$I$102,MIN(MAX(ROUND($D426,0),1),100)),IF($C426="T",IF($M426=3,INDEX(Baseline!$B$3:$B$122,MATCH(MIN(MAX(ROUND(($D426)/5,0)*5,5),600),Baseline!$A$3:$A$122,0))-Inputs!$B$9,INDEX(Course!$N$2:$N$19,MATCH($B426,Course!$A$2:$A$19,0))),INDEX(Baseline!$B$3:$E$122,MATCH(MIN(MAX(ROUND(($D426)/5,0)*5,5),600),Baseline!$A$3:$A$122,0),MATCH($C426,Baseline!$B$2:$E$2,0))))))</f>
        <v/>
      </c>
      <c r="O426" s="17" t="str">
        <f aca="false">IF($C426="","",IF($E426="H",0,IF($E426="G",INDEX(Baseline!$I$3:$I$102,MIN(MAX(ROUND($F426,0),1),100)),IF($E426="T",IF($M426=3,INDEX(Baseline!$B$3:$B$122,MATCH(MIN(MAX(ROUND(($F426)/5,0)*5,5),600),Baseline!$A$3:$A$122,0))-Inputs!$B$9,INDEX(Course!$N$2:$N$19,MATCH($B426,Course!$A$2:$A$19,0))),INDEX(Baseline!$B$3:$E$122,MATCH(MIN(MAX(ROUND(($F426)/5,0)*5,5),600),Baseline!$A$3:$A$122,0),MATCH($E426,Baseline!$B$2:$E$2,0))))))</f>
        <v/>
      </c>
      <c r="P426" s="17" t="str">
        <f aca="false">IF($B426="","",INDEX(Course!$N$2:$N$19,MATCH($B426,Course!$A$2:$A$19,0)))</f>
        <v/>
      </c>
      <c r="Q426" s="17" t="str">
        <f aca="false">IF($B426="","",INDEX(Course!$P$2:$P$19,MATCH($B426,Course!$A$2:$A$19,0)))</f>
        <v/>
      </c>
      <c r="R426" s="17" t="str">
        <f aca="false">IF($C426="","",IF(OR($C426="G",$C426="H"),0,IF($C426="T",1,MIN(1,MAX(0,($N426-Inputs!$B$8)/MAX($P426-Inputs!$B$8,0.01))))))</f>
        <v/>
      </c>
      <c r="S426" s="17" t="str">
        <f aca="false">IF($C426="","",IF(OR($E426="G",$E426="H"),0,IF($E426="T",1,MIN(1,MAX(0,($O426-Inputs!$B$8)/MAX($P426-Inputs!$B$8,0.01))))))</f>
        <v/>
      </c>
    </row>
    <row r="427" customFormat="false" ht="15" hidden="false" customHeight="false" outlineLevel="0" collapsed="false">
      <c r="I427" s="7" t="str">
        <f aca="false">IF($C427="","",IF($C427="G","PUTT",IF(AND($C427="T",$M427&gt;3),"OTT",IF($D427&lt;=30,"ARG","APP"))))</f>
        <v/>
      </c>
      <c r="J427" s="17" t="str">
        <f aca="false">IF($C427="","",$N427+$Q427*$R427)</f>
        <v/>
      </c>
      <c r="K427" s="17" t="str">
        <f aca="false">IF($C427="","",$O427+$Q427*$S427)</f>
        <v/>
      </c>
      <c r="L427" s="17" t="str">
        <f aca="false">IF($C427="","",$J427-$K427-1-N($G427))</f>
        <v/>
      </c>
      <c r="M427" s="7" t="str">
        <f aca="false">IF($B427="","",INDEX(Course!$B$2:$B$19,MATCH($B427,Course!$A$2:$A$19,0)))</f>
        <v/>
      </c>
      <c r="N427" s="17" t="str">
        <f aca="false">IF($C427="","",IF($C427="H",0,IF($C427="G",INDEX(Baseline!$I$3:$I$102,MIN(MAX(ROUND($D427,0),1),100)),IF($C427="T",IF($M427=3,INDEX(Baseline!$B$3:$B$122,MATCH(MIN(MAX(ROUND(($D427)/5,0)*5,5),600),Baseline!$A$3:$A$122,0))-Inputs!$B$9,INDEX(Course!$N$2:$N$19,MATCH($B427,Course!$A$2:$A$19,0))),INDEX(Baseline!$B$3:$E$122,MATCH(MIN(MAX(ROUND(($D427)/5,0)*5,5),600),Baseline!$A$3:$A$122,0),MATCH($C427,Baseline!$B$2:$E$2,0))))))</f>
        <v/>
      </c>
      <c r="O427" s="17" t="str">
        <f aca="false">IF($C427="","",IF($E427="H",0,IF($E427="G",INDEX(Baseline!$I$3:$I$102,MIN(MAX(ROUND($F427,0),1),100)),IF($E427="T",IF($M427=3,INDEX(Baseline!$B$3:$B$122,MATCH(MIN(MAX(ROUND(($F427)/5,0)*5,5),600),Baseline!$A$3:$A$122,0))-Inputs!$B$9,INDEX(Course!$N$2:$N$19,MATCH($B427,Course!$A$2:$A$19,0))),INDEX(Baseline!$B$3:$E$122,MATCH(MIN(MAX(ROUND(($F427)/5,0)*5,5),600),Baseline!$A$3:$A$122,0),MATCH($E427,Baseline!$B$2:$E$2,0))))))</f>
        <v/>
      </c>
      <c r="P427" s="17" t="str">
        <f aca="false">IF($B427="","",INDEX(Course!$N$2:$N$19,MATCH($B427,Course!$A$2:$A$19,0)))</f>
        <v/>
      </c>
      <c r="Q427" s="17" t="str">
        <f aca="false">IF($B427="","",INDEX(Course!$P$2:$P$19,MATCH($B427,Course!$A$2:$A$19,0)))</f>
        <v/>
      </c>
      <c r="R427" s="17" t="str">
        <f aca="false">IF($C427="","",IF(OR($C427="G",$C427="H"),0,IF($C427="T",1,MIN(1,MAX(0,($N427-Inputs!$B$8)/MAX($P427-Inputs!$B$8,0.01))))))</f>
        <v/>
      </c>
      <c r="S427" s="17" t="str">
        <f aca="false">IF($C427="","",IF(OR($E427="G",$E427="H"),0,IF($E427="T",1,MIN(1,MAX(0,($O427-Inputs!$B$8)/MAX($P427-Inputs!$B$8,0.01))))))</f>
        <v/>
      </c>
    </row>
    <row r="428" customFormat="false" ht="15" hidden="false" customHeight="false" outlineLevel="0" collapsed="false">
      <c r="I428" s="7" t="str">
        <f aca="false">IF($C428="","",IF($C428="G","PUTT",IF(AND($C428="T",$M428&gt;3),"OTT",IF($D428&lt;=30,"ARG","APP"))))</f>
        <v/>
      </c>
      <c r="J428" s="17" t="str">
        <f aca="false">IF($C428="","",$N428+$Q428*$R428)</f>
        <v/>
      </c>
      <c r="K428" s="17" t="str">
        <f aca="false">IF($C428="","",$O428+$Q428*$S428)</f>
        <v/>
      </c>
      <c r="L428" s="17" t="str">
        <f aca="false">IF($C428="","",$J428-$K428-1-N($G428))</f>
        <v/>
      </c>
      <c r="M428" s="7" t="str">
        <f aca="false">IF($B428="","",INDEX(Course!$B$2:$B$19,MATCH($B428,Course!$A$2:$A$19,0)))</f>
        <v/>
      </c>
      <c r="N428" s="17" t="str">
        <f aca="false">IF($C428="","",IF($C428="H",0,IF($C428="G",INDEX(Baseline!$I$3:$I$102,MIN(MAX(ROUND($D428,0),1),100)),IF($C428="T",IF($M428=3,INDEX(Baseline!$B$3:$B$122,MATCH(MIN(MAX(ROUND(($D428)/5,0)*5,5),600),Baseline!$A$3:$A$122,0))-Inputs!$B$9,INDEX(Course!$N$2:$N$19,MATCH($B428,Course!$A$2:$A$19,0))),INDEX(Baseline!$B$3:$E$122,MATCH(MIN(MAX(ROUND(($D428)/5,0)*5,5),600),Baseline!$A$3:$A$122,0),MATCH($C428,Baseline!$B$2:$E$2,0))))))</f>
        <v/>
      </c>
      <c r="O428" s="17" t="str">
        <f aca="false">IF($C428="","",IF($E428="H",0,IF($E428="G",INDEX(Baseline!$I$3:$I$102,MIN(MAX(ROUND($F428,0),1),100)),IF($E428="T",IF($M428=3,INDEX(Baseline!$B$3:$B$122,MATCH(MIN(MAX(ROUND(($F428)/5,0)*5,5),600),Baseline!$A$3:$A$122,0))-Inputs!$B$9,INDEX(Course!$N$2:$N$19,MATCH($B428,Course!$A$2:$A$19,0))),INDEX(Baseline!$B$3:$E$122,MATCH(MIN(MAX(ROUND(($F428)/5,0)*5,5),600),Baseline!$A$3:$A$122,0),MATCH($E428,Baseline!$B$2:$E$2,0))))))</f>
        <v/>
      </c>
      <c r="P428" s="17" t="str">
        <f aca="false">IF($B428="","",INDEX(Course!$N$2:$N$19,MATCH($B428,Course!$A$2:$A$19,0)))</f>
        <v/>
      </c>
      <c r="Q428" s="17" t="str">
        <f aca="false">IF($B428="","",INDEX(Course!$P$2:$P$19,MATCH($B428,Course!$A$2:$A$19,0)))</f>
        <v/>
      </c>
      <c r="R428" s="17" t="str">
        <f aca="false">IF($C428="","",IF(OR($C428="G",$C428="H"),0,IF($C428="T",1,MIN(1,MAX(0,($N428-Inputs!$B$8)/MAX($P428-Inputs!$B$8,0.01))))))</f>
        <v/>
      </c>
      <c r="S428" s="17" t="str">
        <f aca="false">IF($C428="","",IF(OR($E428="G",$E428="H"),0,IF($E428="T",1,MIN(1,MAX(0,($O428-Inputs!$B$8)/MAX($P428-Inputs!$B$8,0.01))))))</f>
        <v/>
      </c>
    </row>
    <row r="429" customFormat="false" ht="15" hidden="false" customHeight="false" outlineLevel="0" collapsed="false">
      <c r="I429" s="7" t="str">
        <f aca="false">IF($C429="","",IF($C429="G","PUTT",IF(AND($C429="T",$M429&gt;3),"OTT",IF($D429&lt;=30,"ARG","APP"))))</f>
        <v/>
      </c>
      <c r="J429" s="17" t="str">
        <f aca="false">IF($C429="","",$N429+$Q429*$R429)</f>
        <v/>
      </c>
      <c r="K429" s="17" t="str">
        <f aca="false">IF($C429="","",$O429+$Q429*$S429)</f>
        <v/>
      </c>
      <c r="L429" s="17" t="str">
        <f aca="false">IF($C429="","",$J429-$K429-1-N($G429))</f>
        <v/>
      </c>
      <c r="M429" s="7" t="str">
        <f aca="false">IF($B429="","",INDEX(Course!$B$2:$B$19,MATCH($B429,Course!$A$2:$A$19,0)))</f>
        <v/>
      </c>
      <c r="N429" s="17" t="str">
        <f aca="false">IF($C429="","",IF($C429="H",0,IF($C429="G",INDEX(Baseline!$I$3:$I$102,MIN(MAX(ROUND($D429,0),1),100)),IF($C429="T",IF($M429=3,INDEX(Baseline!$B$3:$B$122,MATCH(MIN(MAX(ROUND(($D429)/5,0)*5,5),600),Baseline!$A$3:$A$122,0))-Inputs!$B$9,INDEX(Course!$N$2:$N$19,MATCH($B429,Course!$A$2:$A$19,0))),INDEX(Baseline!$B$3:$E$122,MATCH(MIN(MAX(ROUND(($D429)/5,0)*5,5),600),Baseline!$A$3:$A$122,0),MATCH($C429,Baseline!$B$2:$E$2,0))))))</f>
        <v/>
      </c>
      <c r="O429" s="17" t="str">
        <f aca="false">IF($C429="","",IF($E429="H",0,IF($E429="G",INDEX(Baseline!$I$3:$I$102,MIN(MAX(ROUND($F429,0),1),100)),IF($E429="T",IF($M429=3,INDEX(Baseline!$B$3:$B$122,MATCH(MIN(MAX(ROUND(($F429)/5,0)*5,5),600),Baseline!$A$3:$A$122,0))-Inputs!$B$9,INDEX(Course!$N$2:$N$19,MATCH($B429,Course!$A$2:$A$19,0))),INDEX(Baseline!$B$3:$E$122,MATCH(MIN(MAX(ROUND(($F429)/5,0)*5,5),600),Baseline!$A$3:$A$122,0),MATCH($E429,Baseline!$B$2:$E$2,0))))))</f>
        <v/>
      </c>
      <c r="P429" s="17" t="str">
        <f aca="false">IF($B429="","",INDEX(Course!$N$2:$N$19,MATCH($B429,Course!$A$2:$A$19,0)))</f>
        <v/>
      </c>
      <c r="Q429" s="17" t="str">
        <f aca="false">IF($B429="","",INDEX(Course!$P$2:$P$19,MATCH($B429,Course!$A$2:$A$19,0)))</f>
        <v/>
      </c>
      <c r="R429" s="17" t="str">
        <f aca="false">IF($C429="","",IF(OR($C429="G",$C429="H"),0,IF($C429="T",1,MIN(1,MAX(0,($N429-Inputs!$B$8)/MAX($P429-Inputs!$B$8,0.01))))))</f>
        <v/>
      </c>
      <c r="S429" s="17" t="str">
        <f aca="false">IF($C429="","",IF(OR($E429="G",$E429="H"),0,IF($E429="T",1,MIN(1,MAX(0,($O429-Inputs!$B$8)/MAX($P429-Inputs!$B$8,0.01))))))</f>
        <v/>
      </c>
    </row>
    <row r="430" customFormat="false" ht="15" hidden="false" customHeight="false" outlineLevel="0" collapsed="false">
      <c r="I430" s="7" t="str">
        <f aca="false">IF($C430="","",IF($C430="G","PUTT",IF(AND($C430="T",$M430&gt;3),"OTT",IF($D430&lt;=30,"ARG","APP"))))</f>
        <v/>
      </c>
      <c r="J430" s="17" t="str">
        <f aca="false">IF($C430="","",$N430+$Q430*$R430)</f>
        <v/>
      </c>
      <c r="K430" s="17" t="str">
        <f aca="false">IF($C430="","",$O430+$Q430*$S430)</f>
        <v/>
      </c>
      <c r="L430" s="17" t="str">
        <f aca="false">IF($C430="","",$J430-$K430-1-N($G430))</f>
        <v/>
      </c>
      <c r="M430" s="7" t="str">
        <f aca="false">IF($B430="","",INDEX(Course!$B$2:$B$19,MATCH($B430,Course!$A$2:$A$19,0)))</f>
        <v/>
      </c>
      <c r="N430" s="17" t="str">
        <f aca="false">IF($C430="","",IF($C430="H",0,IF($C430="G",INDEX(Baseline!$I$3:$I$102,MIN(MAX(ROUND($D430,0),1),100)),IF($C430="T",IF($M430=3,INDEX(Baseline!$B$3:$B$122,MATCH(MIN(MAX(ROUND(($D430)/5,0)*5,5),600),Baseline!$A$3:$A$122,0))-Inputs!$B$9,INDEX(Course!$N$2:$N$19,MATCH($B430,Course!$A$2:$A$19,0))),INDEX(Baseline!$B$3:$E$122,MATCH(MIN(MAX(ROUND(($D430)/5,0)*5,5),600),Baseline!$A$3:$A$122,0),MATCH($C430,Baseline!$B$2:$E$2,0))))))</f>
        <v/>
      </c>
      <c r="O430" s="17" t="str">
        <f aca="false">IF($C430="","",IF($E430="H",0,IF($E430="G",INDEX(Baseline!$I$3:$I$102,MIN(MAX(ROUND($F430,0),1),100)),IF($E430="T",IF($M430=3,INDEX(Baseline!$B$3:$B$122,MATCH(MIN(MAX(ROUND(($F430)/5,0)*5,5),600),Baseline!$A$3:$A$122,0))-Inputs!$B$9,INDEX(Course!$N$2:$N$19,MATCH($B430,Course!$A$2:$A$19,0))),INDEX(Baseline!$B$3:$E$122,MATCH(MIN(MAX(ROUND(($F430)/5,0)*5,5),600),Baseline!$A$3:$A$122,0),MATCH($E430,Baseline!$B$2:$E$2,0))))))</f>
        <v/>
      </c>
      <c r="P430" s="17" t="str">
        <f aca="false">IF($B430="","",INDEX(Course!$N$2:$N$19,MATCH($B430,Course!$A$2:$A$19,0)))</f>
        <v/>
      </c>
      <c r="Q430" s="17" t="str">
        <f aca="false">IF($B430="","",INDEX(Course!$P$2:$P$19,MATCH($B430,Course!$A$2:$A$19,0)))</f>
        <v/>
      </c>
      <c r="R430" s="17" t="str">
        <f aca="false">IF($C430="","",IF(OR($C430="G",$C430="H"),0,IF($C430="T",1,MIN(1,MAX(0,($N430-Inputs!$B$8)/MAX($P430-Inputs!$B$8,0.01))))))</f>
        <v/>
      </c>
      <c r="S430" s="17" t="str">
        <f aca="false">IF($C430="","",IF(OR($E430="G",$E430="H"),0,IF($E430="T",1,MIN(1,MAX(0,($O430-Inputs!$B$8)/MAX($P430-Inputs!$B$8,0.01))))))</f>
        <v/>
      </c>
    </row>
    <row r="431" customFormat="false" ht="15" hidden="false" customHeight="false" outlineLevel="0" collapsed="false">
      <c r="I431" s="7" t="str">
        <f aca="false">IF($C431="","",IF($C431="G","PUTT",IF(AND($C431="T",$M431&gt;3),"OTT",IF($D431&lt;=30,"ARG","APP"))))</f>
        <v/>
      </c>
      <c r="J431" s="17" t="str">
        <f aca="false">IF($C431="","",$N431+$Q431*$R431)</f>
        <v/>
      </c>
      <c r="K431" s="17" t="str">
        <f aca="false">IF($C431="","",$O431+$Q431*$S431)</f>
        <v/>
      </c>
      <c r="L431" s="17" t="str">
        <f aca="false">IF($C431="","",$J431-$K431-1-N($G431))</f>
        <v/>
      </c>
      <c r="M431" s="7" t="str">
        <f aca="false">IF($B431="","",INDEX(Course!$B$2:$B$19,MATCH($B431,Course!$A$2:$A$19,0)))</f>
        <v/>
      </c>
      <c r="N431" s="17" t="str">
        <f aca="false">IF($C431="","",IF($C431="H",0,IF($C431="G",INDEX(Baseline!$I$3:$I$102,MIN(MAX(ROUND($D431,0),1),100)),IF($C431="T",IF($M431=3,INDEX(Baseline!$B$3:$B$122,MATCH(MIN(MAX(ROUND(($D431)/5,0)*5,5),600),Baseline!$A$3:$A$122,0))-Inputs!$B$9,INDEX(Course!$N$2:$N$19,MATCH($B431,Course!$A$2:$A$19,0))),INDEX(Baseline!$B$3:$E$122,MATCH(MIN(MAX(ROUND(($D431)/5,0)*5,5),600),Baseline!$A$3:$A$122,0),MATCH($C431,Baseline!$B$2:$E$2,0))))))</f>
        <v/>
      </c>
      <c r="O431" s="17" t="str">
        <f aca="false">IF($C431="","",IF($E431="H",0,IF($E431="G",INDEX(Baseline!$I$3:$I$102,MIN(MAX(ROUND($F431,0),1),100)),IF($E431="T",IF($M431=3,INDEX(Baseline!$B$3:$B$122,MATCH(MIN(MAX(ROUND(($F431)/5,0)*5,5),600),Baseline!$A$3:$A$122,0))-Inputs!$B$9,INDEX(Course!$N$2:$N$19,MATCH($B431,Course!$A$2:$A$19,0))),INDEX(Baseline!$B$3:$E$122,MATCH(MIN(MAX(ROUND(($F431)/5,0)*5,5),600),Baseline!$A$3:$A$122,0),MATCH($E431,Baseline!$B$2:$E$2,0))))))</f>
        <v/>
      </c>
      <c r="P431" s="17" t="str">
        <f aca="false">IF($B431="","",INDEX(Course!$N$2:$N$19,MATCH($B431,Course!$A$2:$A$19,0)))</f>
        <v/>
      </c>
      <c r="Q431" s="17" t="str">
        <f aca="false">IF($B431="","",INDEX(Course!$P$2:$P$19,MATCH($B431,Course!$A$2:$A$19,0)))</f>
        <v/>
      </c>
      <c r="R431" s="17" t="str">
        <f aca="false">IF($C431="","",IF(OR($C431="G",$C431="H"),0,IF($C431="T",1,MIN(1,MAX(0,($N431-Inputs!$B$8)/MAX($P431-Inputs!$B$8,0.01))))))</f>
        <v/>
      </c>
      <c r="S431" s="17" t="str">
        <f aca="false">IF($C431="","",IF(OR($E431="G",$E431="H"),0,IF($E431="T",1,MIN(1,MAX(0,($O431-Inputs!$B$8)/MAX($P431-Inputs!$B$8,0.01))))))</f>
        <v/>
      </c>
    </row>
    <row r="432" customFormat="false" ht="15" hidden="false" customHeight="false" outlineLevel="0" collapsed="false">
      <c r="I432" s="7" t="str">
        <f aca="false">IF($C432="","",IF($C432="G","PUTT",IF(AND($C432="T",$M432&gt;3),"OTT",IF($D432&lt;=30,"ARG","APP"))))</f>
        <v/>
      </c>
      <c r="J432" s="17" t="str">
        <f aca="false">IF($C432="","",$N432+$Q432*$R432)</f>
        <v/>
      </c>
      <c r="K432" s="17" t="str">
        <f aca="false">IF($C432="","",$O432+$Q432*$S432)</f>
        <v/>
      </c>
      <c r="L432" s="17" t="str">
        <f aca="false">IF($C432="","",$J432-$K432-1-N($G432))</f>
        <v/>
      </c>
      <c r="M432" s="7" t="str">
        <f aca="false">IF($B432="","",INDEX(Course!$B$2:$B$19,MATCH($B432,Course!$A$2:$A$19,0)))</f>
        <v/>
      </c>
      <c r="N432" s="17" t="str">
        <f aca="false">IF($C432="","",IF($C432="H",0,IF($C432="G",INDEX(Baseline!$I$3:$I$102,MIN(MAX(ROUND($D432,0),1),100)),IF($C432="T",IF($M432=3,INDEX(Baseline!$B$3:$B$122,MATCH(MIN(MAX(ROUND(($D432)/5,0)*5,5),600),Baseline!$A$3:$A$122,0))-Inputs!$B$9,INDEX(Course!$N$2:$N$19,MATCH($B432,Course!$A$2:$A$19,0))),INDEX(Baseline!$B$3:$E$122,MATCH(MIN(MAX(ROUND(($D432)/5,0)*5,5),600),Baseline!$A$3:$A$122,0),MATCH($C432,Baseline!$B$2:$E$2,0))))))</f>
        <v/>
      </c>
      <c r="O432" s="17" t="str">
        <f aca="false">IF($C432="","",IF($E432="H",0,IF($E432="G",INDEX(Baseline!$I$3:$I$102,MIN(MAX(ROUND($F432,0),1),100)),IF($E432="T",IF($M432=3,INDEX(Baseline!$B$3:$B$122,MATCH(MIN(MAX(ROUND(($F432)/5,0)*5,5),600),Baseline!$A$3:$A$122,0))-Inputs!$B$9,INDEX(Course!$N$2:$N$19,MATCH($B432,Course!$A$2:$A$19,0))),INDEX(Baseline!$B$3:$E$122,MATCH(MIN(MAX(ROUND(($F432)/5,0)*5,5),600),Baseline!$A$3:$A$122,0),MATCH($E432,Baseline!$B$2:$E$2,0))))))</f>
        <v/>
      </c>
      <c r="P432" s="17" t="str">
        <f aca="false">IF($B432="","",INDEX(Course!$N$2:$N$19,MATCH($B432,Course!$A$2:$A$19,0)))</f>
        <v/>
      </c>
      <c r="Q432" s="17" t="str">
        <f aca="false">IF($B432="","",INDEX(Course!$P$2:$P$19,MATCH($B432,Course!$A$2:$A$19,0)))</f>
        <v/>
      </c>
      <c r="R432" s="17" t="str">
        <f aca="false">IF($C432="","",IF(OR($C432="G",$C432="H"),0,IF($C432="T",1,MIN(1,MAX(0,($N432-Inputs!$B$8)/MAX($P432-Inputs!$B$8,0.01))))))</f>
        <v/>
      </c>
      <c r="S432" s="17" t="str">
        <f aca="false">IF($C432="","",IF(OR($E432="G",$E432="H"),0,IF($E432="T",1,MIN(1,MAX(0,($O432-Inputs!$B$8)/MAX($P432-Inputs!$B$8,0.01))))))</f>
        <v/>
      </c>
    </row>
    <row r="433" customFormat="false" ht="15" hidden="false" customHeight="false" outlineLevel="0" collapsed="false">
      <c r="I433" s="7" t="str">
        <f aca="false">IF($C433="","",IF($C433="G","PUTT",IF(AND($C433="T",$M433&gt;3),"OTT",IF($D433&lt;=30,"ARG","APP"))))</f>
        <v/>
      </c>
      <c r="J433" s="17" t="str">
        <f aca="false">IF($C433="","",$N433+$Q433*$R433)</f>
        <v/>
      </c>
      <c r="K433" s="17" t="str">
        <f aca="false">IF($C433="","",$O433+$Q433*$S433)</f>
        <v/>
      </c>
      <c r="L433" s="17" t="str">
        <f aca="false">IF($C433="","",$J433-$K433-1-N($G433))</f>
        <v/>
      </c>
      <c r="M433" s="7" t="str">
        <f aca="false">IF($B433="","",INDEX(Course!$B$2:$B$19,MATCH($B433,Course!$A$2:$A$19,0)))</f>
        <v/>
      </c>
      <c r="N433" s="17" t="str">
        <f aca="false">IF($C433="","",IF($C433="H",0,IF($C433="G",INDEX(Baseline!$I$3:$I$102,MIN(MAX(ROUND($D433,0),1),100)),IF($C433="T",IF($M433=3,INDEX(Baseline!$B$3:$B$122,MATCH(MIN(MAX(ROUND(($D433)/5,0)*5,5),600),Baseline!$A$3:$A$122,0))-Inputs!$B$9,INDEX(Course!$N$2:$N$19,MATCH($B433,Course!$A$2:$A$19,0))),INDEX(Baseline!$B$3:$E$122,MATCH(MIN(MAX(ROUND(($D433)/5,0)*5,5),600),Baseline!$A$3:$A$122,0),MATCH($C433,Baseline!$B$2:$E$2,0))))))</f>
        <v/>
      </c>
      <c r="O433" s="17" t="str">
        <f aca="false">IF($C433="","",IF($E433="H",0,IF($E433="G",INDEX(Baseline!$I$3:$I$102,MIN(MAX(ROUND($F433,0),1),100)),IF($E433="T",IF($M433=3,INDEX(Baseline!$B$3:$B$122,MATCH(MIN(MAX(ROUND(($F433)/5,0)*5,5),600),Baseline!$A$3:$A$122,0))-Inputs!$B$9,INDEX(Course!$N$2:$N$19,MATCH($B433,Course!$A$2:$A$19,0))),INDEX(Baseline!$B$3:$E$122,MATCH(MIN(MAX(ROUND(($F433)/5,0)*5,5),600),Baseline!$A$3:$A$122,0),MATCH($E433,Baseline!$B$2:$E$2,0))))))</f>
        <v/>
      </c>
      <c r="P433" s="17" t="str">
        <f aca="false">IF($B433="","",INDEX(Course!$N$2:$N$19,MATCH($B433,Course!$A$2:$A$19,0)))</f>
        <v/>
      </c>
      <c r="Q433" s="17" t="str">
        <f aca="false">IF($B433="","",INDEX(Course!$P$2:$P$19,MATCH($B433,Course!$A$2:$A$19,0)))</f>
        <v/>
      </c>
      <c r="R433" s="17" t="str">
        <f aca="false">IF($C433="","",IF(OR($C433="G",$C433="H"),0,IF($C433="T",1,MIN(1,MAX(0,($N433-Inputs!$B$8)/MAX($P433-Inputs!$B$8,0.01))))))</f>
        <v/>
      </c>
      <c r="S433" s="17" t="str">
        <f aca="false">IF($C433="","",IF(OR($E433="G",$E433="H"),0,IF($E433="T",1,MIN(1,MAX(0,($O433-Inputs!$B$8)/MAX($P433-Inputs!$B$8,0.01))))))</f>
        <v/>
      </c>
    </row>
    <row r="434" customFormat="false" ht="15" hidden="false" customHeight="false" outlineLevel="0" collapsed="false">
      <c r="I434" s="7" t="str">
        <f aca="false">IF($C434="","",IF($C434="G","PUTT",IF(AND($C434="T",$M434&gt;3),"OTT",IF($D434&lt;=30,"ARG","APP"))))</f>
        <v/>
      </c>
      <c r="J434" s="17" t="str">
        <f aca="false">IF($C434="","",$N434+$Q434*$R434)</f>
        <v/>
      </c>
      <c r="K434" s="17" t="str">
        <f aca="false">IF($C434="","",$O434+$Q434*$S434)</f>
        <v/>
      </c>
      <c r="L434" s="17" t="str">
        <f aca="false">IF($C434="","",$J434-$K434-1-N($G434))</f>
        <v/>
      </c>
      <c r="M434" s="7" t="str">
        <f aca="false">IF($B434="","",INDEX(Course!$B$2:$B$19,MATCH($B434,Course!$A$2:$A$19,0)))</f>
        <v/>
      </c>
      <c r="N434" s="17" t="str">
        <f aca="false">IF($C434="","",IF($C434="H",0,IF($C434="G",INDEX(Baseline!$I$3:$I$102,MIN(MAX(ROUND($D434,0),1),100)),IF($C434="T",IF($M434=3,INDEX(Baseline!$B$3:$B$122,MATCH(MIN(MAX(ROUND(($D434)/5,0)*5,5),600),Baseline!$A$3:$A$122,0))-Inputs!$B$9,INDEX(Course!$N$2:$N$19,MATCH($B434,Course!$A$2:$A$19,0))),INDEX(Baseline!$B$3:$E$122,MATCH(MIN(MAX(ROUND(($D434)/5,0)*5,5),600),Baseline!$A$3:$A$122,0),MATCH($C434,Baseline!$B$2:$E$2,0))))))</f>
        <v/>
      </c>
      <c r="O434" s="17" t="str">
        <f aca="false">IF($C434="","",IF($E434="H",0,IF($E434="G",INDEX(Baseline!$I$3:$I$102,MIN(MAX(ROUND($F434,0),1),100)),IF($E434="T",IF($M434=3,INDEX(Baseline!$B$3:$B$122,MATCH(MIN(MAX(ROUND(($F434)/5,0)*5,5),600),Baseline!$A$3:$A$122,0))-Inputs!$B$9,INDEX(Course!$N$2:$N$19,MATCH($B434,Course!$A$2:$A$19,0))),INDEX(Baseline!$B$3:$E$122,MATCH(MIN(MAX(ROUND(($F434)/5,0)*5,5),600),Baseline!$A$3:$A$122,0),MATCH($E434,Baseline!$B$2:$E$2,0))))))</f>
        <v/>
      </c>
      <c r="P434" s="17" t="str">
        <f aca="false">IF($B434="","",INDEX(Course!$N$2:$N$19,MATCH($B434,Course!$A$2:$A$19,0)))</f>
        <v/>
      </c>
      <c r="Q434" s="17" t="str">
        <f aca="false">IF($B434="","",INDEX(Course!$P$2:$P$19,MATCH($B434,Course!$A$2:$A$19,0)))</f>
        <v/>
      </c>
      <c r="R434" s="17" t="str">
        <f aca="false">IF($C434="","",IF(OR($C434="G",$C434="H"),0,IF($C434="T",1,MIN(1,MAX(0,($N434-Inputs!$B$8)/MAX($P434-Inputs!$B$8,0.01))))))</f>
        <v/>
      </c>
      <c r="S434" s="17" t="str">
        <f aca="false">IF($C434="","",IF(OR($E434="G",$E434="H"),0,IF($E434="T",1,MIN(1,MAX(0,($O434-Inputs!$B$8)/MAX($P434-Inputs!$B$8,0.01))))))</f>
        <v/>
      </c>
    </row>
    <row r="435" customFormat="false" ht="15" hidden="false" customHeight="false" outlineLevel="0" collapsed="false">
      <c r="I435" s="7" t="str">
        <f aca="false">IF($C435="","",IF($C435="G","PUTT",IF(AND($C435="T",$M435&gt;3),"OTT",IF($D435&lt;=30,"ARG","APP"))))</f>
        <v/>
      </c>
      <c r="J435" s="17" t="str">
        <f aca="false">IF($C435="","",$N435+$Q435*$R435)</f>
        <v/>
      </c>
      <c r="K435" s="17" t="str">
        <f aca="false">IF($C435="","",$O435+$Q435*$S435)</f>
        <v/>
      </c>
      <c r="L435" s="17" t="str">
        <f aca="false">IF($C435="","",$J435-$K435-1-N($G435))</f>
        <v/>
      </c>
      <c r="M435" s="7" t="str">
        <f aca="false">IF($B435="","",INDEX(Course!$B$2:$B$19,MATCH($B435,Course!$A$2:$A$19,0)))</f>
        <v/>
      </c>
      <c r="N435" s="17" t="str">
        <f aca="false">IF($C435="","",IF($C435="H",0,IF($C435="G",INDEX(Baseline!$I$3:$I$102,MIN(MAX(ROUND($D435,0),1),100)),IF($C435="T",IF($M435=3,INDEX(Baseline!$B$3:$B$122,MATCH(MIN(MAX(ROUND(($D435)/5,0)*5,5),600),Baseline!$A$3:$A$122,0))-Inputs!$B$9,INDEX(Course!$N$2:$N$19,MATCH($B435,Course!$A$2:$A$19,0))),INDEX(Baseline!$B$3:$E$122,MATCH(MIN(MAX(ROUND(($D435)/5,0)*5,5),600),Baseline!$A$3:$A$122,0),MATCH($C435,Baseline!$B$2:$E$2,0))))))</f>
        <v/>
      </c>
      <c r="O435" s="17" t="str">
        <f aca="false">IF($C435="","",IF($E435="H",0,IF($E435="G",INDEX(Baseline!$I$3:$I$102,MIN(MAX(ROUND($F435,0),1),100)),IF($E435="T",IF($M435=3,INDEX(Baseline!$B$3:$B$122,MATCH(MIN(MAX(ROUND(($F435)/5,0)*5,5),600),Baseline!$A$3:$A$122,0))-Inputs!$B$9,INDEX(Course!$N$2:$N$19,MATCH($B435,Course!$A$2:$A$19,0))),INDEX(Baseline!$B$3:$E$122,MATCH(MIN(MAX(ROUND(($F435)/5,0)*5,5),600),Baseline!$A$3:$A$122,0),MATCH($E435,Baseline!$B$2:$E$2,0))))))</f>
        <v/>
      </c>
      <c r="P435" s="17" t="str">
        <f aca="false">IF($B435="","",INDEX(Course!$N$2:$N$19,MATCH($B435,Course!$A$2:$A$19,0)))</f>
        <v/>
      </c>
      <c r="Q435" s="17" t="str">
        <f aca="false">IF($B435="","",INDEX(Course!$P$2:$P$19,MATCH($B435,Course!$A$2:$A$19,0)))</f>
        <v/>
      </c>
      <c r="R435" s="17" t="str">
        <f aca="false">IF($C435="","",IF(OR($C435="G",$C435="H"),0,IF($C435="T",1,MIN(1,MAX(0,($N435-Inputs!$B$8)/MAX($P435-Inputs!$B$8,0.01))))))</f>
        <v/>
      </c>
      <c r="S435" s="17" t="str">
        <f aca="false">IF($C435="","",IF(OR($E435="G",$E435="H"),0,IF($E435="T",1,MIN(1,MAX(0,($O435-Inputs!$B$8)/MAX($P435-Inputs!$B$8,0.01))))))</f>
        <v/>
      </c>
    </row>
    <row r="436" customFormat="false" ht="15" hidden="false" customHeight="false" outlineLevel="0" collapsed="false">
      <c r="I436" s="7" t="str">
        <f aca="false">IF($C436="","",IF($C436="G","PUTT",IF(AND($C436="T",$M436&gt;3),"OTT",IF($D436&lt;=30,"ARG","APP"))))</f>
        <v/>
      </c>
      <c r="J436" s="17" t="str">
        <f aca="false">IF($C436="","",$N436+$Q436*$R436)</f>
        <v/>
      </c>
      <c r="K436" s="17" t="str">
        <f aca="false">IF($C436="","",$O436+$Q436*$S436)</f>
        <v/>
      </c>
      <c r="L436" s="17" t="str">
        <f aca="false">IF($C436="","",$J436-$K436-1-N($G436))</f>
        <v/>
      </c>
      <c r="M436" s="7" t="str">
        <f aca="false">IF($B436="","",INDEX(Course!$B$2:$B$19,MATCH($B436,Course!$A$2:$A$19,0)))</f>
        <v/>
      </c>
      <c r="N436" s="17" t="str">
        <f aca="false">IF($C436="","",IF($C436="H",0,IF($C436="G",INDEX(Baseline!$I$3:$I$102,MIN(MAX(ROUND($D436,0),1),100)),IF($C436="T",IF($M436=3,INDEX(Baseline!$B$3:$B$122,MATCH(MIN(MAX(ROUND(($D436)/5,0)*5,5),600),Baseline!$A$3:$A$122,0))-Inputs!$B$9,INDEX(Course!$N$2:$N$19,MATCH($B436,Course!$A$2:$A$19,0))),INDEX(Baseline!$B$3:$E$122,MATCH(MIN(MAX(ROUND(($D436)/5,0)*5,5),600),Baseline!$A$3:$A$122,0),MATCH($C436,Baseline!$B$2:$E$2,0))))))</f>
        <v/>
      </c>
      <c r="O436" s="17" t="str">
        <f aca="false">IF($C436="","",IF($E436="H",0,IF($E436="G",INDEX(Baseline!$I$3:$I$102,MIN(MAX(ROUND($F436,0),1),100)),IF($E436="T",IF($M436=3,INDEX(Baseline!$B$3:$B$122,MATCH(MIN(MAX(ROUND(($F436)/5,0)*5,5),600),Baseline!$A$3:$A$122,0))-Inputs!$B$9,INDEX(Course!$N$2:$N$19,MATCH($B436,Course!$A$2:$A$19,0))),INDEX(Baseline!$B$3:$E$122,MATCH(MIN(MAX(ROUND(($F436)/5,0)*5,5),600),Baseline!$A$3:$A$122,0),MATCH($E436,Baseline!$B$2:$E$2,0))))))</f>
        <v/>
      </c>
      <c r="P436" s="17" t="str">
        <f aca="false">IF($B436="","",INDEX(Course!$N$2:$N$19,MATCH($B436,Course!$A$2:$A$19,0)))</f>
        <v/>
      </c>
      <c r="Q436" s="17" t="str">
        <f aca="false">IF($B436="","",INDEX(Course!$P$2:$P$19,MATCH($B436,Course!$A$2:$A$19,0)))</f>
        <v/>
      </c>
      <c r="R436" s="17" t="str">
        <f aca="false">IF($C436="","",IF(OR($C436="G",$C436="H"),0,IF($C436="T",1,MIN(1,MAX(0,($N436-Inputs!$B$8)/MAX($P436-Inputs!$B$8,0.01))))))</f>
        <v/>
      </c>
      <c r="S436" s="17" t="str">
        <f aca="false">IF($C436="","",IF(OR($E436="G",$E436="H"),0,IF($E436="T",1,MIN(1,MAX(0,($O436-Inputs!$B$8)/MAX($P436-Inputs!$B$8,0.01))))))</f>
        <v/>
      </c>
    </row>
    <row r="437" customFormat="false" ht="15" hidden="false" customHeight="false" outlineLevel="0" collapsed="false">
      <c r="I437" s="7" t="str">
        <f aca="false">IF($C437="","",IF($C437="G","PUTT",IF(AND($C437="T",$M437&gt;3),"OTT",IF($D437&lt;=30,"ARG","APP"))))</f>
        <v/>
      </c>
      <c r="J437" s="17" t="str">
        <f aca="false">IF($C437="","",$N437+$Q437*$R437)</f>
        <v/>
      </c>
      <c r="K437" s="17" t="str">
        <f aca="false">IF($C437="","",$O437+$Q437*$S437)</f>
        <v/>
      </c>
      <c r="L437" s="17" t="str">
        <f aca="false">IF($C437="","",$J437-$K437-1-N($G437))</f>
        <v/>
      </c>
      <c r="M437" s="7" t="str">
        <f aca="false">IF($B437="","",INDEX(Course!$B$2:$B$19,MATCH($B437,Course!$A$2:$A$19,0)))</f>
        <v/>
      </c>
      <c r="N437" s="17" t="str">
        <f aca="false">IF($C437="","",IF($C437="H",0,IF($C437="G",INDEX(Baseline!$I$3:$I$102,MIN(MAX(ROUND($D437,0),1),100)),IF($C437="T",IF($M437=3,INDEX(Baseline!$B$3:$B$122,MATCH(MIN(MAX(ROUND(($D437)/5,0)*5,5),600),Baseline!$A$3:$A$122,0))-Inputs!$B$9,INDEX(Course!$N$2:$N$19,MATCH($B437,Course!$A$2:$A$19,0))),INDEX(Baseline!$B$3:$E$122,MATCH(MIN(MAX(ROUND(($D437)/5,0)*5,5),600),Baseline!$A$3:$A$122,0),MATCH($C437,Baseline!$B$2:$E$2,0))))))</f>
        <v/>
      </c>
      <c r="O437" s="17" t="str">
        <f aca="false">IF($C437="","",IF($E437="H",0,IF($E437="G",INDEX(Baseline!$I$3:$I$102,MIN(MAX(ROUND($F437,0),1),100)),IF($E437="T",IF($M437=3,INDEX(Baseline!$B$3:$B$122,MATCH(MIN(MAX(ROUND(($F437)/5,0)*5,5),600),Baseline!$A$3:$A$122,0))-Inputs!$B$9,INDEX(Course!$N$2:$N$19,MATCH($B437,Course!$A$2:$A$19,0))),INDEX(Baseline!$B$3:$E$122,MATCH(MIN(MAX(ROUND(($F437)/5,0)*5,5),600),Baseline!$A$3:$A$122,0),MATCH($E437,Baseline!$B$2:$E$2,0))))))</f>
        <v/>
      </c>
      <c r="P437" s="17" t="str">
        <f aca="false">IF($B437="","",INDEX(Course!$N$2:$N$19,MATCH($B437,Course!$A$2:$A$19,0)))</f>
        <v/>
      </c>
      <c r="Q437" s="17" t="str">
        <f aca="false">IF($B437="","",INDEX(Course!$P$2:$P$19,MATCH($B437,Course!$A$2:$A$19,0)))</f>
        <v/>
      </c>
      <c r="R437" s="17" t="str">
        <f aca="false">IF($C437="","",IF(OR($C437="G",$C437="H"),0,IF($C437="T",1,MIN(1,MAX(0,($N437-Inputs!$B$8)/MAX($P437-Inputs!$B$8,0.01))))))</f>
        <v/>
      </c>
      <c r="S437" s="17" t="str">
        <f aca="false">IF($C437="","",IF(OR($E437="G",$E437="H"),0,IF($E437="T",1,MIN(1,MAX(0,($O437-Inputs!$B$8)/MAX($P437-Inputs!$B$8,0.01))))))</f>
        <v/>
      </c>
    </row>
    <row r="438" customFormat="false" ht="15" hidden="false" customHeight="false" outlineLevel="0" collapsed="false">
      <c r="I438" s="7" t="str">
        <f aca="false">IF($C438="","",IF($C438="G","PUTT",IF(AND($C438="T",$M438&gt;3),"OTT",IF($D438&lt;=30,"ARG","APP"))))</f>
        <v/>
      </c>
      <c r="J438" s="17" t="str">
        <f aca="false">IF($C438="","",$N438+$Q438*$R438)</f>
        <v/>
      </c>
      <c r="K438" s="17" t="str">
        <f aca="false">IF($C438="","",$O438+$Q438*$S438)</f>
        <v/>
      </c>
      <c r="L438" s="17" t="str">
        <f aca="false">IF($C438="","",$J438-$K438-1-N($G438))</f>
        <v/>
      </c>
      <c r="M438" s="7" t="str">
        <f aca="false">IF($B438="","",INDEX(Course!$B$2:$B$19,MATCH($B438,Course!$A$2:$A$19,0)))</f>
        <v/>
      </c>
      <c r="N438" s="17" t="str">
        <f aca="false">IF($C438="","",IF($C438="H",0,IF($C438="G",INDEX(Baseline!$I$3:$I$102,MIN(MAX(ROUND($D438,0),1),100)),IF($C438="T",IF($M438=3,INDEX(Baseline!$B$3:$B$122,MATCH(MIN(MAX(ROUND(($D438)/5,0)*5,5),600),Baseline!$A$3:$A$122,0))-Inputs!$B$9,INDEX(Course!$N$2:$N$19,MATCH($B438,Course!$A$2:$A$19,0))),INDEX(Baseline!$B$3:$E$122,MATCH(MIN(MAX(ROUND(($D438)/5,0)*5,5),600),Baseline!$A$3:$A$122,0),MATCH($C438,Baseline!$B$2:$E$2,0))))))</f>
        <v/>
      </c>
      <c r="O438" s="17" t="str">
        <f aca="false">IF($C438="","",IF($E438="H",0,IF($E438="G",INDEX(Baseline!$I$3:$I$102,MIN(MAX(ROUND($F438,0),1),100)),IF($E438="T",IF($M438=3,INDEX(Baseline!$B$3:$B$122,MATCH(MIN(MAX(ROUND(($F438)/5,0)*5,5),600),Baseline!$A$3:$A$122,0))-Inputs!$B$9,INDEX(Course!$N$2:$N$19,MATCH($B438,Course!$A$2:$A$19,0))),INDEX(Baseline!$B$3:$E$122,MATCH(MIN(MAX(ROUND(($F438)/5,0)*5,5),600),Baseline!$A$3:$A$122,0),MATCH($E438,Baseline!$B$2:$E$2,0))))))</f>
        <v/>
      </c>
      <c r="P438" s="17" t="str">
        <f aca="false">IF($B438="","",INDEX(Course!$N$2:$N$19,MATCH($B438,Course!$A$2:$A$19,0)))</f>
        <v/>
      </c>
      <c r="Q438" s="17" t="str">
        <f aca="false">IF($B438="","",INDEX(Course!$P$2:$P$19,MATCH($B438,Course!$A$2:$A$19,0)))</f>
        <v/>
      </c>
      <c r="R438" s="17" t="str">
        <f aca="false">IF($C438="","",IF(OR($C438="G",$C438="H"),0,IF($C438="T",1,MIN(1,MAX(0,($N438-Inputs!$B$8)/MAX($P438-Inputs!$B$8,0.01))))))</f>
        <v/>
      </c>
      <c r="S438" s="17" t="str">
        <f aca="false">IF($C438="","",IF(OR($E438="G",$E438="H"),0,IF($E438="T",1,MIN(1,MAX(0,($O438-Inputs!$B$8)/MAX($P438-Inputs!$B$8,0.01))))))</f>
        <v/>
      </c>
    </row>
    <row r="439" customFormat="false" ht="15" hidden="false" customHeight="false" outlineLevel="0" collapsed="false">
      <c r="I439" s="7" t="str">
        <f aca="false">IF($C439="","",IF($C439="G","PUTT",IF(AND($C439="T",$M439&gt;3),"OTT",IF($D439&lt;=30,"ARG","APP"))))</f>
        <v/>
      </c>
      <c r="J439" s="17" t="str">
        <f aca="false">IF($C439="","",$N439+$Q439*$R439)</f>
        <v/>
      </c>
      <c r="K439" s="17" t="str">
        <f aca="false">IF($C439="","",$O439+$Q439*$S439)</f>
        <v/>
      </c>
      <c r="L439" s="17" t="str">
        <f aca="false">IF($C439="","",$J439-$K439-1-N($G439))</f>
        <v/>
      </c>
      <c r="M439" s="7" t="str">
        <f aca="false">IF($B439="","",INDEX(Course!$B$2:$B$19,MATCH($B439,Course!$A$2:$A$19,0)))</f>
        <v/>
      </c>
      <c r="N439" s="17" t="str">
        <f aca="false">IF($C439="","",IF($C439="H",0,IF($C439="G",INDEX(Baseline!$I$3:$I$102,MIN(MAX(ROUND($D439,0),1),100)),IF($C439="T",IF($M439=3,INDEX(Baseline!$B$3:$B$122,MATCH(MIN(MAX(ROUND(($D439)/5,0)*5,5),600),Baseline!$A$3:$A$122,0))-Inputs!$B$9,INDEX(Course!$N$2:$N$19,MATCH($B439,Course!$A$2:$A$19,0))),INDEX(Baseline!$B$3:$E$122,MATCH(MIN(MAX(ROUND(($D439)/5,0)*5,5),600),Baseline!$A$3:$A$122,0),MATCH($C439,Baseline!$B$2:$E$2,0))))))</f>
        <v/>
      </c>
      <c r="O439" s="17" t="str">
        <f aca="false">IF($C439="","",IF($E439="H",0,IF($E439="G",INDEX(Baseline!$I$3:$I$102,MIN(MAX(ROUND($F439,0),1),100)),IF($E439="T",IF($M439=3,INDEX(Baseline!$B$3:$B$122,MATCH(MIN(MAX(ROUND(($F439)/5,0)*5,5),600),Baseline!$A$3:$A$122,0))-Inputs!$B$9,INDEX(Course!$N$2:$N$19,MATCH($B439,Course!$A$2:$A$19,0))),INDEX(Baseline!$B$3:$E$122,MATCH(MIN(MAX(ROUND(($F439)/5,0)*5,5),600),Baseline!$A$3:$A$122,0),MATCH($E439,Baseline!$B$2:$E$2,0))))))</f>
        <v/>
      </c>
      <c r="P439" s="17" t="str">
        <f aca="false">IF($B439="","",INDEX(Course!$N$2:$N$19,MATCH($B439,Course!$A$2:$A$19,0)))</f>
        <v/>
      </c>
      <c r="Q439" s="17" t="str">
        <f aca="false">IF($B439="","",INDEX(Course!$P$2:$P$19,MATCH($B439,Course!$A$2:$A$19,0)))</f>
        <v/>
      </c>
      <c r="R439" s="17" t="str">
        <f aca="false">IF($C439="","",IF(OR($C439="G",$C439="H"),0,IF($C439="T",1,MIN(1,MAX(0,($N439-Inputs!$B$8)/MAX($P439-Inputs!$B$8,0.01))))))</f>
        <v/>
      </c>
      <c r="S439" s="17" t="str">
        <f aca="false">IF($C439="","",IF(OR($E439="G",$E439="H"),0,IF($E439="T",1,MIN(1,MAX(0,($O439-Inputs!$B$8)/MAX($P439-Inputs!$B$8,0.01))))))</f>
        <v/>
      </c>
    </row>
    <row r="440" customFormat="false" ht="15" hidden="false" customHeight="false" outlineLevel="0" collapsed="false">
      <c r="I440" s="7" t="str">
        <f aca="false">IF($C440="","",IF($C440="G","PUTT",IF(AND($C440="T",$M440&gt;3),"OTT",IF($D440&lt;=30,"ARG","APP"))))</f>
        <v/>
      </c>
      <c r="J440" s="17" t="str">
        <f aca="false">IF($C440="","",$N440+$Q440*$R440)</f>
        <v/>
      </c>
      <c r="K440" s="17" t="str">
        <f aca="false">IF($C440="","",$O440+$Q440*$S440)</f>
        <v/>
      </c>
      <c r="L440" s="17" t="str">
        <f aca="false">IF($C440="","",$J440-$K440-1-N($G440))</f>
        <v/>
      </c>
      <c r="M440" s="7" t="str">
        <f aca="false">IF($B440="","",INDEX(Course!$B$2:$B$19,MATCH($B440,Course!$A$2:$A$19,0)))</f>
        <v/>
      </c>
      <c r="N440" s="17" t="str">
        <f aca="false">IF($C440="","",IF($C440="H",0,IF($C440="G",INDEX(Baseline!$I$3:$I$102,MIN(MAX(ROUND($D440,0),1),100)),IF($C440="T",IF($M440=3,INDEX(Baseline!$B$3:$B$122,MATCH(MIN(MAX(ROUND(($D440)/5,0)*5,5),600),Baseline!$A$3:$A$122,0))-Inputs!$B$9,INDEX(Course!$N$2:$N$19,MATCH($B440,Course!$A$2:$A$19,0))),INDEX(Baseline!$B$3:$E$122,MATCH(MIN(MAX(ROUND(($D440)/5,0)*5,5),600),Baseline!$A$3:$A$122,0),MATCH($C440,Baseline!$B$2:$E$2,0))))))</f>
        <v/>
      </c>
      <c r="O440" s="17" t="str">
        <f aca="false">IF($C440="","",IF($E440="H",0,IF($E440="G",INDEX(Baseline!$I$3:$I$102,MIN(MAX(ROUND($F440,0),1),100)),IF($E440="T",IF($M440=3,INDEX(Baseline!$B$3:$B$122,MATCH(MIN(MAX(ROUND(($F440)/5,0)*5,5),600),Baseline!$A$3:$A$122,0))-Inputs!$B$9,INDEX(Course!$N$2:$N$19,MATCH($B440,Course!$A$2:$A$19,0))),INDEX(Baseline!$B$3:$E$122,MATCH(MIN(MAX(ROUND(($F440)/5,0)*5,5),600),Baseline!$A$3:$A$122,0),MATCH($E440,Baseline!$B$2:$E$2,0))))))</f>
        <v/>
      </c>
      <c r="P440" s="17" t="str">
        <f aca="false">IF($B440="","",INDEX(Course!$N$2:$N$19,MATCH($B440,Course!$A$2:$A$19,0)))</f>
        <v/>
      </c>
      <c r="Q440" s="17" t="str">
        <f aca="false">IF($B440="","",INDEX(Course!$P$2:$P$19,MATCH($B440,Course!$A$2:$A$19,0)))</f>
        <v/>
      </c>
      <c r="R440" s="17" t="str">
        <f aca="false">IF($C440="","",IF(OR($C440="G",$C440="H"),0,IF($C440="T",1,MIN(1,MAX(0,($N440-Inputs!$B$8)/MAX($P440-Inputs!$B$8,0.01))))))</f>
        <v/>
      </c>
      <c r="S440" s="17" t="str">
        <f aca="false">IF($C440="","",IF(OR($E440="G",$E440="H"),0,IF($E440="T",1,MIN(1,MAX(0,($O440-Inputs!$B$8)/MAX($P440-Inputs!$B$8,0.01))))))</f>
        <v/>
      </c>
    </row>
    <row r="441" customFormat="false" ht="15" hidden="false" customHeight="false" outlineLevel="0" collapsed="false">
      <c r="I441" s="7" t="str">
        <f aca="false">IF($C441="","",IF($C441="G","PUTT",IF(AND($C441="T",$M441&gt;3),"OTT",IF($D441&lt;=30,"ARG","APP"))))</f>
        <v/>
      </c>
      <c r="J441" s="17" t="str">
        <f aca="false">IF($C441="","",$N441+$Q441*$R441)</f>
        <v/>
      </c>
      <c r="K441" s="17" t="str">
        <f aca="false">IF($C441="","",$O441+$Q441*$S441)</f>
        <v/>
      </c>
      <c r="L441" s="17" t="str">
        <f aca="false">IF($C441="","",$J441-$K441-1-N($G441))</f>
        <v/>
      </c>
      <c r="M441" s="7" t="str">
        <f aca="false">IF($B441="","",INDEX(Course!$B$2:$B$19,MATCH($B441,Course!$A$2:$A$19,0)))</f>
        <v/>
      </c>
      <c r="N441" s="17" t="str">
        <f aca="false">IF($C441="","",IF($C441="H",0,IF($C441="G",INDEX(Baseline!$I$3:$I$102,MIN(MAX(ROUND($D441,0),1),100)),IF($C441="T",IF($M441=3,INDEX(Baseline!$B$3:$B$122,MATCH(MIN(MAX(ROUND(($D441)/5,0)*5,5),600),Baseline!$A$3:$A$122,0))-Inputs!$B$9,INDEX(Course!$N$2:$N$19,MATCH($B441,Course!$A$2:$A$19,0))),INDEX(Baseline!$B$3:$E$122,MATCH(MIN(MAX(ROUND(($D441)/5,0)*5,5),600),Baseline!$A$3:$A$122,0),MATCH($C441,Baseline!$B$2:$E$2,0))))))</f>
        <v/>
      </c>
      <c r="O441" s="17" t="str">
        <f aca="false">IF($C441="","",IF($E441="H",0,IF($E441="G",INDEX(Baseline!$I$3:$I$102,MIN(MAX(ROUND($F441,0),1),100)),IF($E441="T",IF($M441=3,INDEX(Baseline!$B$3:$B$122,MATCH(MIN(MAX(ROUND(($F441)/5,0)*5,5),600),Baseline!$A$3:$A$122,0))-Inputs!$B$9,INDEX(Course!$N$2:$N$19,MATCH($B441,Course!$A$2:$A$19,0))),INDEX(Baseline!$B$3:$E$122,MATCH(MIN(MAX(ROUND(($F441)/5,0)*5,5),600),Baseline!$A$3:$A$122,0),MATCH($E441,Baseline!$B$2:$E$2,0))))))</f>
        <v/>
      </c>
      <c r="P441" s="17" t="str">
        <f aca="false">IF($B441="","",INDEX(Course!$N$2:$N$19,MATCH($B441,Course!$A$2:$A$19,0)))</f>
        <v/>
      </c>
      <c r="Q441" s="17" t="str">
        <f aca="false">IF($B441="","",INDEX(Course!$P$2:$P$19,MATCH($B441,Course!$A$2:$A$19,0)))</f>
        <v/>
      </c>
      <c r="R441" s="17" t="str">
        <f aca="false">IF($C441="","",IF(OR($C441="G",$C441="H"),0,IF($C441="T",1,MIN(1,MAX(0,($N441-Inputs!$B$8)/MAX($P441-Inputs!$B$8,0.01))))))</f>
        <v/>
      </c>
      <c r="S441" s="17" t="str">
        <f aca="false">IF($C441="","",IF(OR($E441="G",$E441="H"),0,IF($E441="T",1,MIN(1,MAX(0,($O441-Inputs!$B$8)/MAX($P441-Inputs!$B$8,0.01))))))</f>
        <v/>
      </c>
    </row>
    <row r="442" customFormat="false" ht="15" hidden="false" customHeight="false" outlineLevel="0" collapsed="false">
      <c r="I442" s="7" t="str">
        <f aca="false">IF($C442="","",IF($C442="G","PUTT",IF(AND($C442="T",$M442&gt;3),"OTT",IF($D442&lt;=30,"ARG","APP"))))</f>
        <v/>
      </c>
      <c r="J442" s="17" t="str">
        <f aca="false">IF($C442="","",$N442+$Q442*$R442)</f>
        <v/>
      </c>
      <c r="K442" s="17" t="str">
        <f aca="false">IF($C442="","",$O442+$Q442*$S442)</f>
        <v/>
      </c>
      <c r="L442" s="17" t="str">
        <f aca="false">IF($C442="","",$J442-$K442-1-N($G442))</f>
        <v/>
      </c>
      <c r="M442" s="7" t="str">
        <f aca="false">IF($B442="","",INDEX(Course!$B$2:$B$19,MATCH($B442,Course!$A$2:$A$19,0)))</f>
        <v/>
      </c>
      <c r="N442" s="17" t="str">
        <f aca="false">IF($C442="","",IF($C442="H",0,IF($C442="G",INDEX(Baseline!$I$3:$I$102,MIN(MAX(ROUND($D442,0),1),100)),IF($C442="T",IF($M442=3,INDEX(Baseline!$B$3:$B$122,MATCH(MIN(MAX(ROUND(($D442)/5,0)*5,5),600),Baseline!$A$3:$A$122,0))-Inputs!$B$9,INDEX(Course!$N$2:$N$19,MATCH($B442,Course!$A$2:$A$19,0))),INDEX(Baseline!$B$3:$E$122,MATCH(MIN(MAX(ROUND(($D442)/5,0)*5,5),600),Baseline!$A$3:$A$122,0),MATCH($C442,Baseline!$B$2:$E$2,0))))))</f>
        <v/>
      </c>
      <c r="O442" s="17" t="str">
        <f aca="false">IF($C442="","",IF($E442="H",0,IF($E442="G",INDEX(Baseline!$I$3:$I$102,MIN(MAX(ROUND($F442,0),1),100)),IF($E442="T",IF($M442=3,INDEX(Baseline!$B$3:$B$122,MATCH(MIN(MAX(ROUND(($F442)/5,0)*5,5),600),Baseline!$A$3:$A$122,0))-Inputs!$B$9,INDEX(Course!$N$2:$N$19,MATCH($B442,Course!$A$2:$A$19,0))),INDEX(Baseline!$B$3:$E$122,MATCH(MIN(MAX(ROUND(($F442)/5,0)*5,5),600),Baseline!$A$3:$A$122,0),MATCH($E442,Baseline!$B$2:$E$2,0))))))</f>
        <v/>
      </c>
      <c r="P442" s="17" t="str">
        <f aca="false">IF($B442="","",INDEX(Course!$N$2:$N$19,MATCH($B442,Course!$A$2:$A$19,0)))</f>
        <v/>
      </c>
      <c r="Q442" s="17" t="str">
        <f aca="false">IF($B442="","",INDEX(Course!$P$2:$P$19,MATCH($B442,Course!$A$2:$A$19,0)))</f>
        <v/>
      </c>
      <c r="R442" s="17" t="str">
        <f aca="false">IF($C442="","",IF(OR($C442="G",$C442="H"),0,IF($C442="T",1,MIN(1,MAX(0,($N442-Inputs!$B$8)/MAX($P442-Inputs!$B$8,0.01))))))</f>
        <v/>
      </c>
      <c r="S442" s="17" t="str">
        <f aca="false">IF($C442="","",IF(OR($E442="G",$E442="H"),0,IF($E442="T",1,MIN(1,MAX(0,($O442-Inputs!$B$8)/MAX($P442-Inputs!$B$8,0.01))))))</f>
        <v/>
      </c>
    </row>
    <row r="443" customFormat="false" ht="15" hidden="false" customHeight="false" outlineLevel="0" collapsed="false">
      <c r="I443" s="7" t="str">
        <f aca="false">IF($C443="","",IF($C443="G","PUTT",IF(AND($C443="T",$M443&gt;3),"OTT",IF($D443&lt;=30,"ARG","APP"))))</f>
        <v/>
      </c>
      <c r="J443" s="17" t="str">
        <f aca="false">IF($C443="","",$N443+$Q443*$R443)</f>
        <v/>
      </c>
      <c r="K443" s="17" t="str">
        <f aca="false">IF($C443="","",$O443+$Q443*$S443)</f>
        <v/>
      </c>
      <c r="L443" s="17" t="str">
        <f aca="false">IF($C443="","",$J443-$K443-1-N($G443))</f>
        <v/>
      </c>
      <c r="M443" s="7" t="str">
        <f aca="false">IF($B443="","",INDEX(Course!$B$2:$B$19,MATCH($B443,Course!$A$2:$A$19,0)))</f>
        <v/>
      </c>
      <c r="N443" s="17" t="str">
        <f aca="false">IF($C443="","",IF($C443="H",0,IF($C443="G",INDEX(Baseline!$I$3:$I$102,MIN(MAX(ROUND($D443,0),1),100)),IF($C443="T",IF($M443=3,INDEX(Baseline!$B$3:$B$122,MATCH(MIN(MAX(ROUND(($D443)/5,0)*5,5),600),Baseline!$A$3:$A$122,0))-Inputs!$B$9,INDEX(Course!$N$2:$N$19,MATCH($B443,Course!$A$2:$A$19,0))),INDEX(Baseline!$B$3:$E$122,MATCH(MIN(MAX(ROUND(($D443)/5,0)*5,5),600),Baseline!$A$3:$A$122,0),MATCH($C443,Baseline!$B$2:$E$2,0))))))</f>
        <v/>
      </c>
      <c r="O443" s="17" t="str">
        <f aca="false">IF($C443="","",IF($E443="H",0,IF($E443="G",INDEX(Baseline!$I$3:$I$102,MIN(MAX(ROUND($F443,0),1),100)),IF($E443="T",IF($M443=3,INDEX(Baseline!$B$3:$B$122,MATCH(MIN(MAX(ROUND(($F443)/5,0)*5,5),600),Baseline!$A$3:$A$122,0))-Inputs!$B$9,INDEX(Course!$N$2:$N$19,MATCH($B443,Course!$A$2:$A$19,0))),INDEX(Baseline!$B$3:$E$122,MATCH(MIN(MAX(ROUND(($F443)/5,0)*5,5),600),Baseline!$A$3:$A$122,0),MATCH($E443,Baseline!$B$2:$E$2,0))))))</f>
        <v/>
      </c>
      <c r="P443" s="17" t="str">
        <f aca="false">IF($B443="","",INDEX(Course!$N$2:$N$19,MATCH($B443,Course!$A$2:$A$19,0)))</f>
        <v/>
      </c>
      <c r="Q443" s="17" t="str">
        <f aca="false">IF($B443="","",INDEX(Course!$P$2:$P$19,MATCH($B443,Course!$A$2:$A$19,0)))</f>
        <v/>
      </c>
      <c r="R443" s="17" t="str">
        <f aca="false">IF($C443="","",IF(OR($C443="G",$C443="H"),0,IF($C443="T",1,MIN(1,MAX(0,($N443-Inputs!$B$8)/MAX($P443-Inputs!$B$8,0.01))))))</f>
        <v/>
      </c>
      <c r="S443" s="17" t="str">
        <f aca="false">IF($C443="","",IF(OR($E443="G",$E443="H"),0,IF($E443="T",1,MIN(1,MAX(0,($O443-Inputs!$B$8)/MAX($P443-Inputs!$B$8,0.01))))))</f>
        <v/>
      </c>
    </row>
    <row r="444" customFormat="false" ht="15" hidden="false" customHeight="false" outlineLevel="0" collapsed="false">
      <c r="I444" s="7" t="str">
        <f aca="false">IF($C444="","",IF($C444="G","PUTT",IF(AND($C444="T",$M444&gt;3),"OTT",IF($D444&lt;=30,"ARG","APP"))))</f>
        <v/>
      </c>
      <c r="J444" s="17" t="str">
        <f aca="false">IF($C444="","",$N444+$Q444*$R444)</f>
        <v/>
      </c>
      <c r="K444" s="17" t="str">
        <f aca="false">IF($C444="","",$O444+$Q444*$S444)</f>
        <v/>
      </c>
      <c r="L444" s="17" t="str">
        <f aca="false">IF($C444="","",$J444-$K444-1-N($G444))</f>
        <v/>
      </c>
      <c r="M444" s="7" t="str">
        <f aca="false">IF($B444="","",INDEX(Course!$B$2:$B$19,MATCH($B444,Course!$A$2:$A$19,0)))</f>
        <v/>
      </c>
      <c r="N444" s="17" t="str">
        <f aca="false">IF($C444="","",IF($C444="H",0,IF($C444="G",INDEX(Baseline!$I$3:$I$102,MIN(MAX(ROUND($D444,0),1),100)),IF($C444="T",IF($M444=3,INDEX(Baseline!$B$3:$B$122,MATCH(MIN(MAX(ROUND(($D444)/5,0)*5,5),600),Baseline!$A$3:$A$122,0))-Inputs!$B$9,INDEX(Course!$N$2:$N$19,MATCH($B444,Course!$A$2:$A$19,0))),INDEX(Baseline!$B$3:$E$122,MATCH(MIN(MAX(ROUND(($D444)/5,0)*5,5),600),Baseline!$A$3:$A$122,0),MATCH($C444,Baseline!$B$2:$E$2,0))))))</f>
        <v/>
      </c>
      <c r="O444" s="17" t="str">
        <f aca="false">IF($C444="","",IF($E444="H",0,IF($E444="G",INDEX(Baseline!$I$3:$I$102,MIN(MAX(ROUND($F444,0),1),100)),IF($E444="T",IF($M444=3,INDEX(Baseline!$B$3:$B$122,MATCH(MIN(MAX(ROUND(($F444)/5,0)*5,5),600),Baseline!$A$3:$A$122,0))-Inputs!$B$9,INDEX(Course!$N$2:$N$19,MATCH($B444,Course!$A$2:$A$19,0))),INDEX(Baseline!$B$3:$E$122,MATCH(MIN(MAX(ROUND(($F444)/5,0)*5,5),600),Baseline!$A$3:$A$122,0),MATCH($E444,Baseline!$B$2:$E$2,0))))))</f>
        <v/>
      </c>
      <c r="P444" s="17" t="str">
        <f aca="false">IF($B444="","",INDEX(Course!$N$2:$N$19,MATCH($B444,Course!$A$2:$A$19,0)))</f>
        <v/>
      </c>
      <c r="Q444" s="17" t="str">
        <f aca="false">IF($B444="","",INDEX(Course!$P$2:$P$19,MATCH($B444,Course!$A$2:$A$19,0)))</f>
        <v/>
      </c>
      <c r="R444" s="17" t="str">
        <f aca="false">IF($C444="","",IF(OR($C444="G",$C444="H"),0,IF($C444="T",1,MIN(1,MAX(0,($N444-Inputs!$B$8)/MAX($P444-Inputs!$B$8,0.01))))))</f>
        <v/>
      </c>
      <c r="S444" s="17" t="str">
        <f aca="false">IF($C444="","",IF(OR($E444="G",$E444="H"),0,IF($E444="T",1,MIN(1,MAX(0,($O444-Inputs!$B$8)/MAX($P444-Inputs!$B$8,0.01))))))</f>
        <v/>
      </c>
    </row>
    <row r="445" customFormat="false" ht="15" hidden="false" customHeight="false" outlineLevel="0" collapsed="false">
      <c r="I445" s="7" t="str">
        <f aca="false">IF($C445="","",IF($C445="G","PUTT",IF(AND($C445="T",$M445&gt;3),"OTT",IF($D445&lt;=30,"ARG","APP"))))</f>
        <v/>
      </c>
      <c r="J445" s="17" t="str">
        <f aca="false">IF($C445="","",$N445+$Q445*$R445)</f>
        <v/>
      </c>
      <c r="K445" s="17" t="str">
        <f aca="false">IF($C445="","",$O445+$Q445*$S445)</f>
        <v/>
      </c>
      <c r="L445" s="17" t="str">
        <f aca="false">IF($C445="","",$J445-$K445-1-N($G445))</f>
        <v/>
      </c>
      <c r="M445" s="7" t="str">
        <f aca="false">IF($B445="","",INDEX(Course!$B$2:$B$19,MATCH($B445,Course!$A$2:$A$19,0)))</f>
        <v/>
      </c>
      <c r="N445" s="17" t="str">
        <f aca="false">IF($C445="","",IF($C445="H",0,IF($C445="G",INDEX(Baseline!$I$3:$I$102,MIN(MAX(ROUND($D445,0),1),100)),IF($C445="T",IF($M445=3,INDEX(Baseline!$B$3:$B$122,MATCH(MIN(MAX(ROUND(($D445)/5,0)*5,5),600),Baseline!$A$3:$A$122,0))-Inputs!$B$9,INDEX(Course!$N$2:$N$19,MATCH($B445,Course!$A$2:$A$19,0))),INDEX(Baseline!$B$3:$E$122,MATCH(MIN(MAX(ROUND(($D445)/5,0)*5,5),600),Baseline!$A$3:$A$122,0),MATCH($C445,Baseline!$B$2:$E$2,0))))))</f>
        <v/>
      </c>
      <c r="O445" s="17" t="str">
        <f aca="false">IF($C445="","",IF($E445="H",0,IF($E445="G",INDEX(Baseline!$I$3:$I$102,MIN(MAX(ROUND($F445,0),1),100)),IF($E445="T",IF($M445=3,INDEX(Baseline!$B$3:$B$122,MATCH(MIN(MAX(ROUND(($F445)/5,0)*5,5),600),Baseline!$A$3:$A$122,0))-Inputs!$B$9,INDEX(Course!$N$2:$N$19,MATCH($B445,Course!$A$2:$A$19,0))),INDEX(Baseline!$B$3:$E$122,MATCH(MIN(MAX(ROUND(($F445)/5,0)*5,5),600),Baseline!$A$3:$A$122,0),MATCH($E445,Baseline!$B$2:$E$2,0))))))</f>
        <v/>
      </c>
      <c r="P445" s="17" t="str">
        <f aca="false">IF($B445="","",INDEX(Course!$N$2:$N$19,MATCH($B445,Course!$A$2:$A$19,0)))</f>
        <v/>
      </c>
      <c r="Q445" s="17" t="str">
        <f aca="false">IF($B445="","",INDEX(Course!$P$2:$P$19,MATCH($B445,Course!$A$2:$A$19,0)))</f>
        <v/>
      </c>
      <c r="R445" s="17" t="str">
        <f aca="false">IF($C445="","",IF(OR($C445="G",$C445="H"),0,IF($C445="T",1,MIN(1,MAX(0,($N445-Inputs!$B$8)/MAX($P445-Inputs!$B$8,0.01))))))</f>
        <v/>
      </c>
      <c r="S445" s="17" t="str">
        <f aca="false">IF($C445="","",IF(OR($E445="G",$E445="H"),0,IF($E445="T",1,MIN(1,MAX(0,($O445-Inputs!$B$8)/MAX($P445-Inputs!$B$8,0.01))))))</f>
        <v/>
      </c>
    </row>
    <row r="446" customFormat="false" ht="15" hidden="false" customHeight="false" outlineLevel="0" collapsed="false">
      <c r="I446" s="7" t="str">
        <f aca="false">IF($C446="","",IF($C446="G","PUTT",IF(AND($C446="T",$M446&gt;3),"OTT",IF($D446&lt;=30,"ARG","APP"))))</f>
        <v/>
      </c>
      <c r="J446" s="17" t="str">
        <f aca="false">IF($C446="","",$N446+$Q446*$R446)</f>
        <v/>
      </c>
      <c r="K446" s="17" t="str">
        <f aca="false">IF($C446="","",$O446+$Q446*$S446)</f>
        <v/>
      </c>
      <c r="L446" s="17" t="str">
        <f aca="false">IF($C446="","",$J446-$K446-1-N($G446))</f>
        <v/>
      </c>
      <c r="M446" s="7" t="str">
        <f aca="false">IF($B446="","",INDEX(Course!$B$2:$B$19,MATCH($B446,Course!$A$2:$A$19,0)))</f>
        <v/>
      </c>
      <c r="N446" s="17" t="str">
        <f aca="false">IF($C446="","",IF($C446="H",0,IF($C446="G",INDEX(Baseline!$I$3:$I$102,MIN(MAX(ROUND($D446,0),1),100)),IF($C446="T",IF($M446=3,INDEX(Baseline!$B$3:$B$122,MATCH(MIN(MAX(ROUND(($D446)/5,0)*5,5),600),Baseline!$A$3:$A$122,0))-Inputs!$B$9,INDEX(Course!$N$2:$N$19,MATCH($B446,Course!$A$2:$A$19,0))),INDEX(Baseline!$B$3:$E$122,MATCH(MIN(MAX(ROUND(($D446)/5,0)*5,5),600),Baseline!$A$3:$A$122,0),MATCH($C446,Baseline!$B$2:$E$2,0))))))</f>
        <v/>
      </c>
      <c r="O446" s="17" t="str">
        <f aca="false">IF($C446="","",IF($E446="H",0,IF($E446="G",INDEX(Baseline!$I$3:$I$102,MIN(MAX(ROUND($F446,0),1),100)),IF($E446="T",IF($M446=3,INDEX(Baseline!$B$3:$B$122,MATCH(MIN(MAX(ROUND(($F446)/5,0)*5,5),600),Baseline!$A$3:$A$122,0))-Inputs!$B$9,INDEX(Course!$N$2:$N$19,MATCH($B446,Course!$A$2:$A$19,0))),INDEX(Baseline!$B$3:$E$122,MATCH(MIN(MAX(ROUND(($F446)/5,0)*5,5),600),Baseline!$A$3:$A$122,0),MATCH($E446,Baseline!$B$2:$E$2,0))))))</f>
        <v/>
      </c>
      <c r="P446" s="17" t="str">
        <f aca="false">IF($B446="","",INDEX(Course!$N$2:$N$19,MATCH($B446,Course!$A$2:$A$19,0)))</f>
        <v/>
      </c>
      <c r="Q446" s="17" t="str">
        <f aca="false">IF($B446="","",INDEX(Course!$P$2:$P$19,MATCH($B446,Course!$A$2:$A$19,0)))</f>
        <v/>
      </c>
      <c r="R446" s="17" t="str">
        <f aca="false">IF($C446="","",IF(OR($C446="G",$C446="H"),0,IF($C446="T",1,MIN(1,MAX(0,($N446-Inputs!$B$8)/MAX($P446-Inputs!$B$8,0.01))))))</f>
        <v/>
      </c>
      <c r="S446" s="17" t="str">
        <f aca="false">IF($C446="","",IF(OR($E446="G",$E446="H"),0,IF($E446="T",1,MIN(1,MAX(0,($O446-Inputs!$B$8)/MAX($P446-Inputs!$B$8,0.01))))))</f>
        <v/>
      </c>
    </row>
    <row r="447" customFormat="false" ht="15" hidden="false" customHeight="false" outlineLevel="0" collapsed="false">
      <c r="I447" s="7" t="str">
        <f aca="false">IF($C447="","",IF($C447="G","PUTT",IF(AND($C447="T",$M447&gt;3),"OTT",IF($D447&lt;=30,"ARG","APP"))))</f>
        <v/>
      </c>
      <c r="J447" s="17" t="str">
        <f aca="false">IF($C447="","",$N447+$Q447*$R447)</f>
        <v/>
      </c>
      <c r="K447" s="17" t="str">
        <f aca="false">IF($C447="","",$O447+$Q447*$S447)</f>
        <v/>
      </c>
      <c r="L447" s="17" t="str">
        <f aca="false">IF($C447="","",$J447-$K447-1-N($G447))</f>
        <v/>
      </c>
      <c r="M447" s="7" t="str">
        <f aca="false">IF($B447="","",INDEX(Course!$B$2:$B$19,MATCH($B447,Course!$A$2:$A$19,0)))</f>
        <v/>
      </c>
      <c r="N447" s="17" t="str">
        <f aca="false">IF($C447="","",IF($C447="H",0,IF($C447="G",INDEX(Baseline!$I$3:$I$102,MIN(MAX(ROUND($D447,0),1),100)),IF($C447="T",IF($M447=3,INDEX(Baseline!$B$3:$B$122,MATCH(MIN(MAX(ROUND(($D447)/5,0)*5,5),600),Baseline!$A$3:$A$122,0))-Inputs!$B$9,INDEX(Course!$N$2:$N$19,MATCH($B447,Course!$A$2:$A$19,0))),INDEX(Baseline!$B$3:$E$122,MATCH(MIN(MAX(ROUND(($D447)/5,0)*5,5),600),Baseline!$A$3:$A$122,0),MATCH($C447,Baseline!$B$2:$E$2,0))))))</f>
        <v/>
      </c>
      <c r="O447" s="17" t="str">
        <f aca="false">IF($C447="","",IF($E447="H",0,IF($E447="G",INDEX(Baseline!$I$3:$I$102,MIN(MAX(ROUND($F447,0),1),100)),IF($E447="T",IF($M447=3,INDEX(Baseline!$B$3:$B$122,MATCH(MIN(MAX(ROUND(($F447)/5,0)*5,5),600),Baseline!$A$3:$A$122,0))-Inputs!$B$9,INDEX(Course!$N$2:$N$19,MATCH($B447,Course!$A$2:$A$19,0))),INDEX(Baseline!$B$3:$E$122,MATCH(MIN(MAX(ROUND(($F447)/5,0)*5,5),600),Baseline!$A$3:$A$122,0),MATCH($E447,Baseline!$B$2:$E$2,0))))))</f>
        <v/>
      </c>
      <c r="P447" s="17" t="str">
        <f aca="false">IF($B447="","",INDEX(Course!$N$2:$N$19,MATCH($B447,Course!$A$2:$A$19,0)))</f>
        <v/>
      </c>
      <c r="Q447" s="17" t="str">
        <f aca="false">IF($B447="","",INDEX(Course!$P$2:$P$19,MATCH($B447,Course!$A$2:$A$19,0)))</f>
        <v/>
      </c>
      <c r="R447" s="17" t="str">
        <f aca="false">IF($C447="","",IF(OR($C447="G",$C447="H"),0,IF($C447="T",1,MIN(1,MAX(0,($N447-Inputs!$B$8)/MAX($P447-Inputs!$B$8,0.01))))))</f>
        <v/>
      </c>
      <c r="S447" s="17" t="str">
        <f aca="false">IF($C447="","",IF(OR($E447="G",$E447="H"),0,IF($E447="T",1,MIN(1,MAX(0,($O447-Inputs!$B$8)/MAX($P447-Inputs!$B$8,0.01))))))</f>
        <v/>
      </c>
    </row>
    <row r="448" customFormat="false" ht="15" hidden="false" customHeight="false" outlineLevel="0" collapsed="false">
      <c r="I448" s="7" t="str">
        <f aca="false">IF($C448="","",IF($C448="G","PUTT",IF(AND($C448="T",$M448&gt;3),"OTT",IF($D448&lt;=30,"ARG","APP"))))</f>
        <v/>
      </c>
      <c r="J448" s="17" t="str">
        <f aca="false">IF($C448="","",$N448+$Q448*$R448)</f>
        <v/>
      </c>
      <c r="K448" s="17" t="str">
        <f aca="false">IF($C448="","",$O448+$Q448*$S448)</f>
        <v/>
      </c>
      <c r="L448" s="17" t="str">
        <f aca="false">IF($C448="","",$J448-$K448-1-N($G448))</f>
        <v/>
      </c>
      <c r="M448" s="7" t="str">
        <f aca="false">IF($B448="","",INDEX(Course!$B$2:$B$19,MATCH($B448,Course!$A$2:$A$19,0)))</f>
        <v/>
      </c>
      <c r="N448" s="17" t="str">
        <f aca="false">IF($C448="","",IF($C448="H",0,IF($C448="G",INDEX(Baseline!$I$3:$I$102,MIN(MAX(ROUND($D448,0),1),100)),IF($C448="T",IF($M448=3,INDEX(Baseline!$B$3:$B$122,MATCH(MIN(MAX(ROUND(($D448)/5,0)*5,5),600),Baseline!$A$3:$A$122,0))-Inputs!$B$9,INDEX(Course!$N$2:$N$19,MATCH($B448,Course!$A$2:$A$19,0))),INDEX(Baseline!$B$3:$E$122,MATCH(MIN(MAX(ROUND(($D448)/5,0)*5,5),600),Baseline!$A$3:$A$122,0),MATCH($C448,Baseline!$B$2:$E$2,0))))))</f>
        <v/>
      </c>
      <c r="O448" s="17" t="str">
        <f aca="false">IF($C448="","",IF($E448="H",0,IF($E448="G",INDEX(Baseline!$I$3:$I$102,MIN(MAX(ROUND($F448,0),1),100)),IF($E448="T",IF($M448=3,INDEX(Baseline!$B$3:$B$122,MATCH(MIN(MAX(ROUND(($F448)/5,0)*5,5),600),Baseline!$A$3:$A$122,0))-Inputs!$B$9,INDEX(Course!$N$2:$N$19,MATCH($B448,Course!$A$2:$A$19,0))),INDEX(Baseline!$B$3:$E$122,MATCH(MIN(MAX(ROUND(($F448)/5,0)*5,5),600),Baseline!$A$3:$A$122,0),MATCH($E448,Baseline!$B$2:$E$2,0))))))</f>
        <v/>
      </c>
      <c r="P448" s="17" t="str">
        <f aca="false">IF($B448="","",INDEX(Course!$N$2:$N$19,MATCH($B448,Course!$A$2:$A$19,0)))</f>
        <v/>
      </c>
      <c r="Q448" s="17" t="str">
        <f aca="false">IF($B448="","",INDEX(Course!$P$2:$P$19,MATCH($B448,Course!$A$2:$A$19,0)))</f>
        <v/>
      </c>
      <c r="R448" s="17" t="str">
        <f aca="false">IF($C448="","",IF(OR($C448="G",$C448="H"),0,IF($C448="T",1,MIN(1,MAX(0,($N448-Inputs!$B$8)/MAX($P448-Inputs!$B$8,0.01))))))</f>
        <v/>
      </c>
      <c r="S448" s="17" t="str">
        <f aca="false">IF($C448="","",IF(OR($E448="G",$E448="H"),0,IF($E448="T",1,MIN(1,MAX(0,($O448-Inputs!$B$8)/MAX($P448-Inputs!$B$8,0.01))))))</f>
        <v/>
      </c>
    </row>
    <row r="449" customFormat="false" ht="15" hidden="false" customHeight="false" outlineLevel="0" collapsed="false">
      <c r="I449" s="7" t="str">
        <f aca="false">IF($C449="","",IF($C449="G","PUTT",IF(AND($C449="T",$M449&gt;3),"OTT",IF($D449&lt;=30,"ARG","APP"))))</f>
        <v/>
      </c>
      <c r="J449" s="17" t="str">
        <f aca="false">IF($C449="","",$N449+$Q449*$R449)</f>
        <v/>
      </c>
      <c r="K449" s="17" t="str">
        <f aca="false">IF($C449="","",$O449+$Q449*$S449)</f>
        <v/>
      </c>
      <c r="L449" s="17" t="str">
        <f aca="false">IF($C449="","",$J449-$K449-1-N($G449))</f>
        <v/>
      </c>
      <c r="M449" s="7" t="str">
        <f aca="false">IF($B449="","",INDEX(Course!$B$2:$B$19,MATCH($B449,Course!$A$2:$A$19,0)))</f>
        <v/>
      </c>
      <c r="N449" s="17" t="str">
        <f aca="false">IF($C449="","",IF($C449="H",0,IF($C449="G",INDEX(Baseline!$I$3:$I$102,MIN(MAX(ROUND($D449,0),1),100)),IF($C449="T",IF($M449=3,INDEX(Baseline!$B$3:$B$122,MATCH(MIN(MAX(ROUND(($D449)/5,0)*5,5),600),Baseline!$A$3:$A$122,0))-Inputs!$B$9,INDEX(Course!$N$2:$N$19,MATCH($B449,Course!$A$2:$A$19,0))),INDEX(Baseline!$B$3:$E$122,MATCH(MIN(MAX(ROUND(($D449)/5,0)*5,5),600),Baseline!$A$3:$A$122,0),MATCH($C449,Baseline!$B$2:$E$2,0))))))</f>
        <v/>
      </c>
      <c r="O449" s="17" t="str">
        <f aca="false">IF($C449="","",IF($E449="H",0,IF($E449="G",INDEX(Baseline!$I$3:$I$102,MIN(MAX(ROUND($F449,0),1),100)),IF($E449="T",IF($M449=3,INDEX(Baseline!$B$3:$B$122,MATCH(MIN(MAX(ROUND(($F449)/5,0)*5,5),600),Baseline!$A$3:$A$122,0))-Inputs!$B$9,INDEX(Course!$N$2:$N$19,MATCH($B449,Course!$A$2:$A$19,0))),INDEX(Baseline!$B$3:$E$122,MATCH(MIN(MAX(ROUND(($F449)/5,0)*5,5),600),Baseline!$A$3:$A$122,0),MATCH($E449,Baseline!$B$2:$E$2,0))))))</f>
        <v/>
      </c>
      <c r="P449" s="17" t="str">
        <f aca="false">IF($B449="","",INDEX(Course!$N$2:$N$19,MATCH($B449,Course!$A$2:$A$19,0)))</f>
        <v/>
      </c>
      <c r="Q449" s="17" t="str">
        <f aca="false">IF($B449="","",INDEX(Course!$P$2:$P$19,MATCH($B449,Course!$A$2:$A$19,0)))</f>
        <v/>
      </c>
      <c r="R449" s="17" t="str">
        <f aca="false">IF($C449="","",IF(OR($C449="G",$C449="H"),0,IF($C449="T",1,MIN(1,MAX(0,($N449-Inputs!$B$8)/MAX($P449-Inputs!$B$8,0.01))))))</f>
        <v/>
      </c>
      <c r="S449" s="17" t="str">
        <f aca="false">IF($C449="","",IF(OR($E449="G",$E449="H"),0,IF($E449="T",1,MIN(1,MAX(0,($O449-Inputs!$B$8)/MAX($P449-Inputs!$B$8,0.01))))))</f>
        <v/>
      </c>
    </row>
    <row r="450" customFormat="false" ht="15" hidden="false" customHeight="false" outlineLevel="0" collapsed="false">
      <c r="I450" s="7" t="str">
        <f aca="false">IF($C450="","",IF($C450="G","PUTT",IF(AND($C450="T",$M450&gt;3),"OTT",IF($D450&lt;=30,"ARG","APP"))))</f>
        <v/>
      </c>
      <c r="J450" s="17" t="str">
        <f aca="false">IF($C450="","",$N450+$Q450*$R450)</f>
        <v/>
      </c>
      <c r="K450" s="17" t="str">
        <f aca="false">IF($C450="","",$O450+$Q450*$S450)</f>
        <v/>
      </c>
      <c r="L450" s="17" t="str">
        <f aca="false">IF($C450="","",$J450-$K450-1-N($G450))</f>
        <v/>
      </c>
      <c r="M450" s="7" t="str">
        <f aca="false">IF($B450="","",INDEX(Course!$B$2:$B$19,MATCH($B450,Course!$A$2:$A$19,0)))</f>
        <v/>
      </c>
      <c r="N450" s="17" t="str">
        <f aca="false">IF($C450="","",IF($C450="H",0,IF($C450="G",INDEX(Baseline!$I$3:$I$102,MIN(MAX(ROUND($D450,0),1),100)),IF($C450="T",IF($M450=3,INDEX(Baseline!$B$3:$B$122,MATCH(MIN(MAX(ROUND(($D450)/5,0)*5,5),600),Baseline!$A$3:$A$122,0))-Inputs!$B$9,INDEX(Course!$N$2:$N$19,MATCH($B450,Course!$A$2:$A$19,0))),INDEX(Baseline!$B$3:$E$122,MATCH(MIN(MAX(ROUND(($D450)/5,0)*5,5),600),Baseline!$A$3:$A$122,0),MATCH($C450,Baseline!$B$2:$E$2,0))))))</f>
        <v/>
      </c>
      <c r="O450" s="17" t="str">
        <f aca="false">IF($C450="","",IF($E450="H",0,IF($E450="G",INDEX(Baseline!$I$3:$I$102,MIN(MAX(ROUND($F450,0),1),100)),IF($E450="T",IF($M450=3,INDEX(Baseline!$B$3:$B$122,MATCH(MIN(MAX(ROUND(($F450)/5,0)*5,5),600),Baseline!$A$3:$A$122,0))-Inputs!$B$9,INDEX(Course!$N$2:$N$19,MATCH($B450,Course!$A$2:$A$19,0))),INDEX(Baseline!$B$3:$E$122,MATCH(MIN(MAX(ROUND(($F450)/5,0)*5,5),600),Baseline!$A$3:$A$122,0),MATCH($E450,Baseline!$B$2:$E$2,0))))))</f>
        <v/>
      </c>
      <c r="P450" s="17" t="str">
        <f aca="false">IF($B450="","",INDEX(Course!$N$2:$N$19,MATCH($B450,Course!$A$2:$A$19,0)))</f>
        <v/>
      </c>
      <c r="Q450" s="17" t="str">
        <f aca="false">IF($B450="","",INDEX(Course!$P$2:$P$19,MATCH($B450,Course!$A$2:$A$19,0)))</f>
        <v/>
      </c>
      <c r="R450" s="17" t="str">
        <f aca="false">IF($C450="","",IF(OR($C450="G",$C450="H"),0,IF($C450="T",1,MIN(1,MAX(0,($N450-Inputs!$B$8)/MAX($P450-Inputs!$B$8,0.01))))))</f>
        <v/>
      </c>
      <c r="S450" s="17" t="str">
        <f aca="false">IF($C450="","",IF(OR($E450="G",$E450="H"),0,IF($E450="T",1,MIN(1,MAX(0,($O450-Inputs!$B$8)/MAX($P450-Inputs!$B$8,0.01))))))</f>
        <v/>
      </c>
    </row>
    <row r="451" customFormat="false" ht="15" hidden="false" customHeight="false" outlineLevel="0" collapsed="false">
      <c r="I451" s="7" t="str">
        <f aca="false">IF($C451="","",IF($C451="G","PUTT",IF(AND($C451="T",$M451&gt;3),"OTT",IF($D451&lt;=30,"ARG","APP"))))</f>
        <v/>
      </c>
      <c r="J451" s="17" t="str">
        <f aca="false">IF($C451="","",$N451+$Q451*$R451)</f>
        <v/>
      </c>
      <c r="K451" s="17" t="str">
        <f aca="false">IF($C451="","",$O451+$Q451*$S451)</f>
        <v/>
      </c>
      <c r="L451" s="17" t="str">
        <f aca="false">IF($C451="","",$J451-$K451-1-N($G451))</f>
        <v/>
      </c>
      <c r="M451" s="7" t="str">
        <f aca="false">IF($B451="","",INDEX(Course!$B$2:$B$19,MATCH($B451,Course!$A$2:$A$19,0)))</f>
        <v/>
      </c>
      <c r="N451" s="17" t="str">
        <f aca="false">IF($C451="","",IF($C451="H",0,IF($C451="G",INDEX(Baseline!$I$3:$I$102,MIN(MAX(ROUND($D451,0),1),100)),IF($C451="T",IF($M451=3,INDEX(Baseline!$B$3:$B$122,MATCH(MIN(MAX(ROUND(($D451)/5,0)*5,5),600),Baseline!$A$3:$A$122,0))-Inputs!$B$9,INDEX(Course!$N$2:$N$19,MATCH($B451,Course!$A$2:$A$19,0))),INDEX(Baseline!$B$3:$E$122,MATCH(MIN(MAX(ROUND(($D451)/5,0)*5,5),600),Baseline!$A$3:$A$122,0),MATCH($C451,Baseline!$B$2:$E$2,0))))))</f>
        <v/>
      </c>
      <c r="O451" s="17" t="str">
        <f aca="false">IF($C451="","",IF($E451="H",0,IF($E451="G",INDEX(Baseline!$I$3:$I$102,MIN(MAX(ROUND($F451,0),1),100)),IF($E451="T",IF($M451=3,INDEX(Baseline!$B$3:$B$122,MATCH(MIN(MAX(ROUND(($F451)/5,0)*5,5),600),Baseline!$A$3:$A$122,0))-Inputs!$B$9,INDEX(Course!$N$2:$N$19,MATCH($B451,Course!$A$2:$A$19,0))),INDEX(Baseline!$B$3:$E$122,MATCH(MIN(MAX(ROUND(($F451)/5,0)*5,5),600),Baseline!$A$3:$A$122,0),MATCH($E451,Baseline!$B$2:$E$2,0))))))</f>
        <v/>
      </c>
      <c r="P451" s="17" t="str">
        <f aca="false">IF($B451="","",INDEX(Course!$N$2:$N$19,MATCH($B451,Course!$A$2:$A$19,0)))</f>
        <v/>
      </c>
      <c r="Q451" s="17" t="str">
        <f aca="false">IF($B451="","",INDEX(Course!$P$2:$P$19,MATCH($B451,Course!$A$2:$A$19,0)))</f>
        <v/>
      </c>
      <c r="R451" s="17" t="str">
        <f aca="false">IF($C451="","",IF(OR($C451="G",$C451="H"),0,IF($C451="T",1,MIN(1,MAX(0,($N451-Inputs!$B$8)/MAX($P451-Inputs!$B$8,0.01))))))</f>
        <v/>
      </c>
      <c r="S451" s="17" t="str">
        <f aca="false">IF($C451="","",IF(OR($E451="G",$E451="H"),0,IF($E451="T",1,MIN(1,MAX(0,($O451-Inputs!$B$8)/MAX($P451-Inputs!$B$8,0.01))))))</f>
        <v/>
      </c>
    </row>
    <row r="452" customFormat="false" ht="15" hidden="false" customHeight="false" outlineLevel="0" collapsed="false">
      <c r="I452" s="7" t="str">
        <f aca="false">IF($C452="","",IF($C452="G","PUTT",IF(AND($C452="T",$M452&gt;3),"OTT",IF($D452&lt;=30,"ARG","APP"))))</f>
        <v/>
      </c>
      <c r="J452" s="17" t="str">
        <f aca="false">IF($C452="","",$N452+$Q452*$R452)</f>
        <v/>
      </c>
      <c r="K452" s="17" t="str">
        <f aca="false">IF($C452="","",$O452+$Q452*$S452)</f>
        <v/>
      </c>
      <c r="L452" s="17" t="str">
        <f aca="false">IF($C452="","",$J452-$K452-1-N($G452))</f>
        <v/>
      </c>
      <c r="M452" s="7" t="str">
        <f aca="false">IF($B452="","",INDEX(Course!$B$2:$B$19,MATCH($B452,Course!$A$2:$A$19,0)))</f>
        <v/>
      </c>
      <c r="N452" s="17" t="str">
        <f aca="false">IF($C452="","",IF($C452="H",0,IF($C452="G",INDEX(Baseline!$I$3:$I$102,MIN(MAX(ROUND($D452,0),1),100)),IF($C452="T",IF($M452=3,INDEX(Baseline!$B$3:$B$122,MATCH(MIN(MAX(ROUND(($D452)/5,0)*5,5),600),Baseline!$A$3:$A$122,0))-Inputs!$B$9,INDEX(Course!$N$2:$N$19,MATCH($B452,Course!$A$2:$A$19,0))),INDEX(Baseline!$B$3:$E$122,MATCH(MIN(MAX(ROUND(($D452)/5,0)*5,5),600),Baseline!$A$3:$A$122,0),MATCH($C452,Baseline!$B$2:$E$2,0))))))</f>
        <v/>
      </c>
      <c r="O452" s="17" t="str">
        <f aca="false">IF($C452="","",IF($E452="H",0,IF($E452="G",INDEX(Baseline!$I$3:$I$102,MIN(MAX(ROUND($F452,0),1),100)),IF($E452="T",IF($M452=3,INDEX(Baseline!$B$3:$B$122,MATCH(MIN(MAX(ROUND(($F452)/5,0)*5,5),600),Baseline!$A$3:$A$122,0))-Inputs!$B$9,INDEX(Course!$N$2:$N$19,MATCH($B452,Course!$A$2:$A$19,0))),INDEX(Baseline!$B$3:$E$122,MATCH(MIN(MAX(ROUND(($F452)/5,0)*5,5),600),Baseline!$A$3:$A$122,0),MATCH($E452,Baseline!$B$2:$E$2,0))))))</f>
        <v/>
      </c>
      <c r="P452" s="17" t="str">
        <f aca="false">IF($B452="","",INDEX(Course!$N$2:$N$19,MATCH($B452,Course!$A$2:$A$19,0)))</f>
        <v/>
      </c>
      <c r="Q452" s="17" t="str">
        <f aca="false">IF($B452="","",INDEX(Course!$P$2:$P$19,MATCH($B452,Course!$A$2:$A$19,0)))</f>
        <v/>
      </c>
      <c r="R452" s="17" t="str">
        <f aca="false">IF($C452="","",IF(OR($C452="G",$C452="H"),0,IF($C452="T",1,MIN(1,MAX(0,($N452-Inputs!$B$8)/MAX($P452-Inputs!$B$8,0.01))))))</f>
        <v/>
      </c>
      <c r="S452" s="17" t="str">
        <f aca="false">IF($C452="","",IF(OR($E452="G",$E452="H"),0,IF($E452="T",1,MIN(1,MAX(0,($O452-Inputs!$B$8)/MAX($P452-Inputs!$B$8,0.01))))))</f>
        <v/>
      </c>
    </row>
    <row r="453" customFormat="false" ht="15" hidden="false" customHeight="false" outlineLevel="0" collapsed="false">
      <c r="I453" s="7" t="str">
        <f aca="false">IF($C453="","",IF($C453="G","PUTT",IF(AND($C453="T",$M453&gt;3),"OTT",IF($D453&lt;=30,"ARG","APP"))))</f>
        <v/>
      </c>
      <c r="J453" s="17" t="str">
        <f aca="false">IF($C453="","",$N453+$Q453*$R453)</f>
        <v/>
      </c>
      <c r="K453" s="17" t="str">
        <f aca="false">IF($C453="","",$O453+$Q453*$S453)</f>
        <v/>
      </c>
      <c r="L453" s="17" t="str">
        <f aca="false">IF($C453="","",$J453-$K453-1-N($G453))</f>
        <v/>
      </c>
      <c r="M453" s="7" t="str">
        <f aca="false">IF($B453="","",INDEX(Course!$B$2:$B$19,MATCH($B453,Course!$A$2:$A$19,0)))</f>
        <v/>
      </c>
      <c r="N453" s="17" t="str">
        <f aca="false">IF($C453="","",IF($C453="H",0,IF($C453="G",INDEX(Baseline!$I$3:$I$102,MIN(MAX(ROUND($D453,0),1),100)),IF($C453="T",IF($M453=3,INDEX(Baseline!$B$3:$B$122,MATCH(MIN(MAX(ROUND(($D453)/5,0)*5,5),600),Baseline!$A$3:$A$122,0))-Inputs!$B$9,INDEX(Course!$N$2:$N$19,MATCH($B453,Course!$A$2:$A$19,0))),INDEX(Baseline!$B$3:$E$122,MATCH(MIN(MAX(ROUND(($D453)/5,0)*5,5),600),Baseline!$A$3:$A$122,0),MATCH($C453,Baseline!$B$2:$E$2,0))))))</f>
        <v/>
      </c>
      <c r="O453" s="17" t="str">
        <f aca="false">IF($C453="","",IF($E453="H",0,IF($E453="G",INDEX(Baseline!$I$3:$I$102,MIN(MAX(ROUND($F453,0),1),100)),IF($E453="T",IF($M453=3,INDEX(Baseline!$B$3:$B$122,MATCH(MIN(MAX(ROUND(($F453)/5,0)*5,5),600),Baseline!$A$3:$A$122,0))-Inputs!$B$9,INDEX(Course!$N$2:$N$19,MATCH($B453,Course!$A$2:$A$19,0))),INDEX(Baseline!$B$3:$E$122,MATCH(MIN(MAX(ROUND(($F453)/5,0)*5,5),600),Baseline!$A$3:$A$122,0),MATCH($E453,Baseline!$B$2:$E$2,0))))))</f>
        <v/>
      </c>
      <c r="P453" s="17" t="str">
        <f aca="false">IF($B453="","",INDEX(Course!$N$2:$N$19,MATCH($B453,Course!$A$2:$A$19,0)))</f>
        <v/>
      </c>
      <c r="Q453" s="17" t="str">
        <f aca="false">IF($B453="","",INDEX(Course!$P$2:$P$19,MATCH($B453,Course!$A$2:$A$19,0)))</f>
        <v/>
      </c>
      <c r="R453" s="17" t="str">
        <f aca="false">IF($C453="","",IF(OR($C453="G",$C453="H"),0,IF($C453="T",1,MIN(1,MAX(0,($N453-Inputs!$B$8)/MAX($P453-Inputs!$B$8,0.01))))))</f>
        <v/>
      </c>
      <c r="S453" s="17" t="str">
        <f aca="false">IF($C453="","",IF(OR($E453="G",$E453="H"),0,IF($E453="T",1,MIN(1,MAX(0,($O453-Inputs!$B$8)/MAX($P453-Inputs!$B$8,0.01))))))</f>
        <v/>
      </c>
    </row>
    <row r="454" customFormat="false" ht="15" hidden="false" customHeight="false" outlineLevel="0" collapsed="false">
      <c r="I454" s="7" t="str">
        <f aca="false">IF($C454="","",IF($C454="G","PUTT",IF(AND($C454="T",$M454&gt;3),"OTT",IF($D454&lt;=30,"ARG","APP"))))</f>
        <v/>
      </c>
      <c r="J454" s="17" t="str">
        <f aca="false">IF($C454="","",$N454+$Q454*$R454)</f>
        <v/>
      </c>
      <c r="K454" s="17" t="str">
        <f aca="false">IF($C454="","",$O454+$Q454*$S454)</f>
        <v/>
      </c>
      <c r="L454" s="17" t="str">
        <f aca="false">IF($C454="","",$J454-$K454-1-N($G454))</f>
        <v/>
      </c>
      <c r="M454" s="7" t="str">
        <f aca="false">IF($B454="","",INDEX(Course!$B$2:$B$19,MATCH($B454,Course!$A$2:$A$19,0)))</f>
        <v/>
      </c>
      <c r="N454" s="17" t="str">
        <f aca="false">IF($C454="","",IF($C454="H",0,IF($C454="G",INDEX(Baseline!$I$3:$I$102,MIN(MAX(ROUND($D454,0),1),100)),IF($C454="T",IF($M454=3,INDEX(Baseline!$B$3:$B$122,MATCH(MIN(MAX(ROUND(($D454)/5,0)*5,5),600),Baseline!$A$3:$A$122,0))-Inputs!$B$9,INDEX(Course!$N$2:$N$19,MATCH($B454,Course!$A$2:$A$19,0))),INDEX(Baseline!$B$3:$E$122,MATCH(MIN(MAX(ROUND(($D454)/5,0)*5,5),600),Baseline!$A$3:$A$122,0),MATCH($C454,Baseline!$B$2:$E$2,0))))))</f>
        <v/>
      </c>
      <c r="O454" s="17" t="str">
        <f aca="false">IF($C454="","",IF($E454="H",0,IF($E454="G",INDEX(Baseline!$I$3:$I$102,MIN(MAX(ROUND($F454,0),1),100)),IF($E454="T",IF($M454=3,INDEX(Baseline!$B$3:$B$122,MATCH(MIN(MAX(ROUND(($F454)/5,0)*5,5),600),Baseline!$A$3:$A$122,0))-Inputs!$B$9,INDEX(Course!$N$2:$N$19,MATCH($B454,Course!$A$2:$A$19,0))),INDEX(Baseline!$B$3:$E$122,MATCH(MIN(MAX(ROUND(($F454)/5,0)*5,5),600),Baseline!$A$3:$A$122,0),MATCH($E454,Baseline!$B$2:$E$2,0))))))</f>
        <v/>
      </c>
      <c r="P454" s="17" t="str">
        <f aca="false">IF($B454="","",INDEX(Course!$N$2:$N$19,MATCH($B454,Course!$A$2:$A$19,0)))</f>
        <v/>
      </c>
      <c r="Q454" s="17" t="str">
        <f aca="false">IF($B454="","",INDEX(Course!$P$2:$P$19,MATCH($B454,Course!$A$2:$A$19,0)))</f>
        <v/>
      </c>
      <c r="R454" s="17" t="str">
        <f aca="false">IF($C454="","",IF(OR($C454="G",$C454="H"),0,IF($C454="T",1,MIN(1,MAX(0,($N454-Inputs!$B$8)/MAX($P454-Inputs!$B$8,0.01))))))</f>
        <v/>
      </c>
      <c r="S454" s="17" t="str">
        <f aca="false">IF($C454="","",IF(OR($E454="G",$E454="H"),0,IF($E454="T",1,MIN(1,MAX(0,($O454-Inputs!$B$8)/MAX($P454-Inputs!$B$8,0.01))))))</f>
        <v/>
      </c>
    </row>
    <row r="455" customFormat="false" ht="15" hidden="false" customHeight="false" outlineLevel="0" collapsed="false">
      <c r="I455" s="7" t="str">
        <f aca="false">IF($C455="","",IF($C455="G","PUTT",IF(AND($C455="T",$M455&gt;3),"OTT",IF($D455&lt;=30,"ARG","APP"))))</f>
        <v/>
      </c>
      <c r="J455" s="17" t="str">
        <f aca="false">IF($C455="","",$N455+$Q455*$R455)</f>
        <v/>
      </c>
      <c r="K455" s="17" t="str">
        <f aca="false">IF($C455="","",$O455+$Q455*$S455)</f>
        <v/>
      </c>
      <c r="L455" s="17" t="str">
        <f aca="false">IF($C455="","",$J455-$K455-1-N($G455))</f>
        <v/>
      </c>
      <c r="M455" s="7" t="str">
        <f aca="false">IF($B455="","",INDEX(Course!$B$2:$B$19,MATCH($B455,Course!$A$2:$A$19,0)))</f>
        <v/>
      </c>
      <c r="N455" s="17" t="str">
        <f aca="false">IF($C455="","",IF($C455="H",0,IF($C455="G",INDEX(Baseline!$I$3:$I$102,MIN(MAX(ROUND($D455,0),1),100)),IF($C455="T",IF($M455=3,INDEX(Baseline!$B$3:$B$122,MATCH(MIN(MAX(ROUND(($D455)/5,0)*5,5),600),Baseline!$A$3:$A$122,0))-Inputs!$B$9,INDEX(Course!$N$2:$N$19,MATCH($B455,Course!$A$2:$A$19,0))),INDEX(Baseline!$B$3:$E$122,MATCH(MIN(MAX(ROUND(($D455)/5,0)*5,5),600),Baseline!$A$3:$A$122,0),MATCH($C455,Baseline!$B$2:$E$2,0))))))</f>
        <v/>
      </c>
      <c r="O455" s="17" t="str">
        <f aca="false">IF($C455="","",IF($E455="H",0,IF($E455="G",INDEX(Baseline!$I$3:$I$102,MIN(MAX(ROUND($F455,0),1),100)),IF($E455="T",IF($M455=3,INDEX(Baseline!$B$3:$B$122,MATCH(MIN(MAX(ROUND(($F455)/5,0)*5,5),600),Baseline!$A$3:$A$122,0))-Inputs!$B$9,INDEX(Course!$N$2:$N$19,MATCH($B455,Course!$A$2:$A$19,0))),INDEX(Baseline!$B$3:$E$122,MATCH(MIN(MAX(ROUND(($F455)/5,0)*5,5),600),Baseline!$A$3:$A$122,0),MATCH($E455,Baseline!$B$2:$E$2,0))))))</f>
        <v/>
      </c>
      <c r="P455" s="17" t="str">
        <f aca="false">IF($B455="","",INDEX(Course!$N$2:$N$19,MATCH($B455,Course!$A$2:$A$19,0)))</f>
        <v/>
      </c>
      <c r="Q455" s="17" t="str">
        <f aca="false">IF($B455="","",INDEX(Course!$P$2:$P$19,MATCH($B455,Course!$A$2:$A$19,0)))</f>
        <v/>
      </c>
      <c r="R455" s="17" t="str">
        <f aca="false">IF($C455="","",IF(OR($C455="G",$C455="H"),0,IF($C455="T",1,MIN(1,MAX(0,($N455-Inputs!$B$8)/MAX($P455-Inputs!$B$8,0.01))))))</f>
        <v/>
      </c>
      <c r="S455" s="17" t="str">
        <f aca="false">IF($C455="","",IF(OR($E455="G",$E455="H"),0,IF($E455="T",1,MIN(1,MAX(0,($O455-Inputs!$B$8)/MAX($P455-Inputs!$B$8,0.01))))))</f>
        <v/>
      </c>
    </row>
    <row r="456" customFormat="false" ht="15" hidden="false" customHeight="false" outlineLevel="0" collapsed="false">
      <c r="I456" s="7" t="str">
        <f aca="false">IF($C456="","",IF($C456="G","PUTT",IF(AND($C456="T",$M456&gt;3),"OTT",IF($D456&lt;=30,"ARG","APP"))))</f>
        <v/>
      </c>
      <c r="J456" s="17" t="str">
        <f aca="false">IF($C456="","",$N456+$Q456*$R456)</f>
        <v/>
      </c>
      <c r="K456" s="17" t="str">
        <f aca="false">IF($C456="","",$O456+$Q456*$S456)</f>
        <v/>
      </c>
      <c r="L456" s="17" t="str">
        <f aca="false">IF($C456="","",$J456-$K456-1-N($G456))</f>
        <v/>
      </c>
      <c r="M456" s="7" t="str">
        <f aca="false">IF($B456="","",INDEX(Course!$B$2:$B$19,MATCH($B456,Course!$A$2:$A$19,0)))</f>
        <v/>
      </c>
      <c r="N456" s="17" t="str">
        <f aca="false">IF($C456="","",IF($C456="H",0,IF($C456="G",INDEX(Baseline!$I$3:$I$102,MIN(MAX(ROUND($D456,0),1),100)),IF($C456="T",IF($M456=3,INDEX(Baseline!$B$3:$B$122,MATCH(MIN(MAX(ROUND(($D456)/5,0)*5,5),600),Baseline!$A$3:$A$122,0))-Inputs!$B$9,INDEX(Course!$N$2:$N$19,MATCH($B456,Course!$A$2:$A$19,0))),INDEX(Baseline!$B$3:$E$122,MATCH(MIN(MAX(ROUND(($D456)/5,0)*5,5),600),Baseline!$A$3:$A$122,0),MATCH($C456,Baseline!$B$2:$E$2,0))))))</f>
        <v/>
      </c>
      <c r="O456" s="17" t="str">
        <f aca="false">IF($C456="","",IF($E456="H",0,IF($E456="G",INDEX(Baseline!$I$3:$I$102,MIN(MAX(ROUND($F456,0),1),100)),IF($E456="T",IF($M456=3,INDEX(Baseline!$B$3:$B$122,MATCH(MIN(MAX(ROUND(($F456)/5,0)*5,5),600),Baseline!$A$3:$A$122,0))-Inputs!$B$9,INDEX(Course!$N$2:$N$19,MATCH($B456,Course!$A$2:$A$19,0))),INDEX(Baseline!$B$3:$E$122,MATCH(MIN(MAX(ROUND(($F456)/5,0)*5,5),600),Baseline!$A$3:$A$122,0),MATCH($E456,Baseline!$B$2:$E$2,0))))))</f>
        <v/>
      </c>
      <c r="P456" s="17" t="str">
        <f aca="false">IF($B456="","",INDEX(Course!$N$2:$N$19,MATCH($B456,Course!$A$2:$A$19,0)))</f>
        <v/>
      </c>
      <c r="Q456" s="17" t="str">
        <f aca="false">IF($B456="","",INDEX(Course!$P$2:$P$19,MATCH($B456,Course!$A$2:$A$19,0)))</f>
        <v/>
      </c>
      <c r="R456" s="17" t="str">
        <f aca="false">IF($C456="","",IF(OR($C456="G",$C456="H"),0,IF($C456="T",1,MIN(1,MAX(0,($N456-Inputs!$B$8)/MAX($P456-Inputs!$B$8,0.01))))))</f>
        <v/>
      </c>
      <c r="S456" s="17" t="str">
        <f aca="false">IF($C456="","",IF(OR($E456="G",$E456="H"),0,IF($E456="T",1,MIN(1,MAX(0,($O456-Inputs!$B$8)/MAX($P456-Inputs!$B$8,0.01))))))</f>
        <v/>
      </c>
    </row>
    <row r="457" customFormat="false" ht="15" hidden="false" customHeight="false" outlineLevel="0" collapsed="false">
      <c r="I457" s="7" t="str">
        <f aca="false">IF($C457="","",IF($C457="G","PUTT",IF(AND($C457="T",$M457&gt;3),"OTT",IF($D457&lt;=30,"ARG","APP"))))</f>
        <v/>
      </c>
      <c r="J457" s="17" t="str">
        <f aca="false">IF($C457="","",$N457+$Q457*$R457)</f>
        <v/>
      </c>
      <c r="K457" s="17" t="str">
        <f aca="false">IF($C457="","",$O457+$Q457*$S457)</f>
        <v/>
      </c>
      <c r="L457" s="17" t="str">
        <f aca="false">IF($C457="","",$J457-$K457-1-N($G457))</f>
        <v/>
      </c>
      <c r="M457" s="7" t="str">
        <f aca="false">IF($B457="","",INDEX(Course!$B$2:$B$19,MATCH($B457,Course!$A$2:$A$19,0)))</f>
        <v/>
      </c>
      <c r="N457" s="17" t="str">
        <f aca="false">IF($C457="","",IF($C457="H",0,IF($C457="G",INDEX(Baseline!$I$3:$I$102,MIN(MAX(ROUND($D457,0),1),100)),IF($C457="T",IF($M457=3,INDEX(Baseline!$B$3:$B$122,MATCH(MIN(MAX(ROUND(($D457)/5,0)*5,5),600),Baseline!$A$3:$A$122,0))-Inputs!$B$9,INDEX(Course!$N$2:$N$19,MATCH($B457,Course!$A$2:$A$19,0))),INDEX(Baseline!$B$3:$E$122,MATCH(MIN(MAX(ROUND(($D457)/5,0)*5,5),600),Baseline!$A$3:$A$122,0),MATCH($C457,Baseline!$B$2:$E$2,0))))))</f>
        <v/>
      </c>
      <c r="O457" s="17" t="str">
        <f aca="false">IF($C457="","",IF($E457="H",0,IF($E457="G",INDEX(Baseline!$I$3:$I$102,MIN(MAX(ROUND($F457,0),1),100)),IF($E457="T",IF($M457=3,INDEX(Baseline!$B$3:$B$122,MATCH(MIN(MAX(ROUND(($F457)/5,0)*5,5),600),Baseline!$A$3:$A$122,0))-Inputs!$B$9,INDEX(Course!$N$2:$N$19,MATCH($B457,Course!$A$2:$A$19,0))),INDEX(Baseline!$B$3:$E$122,MATCH(MIN(MAX(ROUND(($F457)/5,0)*5,5),600),Baseline!$A$3:$A$122,0),MATCH($E457,Baseline!$B$2:$E$2,0))))))</f>
        <v/>
      </c>
      <c r="P457" s="17" t="str">
        <f aca="false">IF($B457="","",INDEX(Course!$N$2:$N$19,MATCH($B457,Course!$A$2:$A$19,0)))</f>
        <v/>
      </c>
      <c r="Q457" s="17" t="str">
        <f aca="false">IF($B457="","",INDEX(Course!$P$2:$P$19,MATCH($B457,Course!$A$2:$A$19,0)))</f>
        <v/>
      </c>
      <c r="R457" s="17" t="str">
        <f aca="false">IF($C457="","",IF(OR($C457="G",$C457="H"),0,IF($C457="T",1,MIN(1,MAX(0,($N457-Inputs!$B$8)/MAX($P457-Inputs!$B$8,0.01))))))</f>
        <v/>
      </c>
      <c r="S457" s="17" t="str">
        <f aca="false">IF($C457="","",IF(OR($E457="G",$E457="H"),0,IF($E457="T",1,MIN(1,MAX(0,($O457-Inputs!$B$8)/MAX($P457-Inputs!$B$8,0.01))))))</f>
        <v/>
      </c>
    </row>
    <row r="458" customFormat="false" ht="15" hidden="false" customHeight="false" outlineLevel="0" collapsed="false">
      <c r="I458" s="7" t="str">
        <f aca="false">IF($C458="","",IF($C458="G","PUTT",IF(AND($C458="T",$M458&gt;3),"OTT",IF($D458&lt;=30,"ARG","APP"))))</f>
        <v/>
      </c>
      <c r="J458" s="17" t="str">
        <f aca="false">IF($C458="","",$N458+$Q458*$R458)</f>
        <v/>
      </c>
      <c r="K458" s="17" t="str">
        <f aca="false">IF($C458="","",$O458+$Q458*$S458)</f>
        <v/>
      </c>
      <c r="L458" s="17" t="str">
        <f aca="false">IF($C458="","",$J458-$K458-1-N($G458))</f>
        <v/>
      </c>
      <c r="M458" s="7" t="str">
        <f aca="false">IF($B458="","",INDEX(Course!$B$2:$B$19,MATCH($B458,Course!$A$2:$A$19,0)))</f>
        <v/>
      </c>
      <c r="N458" s="17" t="str">
        <f aca="false">IF($C458="","",IF($C458="H",0,IF($C458="G",INDEX(Baseline!$I$3:$I$102,MIN(MAX(ROUND($D458,0),1),100)),IF($C458="T",IF($M458=3,INDEX(Baseline!$B$3:$B$122,MATCH(MIN(MAX(ROUND(($D458)/5,0)*5,5),600),Baseline!$A$3:$A$122,0))-Inputs!$B$9,INDEX(Course!$N$2:$N$19,MATCH($B458,Course!$A$2:$A$19,0))),INDEX(Baseline!$B$3:$E$122,MATCH(MIN(MAX(ROUND(($D458)/5,0)*5,5),600),Baseline!$A$3:$A$122,0),MATCH($C458,Baseline!$B$2:$E$2,0))))))</f>
        <v/>
      </c>
      <c r="O458" s="17" t="str">
        <f aca="false">IF($C458="","",IF($E458="H",0,IF($E458="G",INDEX(Baseline!$I$3:$I$102,MIN(MAX(ROUND($F458,0),1),100)),IF($E458="T",IF($M458=3,INDEX(Baseline!$B$3:$B$122,MATCH(MIN(MAX(ROUND(($F458)/5,0)*5,5),600),Baseline!$A$3:$A$122,0))-Inputs!$B$9,INDEX(Course!$N$2:$N$19,MATCH($B458,Course!$A$2:$A$19,0))),INDEX(Baseline!$B$3:$E$122,MATCH(MIN(MAX(ROUND(($F458)/5,0)*5,5),600),Baseline!$A$3:$A$122,0),MATCH($E458,Baseline!$B$2:$E$2,0))))))</f>
        <v/>
      </c>
      <c r="P458" s="17" t="str">
        <f aca="false">IF($B458="","",INDEX(Course!$N$2:$N$19,MATCH($B458,Course!$A$2:$A$19,0)))</f>
        <v/>
      </c>
      <c r="Q458" s="17" t="str">
        <f aca="false">IF($B458="","",INDEX(Course!$P$2:$P$19,MATCH($B458,Course!$A$2:$A$19,0)))</f>
        <v/>
      </c>
      <c r="R458" s="17" t="str">
        <f aca="false">IF($C458="","",IF(OR($C458="G",$C458="H"),0,IF($C458="T",1,MIN(1,MAX(0,($N458-Inputs!$B$8)/MAX($P458-Inputs!$B$8,0.01))))))</f>
        <v/>
      </c>
      <c r="S458" s="17" t="str">
        <f aca="false">IF($C458="","",IF(OR($E458="G",$E458="H"),0,IF($E458="T",1,MIN(1,MAX(0,($O458-Inputs!$B$8)/MAX($P458-Inputs!$B$8,0.01))))))</f>
        <v/>
      </c>
    </row>
    <row r="459" customFormat="false" ht="15" hidden="false" customHeight="false" outlineLevel="0" collapsed="false">
      <c r="I459" s="7" t="str">
        <f aca="false">IF($C459="","",IF($C459="G","PUTT",IF(AND($C459="T",$M459&gt;3),"OTT",IF($D459&lt;=30,"ARG","APP"))))</f>
        <v/>
      </c>
      <c r="J459" s="17" t="str">
        <f aca="false">IF($C459="","",$N459+$Q459*$R459)</f>
        <v/>
      </c>
      <c r="K459" s="17" t="str">
        <f aca="false">IF($C459="","",$O459+$Q459*$S459)</f>
        <v/>
      </c>
      <c r="L459" s="17" t="str">
        <f aca="false">IF($C459="","",$J459-$K459-1-N($G459))</f>
        <v/>
      </c>
      <c r="M459" s="7" t="str">
        <f aca="false">IF($B459="","",INDEX(Course!$B$2:$B$19,MATCH($B459,Course!$A$2:$A$19,0)))</f>
        <v/>
      </c>
      <c r="N459" s="17" t="str">
        <f aca="false">IF($C459="","",IF($C459="H",0,IF($C459="G",INDEX(Baseline!$I$3:$I$102,MIN(MAX(ROUND($D459,0),1),100)),IF($C459="T",IF($M459=3,INDEX(Baseline!$B$3:$B$122,MATCH(MIN(MAX(ROUND(($D459)/5,0)*5,5),600),Baseline!$A$3:$A$122,0))-Inputs!$B$9,INDEX(Course!$N$2:$N$19,MATCH($B459,Course!$A$2:$A$19,0))),INDEX(Baseline!$B$3:$E$122,MATCH(MIN(MAX(ROUND(($D459)/5,0)*5,5),600),Baseline!$A$3:$A$122,0),MATCH($C459,Baseline!$B$2:$E$2,0))))))</f>
        <v/>
      </c>
      <c r="O459" s="17" t="str">
        <f aca="false">IF($C459="","",IF($E459="H",0,IF($E459="G",INDEX(Baseline!$I$3:$I$102,MIN(MAX(ROUND($F459,0),1),100)),IF($E459="T",IF($M459=3,INDEX(Baseline!$B$3:$B$122,MATCH(MIN(MAX(ROUND(($F459)/5,0)*5,5),600),Baseline!$A$3:$A$122,0))-Inputs!$B$9,INDEX(Course!$N$2:$N$19,MATCH($B459,Course!$A$2:$A$19,0))),INDEX(Baseline!$B$3:$E$122,MATCH(MIN(MAX(ROUND(($F459)/5,0)*5,5),600),Baseline!$A$3:$A$122,0),MATCH($E459,Baseline!$B$2:$E$2,0))))))</f>
        <v/>
      </c>
      <c r="P459" s="17" t="str">
        <f aca="false">IF($B459="","",INDEX(Course!$N$2:$N$19,MATCH($B459,Course!$A$2:$A$19,0)))</f>
        <v/>
      </c>
      <c r="Q459" s="17" t="str">
        <f aca="false">IF($B459="","",INDEX(Course!$P$2:$P$19,MATCH($B459,Course!$A$2:$A$19,0)))</f>
        <v/>
      </c>
      <c r="R459" s="17" t="str">
        <f aca="false">IF($C459="","",IF(OR($C459="G",$C459="H"),0,IF($C459="T",1,MIN(1,MAX(0,($N459-Inputs!$B$8)/MAX($P459-Inputs!$B$8,0.01))))))</f>
        <v/>
      </c>
      <c r="S459" s="17" t="str">
        <f aca="false">IF($C459="","",IF(OR($E459="G",$E459="H"),0,IF($E459="T",1,MIN(1,MAX(0,($O459-Inputs!$B$8)/MAX($P459-Inputs!$B$8,0.01))))))</f>
        <v/>
      </c>
    </row>
    <row r="460" customFormat="false" ht="15" hidden="false" customHeight="false" outlineLevel="0" collapsed="false">
      <c r="I460" s="7" t="str">
        <f aca="false">IF($C460="","",IF($C460="G","PUTT",IF(AND($C460="T",$M460&gt;3),"OTT",IF($D460&lt;=30,"ARG","APP"))))</f>
        <v/>
      </c>
      <c r="J460" s="17" t="str">
        <f aca="false">IF($C460="","",$N460+$Q460*$R460)</f>
        <v/>
      </c>
      <c r="K460" s="17" t="str">
        <f aca="false">IF($C460="","",$O460+$Q460*$S460)</f>
        <v/>
      </c>
      <c r="L460" s="17" t="str">
        <f aca="false">IF($C460="","",$J460-$K460-1-N($G460))</f>
        <v/>
      </c>
      <c r="M460" s="7" t="str">
        <f aca="false">IF($B460="","",INDEX(Course!$B$2:$B$19,MATCH($B460,Course!$A$2:$A$19,0)))</f>
        <v/>
      </c>
      <c r="N460" s="17" t="str">
        <f aca="false">IF($C460="","",IF($C460="H",0,IF($C460="G",INDEX(Baseline!$I$3:$I$102,MIN(MAX(ROUND($D460,0),1),100)),IF($C460="T",IF($M460=3,INDEX(Baseline!$B$3:$B$122,MATCH(MIN(MAX(ROUND(($D460)/5,0)*5,5),600),Baseline!$A$3:$A$122,0))-Inputs!$B$9,INDEX(Course!$N$2:$N$19,MATCH($B460,Course!$A$2:$A$19,0))),INDEX(Baseline!$B$3:$E$122,MATCH(MIN(MAX(ROUND(($D460)/5,0)*5,5),600),Baseline!$A$3:$A$122,0),MATCH($C460,Baseline!$B$2:$E$2,0))))))</f>
        <v/>
      </c>
      <c r="O460" s="17" t="str">
        <f aca="false">IF($C460="","",IF($E460="H",0,IF($E460="G",INDEX(Baseline!$I$3:$I$102,MIN(MAX(ROUND($F460,0),1),100)),IF($E460="T",IF($M460=3,INDEX(Baseline!$B$3:$B$122,MATCH(MIN(MAX(ROUND(($F460)/5,0)*5,5),600),Baseline!$A$3:$A$122,0))-Inputs!$B$9,INDEX(Course!$N$2:$N$19,MATCH($B460,Course!$A$2:$A$19,0))),INDEX(Baseline!$B$3:$E$122,MATCH(MIN(MAX(ROUND(($F460)/5,0)*5,5),600),Baseline!$A$3:$A$122,0),MATCH($E460,Baseline!$B$2:$E$2,0))))))</f>
        <v/>
      </c>
      <c r="P460" s="17" t="str">
        <f aca="false">IF($B460="","",INDEX(Course!$N$2:$N$19,MATCH($B460,Course!$A$2:$A$19,0)))</f>
        <v/>
      </c>
      <c r="Q460" s="17" t="str">
        <f aca="false">IF($B460="","",INDEX(Course!$P$2:$P$19,MATCH($B460,Course!$A$2:$A$19,0)))</f>
        <v/>
      </c>
      <c r="R460" s="17" t="str">
        <f aca="false">IF($C460="","",IF(OR($C460="G",$C460="H"),0,IF($C460="T",1,MIN(1,MAX(0,($N460-Inputs!$B$8)/MAX($P460-Inputs!$B$8,0.01))))))</f>
        <v/>
      </c>
      <c r="S460" s="17" t="str">
        <f aca="false">IF($C460="","",IF(OR($E460="G",$E460="H"),0,IF($E460="T",1,MIN(1,MAX(0,($O460-Inputs!$B$8)/MAX($P460-Inputs!$B$8,0.01))))))</f>
        <v/>
      </c>
    </row>
    <row r="461" customFormat="false" ht="15" hidden="false" customHeight="false" outlineLevel="0" collapsed="false">
      <c r="I461" s="7" t="str">
        <f aca="false">IF($C461="","",IF($C461="G","PUTT",IF(AND($C461="T",$M461&gt;3),"OTT",IF($D461&lt;=30,"ARG","APP"))))</f>
        <v/>
      </c>
      <c r="J461" s="17" t="str">
        <f aca="false">IF($C461="","",$N461+$Q461*$R461)</f>
        <v/>
      </c>
      <c r="K461" s="17" t="str">
        <f aca="false">IF($C461="","",$O461+$Q461*$S461)</f>
        <v/>
      </c>
      <c r="L461" s="17" t="str">
        <f aca="false">IF($C461="","",$J461-$K461-1-N($G461))</f>
        <v/>
      </c>
      <c r="M461" s="7" t="str">
        <f aca="false">IF($B461="","",INDEX(Course!$B$2:$B$19,MATCH($B461,Course!$A$2:$A$19,0)))</f>
        <v/>
      </c>
      <c r="N461" s="17" t="str">
        <f aca="false">IF($C461="","",IF($C461="H",0,IF($C461="G",INDEX(Baseline!$I$3:$I$102,MIN(MAX(ROUND($D461,0),1),100)),IF($C461="T",IF($M461=3,INDEX(Baseline!$B$3:$B$122,MATCH(MIN(MAX(ROUND(($D461)/5,0)*5,5),600),Baseline!$A$3:$A$122,0))-Inputs!$B$9,INDEX(Course!$N$2:$N$19,MATCH($B461,Course!$A$2:$A$19,0))),INDEX(Baseline!$B$3:$E$122,MATCH(MIN(MAX(ROUND(($D461)/5,0)*5,5),600),Baseline!$A$3:$A$122,0),MATCH($C461,Baseline!$B$2:$E$2,0))))))</f>
        <v/>
      </c>
      <c r="O461" s="17" t="str">
        <f aca="false">IF($C461="","",IF($E461="H",0,IF($E461="G",INDEX(Baseline!$I$3:$I$102,MIN(MAX(ROUND($F461,0),1),100)),IF($E461="T",IF($M461=3,INDEX(Baseline!$B$3:$B$122,MATCH(MIN(MAX(ROUND(($F461)/5,0)*5,5),600),Baseline!$A$3:$A$122,0))-Inputs!$B$9,INDEX(Course!$N$2:$N$19,MATCH($B461,Course!$A$2:$A$19,0))),INDEX(Baseline!$B$3:$E$122,MATCH(MIN(MAX(ROUND(($F461)/5,0)*5,5),600),Baseline!$A$3:$A$122,0),MATCH($E461,Baseline!$B$2:$E$2,0))))))</f>
        <v/>
      </c>
      <c r="P461" s="17" t="str">
        <f aca="false">IF($B461="","",INDEX(Course!$N$2:$N$19,MATCH($B461,Course!$A$2:$A$19,0)))</f>
        <v/>
      </c>
      <c r="Q461" s="17" t="str">
        <f aca="false">IF($B461="","",INDEX(Course!$P$2:$P$19,MATCH($B461,Course!$A$2:$A$19,0)))</f>
        <v/>
      </c>
      <c r="R461" s="17" t="str">
        <f aca="false">IF($C461="","",IF(OR($C461="G",$C461="H"),0,IF($C461="T",1,MIN(1,MAX(0,($N461-Inputs!$B$8)/MAX($P461-Inputs!$B$8,0.01))))))</f>
        <v/>
      </c>
      <c r="S461" s="17" t="str">
        <f aca="false">IF($C461="","",IF(OR($E461="G",$E461="H"),0,IF($E461="T",1,MIN(1,MAX(0,($O461-Inputs!$B$8)/MAX($P461-Inputs!$B$8,0.01))))))</f>
        <v/>
      </c>
    </row>
    <row r="462" customFormat="false" ht="15" hidden="false" customHeight="false" outlineLevel="0" collapsed="false">
      <c r="I462" s="7" t="str">
        <f aca="false">IF($C462="","",IF($C462="G","PUTT",IF(AND($C462="T",$M462&gt;3),"OTT",IF($D462&lt;=30,"ARG","APP"))))</f>
        <v/>
      </c>
      <c r="J462" s="17" t="str">
        <f aca="false">IF($C462="","",$N462+$Q462*$R462)</f>
        <v/>
      </c>
      <c r="K462" s="17" t="str">
        <f aca="false">IF($C462="","",$O462+$Q462*$S462)</f>
        <v/>
      </c>
      <c r="L462" s="17" t="str">
        <f aca="false">IF($C462="","",$J462-$K462-1-N($G462))</f>
        <v/>
      </c>
      <c r="M462" s="7" t="str">
        <f aca="false">IF($B462="","",INDEX(Course!$B$2:$B$19,MATCH($B462,Course!$A$2:$A$19,0)))</f>
        <v/>
      </c>
      <c r="N462" s="17" t="str">
        <f aca="false">IF($C462="","",IF($C462="H",0,IF($C462="G",INDEX(Baseline!$I$3:$I$102,MIN(MAX(ROUND($D462,0),1),100)),IF($C462="T",IF($M462=3,INDEX(Baseline!$B$3:$B$122,MATCH(MIN(MAX(ROUND(($D462)/5,0)*5,5),600),Baseline!$A$3:$A$122,0))-Inputs!$B$9,INDEX(Course!$N$2:$N$19,MATCH($B462,Course!$A$2:$A$19,0))),INDEX(Baseline!$B$3:$E$122,MATCH(MIN(MAX(ROUND(($D462)/5,0)*5,5),600),Baseline!$A$3:$A$122,0),MATCH($C462,Baseline!$B$2:$E$2,0))))))</f>
        <v/>
      </c>
      <c r="O462" s="17" t="str">
        <f aca="false">IF($C462="","",IF($E462="H",0,IF($E462="G",INDEX(Baseline!$I$3:$I$102,MIN(MAX(ROUND($F462,0),1),100)),IF($E462="T",IF($M462=3,INDEX(Baseline!$B$3:$B$122,MATCH(MIN(MAX(ROUND(($F462)/5,0)*5,5),600),Baseline!$A$3:$A$122,0))-Inputs!$B$9,INDEX(Course!$N$2:$N$19,MATCH($B462,Course!$A$2:$A$19,0))),INDEX(Baseline!$B$3:$E$122,MATCH(MIN(MAX(ROUND(($F462)/5,0)*5,5),600),Baseline!$A$3:$A$122,0),MATCH($E462,Baseline!$B$2:$E$2,0))))))</f>
        <v/>
      </c>
      <c r="P462" s="17" t="str">
        <f aca="false">IF($B462="","",INDEX(Course!$N$2:$N$19,MATCH($B462,Course!$A$2:$A$19,0)))</f>
        <v/>
      </c>
      <c r="Q462" s="17" t="str">
        <f aca="false">IF($B462="","",INDEX(Course!$P$2:$P$19,MATCH($B462,Course!$A$2:$A$19,0)))</f>
        <v/>
      </c>
      <c r="R462" s="17" t="str">
        <f aca="false">IF($C462="","",IF(OR($C462="G",$C462="H"),0,IF($C462="T",1,MIN(1,MAX(0,($N462-Inputs!$B$8)/MAX($P462-Inputs!$B$8,0.01))))))</f>
        <v/>
      </c>
      <c r="S462" s="17" t="str">
        <f aca="false">IF($C462="","",IF(OR($E462="G",$E462="H"),0,IF($E462="T",1,MIN(1,MAX(0,($O462-Inputs!$B$8)/MAX($P462-Inputs!$B$8,0.01))))))</f>
        <v/>
      </c>
    </row>
    <row r="463" customFormat="false" ht="15" hidden="false" customHeight="false" outlineLevel="0" collapsed="false">
      <c r="I463" s="7" t="str">
        <f aca="false">IF($C463="","",IF($C463="G","PUTT",IF(AND($C463="T",$M463&gt;3),"OTT",IF($D463&lt;=30,"ARG","APP"))))</f>
        <v/>
      </c>
      <c r="J463" s="17" t="str">
        <f aca="false">IF($C463="","",$N463+$Q463*$R463)</f>
        <v/>
      </c>
      <c r="K463" s="17" t="str">
        <f aca="false">IF($C463="","",$O463+$Q463*$S463)</f>
        <v/>
      </c>
      <c r="L463" s="17" t="str">
        <f aca="false">IF($C463="","",$J463-$K463-1-N($G463))</f>
        <v/>
      </c>
      <c r="M463" s="7" t="str">
        <f aca="false">IF($B463="","",INDEX(Course!$B$2:$B$19,MATCH($B463,Course!$A$2:$A$19,0)))</f>
        <v/>
      </c>
      <c r="N463" s="17" t="str">
        <f aca="false">IF($C463="","",IF($C463="H",0,IF($C463="G",INDEX(Baseline!$I$3:$I$102,MIN(MAX(ROUND($D463,0),1),100)),IF($C463="T",IF($M463=3,INDEX(Baseline!$B$3:$B$122,MATCH(MIN(MAX(ROUND(($D463)/5,0)*5,5),600),Baseline!$A$3:$A$122,0))-Inputs!$B$9,INDEX(Course!$N$2:$N$19,MATCH($B463,Course!$A$2:$A$19,0))),INDEX(Baseline!$B$3:$E$122,MATCH(MIN(MAX(ROUND(($D463)/5,0)*5,5),600),Baseline!$A$3:$A$122,0),MATCH($C463,Baseline!$B$2:$E$2,0))))))</f>
        <v/>
      </c>
      <c r="O463" s="17" t="str">
        <f aca="false">IF($C463="","",IF($E463="H",0,IF($E463="G",INDEX(Baseline!$I$3:$I$102,MIN(MAX(ROUND($F463,0),1),100)),IF($E463="T",IF($M463=3,INDEX(Baseline!$B$3:$B$122,MATCH(MIN(MAX(ROUND(($F463)/5,0)*5,5),600),Baseline!$A$3:$A$122,0))-Inputs!$B$9,INDEX(Course!$N$2:$N$19,MATCH($B463,Course!$A$2:$A$19,0))),INDEX(Baseline!$B$3:$E$122,MATCH(MIN(MAX(ROUND(($F463)/5,0)*5,5),600),Baseline!$A$3:$A$122,0),MATCH($E463,Baseline!$B$2:$E$2,0))))))</f>
        <v/>
      </c>
      <c r="P463" s="17" t="str">
        <f aca="false">IF($B463="","",INDEX(Course!$N$2:$N$19,MATCH($B463,Course!$A$2:$A$19,0)))</f>
        <v/>
      </c>
      <c r="Q463" s="17" t="str">
        <f aca="false">IF($B463="","",INDEX(Course!$P$2:$P$19,MATCH($B463,Course!$A$2:$A$19,0)))</f>
        <v/>
      </c>
      <c r="R463" s="17" t="str">
        <f aca="false">IF($C463="","",IF(OR($C463="G",$C463="H"),0,IF($C463="T",1,MIN(1,MAX(0,($N463-Inputs!$B$8)/MAX($P463-Inputs!$B$8,0.01))))))</f>
        <v/>
      </c>
      <c r="S463" s="17" t="str">
        <f aca="false">IF($C463="","",IF(OR($E463="G",$E463="H"),0,IF($E463="T",1,MIN(1,MAX(0,($O463-Inputs!$B$8)/MAX($P463-Inputs!$B$8,0.01))))))</f>
        <v/>
      </c>
    </row>
    <row r="464" customFormat="false" ht="15" hidden="false" customHeight="false" outlineLevel="0" collapsed="false">
      <c r="I464" s="7" t="str">
        <f aca="false">IF($C464="","",IF($C464="G","PUTT",IF(AND($C464="T",$M464&gt;3),"OTT",IF($D464&lt;=30,"ARG","APP"))))</f>
        <v/>
      </c>
      <c r="J464" s="17" t="str">
        <f aca="false">IF($C464="","",$N464+$Q464*$R464)</f>
        <v/>
      </c>
      <c r="K464" s="17" t="str">
        <f aca="false">IF($C464="","",$O464+$Q464*$S464)</f>
        <v/>
      </c>
      <c r="L464" s="17" t="str">
        <f aca="false">IF($C464="","",$J464-$K464-1-N($G464))</f>
        <v/>
      </c>
      <c r="M464" s="7" t="str">
        <f aca="false">IF($B464="","",INDEX(Course!$B$2:$B$19,MATCH($B464,Course!$A$2:$A$19,0)))</f>
        <v/>
      </c>
      <c r="N464" s="17" t="str">
        <f aca="false">IF($C464="","",IF($C464="H",0,IF($C464="G",INDEX(Baseline!$I$3:$I$102,MIN(MAX(ROUND($D464,0),1),100)),IF($C464="T",IF($M464=3,INDEX(Baseline!$B$3:$B$122,MATCH(MIN(MAX(ROUND(($D464)/5,0)*5,5),600),Baseline!$A$3:$A$122,0))-Inputs!$B$9,INDEX(Course!$N$2:$N$19,MATCH($B464,Course!$A$2:$A$19,0))),INDEX(Baseline!$B$3:$E$122,MATCH(MIN(MAX(ROUND(($D464)/5,0)*5,5),600),Baseline!$A$3:$A$122,0),MATCH($C464,Baseline!$B$2:$E$2,0))))))</f>
        <v/>
      </c>
      <c r="O464" s="17" t="str">
        <f aca="false">IF($C464="","",IF($E464="H",0,IF($E464="G",INDEX(Baseline!$I$3:$I$102,MIN(MAX(ROUND($F464,0),1),100)),IF($E464="T",IF($M464=3,INDEX(Baseline!$B$3:$B$122,MATCH(MIN(MAX(ROUND(($F464)/5,0)*5,5),600),Baseline!$A$3:$A$122,0))-Inputs!$B$9,INDEX(Course!$N$2:$N$19,MATCH($B464,Course!$A$2:$A$19,0))),INDEX(Baseline!$B$3:$E$122,MATCH(MIN(MAX(ROUND(($F464)/5,0)*5,5),600),Baseline!$A$3:$A$122,0),MATCH($E464,Baseline!$B$2:$E$2,0))))))</f>
        <v/>
      </c>
      <c r="P464" s="17" t="str">
        <f aca="false">IF($B464="","",INDEX(Course!$N$2:$N$19,MATCH($B464,Course!$A$2:$A$19,0)))</f>
        <v/>
      </c>
      <c r="Q464" s="17" t="str">
        <f aca="false">IF($B464="","",INDEX(Course!$P$2:$P$19,MATCH($B464,Course!$A$2:$A$19,0)))</f>
        <v/>
      </c>
      <c r="R464" s="17" t="str">
        <f aca="false">IF($C464="","",IF(OR($C464="G",$C464="H"),0,IF($C464="T",1,MIN(1,MAX(0,($N464-Inputs!$B$8)/MAX($P464-Inputs!$B$8,0.01))))))</f>
        <v/>
      </c>
      <c r="S464" s="17" t="str">
        <f aca="false">IF($C464="","",IF(OR($E464="G",$E464="H"),0,IF($E464="T",1,MIN(1,MAX(0,($O464-Inputs!$B$8)/MAX($P464-Inputs!$B$8,0.01))))))</f>
        <v/>
      </c>
    </row>
    <row r="465" customFormat="false" ht="15" hidden="false" customHeight="false" outlineLevel="0" collapsed="false">
      <c r="I465" s="7" t="str">
        <f aca="false">IF($C465="","",IF($C465="G","PUTT",IF(AND($C465="T",$M465&gt;3),"OTT",IF($D465&lt;=30,"ARG","APP"))))</f>
        <v/>
      </c>
      <c r="J465" s="17" t="str">
        <f aca="false">IF($C465="","",$N465+$Q465*$R465)</f>
        <v/>
      </c>
      <c r="K465" s="17" t="str">
        <f aca="false">IF($C465="","",$O465+$Q465*$S465)</f>
        <v/>
      </c>
      <c r="L465" s="17" t="str">
        <f aca="false">IF($C465="","",$J465-$K465-1-N($G465))</f>
        <v/>
      </c>
      <c r="M465" s="7" t="str">
        <f aca="false">IF($B465="","",INDEX(Course!$B$2:$B$19,MATCH($B465,Course!$A$2:$A$19,0)))</f>
        <v/>
      </c>
      <c r="N465" s="17" t="str">
        <f aca="false">IF($C465="","",IF($C465="H",0,IF($C465="G",INDEX(Baseline!$I$3:$I$102,MIN(MAX(ROUND($D465,0),1),100)),IF($C465="T",IF($M465=3,INDEX(Baseline!$B$3:$B$122,MATCH(MIN(MAX(ROUND(($D465)/5,0)*5,5),600),Baseline!$A$3:$A$122,0))-Inputs!$B$9,INDEX(Course!$N$2:$N$19,MATCH($B465,Course!$A$2:$A$19,0))),INDEX(Baseline!$B$3:$E$122,MATCH(MIN(MAX(ROUND(($D465)/5,0)*5,5),600),Baseline!$A$3:$A$122,0),MATCH($C465,Baseline!$B$2:$E$2,0))))))</f>
        <v/>
      </c>
      <c r="O465" s="17" t="str">
        <f aca="false">IF($C465="","",IF($E465="H",0,IF($E465="G",INDEX(Baseline!$I$3:$I$102,MIN(MAX(ROUND($F465,0),1),100)),IF($E465="T",IF($M465=3,INDEX(Baseline!$B$3:$B$122,MATCH(MIN(MAX(ROUND(($F465)/5,0)*5,5),600),Baseline!$A$3:$A$122,0))-Inputs!$B$9,INDEX(Course!$N$2:$N$19,MATCH($B465,Course!$A$2:$A$19,0))),INDEX(Baseline!$B$3:$E$122,MATCH(MIN(MAX(ROUND(($F465)/5,0)*5,5),600),Baseline!$A$3:$A$122,0),MATCH($E465,Baseline!$B$2:$E$2,0))))))</f>
        <v/>
      </c>
      <c r="P465" s="17" t="str">
        <f aca="false">IF($B465="","",INDEX(Course!$N$2:$N$19,MATCH($B465,Course!$A$2:$A$19,0)))</f>
        <v/>
      </c>
      <c r="Q465" s="17" t="str">
        <f aca="false">IF($B465="","",INDEX(Course!$P$2:$P$19,MATCH($B465,Course!$A$2:$A$19,0)))</f>
        <v/>
      </c>
      <c r="R465" s="17" t="str">
        <f aca="false">IF($C465="","",IF(OR($C465="G",$C465="H"),0,IF($C465="T",1,MIN(1,MAX(0,($N465-Inputs!$B$8)/MAX($P465-Inputs!$B$8,0.01))))))</f>
        <v/>
      </c>
      <c r="S465" s="17" t="str">
        <f aca="false">IF($C465="","",IF(OR($E465="G",$E465="H"),0,IF($E465="T",1,MIN(1,MAX(0,($O465-Inputs!$B$8)/MAX($P465-Inputs!$B$8,0.01))))))</f>
        <v/>
      </c>
    </row>
    <row r="466" customFormat="false" ht="15" hidden="false" customHeight="false" outlineLevel="0" collapsed="false">
      <c r="I466" s="7" t="str">
        <f aca="false">IF($C466="","",IF($C466="G","PUTT",IF(AND($C466="T",$M466&gt;3),"OTT",IF($D466&lt;=30,"ARG","APP"))))</f>
        <v/>
      </c>
      <c r="J466" s="17" t="str">
        <f aca="false">IF($C466="","",$N466+$Q466*$R466)</f>
        <v/>
      </c>
      <c r="K466" s="17" t="str">
        <f aca="false">IF($C466="","",$O466+$Q466*$S466)</f>
        <v/>
      </c>
      <c r="L466" s="17" t="str">
        <f aca="false">IF($C466="","",$J466-$K466-1-N($G466))</f>
        <v/>
      </c>
      <c r="M466" s="7" t="str">
        <f aca="false">IF($B466="","",INDEX(Course!$B$2:$B$19,MATCH($B466,Course!$A$2:$A$19,0)))</f>
        <v/>
      </c>
      <c r="N466" s="17" t="str">
        <f aca="false">IF($C466="","",IF($C466="H",0,IF($C466="G",INDEX(Baseline!$I$3:$I$102,MIN(MAX(ROUND($D466,0),1),100)),IF($C466="T",IF($M466=3,INDEX(Baseline!$B$3:$B$122,MATCH(MIN(MAX(ROUND(($D466)/5,0)*5,5),600),Baseline!$A$3:$A$122,0))-Inputs!$B$9,INDEX(Course!$N$2:$N$19,MATCH($B466,Course!$A$2:$A$19,0))),INDEX(Baseline!$B$3:$E$122,MATCH(MIN(MAX(ROUND(($D466)/5,0)*5,5),600),Baseline!$A$3:$A$122,0),MATCH($C466,Baseline!$B$2:$E$2,0))))))</f>
        <v/>
      </c>
      <c r="O466" s="17" t="str">
        <f aca="false">IF($C466="","",IF($E466="H",0,IF($E466="G",INDEX(Baseline!$I$3:$I$102,MIN(MAX(ROUND($F466,0),1),100)),IF($E466="T",IF($M466=3,INDEX(Baseline!$B$3:$B$122,MATCH(MIN(MAX(ROUND(($F466)/5,0)*5,5),600),Baseline!$A$3:$A$122,0))-Inputs!$B$9,INDEX(Course!$N$2:$N$19,MATCH($B466,Course!$A$2:$A$19,0))),INDEX(Baseline!$B$3:$E$122,MATCH(MIN(MAX(ROUND(($F466)/5,0)*5,5),600),Baseline!$A$3:$A$122,0),MATCH($E466,Baseline!$B$2:$E$2,0))))))</f>
        <v/>
      </c>
      <c r="P466" s="17" t="str">
        <f aca="false">IF($B466="","",INDEX(Course!$N$2:$N$19,MATCH($B466,Course!$A$2:$A$19,0)))</f>
        <v/>
      </c>
      <c r="Q466" s="17" t="str">
        <f aca="false">IF($B466="","",INDEX(Course!$P$2:$P$19,MATCH($B466,Course!$A$2:$A$19,0)))</f>
        <v/>
      </c>
      <c r="R466" s="17" t="str">
        <f aca="false">IF($C466="","",IF(OR($C466="G",$C466="H"),0,IF($C466="T",1,MIN(1,MAX(0,($N466-Inputs!$B$8)/MAX($P466-Inputs!$B$8,0.01))))))</f>
        <v/>
      </c>
      <c r="S466" s="17" t="str">
        <f aca="false">IF($C466="","",IF(OR($E466="G",$E466="H"),0,IF($E466="T",1,MIN(1,MAX(0,($O466-Inputs!$B$8)/MAX($P466-Inputs!$B$8,0.01))))))</f>
        <v/>
      </c>
    </row>
    <row r="467" customFormat="false" ht="15" hidden="false" customHeight="false" outlineLevel="0" collapsed="false">
      <c r="I467" s="7" t="str">
        <f aca="false">IF($C467="","",IF($C467="G","PUTT",IF(AND($C467="T",$M467&gt;3),"OTT",IF($D467&lt;=30,"ARG","APP"))))</f>
        <v/>
      </c>
      <c r="J467" s="17" t="str">
        <f aca="false">IF($C467="","",$N467+$Q467*$R467)</f>
        <v/>
      </c>
      <c r="K467" s="17" t="str">
        <f aca="false">IF($C467="","",$O467+$Q467*$S467)</f>
        <v/>
      </c>
      <c r="L467" s="17" t="str">
        <f aca="false">IF($C467="","",$J467-$K467-1-N($G467))</f>
        <v/>
      </c>
      <c r="M467" s="7" t="str">
        <f aca="false">IF($B467="","",INDEX(Course!$B$2:$B$19,MATCH($B467,Course!$A$2:$A$19,0)))</f>
        <v/>
      </c>
      <c r="N467" s="17" t="str">
        <f aca="false">IF($C467="","",IF($C467="H",0,IF($C467="G",INDEX(Baseline!$I$3:$I$102,MIN(MAX(ROUND($D467,0),1),100)),IF($C467="T",IF($M467=3,INDEX(Baseline!$B$3:$B$122,MATCH(MIN(MAX(ROUND(($D467)/5,0)*5,5),600),Baseline!$A$3:$A$122,0))-Inputs!$B$9,INDEX(Course!$N$2:$N$19,MATCH($B467,Course!$A$2:$A$19,0))),INDEX(Baseline!$B$3:$E$122,MATCH(MIN(MAX(ROUND(($D467)/5,0)*5,5),600),Baseline!$A$3:$A$122,0),MATCH($C467,Baseline!$B$2:$E$2,0))))))</f>
        <v/>
      </c>
      <c r="O467" s="17" t="str">
        <f aca="false">IF($C467="","",IF($E467="H",0,IF($E467="G",INDEX(Baseline!$I$3:$I$102,MIN(MAX(ROUND($F467,0),1),100)),IF($E467="T",IF($M467=3,INDEX(Baseline!$B$3:$B$122,MATCH(MIN(MAX(ROUND(($F467)/5,0)*5,5),600),Baseline!$A$3:$A$122,0))-Inputs!$B$9,INDEX(Course!$N$2:$N$19,MATCH($B467,Course!$A$2:$A$19,0))),INDEX(Baseline!$B$3:$E$122,MATCH(MIN(MAX(ROUND(($F467)/5,0)*5,5),600),Baseline!$A$3:$A$122,0),MATCH($E467,Baseline!$B$2:$E$2,0))))))</f>
        <v/>
      </c>
      <c r="P467" s="17" t="str">
        <f aca="false">IF($B467="","",INDEX(Course!$N$2:$N$19,MATCH($B467,Course!$A$2:$A$19,0)))</f>
        <v/>
      </c>
      <c r="Q467" s="17" t="str">
        <f aca="false">IF($B467="","",INDEX(Course!$P$2:$P$19,MATCH($B467,Course!$A$2:$A$19,0)))</f>
        <v/>
      </c>
      <c r="R467" s="17" t="str">
        <f aca="false">IF($C467="","",IF(OR($C467="G",$C467="H"),0,IF($C467="T",1,MIN(1,MAX(0,($N467-Inputs!$B$8)/MAX($P467-Inputs!$B$8,0.01))))))</f>
        <v/>
      </c>
      <c r="S467" s="17" t="str">
        <f aca="false">IF($C467="","",IF(OR($E467="G",$E467="H"),0,IF($E467="T",1,MIN(1,MAX(0,($O467-Inputs!$B$8)/MAX($P467-Inputs!$B$8,0.01))))))</f>
        <v/>
      </c>
    </row>
    <row r="468" customFormat="false" ht="15" hidden="false" customHeight="false" outlineLevel="0" collapsed="false">
      <c r="I468" s="7" t="str">
        <f aca="false">IF($C468="","",IF($C468="G","PUTT",IF(AND($C468="T",$M468&gt;3),"OTT",IF($D468&lt;=30,"ARG","APP"))))</f>
        <v/>
      </c>
      <c r="J468" s="17" t="str">
        <f aca="false">IF($C468="","",$N468+$Q468*$R468)</f>
        <v/>
      </c>
      <c r="K468" s="17" t="str">
        <f aca="false">IF($C468="","",$O468+$Q468*$S468)</f>
        <v/>
      </c>
      <c r="L468" s="17" t="str">
        <f aca="false">IF($C468="","",$J468-$K468-1-N($G468))</f>
        <v/>
      </c>
      <c r="M468" s="7" t="str">
        <f aca="false">IF($B468="","",INDEX(Course!$B$2:$B$19,MATCH($B468,Course!$A$2:$A$19,0)))</f>
        <v/>
      </c>
      <c r="N468" s="17" t="str">
        <f aca="false">IF($C468="","",IF($C468="H",0,IF($C468="G",INDEX(Baseline!$I$3:$I$102,MIN(MAX(ROUND($D468,0),1),100)),IF($C468="T",IF($M468=3,INDEX(Baseline!$B$3:$B$122,MATCH(MIN(MAX(ROUND(($D468)/5,0)*5,5),600),Baseline!$A$3:$A$122,0))-Inputs!$B$9,INDEX(Course!$N$2:$N$19,MATCH($B468,Course!$A$2:$A$19,0))),INDEX(Baseline!$B$3:$E$122,MATCH(MIN(MAX(ROUND(($D468)/5,0)*5,5),600),Baseline!$A$3:$A$122,0),MATCH($C468,Baseline!$B$2:$E$2,0))))))</f>
        <v/>
      </c>
      <c r="O468" s="17" t="str">
        <f aca="false">IF($C468="","",IF($E468="H",0,IF($E468="G",INDEX(Baseline!$I$3:$I$102,MIN(MAX(ROUND($F468,0),1),100)),IF($E468="T",IF($M468=3,INDEX(Baseline!$B$3:$B$122,MATCH(MIN(MAX(ROUND(($F468)/5,0)*5,5),600),Baseline!$A$3:$A$122,0))-Inputs!$B$9,INDEX(Course!$N$2:$N$19,MATCH($B468,Course!$A$2:$A$19,0))),INDEX(Baseline!$B$3:$E$122,MATCH(MIN(MAX(ROUND(($F468)/5,0)*5,5),600),Baseline!$A$3:$A$122,0),MATCH($E468,Baseline!$B$2:$E$2,0))))))</f>
        <v/>
      </c>
      <c r="P468" s="17" t="str">
        <f aca="false">IF($B468="","",INDEX(Course!$N$2:$N$19,MATCH($B468,Course!$A$2:$A$19,0)))</f>
        <v/>
      </c>
      <c r="Q468" s="17" t="str">
        <f aca="false">IF($B468="","",INDEX(Course!$P$2:$P$19,MATCH($B468,Course!$A$2:$A$19,0)))</f>
        <v/>
      </c>
      <c r="R468" s="17" t="str">
        <f aca="false">IF($C468="","",IF(OR($C468="G",$C468="H"),0,IF($C468="T",1,MIN(1,MAX(0,($N468-Inputs!$B$8)/MAX($P468-Inputs!$B$8,0.01))))))</f>
        <v/>
      </c>
      <c r="S468" s="17" t="str">
        <f aca="false">IF($C468="","",IF(OR($E468="G",$E468="H"),0,IF($E468="T",1,MIN(1,MAX(0,($O468-Inputs!$B$8)/MAX($P468-Inputs!$B$8,0.01))))))</f>
        <v/>
      </c>
    </row>
    <row r="469" customFormat="false" ht="15" hidden="false" customHeight="false" outlineLevel="0" collapsed="false">
      <c r="I469" s="7" t="str">
        <f aca="false">IF($C469="","",IF($C469="G","PUTT",IF(AND($C469="T",$M469&gt;3),"OTT",IF($D469&lt;=30,"ARG","APP"))))</f>
        <v/>
      </c>
      <c r="J469" s="17" t="str">
        <f aca="false">IF($C469="","",$N469+$Q469*$R469)</f>
        <v/>
      </c>
      <c r="K469" s="17" t="str">
        <f aca="false">IF($C469="","",$O469+$Q469*$S469)</f>
        <v/>
      </c>
      <c r="L469" s="17" t="str">
        <f aca="false">IF($C469="","",$J469-$K469-1-N($G469))</f>
        <v/>
      </c>
      <c r="M469" s="7" t="str">
        <f aca="false">IF($B469="","",INDEX(Course!$B$2:$B$19,MATCH($B469,Course!$A$2:$A$19,0)))</f>
        <v/>
      </c>
      <c r="N469" s="17" t="str">
        <f aca="false">IF($C469="","",IF($C469="H",0,IF($C469="G",INDEX(Baseline!$I$3:$I$102,MIN(MAX(ROUND($D469,0),1),100)),IF($C469="T",IF($M469=3,INDEX(Baseline!$B$3:$B$122,MATCH(MIN(MAX(ROUND(($D469)/5,0)*5,5),600),Baseline!$A$3:$A$122,0))-Inputs!$B$9,INDEX(Course!$N$2:$N$19,MATCH($B469,Course!$A$2:$A$19,0))),INDEX(Baseline!$B$3:$E$122,MATCH(MIN(MAX(ROUND(($D469)/5,0)*5,5),600),Baseline!$A$3:$A$122,0),MATCH($C469,Baseline!$B$2:$E$2,0))))))</f>
        <v/>
      </c>
      <c r="O469" s="17" t="str">
        <f aca="false">IF($C469="","",IF($E469="H",0,IF($E469="G",INDEX(Baseline!$I$3:$I$102,MIN(MAX(ROUND($F469,0),1),100)),IF($E469="T",IF($M469=3,INDEX(Baseline!$B$3:$B$122,MATCH(MIN(MAX(ROUND(($F469)/5,0)*5,5),600),Baseline!$A$3:$A$122,0))-Inputs!$B$9,INDEX(Course!$N$2:$N$19,MATCH($B469,Course!$A$2:$A$19,0))),INDEX(Baseline!$B$3:$E$122,MATCH(MIN(MAX(ROUND(($F469)/5,0)*5,5),600),Baseline!$A$3:$A$122,0),MATCH($E469,Baseline!$B$2:$E$2,0))))))</f>
        <v/>
      </c>
      <c r="P469" s="17" t="str">
        <f aca="false">IF($B469="","",INDEX(Course!$N$2:$N$19,MATCH($B469,Course!$A$2:$A$19,0)))</f>
        <v/>
      </c>
      <c r="Q469" s="17" t="str">
        <f aca="false">IF($B469="","",INDEX(Course!$P$2:$P$19,MATCH($B469,Course!$A$2:$A$19,0)))</f>
        <v/>
      </c>
      <c r="R469" s="17" t="str">
        <f aca="false">IF($C469="","",IF(OR($C469="G",$C469="H"),0,IF($C469="T",1,MIN(1,MAX(0,($N469-Inputs!$B$8)/MAX($P469-Inputs!$B$8,0.01))))))</f>
        <v/>
      </c>
      <c r="S469" s="17" t="str">
        <f aca="false">IF($C469="","",IF(OR($E469="G",$E469="H"),0,IF($E469="T",1,MIN(1,MAX(0,($O469-Inputs!$B$8)/MAX($P469-Inputs!$B$8,0.01))))))</f>
        <v/>
      </c>
    </row>
    <row r="470" customFormat="false" ht="15" hidden="false" customHeight="false" outlineLevel="0" collapsed="false">
      <c r="I470" s="7" t="str">
        <f aca="false">IF($C470="","",IF($C470="G","PUTT",IF(AND($C470="T",$M470&gt;3),"OTT",IF($D470&lt;=30,"ARG","APP"))))</f>
        <v/>
      </c>
      <c r="J470" s="17" t="str">
        <f aca="false">IF($C470="","",$N470+$Q470*$R470)</f>
        <v/>
      </c>
      <c r="K470" s="17" t="str">
        <f aca="false">IF($C470="","",$O470+$Q470*$S470)</f>
        <v/>
      </c>
      <c r="L470" s="17" t="str">
        <f aca="false">IF($C470="","",$J470-$K470-1-N($G470))</f>
        <v/>
      </c>
      <c r="M470" s="7" t="str">
        <f aca="false">IF($B470="","",INDEX(Course!$B$2:$B$19,MATCH($B470,Course!$A$2:$A$19,0)))</f>
        <v/>
      </c>
      <c r="N470" s="17" t="str">
        <f aca="false">IF($C470="","",IF($C470="H",0,IF($C470="G",INDEX(Baseline!$I$3:$I$102,MIN(MAX(ROUND($D470,0),1),100)),IF($C470="T",IF($M470=3,INDEX(Baseline!$B$3:$B$122,MATCH(MIN(MAX(ROUND(($D470)/5,0)*5,5),600),Baseline!$A$3:$A$122,0))-Inputs!$B$9,INDEX(Course!$N$2:$N$19,MATCH($B470,Course!$A$2:$A$19,0))),INDEX(Baseline!$B$3:$E$122,MATCH(MIN(MAX(ROUND(($D470)/5,0)*5,5),600),Baseline!$A$3:$A$122,0),MATCH($C470,Baseline!$B$2:$E$2,0))))))</f>
        <v/>
      </c>
      <c r="O470" s="17" t="str">
        <f aca="false">IF($C470="","",IF($E470="H",0,IF($E470="G",INDEX(Baseline!$I$3:$I$102,MIN(MAX(ROUND($F470,0),1),100)),IF($E470="T",IF($M470=3,INDEX(Baseline!$B$3:$B$122,MATCH(MIN(MAX(ROUND(($F470)/5,0)*5,5),600),Baseline!$A$3:$A$122,0))-Inputs!$B$9,INDEX(Course!$N$2:$N$19,MATCH($B470,Course!$A$2:$A$19,0))),INDEX(Baseline!$B$3:$E$122,MATCH(MIN(MAX(ROUND(($F470)/5,0)*5,5),600),Baseline!$A$3:$A$122,0),MATCH($E470,Baseline!$B$2:$E$2,0))))))</f>
        <v/>
      </c>
      <c r="P470" s="17" t="str">
        <f aca="false">IF($B470="","",INDEX(Course!$N$2:$N$19,MATCH($B470,Course!$A$2:$A$19,0)))</f>
        <v/>
      </c>
      <c r="Q470" s="17" t="str">
        <f aca="false">IF($B470="","",INDEX(Course!$P$2:$P$19,MATCH($B470,Course!$A$2:$A$19,0)))</f>
        <v/>
      </c>
      <c r="R470" s="17" t="str">
        <f aca="false">IF($C470="","",IF(OR($C470="G",$C470="H"),0,IF($C470="T",1,MIN(1,MAX(0,($N470-Inputs!$B$8)/MAX($P470-Inputs!$B$8,0.01))))))</f>
        <v/>
      </c>
      <c r="S470" s="17" t="str">
        <f aca="false">IF($C470="","",IF(OR($E470="G",$E470="H"),0,IF($E470="T",1,MIN(1,MAX(0,($O470-Inputs!$B$8)/MAX($P470-Inputs!$B$8,0.01))))))</f>
        <v/>
      </c>
    </row>
    <row r="471" customFormat="false" ht="15" hidden="false" customHeight="false" outlineLevel="0" collapsed="false">
      <c r="I471" s="7" t="str">
        <f aca="false">IF($C471="","",IF($C471="G","PUTT",IF(AND($C471="T",$M471&gt;3),"OTT",IF($D471&lt;=30,"ARG","APP"))))</f>
        <v/>
      </c>
      <c r="J471" s="17" t="str">
        <f aca="false">IF($C471="","",$N471+$Q471*$R471)</f>
        <v/>
      </c>
      <c r="K471" s="17" t="str">
        <f aca="false">IF($C471="","",$O471+$Q471*$S471)</f>
        <v/>
      </c>
      <c r="L471" s="17" t="str">
        <f aca="false">IF($C471="","",$J471-$K471-1-N($G471))</f>
        <v/>
      </c>
      <c r="M471" s="7" t="str">
        <f aca="false">IF($B471="","",INDEX(Course!$B$2:$B$19,MATCH($B471,Course!$A$2:$A$19,0)))</f>
        <v/>
      </c>
      <c r="N471" s="17" t="str">
        <f aca="false">IF($C471="","",IF($C471="H",0,IF($C471="G",INDEX(Baseline!$I$3:$I$102,MIN(MAX(ROUND($D471,0),1),100)),IF($C471="T",IF($M471=3,INDEX(Baseline!$B$3:$B$122,MATCH(MIN(MAX(ROUND(($D471)/5,0)*5,5),600),Baseline!$A$3:$A$122,0))-Inputs!$B$9,INDEX(Course!$N$2:$N$19,MATCH($B471,Course!$A$2:$A$19,0))),INDEX(Baseline!$B$3:$E$122,MATCH(MIN(MAX(ROUND(($D471)/5,0)*5,5),600),Baseline!$A$3:$A$122,0),MATCH($C471,Baseline!$B$2:$E$2,0))))))</f>
        <v/>
      </c>
      <c r="O471" s="17" t="str">
        <f aca="false">IF($C471="","",IF($E471="H",0,IF($E471="G",INDEX(Baseline!$I$3:$I$102,MIN(MAX(ROUND($F471,0),1),100)),IF($E471="T",IF($M471=3,INDEX(Baseline!$B$3:$B$122,MATCH(MIN(MAX(ROUND(($F471)/5,0)*5,5),600),Baseline!$A$3:$A$122,0))-Inputs!$B$9,INDEX(Course!$N$2:$N$19,MATCH($B471,Course!$A$2:$A$19,0))),INDEX(Baseline!$B$3:$E$122,MATCH(MIN(MAX(ROUND(($F471)/5,0)*5,5),600),Baseline!$A$3:$A$122,0),MATCH($E471,Baseline!$B$2:$E$2,0))))))</f>
        <v/>
      </c>
      <c r="P471" s="17" t="str">
        <f aca="false">IF($B471="","",INDEX(Course!$N$2:$N$19,MATCH($B471,Course!$A$2:$A$19,0)))</f>
        <v/>
      </c>
      <c r="Q471" s="17" t="str">
        <f aca="false">IF($B471="","",INDEX(Course!$P$2:$P$19,MATCH($B471,Course!$A$2:$A$19,0)))</f>
        <v/>
      </c>
      <c r="R471" s="17" t="str">
        <f aca="false">IF($C471="","",IF(OR($C471="G",$C471="H"),0,IF($C471="T",1,MIN(1,MAX(0,($N471-Inputs!$B$8)/MAX($P471-Inputs!$B$8,0.01))))))</f>
        <v/>
      </c>
      <c r="S471" s="17" t="str">
        <f aca="false">IF($C471="","",IF(OR($E471="G",$E471="H"),0,IF($E471="T",1,MIN(1,MAX(0,($O471-Inputs!$B$8)/MAX($P471-Inputs!$B$8,0.01))))))</f>
        <v/>
      </c>
    </row>
    <row r="472" customFormat="false" ht="15" hidden="false" customHeight="false" outlineLevel="0" collapsed="false">
      <c r="I472" s="7" t="str">
        <f aca="false">IF($C472="","",IF($C472="G","PUTT",IF(AND($C472="T",$M472&gt;3),"OTT",IF($D472&lt;=30,"ARG","APP"))))</f>
        <v/>
      </c>
      <c r="J472" s="17" t="str">
        <f aca="false">IF($C472="","",$N472+$Q472*$R472)</f>
        <v/>
      </c>
      <c r="K472" s="17" t="str">
        <f aca="false">IF($C472="","",$O472+$Q472*$S472)</f>
        <v/>
      </c>
      <c r="L472" s="17" t="str">
        <f aca="false">IF($C472="","",$J472-$K472-1-N($G472))</f>
        <v/>
      </c>
      <c r="M472" s="7" t="str">
        <f aca="false">IF($B472="","",INDEX(Course!$B$2:$B$19,MATCH($B472,Course!$A$2:$A$19,0)))</f>
        <v/>
      </c>
      <c r="N472" s="17" t="str">
        <f aca="false">IF($C472="","",IF($C472="H",0,IF($C472="G",INDEX(Baseline!$I$3:$I$102,MIN(MAX(ROUND($D472,0),1),100)),IF($C472="T",IF($M472=3,INDEX(Baseline!$B$3:$B$122,MATCH(MIN(MAX(ROUND(($D472)/5,0)*5,5),600),Baseline!$A$3:$A$122,0))-Inputs!$B$9,INDEX(Course!$N$2:$N$19,MATCH($B472,Course!$A$2:$A$19,0))),INDEX(Baseline!$B$3:$E$122,MATCH(MIN(MAX(ROUND(($D472)/5,0)*5,5),600),Baseline!$A$3:$A$122,0),MATCH($C472,Baseline!$B$2:$E$2,0))))))</f>
        <v/>
      </c>
      <c r="O472" s="17" t="str">
        <f aca="false">IF($C472="","",IF($E472="H",0,IF($E472="G",INDEX(Baseline!$I$3:$I$102,MIN(MAX(ROUND($F472,0),1),100)),IF($E472="T",IF($M472=3,INDEX(Baseline!$B$3:$B$122,MATCH(MIN(MAX(ROUND(($F472)/5,0)*5,5),600),Baseline!$A$3:$A$122,0))-Inputs!$B$9,INDEX(Course!$N$2:$N$19,MATCH($B472,Course!$A$2:$A$19,0))),INDEX(Baseline!$B$3:$E$122,MATCH(MIN(MAX(ROUND(($F472)/5,0)*5,5),600),Baseline!$A$3:$A$122,0),MATCH($E472,Baseline!$B$2:$E$2,0))))))</f>
        <v/>
      </c>
      <c r="P472" s="17" t="str">
        <f aca="false">IF($B472="","",INDEX(Course!$N$2:$N$19,MATCH($B472,Course!$A$2:$A$19,0)))</f>
        <v/>
      </c>
      <c r="Q472" s="17" t="str">
        <f aca="false">IF($B472="","",INDEX(Course!$P$2:$P$19,MATCH($B472,Course!$A$2:$A$19,0)))</f>
        <v/>
      </c>
      <c r="R472" s="17" t="str">
        <f aca="false">IF($C472="","",IF(OR($C472="G",$C472="H"),0,IF($C472="T",1,MIN(1,MAX(0,($N472-Inputs!$B$8)/MAX($P472-Inputs!$B$8,0.01))))))</f>
        <v/>
      </c>
      <c r="S472" s="17" t="str">
        <f aca="false">IF($C472="","",IF(OR($E472="G",$E472="H"),0,IF($E472="T",1,MIN(1,MAX(0,($O472-Inputs!$B$8)/MAX($P472-Inputs!$B$8,0.01))))))</f>
        <v/>
      </c>
    </row>
    <row r="473" customFormat="false" ht="15" hidden="false" customHeight="false" outlineLevel="0" collapsed="false">
      <c r="I473" s="7" t="str">
        <f aca="false">IF($C473="","",IF($C473="G","PUTT",IF(AND($C473="T",$M473&gt;3),"OTT",IF($D473&lt;=30,"ARG","APP"))))</f>
        <v/>
      </c>
      <c r="J473" s="17" t="str">
        <f aca="false">IF($C473="","",$N473+$Q473*$R473)</f>
        <v/>
      </c>
      <c r="K473" s="17" t="str">
        <f aca="false">IF($C473="","",$O473+$Q473*$S473)</f>
        <v/>
      </c>
      <c r="L473" s="17" t="str">
        <f aca="false">IF($C473="","",$J473-$K473-1-N($G473))</f>
        <v/>
      </c>
      <c r="M473" s="7" t="str">
        <f aca="false">IF($B473="","",INDEX(Course!$B$2:$B$19,MATCH($B473,Course!$A$2:$A$19,0)))</f>
        <v/>
      </c>
      <c r="N473" s="17" t="str">
        <f aca="false">IF($C473="","",IF($C473="H",0,IF($C473="G",INDEX(Baseline!$I$3:$I$102,MIN(MAX(ROUND($D473,0),1),100)),IF($C473="T",IF($M473=3,INDEX(Baseline!$B$3:$B$122,MATCH(MIN(MAX(ROUND(($D473)/5,0)*5,5),600),Baseline!$A$3:$A$122,0))-Inputs!$B$9,INDEX(Course!$N$2:$N$19,MATCH($B473,Course!$A$2:$A$19,0))),INDEX(Baseline!$B$3:$E$122,MATCH(MIN(MAX(ROUND(($D473)/5,0)*5,5),600),Baseline!$A$3:$A$122,0),MATCH($C473,Baseline!$B$2:$E$2,0))))))</f>
        <v/>
      </c>
      <c r="O473" s="17" t="str">
        <f aca="false">IF($C473="","",IF($E473="H",0,IF($E473="G",INDEX(Baseline!$I$3:$I$102,MIN(MAX(ROUND($F473,0),1),100)),IF($E473="T",IF($M473=3,INDEX(Baseline!$B$3:$B$122,MATCH(MIN(MAX(ROUND(($F473)/5,0)*5,5),600),Baseline!$A$3:$A$122,0))-Inputs!$B$9,INDEX(Course!$N$2:$N$19,MATCH($B473,Course!$A$2:$A$19,0))),INDEX(Baseline!$B$3:$E$122,MATCH(MIN(MAX(ROUND(($F473)/5,0)*5,5),600),Baseline!$A$3:$A$122,0),MATCH($E473,Baseline!$B$2:$E$2,0))))))</f>
        <v/>
      </c>
      <c r="P473" s="17" t="str">
        <f aca="false">IF($B473="","",INDEX(Course!$N$2:$N$19,MATCH($B473,Course!$A$2:$A$19,0)))</f>
        <v/>
      </c>
      <c r="Q473" s="17" t="str">
        <f aca="false">IF($B473="","",INDEX(Course!$P$2:$P$19,MATCH($B473,Course!$A$2:$A$19,0)))</f>
        <v/>
      </c>
      <c r="R473" s="17" t="str">
        <f aca="false">IF($C473="","",IF(OR($C473="G",$C473="H"),0,IF($C473="T",1,MIN(1,MAX(0,($N473-Inputs!$B$8)/MAX($P473-Inputs!$B$8,0.01))))))</f>
        <v/>
      </c>
      <c r="S473" s="17" t="str">
        <f aca="false">IF($C473="","",IF(OR($E473="G",$E473="H"),0,IF($E473="T",1,MIN(1,MAX(0,($O473-Inputs!$B$8)/MAX($P473-Inputs!$B$8,0.01))))))</f>
        <v/>
      </c>
    </row>
    <row r="474" customFormat="false" ht="15" hidden="false" customHeight="false" outlineLevel="0" collapsed="false">
      <c r="I474" s="7" t="str">
        <f aca="false">IF($C474="","",IF($C474="G","PUTT",IF(AND($C474="T",$M474&gt;3),"OTT",IF($D474&lt;=30,"ARG","APP"))))</f>
        <v/>
      </c>
      <c r="J474" s="17" t="str">
        <f aca="false">IF($C474="","",$N474+$Q474*$R474)</f>
        <v/>
      </c>
      <c r="K474" s="17" t="str">
        <f aca="false">IF($C474="","",$O474+$Q474*$S474)</f>
        <v/>
      </c>
      <c r="L474" s="17" t="str">
        <f aca="false">IF($C474="","",$J474-$K474-1-N($G474))</f>
        <v/>
      </c>
      <c r="M474" s="7" t="str">
        <f aca="false">IF($B474="","",INDEX(Course!$B$2:$B$19,MATCH($B474,Course!$A$2:$A$19,0)))</f>
        <v/>
      </c>
      <c r="N474" s="17" t="str">
        <f aca="false">IF($C474="","",IF($C474="H",0,IF($C474="G",INDEX(Baseline!$I$3:$I$102,MIN(MAX(ROUND($D474,0),1),100)),IF($C474="T",IF($M474=3,INDEX(Baseline!$B$3:$B$122,MATCH(MIN(MAX(ROUND(($D474)/5,0)*5,5),600),Baseline!$A$3:$A$122,0))-Inputs!$B$9,INDEX(Course!$N$2:$N$19,MATCH($B474,Course!$A$2:$A$19,0))),INDEX(Baseline!$B$3:$E$122,MATCH(MIN(MAX(ROUND(($D474)/5,0)*5,5),600),Baseline!$A$3:$A$122,0),MATCH($C474,Baseline!$B$2:$E$2,0))))))</f>
        <v/>
      </c>
      <c r="O474" s="17" t="str">
        <f aca="false">IF($C474="","",IF($E474="H",0,IF($E474="G",INDEX(Baseline!$I$3:$I$102,MIN(MAX(ROUND($F474,0),1),100)),IF($E474="T",IF($M474=3,INDEX(Baseline!$B$3:$B$122,MATCH(MIN(MAX(ROUND(($F474)/5,0)*5,5),600),Baseline!$A$3:$A$122,0))-Inputs!$B$9,INDEX(Course!$N$2:$N$19,MATCH($B474,Course!$A$2:$A$19,0))),INDEX(Baseline!$B$3:$E$122,MATCH(MIN(MAX(ROUND(($F474)/5,0)*5,5),600),Baseline!$A$3:$A$122,0),MATCH($E474,Baseline!$B$2:$E$2,0))))))</f>
        <v/>
      </c>
      <c r="P474" s="17" t="str">
        <f aca="false">IF($B474="","",INDEX(Course!$N$2:$N$19,MATCH($B474,Course!$A$2:$A$19,0)))</f>
        <v/>
      </c>
      <c r="Q474" s="17" t="str">
        <f aca="false">IF($B474="","",INDEX(Course!$P$2:$P$19,MATCH($B474,Course!$A$2:$A$19,0)))</f>
        <v/>
      </c>
      <c r="R474" s="17" t="str">
        <f aca="false">IF($C474="","",IF(OR($C474="G",$C474="H"),0,IF($C474="T",1,MIN(1,MAX(0,($N474-Inputs!$B$8)/MAX($P474-Inputs!$B$8,0.01))))))</f>
        <v/>
      </c>
      <c r="S474" s="17" t="str">
        <f aca="false">IF($C474="","",IF(OR($E474="G",$E474="H"),0,IF($E474="T",1,MIN(1,MAX(0,($O474-Inputs!$B$8)/MAX($P474-Inputs!$B$8,0.01))))))</f>
        <v/>
      </c>
    </row>
    <row r="475" customFormat="false" ht="15" hidden="false" customHeight="false" outlineLevel="0" collapsed="false">
      <c r="I475" s="7" t="str">
        <f aca="false">IF($C475="","",IF($C475="G","PUTT",IF(AND($C475="T",$M475&gt;3),"OTT",IF($D475&lt;=30,"ARG","APP"))))</f>
        <v/>
      </c>
      <c r="J475" s="17" t="str">
        <f aca="false">IF($C475="","",$N475+$Q475*$R475)</f>
        <v/>
      </c>
      <c r="K475" s="17" t="str">
        <f aca="false">IF($C475="","",$O475+$Q475*$S475)</f>
        <v/>
      </c>
      <c r="L475" s="17" t="str">
        <f aca="false">IF($C475="","",$J475-$K475-1-N($G475))</f>
        <v/>
      </c>
      <c r="M475" s="7" t="str">
        <f aca="false">IF($B475="","",INDEX(Course!$B$2:$B$19,MATCH($B475,Course!$A$2:$A$19,0)))</f>
        <v/>
      </c>
      <c r="N475" s="17" t="str">
        <f aca="false">IF($C475="","",IF($C475="H",0,IF($C475="G",INDEX(Baseline!$I$3:$I$102,MIN(MAX(ROUND($D475,0),1),100)),IF($C475="T",IF($M475=3,INDEX(Baseline!$B$3:$B$122,MATCH(MIN(MAX(ROUND(($D475)/5,0)*5,5),600),Baseline!$A$3:$A$122,0))-Inputs!$B$9,INDEX(Course!$N$2:$N$19,MATCH($B475,Course!$A$2:$A$19,0))),INDEX(Baseline!$B$3:$E$122,MATCH(MIN(MAX(ROUND(($D475)/5,0)*5,5),600),Baseline!$A$3:$A$122,0),MATCH($C475,Baseline!$B$2:$E$2,0))))))</f>
        <v/>
      </c>
      <c r="O475" s="17" t="str">
        <f aca="false">IF($C475="","",IF($E475="H",0,IF($E475="G",INDEX(Baseline!$I$3:$I$102,MIN(MAX(ROUND($F475,0),1),100)),IF($E475="T",IF($M475=3,INDEX(Baseline!$B$3:$B$122,MATCH(MIN(MAX(ROUND(($F475)/5,0)*5,5),600),Baseline!$A$3:$A$122,0))-Inputs!$B$9,INDEX(Course!$N$2:$N$19,MATCH($B475,Course!$A$2:$A$19,0))),INDEX(Baseline!$B$3:$E$122,MATCH(MIN(MAX(ROUND(($F475)/5,0)*5,5),600),Baseline!$A$3:$A$122,0),MATCH($E475,Baseline!$B$2:$E$2,0))))))</f>
        <v/>
      </c>
      <c r="P475" s="17" t="str">
        <f aca="false">IF($B475="","",INDEX(Course!$N$2:$N$19,MATCH($B475,Course!$A$2:$A$19,0)))</f>
        <v/>
      </c>
      <c r="Q475" s="17" t="str">
        <f aca="false">IF($B475="","",INDEX(Course!$P$2:$P$19,MATCH($B475,Course!$A$2:$A$19,0)))</f>
        <v/>
      </c>
      <c r="R475" s="17" t="str">
        <f aca="false">IF($C475="","",IF(OR($C475="G",$C475="H"),0,IF($C475="T",1,MIN(1,MAX(0,($N475-Inputs!$B$8)/MAX($P475-Inputs!$B$8,0.01))))))</f>
        <v/>
      </c>
      <c r="S475" s="17" t="str">
        <f aca="false">IF($C475="","",IF(OR($E475="G",$E475="H"),0,IF($E475="T",1,MIN(1,MAX(0,($O475-Inputs!$B$8)/MAX($P475-Inputs!$B$8,0.01))))))</f>
        <v/>
      </c>
    </row>
    <row r="476" customFormat="false" ht="15" hidden="false" customHeight="false" outlineLevel="0" collapsed="false">
      <c r="I476" s="7" t="str">
        <f aca="false">IF($C476="","",IF($C476="G","PUTT",IF(AND($C476="T",$M476&gt;3),"OTT",IF($D476&lt;=30,"ARG","APP"))))</f>
        <v/>
      </c>
      <c r="J476" s="17" t="str">
        <f aca="false">IF($C476="","",$N476+$Q476*$R476)</f>
        <v/>
      </c>
      <c r="K476" s="17" t="str">
        <f aca="false">IF($C476="","",$O476+$Q476*$S476)</f>
        <v/>
      </c>
      <c r="L476" s="17" t="str">
        <f aca="false">IF($C476="","",$J476-$K476-1-N($G476))</f>
        <v/>
      </c>
      <c r="M476" s="7" t="str">
        <f aca="false">IF($B476="","",INDEX(Course!$B$2:$B$19,MATCH($B476,Course!$A$2:$A$19,0)))</f>
        <v/>
      </c>
      <c r="N476" s="17" t="str">
        <f aca="false">IF($C476="","",IF($C476="H",0,IF($C476="G",INDEX(Baseline!$I$3:$I$102,MIN(MAX(ROUND($D476,0),1),100)),IF($C476="T",IF($M476=3,INDEX(Baseline!$B$3:$B$122,MATCH(MIN(MAX(ROUND(($D476)/5,0)*5,5),600),Baseline!$A$3:$A$122,0))-Inputs!$B$9,INDEX(Course!$N$2:$N$19,MATCH($B476,Course!$A$2:$A$19,0))),INDEX(Baseline!$B$3:$E$122,MATCH(MIN(MAX(ROUND(($D476)/5,0)*5,5),600),Baseline!$A$3:$A$122,0),MATCH($C476,Baseline!$B$2:$E$2,0))))))</f>
        <v/>
      </c>
      <c r="O476" s="17" t="str">
        <f aca="false">IF($C476="","",IF($E476="H",0,IF($E476="G",INDEX(Baseline!$I$3:$I$102,MIN(MAX(ROUND($F476,0),1),100)),IF($E476="T",IF($M476=3,INDEX(Baseline!$B$3:$B$122,MATCH(MIN(MAX(ROUND(($F476)/5,0)*5,5),600),Baseline!$A$3:$A$122,0))-Inputs!$B$9,INDEX(Course!$N$2:$N$19,MATCH($B476,Course!$A$2:$A$19,0))),INDEX(Baseline!$B$3:$E$122,MATCH(MIN(MAX(ROUND(($F476)/5,0)*5,5),600),Baseline!$A$3:$A$122,0),MATCH($E476,Baseline!$B$2:$E$2,0))))))</f>
        <v/>
      </c>
      <c r="P476" s="17" t="str">
        <f aca="false">IF($B476="","",INDEX(Course!$N$2:$N$19,MATCH($B476,Course!$A$2:$A$19,0)))</f>
        <v/>
      </c>
      <c r="Q476" s="17" t="str">
        <f aca="false">IF($B476="","",INDEX(Course!$P$2:$P$19,MATCH($B476,Course!$A$2:$A$19,0)))</f>
        <v/>
      </c>
      <c r="R476" s="17" t="str">
        <f aca="false">IF($C476="","",IF(OR($C476="G",$C476="H"),0,IF($C476="T",1,MIN(1,MAX(0,($N476-Inputs!$B$8)/MAX($P476-Inputs!$B$8,0.01))))))</f>
        <v/>
      </c>
      <c r="S476" s="17" t="str">
        <f aca="false">IF($C476="","",IF(OR($E476="G",$E476="H"),0,IF($E476="T",1,MIN(1,MAX(0,($O476-Inputs!$B$8)/MAX($P476-Inputs!$B$8,0.01))))))</f>
        <v/>
      </c>
    </row>
    <row r="477" customFormat="false" ht="15" hidden="false" customHeight="false" outlineLevel="0" collapsed="false">
      <c r="I477" s="7" t="str">
        <f aca="false">IF($C477="","",IF($C477="G","PUTT",IF(AND($C477="T",$M477&gt;3),"OTT",IF($D477&lt;=30,"ARG","APP"))))</f>
        <v/>
      </c>
      <c r="J477" s="17" t="str">
        <f aca="false">IF($C477="","",$N477+$Q477*$R477)</f>
        <v/>
      </c>
      <c r="K477" s="17" t="str">
        <f aca="false">IF($C477="","",$O477+$Q477*$S477)</f>
        <v/>
      </c>
      <c r="L477" s="17" t="str">
        <f aca="false">IF($C477="","",$J477-$K477-1-N($G477))</f>
        <v/>
      </c>
      <c r="M477" s="7" t="str">
        <f aca="false">IF($B477="","",INDEX(Course!$B$2:$B$19,MATCH($B477,Course!$A$2:$A$19,0)))</f>
        <v/>
      </c>
      <c r="N477" s="17" t="str">
        <f aca="false">IF($C477="","",IF($C477="H",0,IF($C477="G",INDEX(Baseline!$I$3:$I$102,MIN(MAX(ROUND($D477,0),1),100)),IF($C477="T",IF($M477=3,INDEX(Baseline!$B$3:$B$122,MATCH(MIN(MAX(ROUND(($D477)/5,0)*5,5),600),Baseline!$A$3:$A$122,0))-Inputs!$B$9,INDEX(Course!$N$2:$N$19,MATCH($B477,Course!$A$2:$A$19,0))),INDEX(Baseline!$B$3:$E$122,MATCH(MIN(MAX(ROUND(($D477)/5,0)*5,5),600),Baseline!$A$3:$A$122,0),MATCH($C477,Baseline!$B$2:$E$2,0))))))</f>
        <v/>
      </c>
      <c r="O477" s="17" t="str">
        <f aca="false">IF($C477="","",IF($E477="H",0,IF($E477="G",INDEX(Baseline!$I$3:$I$102,MIN(MAX(ROUND($F477,0),1),100)),IF($E477="T",IF($M477=3,INDEX(Baseline!$B$3:$B$122,MATCH(MIN(MAX(ROUND(($F477)/5,0)*5,5),600),Baseline!$A$3:$A$122,0))-Inputs!$B$9,INDEX(Course!$N$2:$N$19,MATCH($B477,Course!$A$2:$A$19,0))),INDEX(Baseline!$B$3:$E$122,MATCH(MIN(MAX(ROUND(($F477)/5,0)*5,5),600),Baseline!$A$3:$A$122,0),MATCH($E477,Baseline!$B$2:$E$2,0))))))</f>
        <v/>
      </c>
      <c r="P477" s="17" t="str">
        <f aca="false">IF($B477="","",INDEX(Course!$N$2:$N$19,MATCH($B477,Course!$A$2:$A$19,0)))</f>
        <v/>
      </c>
      <c r="Q477" s="17" t="str">
        <f aca="false">IF($B477="","",INDEX(Course!$P$2:$P$19,MATCH($B477,Course!$A$2:$A$19,0)))</f>
        <v/>
      </c>
      <c r="R477" s="17" t="str">
        <f aca="false">IF($C477="","",IF(OR($C477="G",$C477="H"),0,IF($C477="T",1,MIN(1,MAX(0,($N477-Inputs!$B$8)/MAX($P477-Inputs!$B$8,0.01))))))</f>
        <v/>
      </c>
      <c r="S477" s="17" t="str">
        <f aca="false">IF($C477="","",IF(OR($E477="G",$E477="H"),0,IF($E477="T",1,MIN(1,MAX(0,($O477-Inputs!$B$8)/MAX($P477-Inputs!$B$8,0.01))))))</f>
        <v/>
      </c>
    </row>
    <row r="478" customFormat="false" ht="15" hidden="false" customHeight="false" outlineLevel="0" collapsed="false">
      <c r="I478" s="7" t="str">
        <f aca="false">IF($C478="","",IF($C478="G","PUTT",IF(AND($C478="T",$M478&gt;3),"OTT",IF($D478&lt;=30,"ARG","APP"))))</f>
        <v/>
      </c>
      <c r="J478" s="17" t="str">
        <f aca="false">IF($C478="","",$N478+$Q478*$R478)</f>
        <v/>
      </c>
      <c r="K478" s="17" t="str">
        <f aca="false">IF($C478="","",$O478+$Q478*$S478)</f>
        <v/>
      </c>
      <c r="L478" s="17" t="str">
        <f aca="false">IF($C478="","",$J478-$K478-1-N($G478))</f>
        <v/>
      </c>
      <c r="M478" s="7" t="str">
        <f aca="false">IF($B478="","",INDEX(Course!$B$2:$B$19,MATCH($B478,Course!$A$2:$A$19,0)))</f>
        <v/>
      </c>
      <c r="N478" s="17" t="str">
        <f aca="false">IF($C478="","",IF($C478="H",0,IF($C478="G",INDEX(Baseline!$I$3:$I$102,MIN(MAX(ROUND($D478,0),1),100)),IF($C478="T",IF($M478=3,INDEX(Baseline!$B$3:$B$122,MATCH(MIN(MAX(ROUND(($D478)/5,0)*5,5),600),Baseline!$A$3:$A$122,0))-Inputs!$B$9,INDEX(Course!$N$2:$N$19,MATCH($B478,Course!$A$2:$A$19,0))),INDEX(Baseline!$B$3:$E$122,MATCH(MIN(MAX(ROUND(($D478)/5,0)*5,5),600),Baseline!$A$3:$A$122,0),MATCH($C478,Baseline!$B$2:$E$2,0))))))</f>
        <v/>
      </c>
      <c r="O478" s="17" t="str">
        <f aca="false">IF($C478="","",IF($E478="H",0,IF($E478="G",INDEX(Baseline!$I$3:$I$102,MIN(MAX(ROUND($F478,0),1),100)),IF($E478="T",IF($M478=3,INDEX(Baseline!$B$3:$B$122,MATCH(MIN(MAX(ROUND(($F478)/5,0)*5,5),600),Baseline!$A$3:$A$122,0))-Inputs!$B$9,INDEX(Course!$N$2:$N$19,MATCH($B478,Course!$A$2:$A$19,0))),INDEX(Baseline!$B$3:$E$122,MATCH(MIN(MAX(ROUND(($F478)/5,0)*5,5),600),Baseline!$A$3:$A$122,0),MATCH($E478,Baseline!$B$2:$E$2,0))))))</f>
        <v/>
      </c>
      <c r="P478" s="17" t="str">
        <f aca="false">IF($B478="","",INDEX(Course!$N$2:$N$19,MATCH($B478,Course!$A$2:$A$19,0)))</f>
        <v/>
      </c>
      <c r="Q478" s="17" t="str">
        <f aca="false">IF($B478="","",INDEX(Course!$P$2:$P$19,MATCH($B478,Course!$A$2:$A$19,0)))</f>
        <v/>
      </c>
      <c r="R478" s="17" t="str">
        <f aca="false">IF($C478="","",IF(OR($C478="G",$C478="H"),0,IF($C478="T",1,MIN(1,MAX(0,($N478-Inputs!$B$8)/MAX($P478-Inputs!$B$8,0.01))))))</f>
        <v/>
      </c>
      <c r="S478" s="17" t="str">
        <f aca="false">IF($C478="","",IF(OR($E478="G",$E478="H"),0,IF($E478="T",1,MIN(1,MAX(0,($O478-Inputs!$B$8)/MAX($P478-Inputs!$B$8,0.01))))))</f>
        <v/>
      </c>
    </row>
    <row r="479" customFormat="false" ht="15" hidden="false" customHeight="false" outlineLevel="0" collapsed="false">
      <c r="I479" s="7" t="str">
        <f aca="false">IF($C479="","",IF($C479="G","PUTT",IF(AND($C479="T",$M479&gt;3),"OTT",IF($D479&lt;=30,"ARG","APP"))))</f>
        <v/>
      </c>
      <c r="J479" s="17" t="str">
        <f aca="false">IF($C479="","",$N479+$Q479*$R479)</f>
        <v/>
      </c>
      <c r="K479" s="17" t="str">
        <f aca="false">IF($C479="","",$O479+$Q479*$S479)</f>
        <v/>
      </c>
      <c r="L479" s="17" t="str">
        <f aca="false">IF($C479="","",$J479-$K479-1-N($G479))</f>
        <v/>
      </c>
      <c r="M479" s="7" t="str">
        <f aca="false">IF($B479="","",INDEX(Course!$B$2:$B$19,MATCH($B479,Course!$A$2:$A$19,0)))</f>
        <v/>
      </c>
      <c r="N479" s="17" t="str">
        <f aca="false">IF($C479="","",IF($C479="H",0,IF($C479="G",INDEX(Baseline!$I$3:$I$102,MIN(MAX(ROUND($D479,0),1),100)),IF($C479="T",IF($M479=3,INDEX(Baseline!$B$3:$B$122,MATCH(MIN(MAX(ROUND(($D479)/5,0)*5,5),600),Baseline!$A$3:$A$122,0))-Inputs!$B$9,INDEX(Course!$N$2:$N$19,MATCH($B479,Course!$A$2:$A$19,0))),INDEX(Baseline!$B$3:$E$122,MATCH(MIN(MAX(ROUND(($D479)/5,0)*5,5),600),Baseline!$A$3:$A$122,0),MATCH($C479,Baseline!$B$2:$E$2,0))))))</f>
        <v/>
      </c>
      <c r="O479" s="17" t="str">
        <f aca="false">IF($C479="","",IF($E479="H",0,IF($E479="G",INDEX(Baseline!$I$3:$I$102,MIN(MAX(ROUND($F479,0),1),100)),IF($E479="T",IF($M479=3,INDEX(Baseline!$B$3:$B$122,MATCH(MIN(MAX(ROUND(($F479)/5,0)*5,5),600),Baseline!$A$3:$A$122,0))-Inputs!$B$9,INDEX(Course!$N$2:$N$19,MATCH($B479,Course!$A$2:$A$19,0))),INDEX(Baseline!$B$3:$E$122,MATCH(MIN(MAX(ROUND(($F479)/5,0)*5,5),600),Baseline!$A$3:$A$122,0),MATCH($E479,Baseline!$B$2:$E$2,0))))))</f>
        <v/>
      </c>
      <c r="P479" s="17" t="str">
        <f aca="false">IF($B479="","",INDEX(Course!$N$2:$N$19,MATCH($B479,Course!$A$2:$A$19,0)))</f>
        <v/>
      </c>
      <c r="Q479" s="17" t="str">
        <f aca="false">IF($B479="","",INDEX(Course!$P$2:$P$19,MATCH($B479,Course!$A$2:$A$19,0)))</f>
        <v/>
      </c>
      <c r="R479" s="17" t="str">
        <f aca="false">IF($C479="","",IF(OR($C479="G",$C479="H"),0,IF($C479="T",1,MIN(1,MAX(0,($N479-Inputs!$B$8)/MAX($P479-Inputs!$B$8,0.01))))))</f>
        <v/>
      </c>
      <c r="S479" s="17" t="str">
        <f aca="false">IF($C479="","",IF(OR($E479="G",$E479="H"),0,IF($E479="T",1,MIN(1,MAX(0,($O479-Inputs!$B$8)/MAX($P479-Inputs!$B$8,0.01))))))</f>
        <v/>
      </c>
    </row>
    <row r="480" customFormat="false" ht="15" hidden="false" customHeight="false" outlineLevel="0" collapsed="false">
      <c r="I480" s="7" t="str">
        <f aca="false">IF($C480="","",IF($C480="G","PUTT",IF(AND($C480="T",$M480&gt;3),"OTT",IF($D480&lt;=30,"ARG","APP"))))</f>
        <v/>
      </c>
      <c r="J480" s="17" t="str">
        <f aca="false">IF($C480="","",$N480+$Q480*$R480)</f>
        <v/>
      </c>
      <c r="K480" s="17" t="str">
        <f aca="false">IF($C480="","",$O480+$Q480*$S480)</f>
        <v/>
      </c>
      <c r="L480" s="17" t="str">
        <f aca="false">IF($C480="","",$J480-$K480-1-N($G480))</f>
        <v/>
      </c>
      <c r="M480" s="7" t="str">
        <f aca="false">IF($B480="","",INDEX(Course!$B$2:$B$19,MATCH($B480,Course!$A$2:$A$19,0)))</f>
        <v/>
      </c>
      <c r="N480" s="17" t="str">
        <f aca="false">IF($C480="","",IF($C480="H",0,IF($C480="G",INDEX(Baseline!$I$3:$I$102,MIN(MAX(ROUND($D480,0),1),100)),IF($C480="T",IF($M480=3,INDEX(Baseline!$B$3:$B$122,MATCH(MIN(MAX(ROUND(($D480)/5,0)*5,5),600),Baseline!$A$3:$A$122,0))-Inputs!$B$9,INDEX(Course!$N$2:$N$19,MATCH($B480,Course!$A$2:$A$19,0))),INDEX(Baseline!$B$3:$E$122,MATCH(MIN(MAX(ROUND(($D480)/5,0)*5,5),600),Baseline!$A$3:$A$122,0),MATCH($C480,Baseline!$B$2:$E$2,0))))))</f>
        <v/>
      </c>
      <c r="O480" s="17" t="str">
        <f aca="false">IF($C480="","",IF($E480="H",0,IF($E480="G",INDEX(Baseline!$I$3:$I$102,MIN(MAX(ROUND($F480,0),1),100)),IF($E480="T",IF($M480=3,INDEX(Baseline!$B$3:$B$122,MATCH(MIN(MAX(ROUND(($F480)/5,0)*5,5),600),Baseline!$A$3:$A$122,0))-Inputs!$B$9,INDEX(Course!$N$2:$N$19,MATCH($B480,Course!$A$2:$A$19,0))),INDEX(Baseline!$B$3:$E$122,MATCH(MIN(MAX(ROUND(($F480)/5,0)*5,5),600),Baseline!$A$3:$A$122,0),MATCH($E480,Baseline!$B$2:$E$2,0))))))</f>
        <v/>
      </c>
      <c r="P480" s="17" t="str">
        <f aca="false">IF($B480="","",INDEX(Course!$N$2:$N$19,MATCH($B480,Course!$A$2:$A$19,0)))</f>
        <v/>
      </c>
      <c r="Q480" s="17" t="str">
        <f aca="false">IF($B480="","",INDEX(Course!$P$2:$P$19,MATCH($B480,Course!$A$2:$A$19,0)))</f>
        <v/>
      </c>
      <c r="R480" s="17" t="str">
        <f aca="false">IF($C480="","",IF(OR($C480="G",$C480="H"),0,IF($C480="T",1,MIN(1,MAX(0,($N480-Inputs!$B$8)/MAX($P480-Inputs!$B$8,0.01))))))</f>
        <v/>
      </c>
      <c r="S480" s="17" t="str">
        <f aca="false">IF($C480="","",IF(OR($E480="G",$E480="H"),0,IF($E480="T",1,MIN(1,MAX(0,($O480-Inputs!$B$8)/MAX($P480-Inputs!$B$8,0.01))))))</f>
        <v/>
      </c>
    </row>
    <row r="481" customFormat="false" ht="15" hidden="false" customHeight="false" outlineLevel="0" collapsed="false">
      <c r="I481" s="7" t="str">
        <f aca="false">IF($C481="","",IF($C481="G","PUTT",IF(AND($C481="T",$M481&gt;3),"OTT",IF($D481&lt;=30,"ARG","APP"))))</f>
        <v/>
      </c>
      <c r="J481" s="17" t="str">
        <f aca="false">IF($C481="","",$N481+$Q481*$R481)</f>
        <v/>
      </c>
      <c r="K481" s="17" t="str">
        <f aca="false">IF($C481="","",$O481+$Q481*$S481)</f>
        <v/>
      </c>
      <c r="L481" s="17" t="str">
        <f aca="false">IF($C481="","",$J481-$K481-1-N($G481))</f>
        <v/>
      </c>
      <c r="M481" s="7" t="str">
        <f aca="false">IF($B481="","",INDEX(Course!$B$2:$B$19,MATCH($B481,Course!$A$2:$A$19,0)))</f>
        <v/>
      </c>
      <c r="N481" s="17" t="str">
        <f aca="false">IF($C481="","",IF($C481="H",0,IF($C481="G",INDEX(Baseline!$I$3:$I$102,MIN(MAX(ROUND($D481,0),1),100)),IF($C481="T",IF($M481=3,INDEX(Baseline!$B$3:$B$122,MATCH(MIN(MAX(ROUND(($D481)/5,0)*5,5),600),Baseline!$A$3:$A$122,0))-Inputs!$B$9,INDEX(Course!$N$2:$N$19,MATCH($B481,Course!$A$2:$A$19,0))),INDEX(Baseline!$B$3:$E$122,MATCH(MIN(MAX(ROUND(($D481)/5,0)*5,5),600),Baseline!$A$3:$A$122,0),MATCH($C481,Baseline!$B$2:$E$2,0))))))</f>
        <v/>
      </c>
      <c r="O481" s="17" t="str">
        <f aca="false">IF($C481="","",IF($E481="H",0,IF($E481="G",INDEX(Baseline!$I$3:$I$102,MIN(MAX(ROUND($F481,0),1),100)),IF($E481="T",IF($M481=3,INDEX(Baseline!$B$3:$B$122,MATCH(MIN(MAX(ROUND(($F481)/5,0)*5,5),600),Baseline!$A$3:$A$122,0))-Inputs!$B$9,INDEX(Course!$N$2:$N$19,MATCH($B481,Course!$A$2:$A$19,0))),INDEX(Baseline!$B$3:$E$122,MATCH(MIN(MAX(ROUND(($F481)/5,0)*5,5),600),Baseline!$A$3:$A$122,0),MATCH($E481,Baseline!$B$2:$E$2,0))))))</f>
        <v/>
      </c>
      <c r="P481" s="17" t="str">
        <f aca="false">IF($B481="","",INDEX(Course!$N$2:$N$19,MATCH($B481,Course!$A$2:$A$19,0)))</f>
        <v/>
      </c>
      <c r="Q481" s="17" t="str">
        <f aca="false">IF($B481="","",INDEX(Course!$P$2:$P$19,MATCH($B481,Course!$A$2:$A$19,0)))</f>
        <v/>
      </c>
      <c r="R481" s="17" t="str">
        <f aca="false">IF($C481="","",IF(OR($C481="G",$C481="H"),0,IF($C481="T",1,MIN(1,MAX(0,($N481-Inputs!$B$8)/MAX($P481-Inputs!$B$8,0.01))))))</f>
        <v/>
      </c>
      <c r="S481" s="17" t="str">
        <f aca="false">IF($C481="","",IF(OR($E481="G",$E481="H"),0,IF($E481="T",1,MIN(1,MAX(0,($O481-Inputs!$B$8)/MAX($P481-Inputs!$B$8,0.01))))))</f>
        <v/>
      </c>
    </row>
    <row r="482" customFormat="false" ht="15" hidden="false" customHeight="false" outlineLevel="0" collapsed="false">
      <c r="I482" s="7" t="str">
        <f aca="false">IF($C482="","",IF($C482="G","PUTT",IF(AND($C482="T",$M482&gt;3),"OTT",IF($D482&lt;=30,"ARG","APP"))))</f>
        <v/>
      </c>
      <c r="J482" s="17" t="str">
        <f aca="false">IF($C482="","",$N482+$Q482*$R482)</f>
        <v/>
      </c>
      <c r="K482" s="17" t="str">
        <f aca="false">IF($C482="","",$O482+$Q482*$S482)</f>
        <v/>
      </c>
      <c r="L482" s="17" t="str">
        <f aca="false">IF($C482="","",$J482-$K482-1-N($G482))</f>
        <v/>
      </c>
      <c r="M482" s="7" t="str">
        <f aca="false">IF($B482="","",INDEX(Course!$B$2:$B$19,MATCH($B482,Course!$A$2:$A$19,0)))</f>
        <v/>
      </c>
      <c r="N482" s="17" t="str">
        <f aca="false">IF($C482="","",IF($C482="H",0,IF($C482="G",INDEX(Baseline!$I$3:$I$102,MIN(MAX(ROUND($D482,0),1),100)),IF($C482="T",IF($M482=3,INDEX(Baseline!$B$3:$B$122,MATCH(MIN(MAX(ROUND(($D482)/5,0)*5,5),600),Baseline!$A$3:$A$122,0))-Inputs!$B$9,INDEX(Course!$N$2:$N$19,MATCH($B482,Course!$A$2:$A$19,0))),INDEX(Baseline!$B$3:$E$122,MATCH(MIN(MAX(ROUND(($D482)/5,0)*5,5),600),Baseline!$A$3:$A$122,0),MATCH($C482,Baseline!$B$2:$E$2,0))))))</f>
        <v/>
      </c>
      <c r="O482" s="17" t="str">
        <f aca="false">IF($C482="","",IF($E482="H",0,IF($E482="G",INDEX(Baseline!$I$3:$I$102,MIN(MAX(ROUND($F482,0),1),100)),IF($E482="T",IF($M482=3,INDEX(Baseline!$B$3:$B$122,MATCH(MIN(MAX(ROUND(($F482)/5,0)*5,5),600),Baseline!$A$3:$A$122,0))-Inputs!$B$9,INDEX(Course!$N$2:$N$19,MATCH($B482,Course!$A$2:$A$19,0))),INDEX(Baseline!$B$3:$E$122,MATCH(MIN(MAX(ROUND(($F482)/5,0)*5,5),600),Baseline!$A$3:$A$122,0),MATCH($E482,Baseline!$B$2:$E$2,0))))))</f>
        <v/>
      </c>
      <c r="P482" s="17" t="str">
        <f aca="false">IF($B482="","",INDEX(Course!$N$2:$N$19,MATCH($B482,Course!$A$2:$A$19,0)))</f>
        <v/>
      </c>
      <c r="Q482" s="17" t="str">
        <f aca="false">IF($B482="","",INDEX(Course!$P$2:$P$19,MATCH($B482,Course!$A$2:$A$19,0)))</f>
        <v/>
      </c>
      <c r="R482" s="17" t="str">
        <f aca="false">IF($C482="","",IF(OR($C482="G",$C482="H"),0,IF($C482="T",1,MIN(1,MAX(0,($N482-Inputs!$B$8)/MAX($P482-Inputs!$B$8,0.01))))))</f>
        <v/>
      </c>
      <c r="S482" s="17" t="str">
        <f aca="false">IF($C482="","",IF(OR($E482="G",$E482="H"),0,IF($E482="T",1,MIN(1,MAX(0,($O482-Inputs!$B$8)/MAX($P482-Inputs!$B$8,0.01))))))</f>
        <v/>
      </c>
    </row>
    <row r="483" customFormat="false" ht="15" hidden="false" customHeight="false" outlineLevel="0" collapsed="false">
      <c r="I483" s="7" t="str">
        <f aca="false">IF($C483="","",IF($C483="G","PUTT",IF(AND($C483="T",$M483&gt;3),"OTT",IF($D483&lt;=30,"ARG","APP"))))</f>
        <v/>
      </c>
      <c r="J483" s="17" t="str">
        <f aca="false">IF($C483="","",$N483+$Q483*$R483)</f>
        <v/>
      </c>
      <c r="K483" s="17" t="str">
        <f aca="false">IF($C483="","",$O483+$Q483*$S483)</f>
        <v/>
      </c>
      <c r="L483" s="17" t="str">
        <f aca="false">IF($C483="","",$J483-$K483-1-N($G483))</f>
        <v/>
      </c>
      <c r="M483" s="7" t="str">
        <f aca="false">IF($B483="","",INDEX(Course!$B$2:$B$19,MATCH($B483,Course!$A$2:$A$19,0)))</f>
        <v/>
      </c>
      <c r="N483" s="17" t="str">
        <f aca="false">IF($C483="","",IF($C483="H",0,IF($C483="G",INDEX(Baseline!$I$3:$I$102,MIN(MAX(ROUND($D483,0),1),100)),IF($C483="T",IF($M483=3,INDEX(Baseline!$B$3:$B$122,MATCH(MIN(MAX(ROUND(($D483)/5,0)*5,5),600),Baseline!$A$3:$A$122,0))-Inputs!$B$9,INDEX(Course!$N$2:$N$19,MATCH($B483,Course!$A$2:$A$19,0))),INDEX(Baseline!$B$3:$E$122,MATCH(MIN(MAX(ROUND(($D483)/5,0)*5,5),600),Baseline!$A$3:$A$122,0),MATCH($C483,Baseline!$B$2:$E$2,0))))))</f>
        <v/>
      </c>
      <c r="O483" s="17" t="str">
        <f aca="false">IF($C483="","",IF($E483="H",0,IF($E483="G",INDEX(Baseline!$I$3:$I$102,MIN(MAX(ROUND($F483,0),1),100)),IF($E483="T",IF($M483=3,INDEX(Baseline!$B$3:$B$122,MATCH(MIN(MAX(ROUND(($F483)/5,0)*5,5),600),Baseline!$A$3:$A$122,0))-Inputs!$B$9,INDEX(Course!$N$2:$N$19,MATCH($B483,Course!$A$2:$A$19,0))),INDEX(Baseline!$B$3:$E$122,MATCH(MIN(MAX(ROUND(($F483)/5,0)*5,5),600),Baseline!$A$3:$A$122,0),MATCH($E483,Baseline!$B$2:$E$2,0))))))</f>
        <v/>
      </c>
      <c r="P483" s="17" t="str">
        <f aca="false">IF($B483="","",INDEX(Course!$N$2:$N$19,MATCH($B483,Course!$A$2:$A$19,0)))</f>
        <v/>
      </c>
      <c r="Q483" s="17" t="str">
        <f aca="false">IF($B483="","",INDEX(Course!$P$2:$P$19,MATCH($B483,Course!$A$2:$A$19,0)))</f>
        <v/>
      </c>
      <c r="R483" s="17" t="str">
        <f aca="false">IF($C483="","",IF(OR($C483="G",$C483="H"),0,IF($C483="T",1,MIN(1,MAX(0,($N483-Inputs!$B$8)/MAX($P483-Inputs!$B$8,0.01))))))</f>
        <v/>
      </c>
      <c r="S483" s="17" t="str">
        <f aca="false">IF($C483="","",IF(OR($E483="G",$E483="H"),0,IF($E483="T",1,MIN(1,MAX(0,($O483-Inputs!$B$8)/MAX($P483-Inputs!$B$8,0.01))))))</f>
        <v/>
      </c>
    </row>
    <row r="484" customFormat="false" ht="15" hidden="false" customHeight="false" outlineLevel="0" collapsed="false">
      <c r="I484" s="7" t="str">
        <f aca="false">IF($C484="","",IF($C484="G","PUTT",IF(AND($C484="T",$M484&gt;3),"OTT",IF($D484&lt;=30,"ARG","APP"))))</f>
        <v/>
      </c>
      <c r="J484" s="17" t="str">
        <f aca="false">IF($C484="","",$N484+$Q484*$R484)</f>
        <v/>
      </c>
      <c r="K484" s="17" t="str">
        <f aca="false">IF($C484="","",$O484+$Q484*$S484)</f>
        <v/>
      </c>
      <c r="L484" s="17" t="str">
        <f aca="false">IF($C484="","",$J484-$K484-1-N($G484))</f>
        <v/>
      </c>
      <c r="M484" s="7" t="str">
        <f aca="false">IF($B484="","",INDEX(Course!$B$2:$B$19,MATCH($B484,Course!$A$2:$A$19,0)))</f>
        <v/>
      </c>
      <c r="N484" s="17" t="str">
        <f aca="false">IF($C484="","",IF($C484="H",0,IF($C484="G",INDEX(Baseline!$I$3:$I$102,MIN(MAX(ROUND($D484,0),1),100)),IF($C484="T",IF($M484=3,INDEX(Baseline!$B$3:$B$122,MATCH(MIN(MAX(ROUND(($D484)/5,0)*5,5),600),Baseline!$A$3:$A$122,0))-Inputs!$B$9,INDEX(Course!$N$2:$N$19,MATCH($B484,Course!$A$2:$A$19,0))),INDEX(Baseline!$B$3:$E$122,MATCH(MIN(MAX(ROUND(($D484)/5,0)*5,5),600),Baseline!$A$3:$A$122,0),MATCH($C484,Baseline!$B$2:$E$2,0))))))</f>
        <v/>
      </c>
      <c r="O484" s="17" t="str">
        <f aca="false">IF($C484="","",IF($E484="H",0,IF($E484="G",INDEX(Baseline!$I$3:$I$102,MIN(MAX(ROUND($F484,0),1),100)),IF($E484="T",IF($M484=3,INDEX(Baseline!$B$3:$B$122,MATCH(MIN(MAX(ROUND(($F484)/5,0)*5,5),600),Baseline!$A$3:$A$122,0))-Inputs!$B$9,INDEX(Course!$N$2:$N$19,MATCH($B484,Course!$A$2:$A$19,0))),INDEX(Baseline!$B$3:$E$122,MATCH(MIN(MAX(ROUND(($F484)/5,0)*5,5),600),Baseline!$A$3:$A$122,0),MATCH($E484,Baseline!$B$2:$E$2,0))))))</f>
        <v/>
      </c>
      <c r="P484" s="17" t="str">
        <f aca="false">IF($B484="","",INDEX(Course!$N$2:$N$19,MATCH($B484,Course!$A$2:$A$19,0)))</f>
        <v/>
      </c>
      <c r="Q484" s="17" t="str">
        <f aca="false">IF($B484="","",INDEX(Course!$P$2:$P$19,MATCH($B484,Course!$A$2:$A$19,0)))</f>
        <v/>
      </c>
      <c r="R484" s="17" t="str">
        <f aca="false">IF($C484="","",IF(OR($C484="G",$C484="H"),0,IF($C484="T",1,MIN(1,MAX(0,($N484-Inputs!$B$8)/MAX($P484-Inputs!$B$8,0.01))))))</f>
        <v/>
      </c>
      <c r="S484" s="17" t="str">
        <f aca="false">IF($C484="","",IF(OR($E484="G",$E484="H"),0,IF($E484="T",1,MIN(1,MAX(0,($O484-Inputs!$B$8)/MAX($P484-Inputs!$B$8,0.01))))))</f>
        <v/>
      </c>
    </row>
    <row r="485" customFormat="false" ht="15" hidden="false" customHeight="false" outlineLevel="0" collapsed="false">
      <c r="I485" s="7" t="str">
        <f aca="false">IF($C485="","",IF($C485="G","PUTT",IF(AND($C485="T",$M485&gt;3),"OTT",IF($D485&lt;=30,"ARG","APP"))))</f>
        <v/>
      </c>
      <c r="J485" s="17" t="str">
        <f aca="false">IF($C485="","",$N485+$Q485*$R485)</f>
        <v/>
      </c>
      <c r="K485" s="17" t="str">
        <f aca="false">IF($C485="","",$O485+$Q485*$S485)</f>
        <v/>
      </c>
      <c r="L485" s="17" t="str">
        <f aca="false">IF($C485="","",$J485-$K485-1-N($G485))</f>
        <v/>
      </c>
      <c r="M485" s="7" t="str">
        <f aca="false">IF($B485="","",INDEX(Course!$B$2:$B$19,MATCH($B485,Course!$A$2:$A$19,0)))</f>
        <v/>
      </c>
      <c r="N485" s="17" t="str">
        <f aca="false">IF($C485="","",IF($C485="H",0,IF($C485="G",INDEX(Baseline!$I$3:$I$102,MIN(MAX(ROUND($D485,0),1),100)),IF($C485="T",IF($M485=3,INDEX(Baseline!$B$3:$B$122,MATCH(MIN(MAX(ROUND(($D485)/5,0)*5,5),600),Baseline!$A$3:$A$122,0))-Inputs!$B$9,INDEX(Course!$N$2:$N$19,MATCH($B485,Course!$A$2:$A$19,0))),INDEX(Baseline!$B$3:$E$122,MATCH(MIN(MAX(ROUND(($D485)/5,0)*5,5),600),Baseline!$A$3:$A$122,0),MATCH($C485,Baseline!$B$2:$E$2,0))))))</f>
        <v/>
      </c>
      <c r="O485" s="17" t="str">
        <f aca="false">IF($C485="","",IF($E485="H",0,IF($E485="G",INDEX(Baseline!$I$3:$I$102,MIN(MAX(ROUND($F485,0),1),100)),IF($E485="T",IF($M485=3,INDEX(Baseline!$B$3:$B$122,MATCH(MIN(MAX(ROUND(($F485)/5,0)*5,5),600),Baseline!$A$3:$A$122,0))-Inputs!$B$9,INDEX(Course!$N$2:$N$19,MATCH($B485,Course!$A$2:$A$19,0))),INDEX(Baseline!$B$3:$E$122,MATCH(MIN(MAX(ROUND(($F485)/5,0)*5,5),600),Baseline!$A$3:$A$122,0),MATCH($E485,Baseline!$B$2:$E$2,0))))))</f>
        <v/>
      </c>
      <c r="P485" s="17" t="str">
        <f aca="false">IF($B485="","",INDEX(Course!$N$2:$N$19,MATCH($B485,Course!$A$2:$A$19,0)))</f>
        <v/>
      </c>
      <c r="Q485" s="17" t="str">
        <f aca="false">IF($B485="","",INDEX(Course!$P$2:$P$19,MATCH($B485,Course!$A$2:$A$19,0)))</f>
        <v/>
      </c>
      <c r="R485" s="17" t="str">
        <f aca="false">IF($C485="","",IF(OR($C485="G",$C485="H"),0,IF($C485="T",1,MIN(1,MAX(0,($N485-Inputs!$B$8)/MAX($P485-Inputs!$B$8,0.01))))))</f>
        <v/>
      </c>
      <c r="S485" s="17" t="str">
        <f aca="false">IF($C485="","",IF(OR($E485="G",$E485="H"),0,IF($E485="T",1,MIN(1,MAX(0,($O485-Inputs!$B$8)/MAX($P485-Inputs!$B$8,0.01))))))</f>
        <v/>
      </c>
    </row>
    <row r="486" customFormat="false" ht="15" hidden="false" customHeight="false" outlineLevel="0" collapsed="false">
      <c r="I486" s="7" t="str">
        <f aca="false">IF($C486="","",IF($C486="G","PUTT",IF(AND($C486="T",$M486&gt;3),"OTT",IF($D486&lt;=30,"ARG","APP"))))</f>
        <v/>
      </c>
      <c r="J486" s="17" t="str">
        <f aca="false">IF($C486="","",$N486+$Q486*$R486)</f>
        <v/>
      </c>
      <c r="K486" s="17" t="str">
        <f aca="false">IF($C486="","",$O486+$Q486*$S486)</f>
        <v/>
      </c>
      <c r="L486" s="17" t="str">
        <f aca="false">IF($C486="","",$J486-$K486-1-N($G486))</f>
        <v/>
      </c>
      <c r="M486" s="7" t="str">
        <f aca="false">IF($B486="","",INDEX(Course!$B$2:$B$19,MATCH($B486,Course!$A$2:$A$19,0)))</f>
        <v/>
      </c>
      <c r="N486" s="17" t="str">
        <f aca="false">IF($C486="","",IF($C486="H",0,IF($C486="G",INDEX(Baseline!$I$3:$I$102,MIN(MAX(ROUND($D486,0),1),100)),IF($C486="T",IF($M486=3,INDEX(Baseline!$B$3:$B$122,MATCH(MIN(MAX(ROUND(($D486)/5,0)*5,5),600),Baseline!$A$3:$A$122,0))-Inputs!$B$9,INDEX(Course!$N$2:$N$19,MATCH($B486,Course!$A$2:$A$19,0))),INDEX(Baseline!$B$3:$E$122,MATCH(MIN(MAX(ROUND(($D486)/5,0)*5,5),600),Baseline!$A$3:$A$122,0),MATCH($C486,Baseline!$B$2:$E$2,0))))))</f>
        <v/>
      </c>
      <c r="O486" s="17" t="str">
        <f aca="false">IF($C486="","",IF($E486="H",0,IF($E486="G",INDEX(Baseline!$I$3:$I$102,MIN(MAX(ROUND($F486,0),1),100)),IF($E486="T",IF($M486=3,INDEX(Baseline!$B$3:$B$122,MATCH(MIN(MAX(ROUND(($F486)/5,0)*5,5),600),Baseline!$A$3:$A$122,0))-Inputs!$B$9,INDEX(Course!$N$2:$N$19,MATCH($B486,Course!$A$2:$A$19,0))),INDEX(Baseline!$B$3:$E$122,MATCH(MIN(MAX(ROUND(($F486)/5,0)*5,5),600),Baseline!$A$3:$A$122,0),MATCH($E486,Baseline!$B$2:$E$2,0))))))</f>
        <v/>
      </c>
      <c r="P486" s="17" t="str">
        <f aca="false">IF($B486="","",INDEX(Course!$N$2:$N$19,MATCH($B486,Course!$A$2:$A$19,0)))</f>
        <v/>
      </c>
      <c r="Q486" s="17" t="str">
        <f aca="false">IF($B486="","",INDEX(Course!$P$2:$P$19,MATCH($B486,Course!$A$2:$A$19,0)))</f>
        <v/>
      </c>
      <c r="R486" s="17" t="str">
        <f aca="false">IF($C486="","",IF(OR($C486="G",$C486="H"),0,IF($C486="T",1,MIN(1,MAX(0,($N486-Inputs!$B$8)/MAX($P486-Inputs!$B$8,0.01))))))</f>
        <v/>
      </c>
      <c r="S486" s="17" t="str">
        <f aca="false">IF($C486="","",IF(OR($E486="G",$E486="H"),0,IF($E486="T",1,MIN(1,MAX(0,($O486-Inputs!$B$8)/MAX($P486-Inputs!$B$8,0.01))))))</f>
        <v/>
      </c>
    </row>
    <row r="487" customFormat="false" ht="15" hidden="false" customHeight="false" outlineLevel="0" collapsed="false">
      <c r="I487" s="7" t="str">
        <f aca="false">IF($C487="","",IF($C487="G","PUTT",IF(AND($C487="T",$M487&gt;3),"OTT",IF($D487&lt;=30,"ARG","APP"))))</f>
        <v/>
      </c>
      <c r="J487" s="17" t="str">
        <f aca="false">IF($C487="","",$N487+$Q487*$R487)</f>
        <v/>
      </c>
      <c r="K487" s="17" t="str">
        <f aca="false">IF($C487="","",$O487+$Q487*$S487)</f>
        <v/>
      </c>
      <c r="L487" s="17" t="str">
        <f aca="false">IF($C487="","",$J487-$K487-1-N($G487))</f>
        <v/>
      </c>
      <c r="M487" s="7" t="str">
        <f aca="false">IF($B487="","",INDEX(Course!$B$2:$B$19,MATCH($B487,Course!$A$2:$A$19,0)))</f>
        <v/>
      </c>
      <c r="N487" s="17" t="str">
        <f aca="false">IF($C487="","",IF($C487="H",0,IF($C487="G",INDEX(Baseline!$I$3:$I$102,MIN(MAX(ROUND($D487,0),1),100)),IF($C487="T",IF($M487=3,INDEX(Baseline!$B$3:$B$122,MATCH(MIN(MAX(ROUND(($D487)/5,0)*5,5),600),Baseline!$A$3:$A$122,0))-Inputs!$B$9,INDEX(Course!$N$2:$N$19,MATCH($B487,Course!$A$2:$A$19,0))),INDEX(Baseline!$B$3:$E$122,MATCH(MIN(MAX(ROUND(($D487)/5,0)*5,5),600),Baseline!$A$3:$A$122,0),MATCH($C487,Baseline!$B$2:$E$2,0))))))</f>
        <v/>
      </c>
      <c r="O487" s="17" t="str">
        <f aca="false">IF($C487="","",IF($E487="H",0,IF($E487="G",INDEX(Baseline!$I$3:$I$102,MIN(MAX(ROUND($F487,0),1),100)),IF($E487="T",IF($M487=3,INDEX(Baseline!$B$3:$B$122,MATCH(MIN(MAX(ROUND(($F487)/5,0)*5,5),600),Baseline!$A$3:$A$122,0))-Inputs!$B$9,INDEX(Course!$N$2:$N$19,MATCH($B487,Course!$A$2:$A$19,0))),INDEX(Baseline!$B$3:$E$122,MATCH(MIN(MAX(ROUND(($F487)/5,0)*5,5),600),Baseline!$A$3:$A$122,0),MATCH($E487,Baseline!$B$2:$E$2,0))))))</f>
        <v/>
      </c>
      <c r="P487" s="17" t="str">
        <f aca="false">IF($B487="","",INDEX(Course!$N$2:$N$19,MATCH($B487,Course!$A$2:$A$19,0)))</f>
        <v/>
      </c>
      <c r="Q487" s="17" t="str">
        <f aca="false">IF($B487="","",INDEX(Course!$P$2:$P$19,MATCH($B487,Course!$A$2:$A$19,0)))</f>
        <v/>
      </c>
      <c r="R487" s="17" t="str">
        <f aca="false">IF($C487="","",IF(OR($C487="G",$C487="H"),0,IF($C487="T",1,MIN(1,MAX(0,($N487-Inputs!$B$8)/MAX($P487-Inputs!$B$8,0.01))))))</f>
        <v/>
      </c>
      <c r="S487" s="17" t="str">
        <f aca="false">IF($C487="","",IF(OR($E487="G",$E487="H"),0,IF($E487="T",1,MIN(1,MAX(0,($O487-Inputs!$B$8)/MAX($P487-Inputs!$B$8,0.01))))))</f>
        <v/>
      </c>
    </row>
    <row r="488" customFormat="false" ht="15" hidden="false" customHeight="false" outlineLevel="0" collapsed="false">
      <c r="I488" s="7" t="str">
        <f aca="false">IF($C488="","",IF($C488="G","PUTT",IF(AND($C488="T",$M488&gt;3),"OTT",IF($D488&lt;=30,"ARG","APP"))))</f>
        <v/>
      </c>
      <c r="J488" s="17" t="str">
        <f aca="false">IF($C488="","",$N488+$Q488*$R488)</f>
        <v/>
      </c>
      <c r="K488" s="17" t="str">
        <f aca="false">IF($C488="","",$O488+$Q488*$S488)</f>
        <v/>
      </c>
      <c r="L488" s="17" t="str">
        <f aca="false">IF($C488="","",$J488-$K488-1-N($G488))</f>
        <v/>
      </c>
      <c r="M488" s="7" t="str">
        <f aca="false">IF($B488="","",INDEX(Course!$B$2:$B$19,MATCH($B488,Course!$A$2:$A$19,0)))</f>
        <v/>
      </c>
      <c r="N488" s="17" t="str">
        <f aca="false">IF($C488="","",IF($C488="H",0,IF($C488="G",INDEX(Baseline!$I$3:$I$102,MIN(MAX(ROUND($D488,0),1),100)),IF($C488="T",IF($M488=3,INDEX(Baseline!$B$3:$B$122,MATCH(MIN(MAX(ROUND(($D488)/5,0)*5,5),600),Baseline!$A$3:$A$122,0))-Inputs!$B$9,INDEX(Course!$N$2:$N$19,MATCH($B488,Course!$A$2:$A$19,0))),INDEX(Baseline!$B$3:$E$122,MATCH(MIN(MAX(ROUND(($D488)/5,0)*5,5),600),Baseline!$A$3:$A$122,0),MATCH($C488,Baseline!$B$2:$E$2,0))))))</f>
        <v/>
      </c>
      <c r="O488" s="17" t="str">
        <f aca="false">IF($C488="","",IF($E488="H",0,IF($E488="G",INDEX(Baseline!$I$3:$I$102,MIN(MAX(ROUND($F488,0),1),100)),IF($E488="T",IF($M488=3,INDEX(Baseline!$B$3:$B$122,MATCH(MIN(MAX(ROUND(($F488)/5,0)*5,5),600),Baseline!$A$3:$A$122,0))-Inputs!$B$9,INDEX(Course!$N$2:$N$19,MATCH($B488,Course!$A$2:$A$19,0))),INDEX(Baseline!$B$3:$E$122,MATCH(MIN(MAX(ROUND(($F488)/5,0)*5,5),600),Baseline!$A$3:$A$122,0),MATCH($E488,Baseline!$B$2:$E$2,0))))))</f>
        <v/>
      </c>
      <c r="P488" s="17" t="str">
        <f aca="false">IF($B488="","",INDEX(Course!$N$2:$N$19,MATCH($B488,Course!$A$2:$A$19,0)))</f>
        <v/>
      </c>
      <c r="Q488" s="17" t="str">
        <f aca="false">IF($B488="","",INDEX(Course!$P$2:$P$19,MATCH($B488,Course!$A$2:$A$19,0)))</f>
        <v/>
      </c>
      <c r="R488" s="17" t="str">
        <f aca="false">IF($C488="","",IF(OR($C488="G",$C488="H"),0,IF($C488="T",1,MIN(1,MAX(0,($N488-Inputs!$B$8)/MAX($P488-Inputs!$B$8,0.01))))))</f>
        <v/>
      </c>
      <c r="S488" s="17" t="str">
        <f aca="false">IF($C488="","",IF(OR($E488="G",$E488="H"),0,IF($E488="T",1,MIN(1,MAX(0,($O488-Inputs!$B$8)/MAX($P488-Inputs!$B$8,0.01))))))</f>
        <v/>
      </c>
    </row>
    <row r="489" customFormat="false" ht="15" hidden="false" customHeight="false" outlineLevel="0" collapsed="false">
      <c r="I489" s="7" t="str">
        <f aca="false">IF($C489="","",IF($C489="G","PUTT",IF(AND($C489="T",$M489&gt;3),"OTT",IF($D489&lt;=30,"ARG","APP"))))</f>
        <v/>
      </c>
      <c r="J489" s="17" t="str">
        <f aca="false">IF($C489="","",$N489+$Q489*$R489)</f>
        <v/>
      </c>
      <c r="K489" s="17" t="str">
        <f aca="false">IF($C489="","",$O489+$Q489*$S489)</f>
        <v/>
      </c>
      <c r="L489" s="17" t="str">
        <f aca="false">IF($C489="","",$J489-$K489-1-N($G489))</f>
        <v/>
      </c>
      <c r="M489" s="7" t="str">
        <f aca="false">IF($B489="","",INDEX(Course!$B$2:$B$19,MATCH($B489,Course!$A$2:$A$19,0)))</f>
        <v/>
      </c>
      <c r="N489" s="17" t="str">
        <f aca="false">IF($C489="","",IF($C489="H",0,IF($C489="G",INDEX(Baseline!$I$3:$I$102,MIN(MAX(ROUND($D489,0),1),100)),IF($C489="T",IF($M489=3,INDEX(Baseline!$B$3:$B$122,MATCH(MIN(MAX(ROUND(($D489)/5,0)*5,5),600),Baseline!$A$3:$A$122,0))-Inputs!$B$9,INDEX(Course!$N$2:$N$19,MATCH($B489,Course!$A$2:$A$19,0))),INDEX(Baseline!$B$3:$E$122,MATCH(MIN(MAX(ROUND(($D489)/5,0)*5,5),600),Baseline!$A$3:$A$122,0),MATCH($C489,Baseline!$B$2:$E$2,0))))))</f>
        <v/>
      </c>
      <c r="O489" s="17" t="str">
        <f aca="false">IF($C489="","",IF($E489="H",0,IF($E489="G",INDEX(Baseline!$I$3:$I$102,MIN(MAX(ROUND($F489,0),1),100)),IF($E489="T",IF($M489=3,INDEX(Baseline!$B$3:$B$122,MATCH(MIN(MAX(ROUND(($F489)/5,0)*5,5),600),Baseline!$A$3:$A$122,0))-Inputs!$B$9,INDEX(Course!$N$2:$N$19,MATCH($B489,Course!$A$2:$A$19,0))),INDEX(Baseline!$B$3:$E$122,MATCH(MIN(MAX(ROUND(($F489)/5,0)*5,5),600),Baseline!$A$3:$A$122,0),MATCH($E489,Baseline!$B$2:$E$2,0))))))</f>
        <v/>
      </c>
      <c r="P489" s="17" t="str">
        <f aca="false">IF($B489="","",INDEX(Course!$N$2:$N$19,MATCH($B489,Course!$A$2:$A$19,0)))</f>
        <v/>
      </c>
      <c r="Q489" s="17" t="str">
        <f aca="false">IF($B489="","",INDEX(Course!$P$2:$P$19,MATCH($B489,Course!$A$2:$A$19,0)))</f>
        <v/>
      </c>
      <c r="R489" s="17" t="str">
        <f aca="false">IF($C489="","",IF(OR($C489="G",$C489="H"),0,IF($C489="T",1,MIN(1,MAX(0,($N489-Inputs!$B$8)/MAX($P489-Inputs!$B$8,0.01))))))</f>
        <v/>
      </c>
      <c r="S489" s="17" t="str">
        <f aca="false">IF($C489="","",IF(OR($E489="G",$E489="H"),0,IF($E489="T",1,MIN(1,MAX(0,($O489-Inputs!$B$8)/MAX($P489-Inputs!$B$8,0.01))))))</f>
        <v/>
      </c>
    </row>
    <row r="490" customFormat="false" ht="15" hidden="false" customHeight="false" outlineLevel="0" collapsed="false">
      <c r="I490" s="7" t="str">
        <f aca="false">IF($C490="","",IF($C490="G","PUTT",IF(AND($C490="T",$M490&gt;3),"OTT",IF($D490&lt;=30,"ARG","APP"))))</f>
        <v/>
      </c>
      <c r="J490" s="17" t="str">
        <f aca="false">IF($C490="","",$N490+$Q490*$R490)</f>
        <v/>
      </c>
      <c r="K490" s="17" t="str">
        <f aca="false">IF($C490="","",$O490+$Q490*$S490)</f>
        <v/>
      </c>
      <c r="L490" s="17" t="str">
        <f aca="false">IF($C490="","",$J490-$K490-1-N($G490))</f>
        <v/>
      </c>
      <c r="M490" s="7" t="str">
        <f aca="false">IF($B490="","",INDEX(Course!$B$2:$B$19,MATCH($B490,Course!$A$2:$A$19,0)))</f>
        <v/>
      </c>
      <c r="N490" s="17" t="str">
        <f aca="false">IF($C490="","",IF($C490="H",0,IF($C490="G",INDEX(Baseline!$I$3:$I$102,MIN(MAX(ROUND($D490,0),1),100)),IF($C490="T",IF($M490=3,INDEX(Baseline!$B$3:$B$122,MATCH(MIN(MAX(ROUND(($D490)/5,0)*5,5),600),Baseline!$A$3:$A$122,0))-Inputs!$B$9,INDEX(Course!$N$2:$N$19,MATCH($B490,Course!$A$2:$A$19,0))),INDEX(Baseline!$B$3:$E$122,MATCH(MIN(MAX(ROUND(($D490)/5,0)*5,5),600),Baseline!$A$3:$A$122,0),MATCH($C490,Baseline!$B$2:$E$2,0))))))</f>
        <v/>
      </c>
      <c r="O490" s="17" t="str">
        <f aca="false">IF($C490="","",IF($E490="H",0,IF($E490="G",INDEX(Baseline!$I$3:$I$102,MIN(MAX(ROUND($F490,0),1),100)),IF($E490="T",IF($M490=3,INDEX(Baseline!$B$3:$B$122,MATCH(MIN(MAX(ROUND(($F490)/5,0)*5,5),600),Baseline!$A$3:$A$122,0))-Inputs!$B$9,INDEX(Course!$N$2:$N$19,MATCH($B490,Course!$A$2:$A$19,0))),INDEX(Baseline!$B$3:$E$122,MATCH(MIN(MAX(ROUND(($F490)/5,0)*5,5),600),Baseline!$A$3:$A$122,0),MATCH($E490,Baseline!$B$2:$E$2,0))))))</f>
        <v/>
      </c>
      <c r="P490" s="17" t="str">
        <f aca="false">IF($B490="","",INDEX(Course!$N$2:$N$19,MATCH($B490,Course!$A$2:$A$19,0)))</f>
        <v/>
      </c>
      <c r="Q490" s="17" t="str">
        <f aca="false">IF($B490="","",INDEX(Course!$P$2:$P$19,MATCH($B490,Course!$A$2:$A$19,0)))</f>
        <v/>
      </c>
      <c r="R490" s="17" t="str">
        <f aca="false">IF($C490="","",IF(OR($C490="G",$C490="H"),0,IF($C490="T",1,MIN(1,MAX(0,($N490-Inputs!$B$8)/MAX($P490-Inputs!$B$8,0.01))))))</f>
        <v/>
      </c>
      <c r="S490" s="17" t="str">
        <f aca="false">IF($C490="","",IF(OR($E490="G",$E490="H"),0,IF($E490="T",1,MIN(1,MAX(0,($O490-Inputs!$B$8)/MAX($P490-Inputs!$B$8,0.01))))))</f>
        <v/>
      </c>
    </row>
    <row r="491" customFormat="false" ht="15" hidden="false" customHeight="false" outlineLevel="0" collapsed="false">
      <c r="I491" s="7" t="str">
        <f aca="false">IF($C491="","",IF($C491="G","PUTT",IF(AND($C491="T",$M491&gt;3),"OTT",IF($D491&lt;=30,"ARG","APP"))))</f>
        <v/>
      </c>
      <c r="J491" s="17" t="str">
        <f aca="false">IF($C491="","",$N491+$Q491*$R491)</f>
        <v/>
      </c>
      <c r="K491" s="17" t="str">
        <f aca="false">IF($C491="","",$O491+$Q491*$S491)</f>
        <v/>
      </c>
      <c r="L491" s="17" t="str">
        <f aca="false">IF($C491="","",$J491-$K491-1-N($G491))</f>
        <v/>
      </c>
      <c r="M491" s="7" t="str">
        <f aca="false">IF($B491="","",INDEX(Course!$B$2:$B$19,MATCH($B491,Course!$A$2:$A$19,0)))</f>
        <v/>
      </c>
      <c r="N491" s="17" t="str">
        <f aca="false">IF($C491="","",IF($C491="H",0,IF($C491="G",INDEX(Baseline!$I$3:$I$102,MIN(MAX(ROUND($D491,0),1),100)),IF($C491="T",IF($M491=3,INDEX(Baseline!$B$3:$B$122,MATCH(MIN(MAX(ROUND(($D491)/5,0)*5,5),600),Baseline!$A$3:$A$122,0))-Inputs!$B$9,INDEX(Course!$N$2:$N$19,MATCH($B491,Course!$A$2:$A$19,0))),INDEX(Baseline!$B$3:$E$122,MATCH(MIN(MAX(ROUND(($D491)/5,0)*5,5),600),Baseline!$A$3:$A$122,0),MATCH($C491,Baseline!$B$2:$E$2,0))))))</f>
        <v/>
      </c>
      <c r="O491" s="17" t="str">
        <f aca="false">IF($C491="","",IF($E491="H",0,IF($E491="G",INDEX(Baseline!$I$3:$I$102,MIN(MAX(ROUND($F491,0),1),100)),IF($E491="T",IF($M491=3,INDEX(Baseline!$B$3:$B$122,MATCH(MIN(MAX(ROUND(($F491)/5,0)*5,5),600),Baseline!$A$3:$A$122,0))-Inputs!$B$9,INDEX(Course!$N$2:$N$19,MATCH($B491,Course!$A$2:$A$19,0))),INDEX(Baseline!$B$3:$E$122,MATCH(MIN(MAX(ROUND(($F491)/5,0)*5,5),600),Baseline!$A$3:$A$122,0),MATCH($E491,Baseline!$B$2:$E$2,0))))))</f>
        <v/>
      </c>
      <c r="P491" s="17" t="str">
        <f aca="false">IF($B491="","",INDEX(Course!$N$2:$N$19,MATCH($B491,Course!$A$2:$A$19,0)))</f>
        <v/>
      </c>
      <c r="Q491" s="17" t="str">
        <f aca="false">IF($B491="","",INDEX(Course!$P$2:$P$19,MATCH($B491,Course!$A$2:$A$19,0)))</f>
        <v/>
      </c>
      <c r="R491" s="17" t="str">
        <f aca="false">IF($C491="","",IF(OR($C491="G",$C491="H"),0,IF($C491="T",1,MIN(1,MAX(0,($N491-Inputs!$B$8)/MAX($P491-Inputs!$B$8,0.01))))))</f>
        <v/>
      </c>
      <c r="S491" s="17" t="str">
        <f aca="false">IF($C491="","",IF(OR($E491="G",$E491="H"),0,IF($E491="T",1,MIN(1,MAX(0,($O491-Inputs!$B$8)/MAX($P491-Inputs!$B$8,0.01))))))</f>
        <v/>
      </c>
    </row>
    <row r="492" customFormat="false" ht="15" hidden="false" customHeight="false" outlineLevel="0" collapsed="false">
      <c r="I492" s="7" t="str">
        <f aca="false">IF($C492="","",IF($C492="G","PUTT",IF(AND($C492="T",$M492&gt;3),"OTT",IF($D492&lt;=30,"ARG","APP"))))</f>
        <v/>
      </c>
      <c r="J492" s="17" t="str">
        <f aca="false">IF($C492="","",$N492+$Q492*$R492)</f>
        <v/>
      </c>
      <c r="K492" s="17" t="str">
        <f aca="false">IF($C492="","",$O492+$Q492*$S492)</f>
        <v/>
      </c>
      <c r="L492" s="17" t="str">
        <f aca="false">IF($C492="","",$J492-$K492-1-N($G492))</f>
        <v/>
      </c>
      <c r="M492" s="7" t="str">
        <f aca="false">IF($B492="","",INDEX(Course!$B$2:$B$19,MATCH($B492,Course!$A$2:$A$19,0)))</f>
        <v/>
      </c>
      <c r="N492" s="17" t="str">
        <f aca="false">IF($C492="","",IF($C492="H",0,IF($C492="G",INDEX(Baseline!$I$3:$I$102,MIN(MAX(ROUND($D492,0),1),100)),IF($C492="T",IF($M492=3,INDEX(Baseline!$B$3:$B$122,MATCH(MIN(MAX(ROUND(($D492)/5,0)*5,5),600),Baseline!$A$3:$A$122,0))-Inputs!$B$9,INDEX(Course!$N$2:$N$19,MATCH($B492,Course!$A$2:$A$19,0))),INDEX(Baseline!$B$3:$E$122,MATCH(MIN(MAX(ROUND(($D492)/5,0)*5,5),600),Baseline!$A$3:$A$122,0),MATCH($C492,Baseline!$B$2:$E$2,0))))))</f>
        <v/>
      </c>
      <c r="O492" s="17" t="str">
        <f aca="false">IF($C492="","",IF($E492="H",0,IF($E492="G",INDEX(Baseline!$I$3:$I$102,MIN(MAX(ROUND($F492,0),1),100)),IF($E492="T",IF($M492=3,INDEX(Baseline!$B$3:$B$122,MATCH(MIN(MAX(ROUND(($F492)/5,0)*5,5),600),Baseline!$A$3:$A$122,0))-Inputs!$B$9,INDEX(Course!$N$2:$N$19,MATCH($B492,Course!$A$2:$A$19,0))),INDEX(Baseline!$B$3:$E$122,MATCH(MIN(MAX(ROUND(($F492)/5,0)*5,5),600),Baseline!$A$3:$A$122,0),MATCH($E492,Baseline!$B$2:$E$2,0))))))</f>
        <v/>
      </c>
      <c r="P492" s="17" t="str">
        <f aca="false">IF($B492="","",INDEX(Course!$N$2:$N$19,MATCH($B492,Course!$A$2:$A$19,0)))</f>
        <v/>
      </c>
      <c r="Q492" s="17" t="str">
        <f aca="false">IF($B492="","",INDEX(Course!$P$2:$P$19,MATCH($B492,Course!$A$2:$A$19,0)))</f>
        <v/>
      </c>
      <c r="R492" s="17" t="str">
        <f aca="false">IF($C492="","",IF(OR($C492="G",$C492="H"),0,IF($C492="T",1,MIN(1,MAX(0,($N492-Inputs!$B$8)/MAX($P492-Inputs!$B$8,0.01))))))</f>
        <v/>
      </c>
      <c r="S492" s="17" t="str">
        <f aca="false">IF($C492="","",IF(OR($E492="G",$E492="H"),0,IF($E492="T",1,MIN(1,MAX(0,($O492-Inputs!$B$8)/MAX($P492-Inputs!$B$8,0.01))))))</f>
        <v/>
      </c>
    </row>
    <row r="493" customFormat="false" ht="15" hidden="false" customHeight="false" outlineLevel="0" collapsed="false">
      <c r="I493" s="7" t="str">
        <f aca="false">IF($C493="","",IF($C493="G","PUTT",IF(AND($C493="T",$M493&gt;3),"OTT",IF($D493&lt;=30,"ARG","APP"))))</f>
        <v/>
      </c>
      <c r="J493" s="17" t="str">
        <f aca="false">IF($C493="","",$N493+$Q493*$R493)</f>
        <v/>
      </c>
      <c r="K493" s="17" t="str">
        <f aca="false">IF($C493="","",$O493+$Q493*$S493)</f>
        <v/>
      </c>
      <c r="L493" s="17" t="str">
        <f aca="false">IF($C493="","",$J493-$K493-1-N($G493))</f>
        <v/>
      </c>
      <c r="M493" s="7" t="str">
        <f aca="false">IF($B493="","",INDEX(Course!$B$2:$B$19,MATCH($B493,Course!$A$2:$A$19,0)))</f>
        <v/>
      </c>
      <c r="N493" s="17" t="str">
        <f aca="false">IF($C493="","",IF($C493="H",0,IF($C493="G",INDEX(Baseline!$I$3:$I$102,MIN(MAX(ROUND($D493,0),1),100)),IF($C493="T",IF($M493=3,INDEX(Baseline!$B$3:$B$122,MATCH(MIN(MAX(ROUND(($D493)/5,0)*5,5),600),Baseline!$A$3:$A$122,0))-Inputs!$B$9,INDEX(Course!$N$2:$N$19,MATCH($B493,Course!$A$2:$A$19,0))),INDEX(Baseline!$B$3:$E$122,MATCH(MIN(MAX(ROUND(($D493)/5,0)*5,5),600),Baseline!$A$3:$A$122,0),MATCH($C493,Baseline!$B$2:$E$2,0))))))</f>
        <v/>
      </c>
      <c r="O493" s="17" t="str">
        <f aca="false">IF($C493="","",IF($E493="H",0,IF($E493="G",INDEX(Baseline!$I$3:$I$102,MIN(MAX(ROUND($F493,0),1),100)),IF($E493="T",IF($M493=3,INDEX(Baseline!$B$3:$B$122,MATCH(MIN(MAX(ROUND(($F493)/5,0)*5,5),600),Baseline!$A$3:$A$122,0))-Inputs!$B$9,INDEX(Course!$N$2:$N$19,MATCH($B493,Course!$A$2:$A$19,0))),INDEX(Baseline!$B$3:$E$122,MATCH(MIN(MAX(ROUND(($F493)/5,0)*5,5),600),Baseline!$A$3:$A$122,0),MATCH($E493,Baseline!$B$2:$E$2,0))))))</f>
        <v/>
      </c>
      <c r="P493" s="17" t="str">
        <f aca="false">IF($B493="","",INDEX(Course!$N$2:$N$19,MATCH($B493,Course!$A$2:$A$19,0)))</f>
        <v/>
      </c>
      <c r="Q493" s="17" t="str">
        <f aca="false">IF($B493="","",INDEX(Course!$P$2:$P$19,MATCH($B493,Course!$A$2:$A$19,0)))</f>
        <v/>
      </c>
      <c r="R493" s="17" t="str">
        <f aca="false">IF($C493="","",IF(OR($C493="G",$C493="H"),0,IF($C493="T",1,MIN(1,MAX(0,($N493-Inputs!$B$8)/MAX($P493-Inputs!$B$8,0.01))))))</f>
        <v/>
      </c>
      <c r="S493" s="17" t="str">
        <f aca="false">IF($C493="","",IF(OR($E493="G",$E493="H"),0,IF($E493="T",1,MIN(1,MAX(0,($O493-Inputs!$B$8)/MAX($P493-Inputs!$B$8,0.01))))))</f>
        <v/>
      </c>
    </row>
    <row r="494" customFormat="false" ht="15" hidden="false" customHeight="false" outlineLevel="0" collapsed="false">
      <c r="I494" s="7" t="str">
        <f aca="false">IF($C494="","",IF($C494="G","PUTT",IF(AND($C494="T",$M494&gt;3),"OTT",IF($D494&lt;=30,"ARG","APP"))))</f>
        <v/>
      </c>
      <c r="J494" s="17" t="str">
        <f aca="false">IF($C494="","",$N494+$Q494*$R494)</f>
        <v/>
      </c>
      <c r="K494" s="17" t="str">
        <f aca="false">IF($C494="","",$O494+$Q494*$S494)</f>
        <v/>
      </c>
      <c r="L494" s="17" t="str">
        <f aca="false">IF($C494="","",$J494-$K494-1-N($G494))</f>
        <v/>
      </c>
      <c r="M494" s="7" t="str">
        <f aca="false">IF($B494="","",INDEX(Course!$B$2:$B$19,MATCH($B494,Course!$A$2:$A$19,0)))</f>
        <v/>
      </c>
      <c r="N494" s="17" t="str">
        <f aca="false">IF($C494="","",IF($C494="H",0,IF($C494="G",INDEX(Baseline!$I$3:$I$102,MIN(MAX(ROUND($D494,0),1),100)),IF($C494="T",IF($M494=3,INDEX(Baseline!$B$3:$B$122,MATCH(MIN(MAX(ROUND(($D494)/5,0)*5,5),600),Baseline!$A$3:$A$122,0))-Inputs!$B$9,INDEX(Course!$N$2:$N$19,MATCH($B494,Course!$A$2:$A$19,0))),INDEX(Baseline!$B$3:$E$122,MATCH(MIN(MAX(ROUND(($D494)/5,0)*5,5),600),Baseline!$A$3:$A$122,0),MATCH($C494,Baseline!$B$2:$E$2,0))))))</f>
        <v/>
      </c>
      <c r="O494" s="17" t="str">
        <f aca="false">IF($C494="","",IF($E494="H",0,IF($E494="G",INDEX(Baseline!$I$3:$I$102,MIN(MAX(ROUND($F494,0),1),100)),IF($E494="T",IF($M494=3,INDEX(Baseline!$B$3:$B$122,MATCH(MIN(MAX(ROUND(($F494)/5,0)*5,5),600),Baseline!$A$3:$A$122,0))-Inputs!$B$9,INDEX(Course!$N$2:$N$19,MATCH($B494,Course!$A$2:$A$19,0))),INDEX(Baseline!$B$3:$E$122,MATCH(MIN(MAX(ROUND(($F494)/5,0)*5,5),600),Baseline!$A$3:$A$122,0),MATCH($E494,Baseline!$B$2:$E$2,0))))))</f>
        <v/>
      </c>
      <c r="P494" s="17" t="str">
        <f aca="false">IF($B494="","",INDEX(Course!$N$2:$N$19,MATCH($B494,Course!$A$2:$A$19,0)))</f>
        <v/>
      </c>
      <c r="Q494" s="17" t="str">
        <f aca="false">IF($B494="","",INDEX(Course!$P$2:$P$19,MATCH($B494,Course!$A$2:$A$19,0)))</f>
        <v/>
      </c>
      <c r="R494" s="17" t="str">
        <f aca="false">IF($C494="","",IF(OR($C494="G",$C494="H"),0,IF($C494="T",1,MIN(1,MAX(0,($N494-Inputs!$B$8)/MAX($P494-Inputs!$B$8,0.01))))))</f>
        <v/>
      </c>
      <c r="S494" s="17" t="str">
        <f aca="false">IF($C494="","",IF(OR($E494="G",$E494="H"),0,IF($E494="T",1,MIN(1,MAX(0,($O494-Inputs!$B$8)/MAX($P494-Inputs!$B$8,0.01))))))</f>
        <v/>
      </c>
    </row>
    <row r="495" customFormat="false" ht="15" hidden="false" customHeight="false" outlineLevel="0" collapsed="false">
      <c r="I495" s="7" t="str">
        <f aca="false">IF($C495="","",IF($C495="G","PUTT",IF(AND($C495="T",$M495&gt;3),"OTT",IF($D495&lt;=30,"ARG","APP"))))</f>
        <v/>
      </c>
      <c r="J495" s="17" t="str">
        <f aca="false">IF($C495="","",$N495+$Q495*$R495)</f>
        <v/>
      </c>
      <c r="K495" s="17" t="str">
        <f aca="false">IF($C495="","",$O495+$Q495*$S495)</f>
        <v/>
      </c>
      <c r="L495" s="17" t="str">
        <f aca="false">IF($C495="","",$J495-$K495-1-N($G495))</f>
        <v/>
      </c>
      <c r="M495" s="7" t="str">
        <f aca="false">IF($B495="","",INDEX(Course!$B$2:$B$19,MATCH($B495,Course!$A$2:$A$19,0)))</f>
        <v/>
      </c>
      <c r="N495" s="17" t="str">
        <f aca="false">IF($C495="","",IF($C495="H",0,IF($C495="G",INDEX(Baseline!$I$3:$I$102,MIN(MAX(ROUND($D495,0),1),100)),IF($C495="T",IF($M495=3,INDEX(Baseline!$B$3:$B$122,MATCH(MIN(MAX(ROUND(($D495)/5,0)*5,5),600),Baseline!$A$3:$A$122,0))-Inputs!$B$9,INDEX(Course!$N$2:$N$19,MATCH($B495,Course!$A$2:$A$19,0))),INDEX(Baseline!$B$3:$E$122,MATCH(MIN(MAX(ROUND(($D495)/5,0)*5,5),600),Baseline!$A$3:$A$122,0),MATCH($C495,Baseline!$B$2:$E$2,0))))))</f>
        <v/>
      </c>
      <c r="O495" s="17" t="str">
        <f aca="false">IF($C495="","",IF($E495="H",0,IF($E495="G",INDEX(Baseline!$I$3:$I$102,MIN(MAX(ROUND($F495,0),1),100)),IF($E495="T",IF($M495=3,INDEX(Baseline!$B$3:$B$122,MATCH(MIN(MAX(ROUND(($F495)/5,0)*5,5),600),Baseline!$A$3:$A$122,0))-Inputs!$B$9,INDEX(Course!$N$2:$N$19,MATCH($B495,Course!$A$2:$A$19,0))),INDEX(Baseline!$B$3:$E$122,MATCH(MIN(MAX(ROUND(($F495)/5,0)*5,5),600),Baseline!$A$3:$A$122,0),MATCH($E495,Baseline!$B$2:$E$2,0))))))</f>
        <v/>
      </c>
      <c r="P495" s="17" t="str">
        <f aca="false">IF($B495="","",INDEX(Course!$N$2:$N$19,MATCH($B495,Course!$A$2:$A$19,0)))</f>
        <v/>
      </c>
      <c r="Q495" s="17" t="str">
        <f aca="false">IF($B495="","",INDEX(Course!$P$2:$P$19,MATCH($B495,Course!$A$2:$A$19,0)))</f>
        <v/>
      </c>
      <c r="R495" s="17" t="str">
        <f aca="false">IF($C495="","",IF(OR($C495="G",$C495="H"),0,IF($C495="T",1,MIN(1,MAX(0,($N495-Inputs!$B$8)/MAX($P495-Inputs!$B$8,0.01))))))</f>
        <v/>
      </c>
      <c r="S495" s="17" t="str">
        <f aca="false">IF($C495="","",IF(OR($E495="G",$E495="H"),0,IF($E495="T",1,MIN(1,MAX(0,($O495-Inputs!$B$8)/MAX($P495-Inputs!$B$8,0.01))))))</f>
        <v/>
      </c>
    </row>
    <row r="496" customFormat="false" ht="15" hidden="false" customHeight="false" outlineLevel="0" collapsed="false">
      <c r="I496" s="7" t="str">
        <f aca="false">IF($C496="","",IF($C496="G","PUTT",IF(AND($C496="T",$M496&gt;3),"OTT",IF($D496&lt;=30,"ARG","APP"))))</f>
        <v/>
      </c>
      <c r="J496" s="17" t="str">
        <f aca="false">IF($C496="","",$N496+$Q496*$R496)</f>
        <v/>
      </c>
      <c r="K496" s="17" t="str">
        <f aca="false">IF($C496="","",$O496+$Q496*$S496)</f>
        <v/>
      </c>
      <c r="L496" s="17" t="str">
        <f aca="false">IF($C496="","",$J496-$K496-1-N($G496))</f>
        <v/>
      </c>
      <c r="M496" s="7" t="str">
        <f aca="false">IF($B496="","",INDEX(Course!$B$2:$B$19,MATCH($B496,Course!$A$2:$A$19,0)))</f>
        <v/>
      </c>
      <c r="N496" s="17" t="str">
        <f aca="false">IF($C496="","",IF($C496="H",0,IF($C496="G",INDEX(Baseline!$I$3:$I$102,MIN(MAX(ROUND($D496,0),1),100)),IF($C496="T",IF($M496=3,INDEX(Baseline!$B$3:$B$122,MATCH(MIN(MAX(ROUND(($D496)/5,0)*5,5),600),Baseline!$A$3:$A$122,0))-Inputs!$B$9,INDEX(Course!$N$2:$N$19,MATCH($B496,Course!$A$2:$A$19,0))),INDEX(Baseline!$B$3:$E$122,MATCH(MIN(MAX(ROUND(($D496)/5,0)*5,5),600),Baseline!$A$3:$A$122,0),MATCH($C496,Baseline!$B$2:$E$2,0))))))</f>
        <v/>
      </c>
      <c r="O496" s="17" t="str">
        <f aca="false">IF($C496="","",IF($E496="H",0,IF($E496="G",INDEX(Baseline!$I$3:$I$102,MIN(MAX(ROUND($F496,0),1),100)),IF($E496="T",IF($M496=3,INDEX(Baseline!$B$3:$B$122,MATCH(MIN(MAX(ROUND(($F496)/5,0)*5,5),600),Baseline!$A$3:$A$122,0))-Inputs!$B$9,INDEX(Course!$N$2:$N$19,MATCH($B496,Course!$A$2:$A$19,0))),INDEX(Baseline!$B$3:$E$122,MATCH(MIN(MAX(ROUND(($F496)/5,0)*5,5),600),Baseline!$A$3:$A$122,0),MATCH($E496,Baseline!$B$2:$E$2,0))))))</f>
        <v/>
      </c>
      <c r="P496" s="17" t="str">
        <f aca="false">IF($B496="","",INDEX(Course!$N$2:$N$19,MATCH($B496,Course!$A$2:$A$19,0)))</f>
        <v/>
      </c>
      <c r="Q496" s="17" t="str">
        <f aca="false">IF($B496="","",INDEX(Course!$P$2:$P$19,MATCH($B496,Course!$A$2:$A$19,0)))</f>
        <v/>
      </c>
      <c r="R496" s="17" t="str">
        <f aca="false">IF($C496="","",IF(OR($C496="G",$C496="H"),0,IF($C496="T",1,MIN(1,MAX(0,($N496-Inputs!$B$8)/MAX($P496-Inputs!$B$8,0.01))))))</f>
        <v/>
      </c>
      <c r="S496" s="17" t="str">
        <f aca="false">IF($C496="","",IF(OR($E496="G",$E496="H"),0,IF($E496="T",1,MIN(1,MAX(0,($O496-Inputs!$B$8)/MAX($P496-Inputs!$B$8,0.01))))))</f>
        <v/>
      </c>
    </row>
    <row r="497" customFormat="false" ht="15" hidden="false" customHeight="false" outlineLevel="0" collapsed="false">
      <c r="I497" s="7" t="str">
        <f aca="false">IF($C497="","",IF($C497="G","PUTT",IF(AND($C497="T",$M497&gt;3),"OTT",IF($D497&lt;=30,"ARG","APP"))))</f>
        <v/>
      </c>
      <c r="J497" s="17" t="str">
        <f aca="false">IF($C497="","",$N497+$Q497*$R497)</f>
        <v/>
      </c>
      <c r="K497" s="17" t="str">
        <f aca="false">IF($C497="","",$O497+$Q497*$S497)</f>
        <v/>
      </c>
      <c r="L497" s="17" t="str">
        <f aca="false">IF($C497="","",$J497-$K497-1-N($G497))</f>
        <v/>
      </c>
      <c r="M497" s="7" t="str">
        <f aca="false">IF($B497="","",INDEX(Course!$B$2:$B$19,MATCH($B497,Course!$A$2:$A$19,0)))</f>
        <v/>
      </c>
      <c r="N497" s="17" t="str">
        <f aca="false">IF($C497="","",IF($C497="H",0,IF($C497="G",INDEX(Baseline!$I$3:$I$102,MIN(MAX(ROUND($D497,0),1),100)),IF($C497="T",IF($M497=3,INDEX(Baseline!$B$3:$B$122,MATCH(MIN(MAX(ROUND(($D497)/5,0)*5,5),600),Baseline!$A$3:$A$122,0))-Inputs!$B$9,INDEX(Course!$N$2:$N$19,MATCH($B497,Course!$A$2:$A$19,0))),INDEX(Baseline!$B$3:$E$122,MATCH(MIN(MAX(ROUND(($D497)/5,0)*5,5),600),Baseline!$A$3:$A$122,0),MATCH($C497,Baseline!$B$2:$E$2,0))))))</f>
        <v/>
      </c>
      <c r="O497" s="17" t="str">
        <f aca="false">IF($C497="","",IF($E497="H",0,IF($E497="G",INDEX(Baseline!$I$3:$I$102,MIN(MAX(ROUND($F497,0),1),100)),IF($E497="T",IF($M497=3,INDEX(Baseline!$B$3:$B$122,MATCH(MIN(MAX(ROUND(($F497)/5,0)*5,5),600),Baseline!$A$3:$A$122,0))-Inputs!$B$9,INDEX(Course!$N$2:$N$19,MATCH($B497,Course!$A$2:$A$19,0))),INDEX(Baseline!$B$3:$E$122,MATCH(MIN(MAX(ROUND(($F497)/5,0)*5,5),600),Baseline!$A$3:$A$122,0),MATCH($E497,Baseline!$B$2:$E$2,0))))))</f>
        <v/>
      </c>
      <c r="P497" s="17" t="str">
        <f aca="false">IF($B497="","",INDEX(Course!$N$2:$N$19,MATCH($B497,Course!$A$2:$A$19,0)))</f>
        <v/>
      </c>
      <c r="Q497" s="17" t="str">
        <f aca="false">IF($B497="","",INDEX(Course!$P$2:$P$19,MATCH($B497,Course!$A$2:$A$19,0)))</f>
        <v/>
      </c>
      <c r="R497" s="17" t="str">
        <f aca="false">IF($C497="","",IF(OR($C497="G",$C497="H"),0,IF($C497="T",1,MIN(1,MAX(0,($N497-Inputs!$B$8)/MAX($P497-Inputs!$B$8,0.01))))))</f>
        <v/>
      </c>
      <c r="S497" s="17" t="str">
        <f aca="false">IF($C497="","",IF(OR($E497="G",$E497="H"),0,IF($E497="T",1,MIN(1,MAX(0,($O497-Inputs!$B$8)/MAX($P497-Inputs!$B$8,0.01))))))</f>
        <v/>
      </c>
    </row>
    <row r="498" customFormat="false" ht="15" hidden="false" customHeight="false" outlineLevel="0" collapsed="false">
      <c r="I498" s="7" t="str">
        <f aca="false">IF($C498="","",IF($C498="G","PUTT",IF(AND($C498="T",$M498&gt;3),"OTT",IF($D498&lt;=30,"ARG","APP"))))</f>
        <v/>
      </c>
      <c r="J498" s="17" t="str">
        <f aca="false">IF($C498="","",$N498+$Q498*$R498)</f>
        <v/>
      </c>
      <c r="K498" s="17" t="str">
        <f aca="false">IF($C498="","",$O498+$Q498*$S498)</f>
        <v/>
      </c>
      <c r="L498" s="17" t="str">
        <f aca="false">IF($C498="","",$J498-$K498-1-N($G498))</f>
        <v/>
      </c>
      <c r="M498" s="7" t="str">
        <f aca="false">IF($B498="","",INDEX(Course!$B$2:$B$19,MATCH($B498,Course!$A$2:$A$19,0)))</f>
        <v/>
      </c>
      <c r="N498" s="17" t="str">
        <f aca="false">IF($C498="","",IF($C498="H",0,IF($C498="G",INDEX(Baseline!$I$3:$I$102,MIN(MAX(ROUND($D498,0),1),100)),IF($C498="T",IF($M498=3,INDEX(Baseline!$B$3:$B$122,MATCH(MIN(MAX(ROUND(($D498)/5,0)*5,5),600),Baseline!$A$3:$A$122,0))-Inputs!$B$9,INDEX(Course!$N$2:$N$19,MATCH($B498,Course!$A$2:$A$19,0))),INDEX(Baseline!$B$3:$E$122,MATCH(MIN(MAX(ROUND(($D498)/5,0)*5,5),600),Baseline!$A$3:$A$122,0),MATCH($C498,Baseline!$B$2:$E$2,0))))))</f>
        <v/>
      </c>
      <c r="O498" s="17" t="str">
        <f aca="false">IF($C498="","",IF($E498="H",0,IF($E498="G",INDEX(Baseline!$I$3:$I$102,MIN(MAX(ROUND($F498,0),1),100)),IF($E498="T",IF($M498=3,INDEX(Baseline!$B$3:$B$122,MATCH(MIN(MAX(ROUND(($F498)/5,0)*5,5),600),Baseline!$A$3:$A$122,0))-Inputs!$B$9,INDEX(Course!$N$2:$N$19,MATCH($B498,Course!$A$2:$A$19,0))),INDEX(Baseline!$B$3:$E$122,MATCH(MIN(MAX(ROUND(($F498)/5,0)*5,5),600),Baseline!$A$3:$A$122,0),MATCH($E498,Baseline!$B$2:$E$2,0))))))</f>
        <v/>
      </c>
      <c r="P498" s="17" t="str">
        <f aca="false">IF($B498="","",INDEX(Course!$N$2:$N$19,MATCH($B498,Course!$A$2:$A$19,0)))</f>
        <v/>
      </c>
      <c r="Q498" s="17" t="str">
        <f aca="false">IF($B498="","",INDEX(Course!$P$2:$P$19,MATCH($B498,Course!$A$2:$A$19,0)))</f>
        <v/>
      </c>
      <c r="R498" s="17" t="str">
        <f aca="false">IF($C498="","",IF(OR($C498="G",$C498="H"),0,IF($C498="T",1,MIN(1,MAX(0,($N498-Inputs!$B$8)/MAX($P498-Inputs!$B$8,0.01))))))</f>
        <v/>
      </c>
      <c r="S498" s="17" t="str">
        <f aca="false">IF($C498="","",IF(OR($E498="G",$E498="H"),0,IF($E498="T",1,MIN(1,MAX(0,($O498-Inputs!$B$8)/MAX($P498-Inputs!$B$8,0.01))))))</f>
        <v/>
      </c>
    </row>
    <row r="499" customFormat="false" ht="15" hidden="false" customHeight="false" outlineLevel="0" collapsed="false">
      <c r="I499" s="7" t="str">
        <f aca="false">IF($C499="","",IF($C499="G","PUTT",IF(AND($C499="T",$M499&gt;3),"OTT",IF($D499&lt;=30,"ARG","APP"))))</f>
        <v/>
      </c>
      <c r="J499" s="17" t="str">
        <f aca="false">IF($C499="","",$N499+$Q499*$R499)</f>
        <v/>
      </c>
      <c r="K499" s="17" t="str">
        <f aca="false">IF($C499="","",$O499+$Q499*$S499)</f>
        <v/>
      </c>
      <c r="L499" s="17" t="str">
        <f aca="false">IF($C499="","",$J499-$K499-1-N($G499))</f>
        <v/>
      </c>
      <c r="M499" s="7" t="str">
        <f aca="false">IF($B499="","",INDEX(Course!$B$2:$B$19,MATCH($B499,Course!$A$2:$A$19,0)))</f>
        <v/>
      </c>
      <c r="N499" s="17" t="str">
        <f aca="false">IF($C499="","",IF($C499="H",0,IF($C499="G",INDEX(Baseline!$I$3:$I$102,MIN(MAX(ROUND($D499,0),1),100)),IF($C499="T",IF($M499=3,INDEX(Baseline!$B$3:$B$122,MATCH(MIN(MAX(ROUND(($D499)/5,0)*5,5),600),Baseline!$A$3:$A$122,0))-Inputs!$B$9,INDEX(Course!$N$2:$N$19,MATCH($B499,Course!$A$2:$A$19,0))),INDEX(Baseline!$B$3:$E$122,MATCH(MIN(MAX(ROUND(($D499)/5,0)*5,5),600),Baseline!$A$3:$A$122,0),MATCH($C499,Baseline!$B$2:$E$2,0))))))</f>
        <v/>
      </c>
      <c r="O499" s="17" t="str">
        <f aca="false">IF($C499="","",IF($E499="H",0,IF($E499="G",INDEX(Baseline!$I$3:$I$102,MIN(MAX(ROUND($F499,0),1),100)),IF($E499="T",IF($M499=3,INDEX(Baseline!$B$3:$B$122,MATCH(MIN(MAX(ROUND(($F499)/5,0)*5,5),600),Baseline!$A$3:$A$122,0))-Inputs!$B$9,INDEX(Course!$N$2:$N$19,MATCH($B499,Course!$A$2:$A$19,0))),INDEX(Baseline!$B$3:$E$122,MATCH(MIN(MAX(ROUND(($F499)/5,0)*5,5),600),Baseline!$A$3:$A$122,0),MATCH($E499,Baseline!$B$2:$E$2,0))))))</f>
        <v/>
      </c>
      <c r="P499" s="17" t="str">
        <f aca="false">IF($B499="","",INDEX(Course!$N$2:$N$19,MATCH($B499,Course!$A$2:$A$19,0)))</f>
        <v/>
      </c>
      <c r="Q499" s="17" t="str">
        <f aca="false">IF($B499="","",INDEX(Course!$P$2:$P$19,MATCH($B499,Course!$A$2:$A$19,0)))</f>
        <v/>
      </c>
      <c r="R499" s="17" t="str">
        <f aca="false">IF($C499="","",IF(OR($C499="G",$C499="H"),0,IF($C499="T",1,MIN(1,MAX(0,($N499-Inputs!$B$8)/MAX($P499-Inputs!$B$8,0.01))))))</f>
        <v/>
      </c>
      <c r="S499" s="17" t="str">
        <f aca="false">IF($C499="","",IF(OR($E499="G",$E499="H"),0,IF($E499="T",1,MIN(1,MAX(0,($O499-Inputs!$B$8)/MAX($P499-Inputs!$B$8,0.01))))))</f>
        <v/>
      </c>
    </row>
    <row r="500" customFormat="false" ht="15" hidden="false" customHeight="false" outlineLevel="0" collapsed="false">
      <c r="I500" s="7" t="str">
        <f aca="false">IF($C500="","",IF($C500="G","PUTT",IF(AND($C500="T",$M500&gt;3),"OTT",IF($D500&lt;=30,"ARG","APP"))))</f>
        <v/>
      </c>
      <c r="J500" s="17" t="str">
        <f aca="false">IF($C500="","",$N500+$Q500*$R500)</f>
        <v/>
      </c>
      <c r="K500" s="17" t="str">
        <f aca="false">IF($C500="","",$O500+$Q500*$S500)</f>
        <v/>
      </c>
      <c r="L500" s="17" t="str">
        <f aca="false">IF($C500="","",$J500-$K500-1-N($G500))</f>
        <v/>
      </c>
      <c r="M500" s="7" t="str">
        <f aca="false">IF($B500="","",INDEX(Course!$B$2:$B$19,MATCH($B500,Course!$A$2:$A$19,0)))</f>
        <v/>
      </c>
      <c r="N500" s="17" t="str">
        <f aca="false">IF($C500="","",IF($C500="H",0,IF($C500="G",INDEX(Baseline!$I$3:$I$102,MIN(MAX(ROUND($D500,0),1),100)),IF($C500="T",IF($M500=3,INDEX(Baseline!$B$3:$B$122,MATCH(MIN(MAX(ROUND(($D500)/5,0)*5,5),600),Baseline!$A$3:$A$122,0))-Inputs!$B$9,INDEX(Course!$N$2:$N$19,MATCH($B500,Course!$A$2:$A$19,0))),INDEX(Baseline!$B$3:$E$122,MATCH(MIN(MAX(ROUND(($D500)/5,0)*5,5),600),Baseline!$A$3:$A$122,0),MATCH($C500,Baseline!$B$2:$E$2,0))))))</f>
        <v/>
      </c>
      <c r="O500" s="17" t="str">
        <f aca="false">IF($C500="","",IF($E500="H",0,IF($E500="G",INDEX(Baseline!$I$3:$I$102,MIN(MAX(ROUND($F500,0),1),100)),IF($E500="T",IF($M500=3,INDEX(Baseline!$B$3:$B$122,MATCH(MIN(MAX(ROUND(($F500)/5,0)*5,5),600),Baseline!$A$3:$A$122,0))-Inputs!$B$9,INDEX(Course!$N$2:$N$19,MATCH($B500,Course!$A$2:$A$19,0))),INDEX(Baseline!$B$3:$E$122,MATCH(MIN(MAX(ROUND(($F500)/5,0)*5,5),600),Baseline!$A$3:$A$122,0),MATCH($E500,Baseline!$B$2:$E$2,0))))))</f>
        <v/>
      </c>
      <c r="P500" s="17" t="str">
        <f aca="false">IF($B500="","",INDEX(Course!$N$2:$N$19,MATCH($B500,Course!$A$2:$A$19,0)))</f>
        <v/>
      </c>
      <c r="Q500" s="17" t="str">
        <f aca="false">IF($B500="","",INDEX(Course!$P$2:$P$19,MATCH($B500,Course!$A$2:$A$19,0)))</f>
        <v/>
      </c>
      <c r="R500" s="17" t="str">
        <f aca="false">IF($C500="","",IF(OR($C500="G",$C500="H"),0,IF($C500="T",1,MIN(1,MAX(0,($N500-Inputs!$B$8)/MAX($P500-Inputs!$B$8,0.01))))))</f>
        <v/>
      </c>
      <c r="S500" s="17" t="str">
        <f aca="false">IF($C500="","",IF(OR($E500="G",$E500="H"),0,IF($E500="T",1,MIN(1,MAX(0,($O500-Inputs!$B$8)/MAX($P500-Inputs!$B$8,0.01))))))</f>
        <v/>
      </c>
    </row>
    <row r="501" customFormat="false" ht="15" hidden="false" customHeight="false" outlineLevel="0" collapsed="false">
      <c r="I501" s="7" t="str">
        <f aca="false">IF($C501="","",IF($C501="G","PUTT",IF(AND($C501="T",$M501&gt;3),"OTT",IF($D501&lt;=30,"ARG","APP"))))</f>
        <v/>
      </c>
      <c r="J501" s="17" t="str">
        <f aca="false">IF($C501="","",$N501+$Q501*$R501)</f>
        <v/>
      </c>
      <c r="K501" s="17" t="str">
        <f aca="false">IF($C501="","",$O501+$Q501*$S501)</f>
        <v/>
      </c>
      <c r="L501" s="17" t="str">
        <f aca="false">IF($C501="","",$J501-$K501-1-N($G501))</f>
        <v/>
      </c>
      <c r="M501" s="7" t="str">
        <f aca="false">IF($B501="","",INDEX(Course!$B$2:$B$19,MATCH($B501,Course!$A$2:$A$19,0)))</f>
        <v/>
      </c>
      <c r="N501" s="17" t="str">
        <f aca="false">IF($C501="","",IF($C501="H",0,IF($C501="G",INDEX(Baseline!$I$3:$I$102,MIN(MAX(ROUND($D501,0),1),100)),IF($C501="T",IF($M501=3,INDEX(Baseline!$B$3:$B$122,MATCH(MIN(MAX(ROUND(($D501)/5,0)*5,5),600),Baseline!$A$3:$A$122,0))-Inputs!$B$9,INDEX(Course!$N$2:$N$19,MATCH($B501,Course!$A$2:$A$19,0))),INDEX(Baseline!$B$3:$E$122,MATCH(MIN(MAX(ROUND(($D501)/5,0)*5,5),600),Baseline!$A$3:$A$122,0),MATCH($C501,Baseline!$B$2:$E$2,0))))))</f>
        <v/>
      </c>
      <c r="O501" s="17" t="str">
        <f aca="false">IF($C501="","",IF($E501="H",0,IF($E501="G",INDEX(Baseline!$I$3:$I$102,MIN(MAX(ROUND($F501,0),1),100)),IF($E501="T",IF($M501=3,INDEX(Baseline!$B$3:$B$122,MATCH(MIN(MAX(ROUND(($F501)/5,0)*5,5),600),Baseline!$A$3:$A$122,0))-Inputs!$B$9,INDEX(Course!$N$2:$N$19,MATCH($B501,Course!$A$2:$A$19,0))),INDEX(Baseline!$B$3:$E$122,MATCH(MIN(MAX(ROUND(($F501)/5,0)*5,5),600),Baseline!$A$3:$A$122,0),MATCH($E501,Baseline!$B$2:$E$2,0))))))</f>
        <v/>
      </c>
      <c r="P501" s="17" t="str">
        <f aca="false">IF($B501="","",INDEX(Course!$N$2:$N$19,MATCH($B501,Course!$A$2:$A$19,0)))</f>
        <v/>
      </c>
      <c r="Q501" s="17" t="str">
        <f aca="false">IF($B501="","",INDEX(Course!$P$2:$P$19,MATCH($B501,Course!$A$2:$A$19,0)))</f>
        <v/>
      </c>
      <c r="R501" s="17" t="str">
        <f aca="false">IF($C501="","",IF(OR($C501="G",$C501="H"),0,IF($C501="T",1,MIN(1,MAX(0,($N501-Inputs!$B$8)/MAX($P501-Inputs!$B$8,0.01))))))</f>
        <v/>
      </c>
      <c r="S501" s="17" t="str">
        <f aca="false">IF($C501="","",IF(OR($E501="G",$E501="H"),0,IF($E501="T",1,MIN(1,MAX(0,($O501-Inputs!$B$8)/MAX($P501-Inputs!$B$8,0.01))))))</f>
        <v/>
      </c>
    </row>
    <row r="502" customFormat="false" ht="15" hidden="false" customHeight="false" outlineLevel="0" collapsed="false">
      <c r="I502" s="7" t="str">
        <f aca="false">IF($C502="","",IF($C502="G","PUTT",IF(AND($C502="T",$M502&gt;3),"OTT",IF($D502&lt;=30,"ARG","APP"))))</f>
        <v/>
      </c>
      <c r="J502" s="17" t="str">
        <f aca="false">IF($C502="","",$N502+$Q502*$R502)</f>
        <v/>
      </c>
      <c r="K502" s="17" t="str">
        <f aca="false">IF($C502="","",$O502+$Q502*$S502)</f>
        <v/>
      </c>
      <c r="L502" s="17" t="str">
        <f aca="false">IF($C502="","",$J502-$K502-1-N($G502))</f>
        <v/>
      </c>
      <c r="M502" s="7" t="str">
        <f aca="false">IF($B502="","",INDEX(Course!$B$2:$B$19,MATCH($B502,Course!$A$2:$A$19,0)))</f>
        <v/>
      </c>
      <c r="N502" s="17" t="str">
        <f aca="false">IF($C502="","",IF($C502="H",0,IF($C502="G",INDEX(Baseline!$I$3:$I$102,MIN(MAX(ROUND($D502,0),1),100)),IF($C502="T",IF($M502=3,INDEX(Baseline!$B$3:$B$122,MATCH(MIN(MAX(ROUND(($D502)/5,0)*5,5),600),Baseline!$A$3:$A$122,0))-Inputs!$B$9,INDEX(Course!$N$2:$N$19,MATCH($B502,Course!$A$2:$A$19,0))),INDEX(Baseline!$B$3:$E$122,MATCH(MIN(MAX(ROUND(($D502)/5,0)*5,5),600),Baseline!$A$3:$A$122,0),MATCH($C502,Baseline!$B$2:$E$2,0))))))</f>
        <v/>
      </c>
      <c r="O502" s="17" t="str">
        <f aca="false">IF($C502="","",IF($E502="H",0,IF($E502="G",INDEX(Baseline!$I$3:$I$102,MIN(MAX(ROUND($F502,0),1),100)),IF($E502="T",IF($M502=3,INDEX(Baseline!$B$3:$B$122,MATCH(MIN(MAX(ROUND(($F502)/5,0)*5,5),600),Baseline!$A$3:$A$122,0))-Inputs!$B$9,INDEX(Course!$N$2:$N$19,MATCH($B502,Course!$A$2:$A$19,0))),INDEX(Baseline!$B$3:$E$122,MATCH(MIN(MAX(ROUND(($F502)/5,0)*5,5),600),Baseline!$A$3:$A$122,0),MATCH($E502,Baseline!$B$2:$E$2,0))))))</f>
        <v/>
      </c>
      <c r="P502" s="17" t="str">
        <f aca="false">IF($B502="","",INDEX(Course!$N$2:$N$19,MATCH($B502,Course!$A$2:$A$19,0)))</f>
        <v/>
      </c>
      <c r="Q502" s="17" t="str">
        <f aca="false">IF($B502="","",INDEX(Course!$P$2:$P$19,MATCH($B502,Course!$A$2:$A$19,0)))</f>
        <v/>
      </c>
      <c r="R502" s="17" t="str">
        <f aca="false">IF($C502="","",IF(OR($C502="G",$C502="H"),0,IF($C502="T",1,MIN(1,MAX(0,($N502-Inputs!$B$8)/MAX($P502-Inputs!$B$8,0.01))))))</f>
        <v/>
      </c>
      <c r="S502" s="17" t="str">
        <f aca="false">IF($C502="","",IF(OR($E502="G",$E502="H"),0,IF($E502="T",1,MIN(1,MAX(0,($O502-Inputs!$B$8)/MAX($P502-Inputs!$B$8,0.01))))))</f>
        <v/>
      </c>
    </row>
    <row r="503" customFormat="false" ht="15" hidden="false" customHeight="false" outlineLevel="0" collapsed="false">
      <c r="I503" s="7" t="str">
        <f aca="false">IF($C503="","",IF($C503="G","PUTT",IF(AND($C503="T",$M503&gt;3),"OTT",IF($D503&lt;=30,"ARG","APP"))))</f>
        <v/>
      </c>
      <c r="J503" s="17" t="str">
        <f aca="false">IF($C503="","",$N503+$Q503*$R503)</f>
        <v/>
      </c>
      <c r="K503" s="17" t="str">
        <f aca="false">IF($C503="","",$O503+$Q503*$S503)</f>
        <v/>
      </c>
      <c r="L503" s="17" t="str">
        <f aca="false">IF($C503="","",$J503-$K503-1-N($G503))</f>
        <v/>
      </c>
      <c r="M503" s="7" t="str">
        <f aca="false">IF($B503="","",INDEX(Course!$B$2:$B$19,MATCH($B503,Course!$A$2:$A$19,0)))</f>
        <v/>
      </c>
      <c r="N503" s="17" t="str">
        <f aca="false">IF($C503="","",IF($C503="H",0,IF($C503="G",INDEX(Baseline!$I$3:$I$102,MIN(MAX(ROUND($D503,0),1),100)),IF($C503="T",IF($M503=3,INDEX(Baseline!$B$3:$B$122,MATCH(MIN(MAX(ROUND(($D503)/5,0)*5,5),600),Baseline!$A$3:$A$122,0))-Inputs!$B$9,INDEX(Course!$N$2:$N$19,MATCH($B503,Course!$A$2:$A$19,0))),INDEX(Baseline!$B$3:$E$122,MATCH(MIN(MAX(ROUND(($D503)/5,0)*5,5),600),Baseline!$A$3:$A$122,0),MATCH($C503,Baseline!$B$2:$E$2,0))))))</f>
        <v/>
      </c>
      <c r="O503" s="17" t="str">
        <f aca="false">IF($C503="","",IF($E503="H",0,IF($E503="G",INDEX(Baseline!$I$3:$I$102,MIN(MAX(ROUND($F503,0),1),100)),IF($E503="T",IF($M503=3,INDEX(Baseline!$B$3:$B$122,MATCH(MIN(MAX(ROUND(($F503)/5,0)*5,5),600),Baseline!$A$3:$A$122,0))-Inputs!$B$9,INDEX(Course!$N$2:$N$19,MATCH($B503,Course!$A$2:$A$19,0))),INDEX(Baseline!$B$3:$E$122,MATCH(MIN(MAX(ROUND(($F503)/5,0)*5,5),600),Baseline!$A$3:$A$122,0),MATCH($E503,Baseline!$B$2:$E$2,0))))))</f>
        <v/>
      </c>
      <c r="P503" s="17" t="str">
        <f aca="false">IF($B503="","",INDEX(Course!$N$2:$N$19,MATCH($B503,Course!$A$2:$A$19,0)))</f>
        <v/>
      </c>
      <c r="Q503" s="17" t="str">
        <f aca="false">IF($B503="","",INDEX(Course!$P$2:$P$19,MATCH($B503,Course!$A$2:$A$19,0)))</f>
        <v/>
      </c>
      <c r="R503" s="17" t="str">
        <f aca="false">IF($C503="","",IF(OR($C503="G",$C503="H"),0,IF($C503="T",1,MIN(1,MAX(0,($N503-Inputs!$B$8)/MAX($P503-Inputs!$B$8,0.01))))))</f>
        <v/>
      </c>
      <c r="S503" s="17" t="str">
        <f aca="false">IF($C503="","",IF(OR($E503="G",$E503="H"),0,IF($E503="T",1,MIN(1,MAX(0,($O503-Inputs!$B$8)/MAX($P503-Inputs!$B$8,0.01))))))</f>
        <v/>
      </c>
    </row>
    <row r="504" customFormat="false" ht="15" hidden="false" customHeight="false" outlineLevel="0" collapsed="false">
      <c r="I504" s="7" t="str">
        <f aca="false">IF($C504="","",IF($C504="G","PUTT",IF(AND($C504="T",$M504&gt;3),"OTT",IF($D504&lt;=30,"ARG","APP"))))</f>
        <v/>
      </c>
      <c r="J504" s="17" t="str">
        <f aca="false">IF($C504="","",$N504+$Q504*$R504)</f>
        <v/>
      </c>
      <c r="K504" s="17" t="str">
        <f aca="false">IF($C504="","",$O504+$Q504*$S504)</f>
        <v/>
      </c>
      <c r="L504" s="17" t="str">
        <f aca="false">IF($C504="","",$J504-$K504-1-N($G504))</f>
        <v/>
      </c>
      <c r="M504" s="7" t="str">
        <f aca="false">IF($B504="","",INDEX(Course!$B$2:$B$19,MATCH($B504,Course!$A$2:$A$19,0)))</f>
        <v/>
      </c>
      <c r="N504" s="17" t="str">
        <f aca="false">IF($C504="","",IF($C504="H",0,IF($C504="G",INDEX(Baseline!$I$3:$I$102,MIN(MAX(ROUND($D504,0),1),100)),IF($C504="T",IF($M504=3,INDEX(Baseline!$B$3:$B$122,MATCH(MIN(MAX(ROUND(($D504)/5,0)*5,5),600),Baseline!$A$3:$A$122,0))-Inputs!$B$9,INDEX(Course!$N$2:$N$19,MATCH($B504,Course!$A$2:$A$19,0))),INDEX(Baseline!$B$3:$E$122,MATCH(MIN(MAX(ROUND(($D504)/5,0)*5,5),600),Baseline!$A$3:$A$122,0),MATCH($C504,Baseline!$B$2:$E$2,0))))))</f>
        <v/>
      </c>
      <c r="O504" s="17" t="str">
        <f aca="false">IF($C504="","",IF($E504="H",0,IF($E504="G",INDEX(Baseline!$I$3:$I$102,MIN(MAX(ROUND($F504,0),1),100)),IF($E504="T",IF($M504=3,INDEX(Baseline!$B$3:$B$122,MATCH(MIN(MAX(ROUND(($F504)/5,0)*5,5),600),Baseline!$A$3:$A$122,0))-Inputs!$B$9,INDEX(Course!$N$2:$N$19,MATCH($B504,Course!$A$2:$A$19,0))),INDEX(Baseline!$B$3:$E$122,MATCH(MIN(MAX(ROUND(($F504)/5,0)*5,5),600),Baseline!$A$3:$A$122,0),MATCH($E504,Baseline!$B$2:$E$2,0))))))</f>
        <v/>
      </c>
      <c r="P504" s="17" t="str">
        <f aca="false">IF($B504="","",INDEX(Course!$N$2:$N$19,MATCH($B504,Course!$A$2:$A$19,0)))</f>
        <v/>
      </c>
      <c r="Q504" s="17" t="str">
        <f aca="false">IF($B504="","",INDEX(Course!$P$2:$P$19,MATCH($B504,Course!$A$2:$A$19,0)))</f>
        <v/>
      </c>
      <c r="R504" s="17" t="str">
        <f aca="false">IF($C504="","",IF(OR($C504="G",$C504="H"),0,IF($C504="T",1,MIN(1,MAX(0,($N504-Inputs!$B$8)/MAX($P504-Inputs!$B$8,0.01))))))</f>
        <v/>
      </c>
      <c r="S504" s="17" t="str">
        <f aca="false">IF($C504="","",IF(OR($E504="G",$E504="H"),0,IF($E504="T",1,MIN(1,MAX(0,($O504-Inputs!$B$8)/MAX($P504-Inputs!$B$8,0.01))))))</f>
        <v/>
      </c>
    </row>
    <row r="505" customFormat="false" ht="15" hidden="false" customHeight="false" outlineLevel="0" collapsed="false">
      <c r="I505" s="7" t="str">
        <f aca="false">IF($C505="","",IF($C505="G","PUTT",IF(AND($C505="T",$M505&gt;3),"OTT",IF($D505&lt;=30,"ARG","APP"))))</f>
        <v/>
      </c>
      <c r="J505" s="17" t="str">
        <f aca="false">IF($C505="","",$N505+$Q505*$R505)</f>
        <v/>
      </c>
      <c r="K505" s="17" t="str">
        <f aca="false">IF($C505="","",$O505+$Q505*$S505)</f>
        <v/>
      </c>
      <c r="L505" s="17" t="str">
        <f aca="false">IF($C505="","",$J505-$K505-1-N($G505))</f>
        <v/>
      </c>
      <c r="M505" s="7" t="str">
        <f aca="false">IF($B505="","",INDEX(Course!$B$2:$B$19,MATCH($B505,Course!$A$2:$A$19,0)))</f>
        <v/>
      </c>
      <c r="N505" s="17" t="str">
        <f aca="false">IF($C505="","",IF($C505="H",0,IF($C505="G",INDEX(Baseline!$I$3:$I$102,MIN(MAX(ROUND($D505,0),1),100)),IF($C505="T",IF($M505=3,INDEX(Baseline!$B$3:$B$122,MATCH(MIN(MAX(ROUND(($D505)/5,0)*5,5),600),Baseline!$A$3:$A$122,0))-Inputs!$B$9,INDEX(Course!$N$2:$N$19,MATCH($B505,Course!$A$2:$A$19,0))),INDEX(Baseline!$B$3:$E$122,MATCH(MIN(MAX(ROUND(($D505)/5,0)*5,5),600),Baseline!$A$3:$A$122,0),MATCH($C505,Baseline!$B$2:$E$2,0))))))</f>
        <v/>
      </c>
      <c r="O505" s="17" t="str">
        <f aca="false">IF($C505="","",IF($E505="H",0,IF($E505="G",INDEX(Baseline!$I$3:$I$102,MIN(MAX(ROUND($F505,0),1),100)),IF($E505="T",IF($M505=3,INDEX(Baseline!$B$3:$B$122,MATCH(MIN(MAX(ROUND(($F505)/5,0)*5,5),600),Baseline!$A$3:$A$122,0))-Inputs!$B$9,INDEX(Course!$N$2:$N$19,MATCH($B505,Course!$A$2:$A$19,0))),INDEX(Baseline!$B$3:$E$122,MATCH(MIN(MAX(ROUND(($F505)/5,0)*5,5),600),Baseline!$A$3:$A$122,0),MATCH($E505,Baseline!$B$2:$E$2,0))))))</f>
        <v/>
      </c>
      <c r="P505" s="17" t="str">
        <f aca="false">IF($B505="","",INDEX(Course!$N$2:$N$19,MATCH($B505,Course!$A$2:$A$19,0)))</f>
        <v/>
      </c>
      <c r="Q505" s="17" t="str">
        <f aca="false">IF($B505="","",INDEX(Course!$P$2:$P$19,MATCH($B505,Course!$A$2:$A$19,0)))</f>
        <v/>
      </c>
      <c r="R505" s="17" t="str">
        <f aca="false">IF($C505="","",IF(OR($C505="G",$C505="H"),0,IF($C505="T",1,MIN(1,MAX(0,($N505-Inputs!$B$8)/MAX($P505-Inputs!$B$8,0.01))))))</f>
        <v/>
      </c>
      <c r="S505" s="17" t="str">
        <f aca="false">IF($C505="","",IF(OR($E505="G",$E505="H"),0,IF($E505="T",1,MIN(1,MAX(0,($O505-Inputs!$B$8)/MAX($P505-Inputs!$B$8,0.01))))))</f>
        <v/>
      </c>
    </row>
    <row r="506" customFormat="false" ht="15" hidden="false" customHeight="false" outlineLevel="0" collapsed="false">
      <c r="I506" s="7" t="str">
        <f aca="false">IF($C506="","",IF($C506="G","PUTT",IF(AND($C506="T",$M506&gt;3),"OTT",IF($D506&lt;=30,"ARG","APP"))))</f>
        <v/>
      </c>
      <c r="J506" s="17" t="str">
        <f aca="false">IF($C506="","",$N506+$Q506*$R506)</f>
        <v/>
      </c>
      <c r="K506" s="17" t="str">
        <f aca="false">IF($C506="","",$O506+$Q506*$S506)</f>
        <v/>
      </c>
      <c r="L506" s="17" t="str">
        <f aca="false">IF($C506="","",$J506-$K506-1-N($G506))</f>
        <v/>
      </c>
      <c r="M506" s="7" t="str">
        <f aca="false">IF($B506="","",INDEX(Course!$B$2:$B$19,MATCH($B506,Course!$A$2:$A$19,0)))</f>
        <v/>
      </c>
      <c r="N506" s="17" t="str">
        <f aca="false">IF($C506="","",IF($C506="H",0,IF($C506="G",INDEX(Baseline!$I$3:$I$102,MIN(MAX(ROUND($D506,0),1),100)),IF($C506="T",IF($M506=3,INDEX(Baseline!$B$3:$B$122,MATCH(MIN(MAX(ROUND(($D506)/5,0)*5,5),600),Baseline!$A$3:$A$122,0))-Inputs!$B$9,INDEX(Course!$N$2:$N$19,MATCH($B506,Course!$A$2:$A$19,0))),INDEX(Baseline!$B$3:$E$122,MATCH(MIN(MAX(ROUND(($D506)/5,0)*5,5),600),Baseline!$A$3:$A$122,0),MATCH($C506,Baseline!$B$2:$E$2,0))))))</f>
        <v/>
      </c>
      <c r="O506" s="17" t="str">
        <f aca="false">IF($C506="","",IF($E506="H",0,IF($E506="G",INDEX(Baseline!$I$3:$I$102,MIN(MAX(ROUND($F506,0),1),100)),IF($E506="T",IF($M506=3,INDEX(Baseline!$B$3:$B$122,MATCH(MIN(MAX(ROUND(($F506)/5,0)*5,5),600),Baseline!$A$3:$A$122,0))-Inputs!$B$9,INDEX(Course!$N$2:$N$19,MATCH($B506,Course!$A$2:$A$19,0))),INDEX(Baseline!$B$3:$E$122,MATCH(MIN(MAX(ROUND(($F506)/5,0)*5,5),600),Baseline!$A$3:$A$122,0),MATCH($E506,Baseline!$B$2:$E$2,0))))))</f>
        <v/>
      </c>
      <c r="P506" s="17" t="str">
        <f aca="false">IF($B506="","",INDEX(Course!$N$2:$N$19,MATCH($B506,Course!$A$2:$A$19,0)))</f>
        <v/>
      </c>
      <c r="Q506" s="17" t="str">
        <f aca="false">IF($B506="","",INDEX(Course!$P$2:$P$19,MATCH($B506,Course!$A$2:$A$19,0)))</f>
        <v/>
      </c>
      <c r="R506" s="17" t="str">
        <f aca="false">IF($C506="","",IF(OR($C506="G",$C506="H"),0,IF($C506="T",1,MIN(1,MAX(0,($N506-Inputs!$B$8)/MAX($P506-Inputs!$B$8,0.01))))))</f>
        <v/>
      </c>
      <c r="S506" s="17" t="str">
        <f aca="false">IF($C506="","",IF(OR($E506="G",$E506="H"),0,IF($E506="T",1,MIN(1,MAX(0,($O506-Inputs!$B$8)/MAX($P506-Inputs!$B$8,0.01))))))</f>
        <v/>
      </c>
    </row>
    <row r="507" customFormat="false" ht="15" hidden="false" customHeight="false" outlineLevel="0" collapsed="false">
      <c r="I507" s="7" t="str">
        <f aca="false">IF($C507="","",IF($C507="G","PUTT",IF(AND($C507="T",$M507&gt;3),"OTT",IF($D507&lt;=30,"ARG","APP"))))</f>
        <v/>
      </c>
      <c r="J507" s="17" t="str">
        <f aca="false">IF($C507="","",$N507+$Q507*$R507)</f>
        <v/>
      </c>
      <c r="K507" s="17" t="str">
        <f aca="false">IF($C507="","",$O507+$Q507*$S507)</f>
        <v/>
      </c>
      <c r="L507" s="17" t="str">
        <f aca="false">IF($C507="","",$J507-$K507-1-N($G507))</f>
        <v/>
      </c>
      <c r="M507" s="7" t="str">
        <f aca="false">IF($B507="","",INDEX(Course!$B$2:$B$19,MATCH($B507,Course!$A$2:$A$19,0)))</f>
        <v/>
      </c>
      <c r="N507" s="17" t="str">
        <f aca="false">IF($C507="","",IF($C507="H",0,IF($C507="G",INDEX(Baseline!$I$3:$I$102,MIN(MAX(ROUND($D507,0),1),100)),IF($C507="T",IF($M507=3,INDEX(Baseline!$B$3:$B$122,MATCH(MIN(MAX(ROUND(($D507)/5,0)*5,5),600),Baseline!$A$3:$A$122,0))-Inputs!$B$9,INDEX(Course!$N$2:$N$19,MATCH($B507,Course!$A$2:$A$19,0))),INDEX(Baseline!$B$3:$E$122,MATCH(MIN(MAX(ROUND(($D507)/5,0)*5,5),600),Baseline!$A$3:$A$122,0),MATCH($C507,Baseline!$B$2:$E$2,0))))))</f>
        <v/>
      </c>
      <c r="O507" s="17" t="str">
        <f aca="false">IF($C507="","",IF($E507="H",0,IF($E507="G",INDEX(Baseline!$I$3:$I$102,MIN(MAX(ROUND($F507,0),1),100)),IF($E507="T",IF($M507=3,INDEX(Baseline!$B$3:$B$122,MATCH(MIN(MAX(ROUND(($F507)/5,0)*5,5),600),Baseline!$A$3:$A$122,0))-Inputs!$B$9,INDEX(Course!$N$2:$N$19,MATCH($B507,Course!$A$2:$A$19,0))),INDEX(Baseline!$B$3:$E$122,MATCH(MIN(MAX(ROUND(($F507)/5,0)*5,5),600),Baseline!$A$3:$A$122,0),MATCH($E507,Baseline!$B$2:$E$2,0))))))</f>
        <v/>
      </c>
      <c r="P507" s="17" t="str">
        <f aca="false">IF($B507="","",INDEX(Course!$N$2:$N$19,MATCH($B507,Course!$A$2:$A$19,0)))</f>
        <v/>
      </c>
      <c r="Q507" s="17" t="str">
        <f aca="false">IF($B507="","",INDEX(Course!$P$2:$P$19,MATCH($B507,Course!$A$2:$A$19,0)))</f>
        <v/>
      </c>
      <c r="R507" s="17" t="str">
        <f aca="false">IF($C507="","",IF(OR($C507="G",$C507="H"),0,IF($C507="T",1,MIN(1,MAX(0,($N507-Inputs!$B$8)/MAX($P507-Inputs!$B$8,0.01))))))</f>
        <v/>
      </c>
      <c r="S507" s="17" t="str">
        <f aca="false">IF($C507="","",IF(OR($E507="G",$E507="H"),0,IF($E507="T",1,MIN(1,MAX(0,($O507-Inputs!$B$8)/MAX($P507-Inputs!$B$8,0.01))))))</f>
        <v/>
      </c>
    </row>
    <row r="508" customFormat="false" ht="15" hidden="false" customHeight="false" outlineLevel="0" collapsed="false">
      <c r="I508" s="7" t="str">
        <f aca="false">IF($C508="","",IF($C508="G","PUTT",IF(AND($C508="T",$M508&gt;3),"OTT",IF($D508&lt;=30,"ARG","APP"))))</f>
        <v/>
      </c>
      <c r="J508" s="17" t="str">
        <f aca="false">IF($C508="","",$N508+$Q508*$R508)</f>
        <v/>
      </c>
      <c r="K508" s="17" t="str">
        <f aca="false">IF($C508="","",$O508+$Q508*$S508)</f>
        <v/>
      </c>
      <c r="L508" s="17" t="str">
        <f aca="false">IF($C508="","",$J508-$K508-1-N($G508))</f>
        <v/>
      </c>
      <c r="M508" s="7" t="str">
        <f aca="false">IF($B508="","",INDEX(Course!$B$2:$B$19,MATCH($B508,Course!$A$2:$A$19,0)))</f>
        <v/>
      </c>
      <c r="N508" s="17" t="str">
        <f aca="false">IF($C508="","",IF($C508="H",0,IF($C508="G",INDEX(Baseline!$I$3:$I$102,MIN(MAX(ROUND($D508,0),1),100)),IF($C508="T",IF($M508=3,INDEX(Baseline!$B$3:$B$122,MATCH(MIN(MAX(ROUND(($D508)/5,0)*5,5),600),Baseline!$A$3:$A$122,0))-Inputs!$B$9,INDEX(Course!$N$2:$N$19,MATCH($B508,Course!$A$2:$A$19,0))),INDEX(Baseline!$B$3:$E$122,MATCH(MIN(MAX(ROUND(($D508)/5,0)*5,5),600),Baseline!$A$3:$A$122,0),MATCH($C508,Baseline!$B$2:$E$2,0))))))</f>
        <v/>
      </c>
      <c r="O508" s="17" t="str">
        <f aca="false">IF($C508="","",IF($E508="H",0,IF($E508="G",INDEX(Baseline!$I$3:$I$102,MIN(MAX(ROUND($F508,0),1),100)),IF($E508="T",IF($M508=3,INDEX(Baseline!$B$3:$B$122,MATCH(MIN(MAX(ROUND(($F508)/5,0)*5,5),600),Baseline!$A$3:$A$122,0))-Inputs!$B$9,INDEX(Course!$N$2:$N$19,MATCH($B508,Course!$A$2:$A$19,0))),INDEX(Baseline!$B$3:$E$122,MATCH(MIN(MAX(ROUND(($F508)/5,0)*5,5),600),Baseline!$A$3:$A$122,0),MATCH($E508,Baseline!$B$2:$E$2,0))))))</f>
        <v/>
      </c>
      <c r="P508" s="17" t="str">
        <f aca="false">IF($B508="","",INDEX(Course!$N$2:$N$19,MATCH($B508,Course!$A$2:$A$19,0)))</f>
        <v/>
      </c>
      <c r="Q508" s="17" t="str">
        <f aca="false">IF($B508="","",INDEX(Course!$P$2:$P$19,MATCH($B508,Course!$A$2:$A$19,0)))</f>
        <v/>
      </c>
      <c r="R508" s="17" t="str">
        <f aca="false">IF($C508="","",IF(OR($C508="G",$C508="H"),0,IF($C508="T",1,MIN(1,MAX(0,($N508-Inputs!$B$8)/MAX($P508-Inputs!$B$8,0.01))))))</f>
        <v/>
      </c>
      <c r="S508" s="17" t="str">
        <f aca="false">IF($C508="","",IF(OR($E508="G",$E508="H"),0,IF($E508="T",1,MIN(1,MAX(0,($O508-Inputs!$B$8)/MAX($P508-Inputs!$B$8,0.01))))))</f>
        <v/>
      </c>
    </row>
    <row r="509" customFormat="false" ht="15" hidden="false" customHeight="false" outlineLevel="0" collapsed="false">
      <c r="I509" s="7" t="str">
        <f aca="false">IF($C509="","",IF($C509="G","PUTT",IF(AND($C509="T",$M509&gt;3),"OTT",IF($D509&lt;=30,"ARG","APP"))))</f>
        <v/>
      </c>
      <c r="J509" s="17" t="str">
        <f aca="false">IF($C509="","",$N509+$Q509*$R509)</f>
        <v/>
      </c>
      <c r="K509" s="17" t="str">
        <f aca="false">IF($C509="","",$O509+$Q509*$S509)</f>
        <v/>
      </c>
      <c r="L509" s="17" t="str">
        <f aca="false">IF($C509="","",$J509-$K509-1-N($G509))</f>
        <v/>
      </c>
      <c r="M509" s="7" t="str">
        <f aca="false">IF($B509="","",INDEX(Course!$B$2:$B$19,MATCH($B509,Course!$A$2:$A$19,0)))</f>
        <v/>
      </c>
      <c r="N509" s="17" t="str">
        <f aca="false">IF($C509="","",IF($C509="H",0,IF($C509="G",INDEX(Baseline!$I$3:$I$102,MIN(MAX(ROUND($D509,0),1),100)),IF($C509="T",IF($M509=3,INDEX(Baseline!$B$3:$B$122,MATCH(MIN(MAX(ROUND(($D509)/5,0)*5,5),600),Baseline!$A$3:$A$122,0))-Inputs!$B$9,INDEX(Course!$N$2:$N$19,MATCH($B509,Course!$A$2:$A$19,0))),INDEX(Baseline!$B$3:$E$122,MATCH(MIN(MAX(ROUND(($D509)/5,0)*5,5),600),Baseline!$A$3:$A$122,0),MATCH($C509,Baseline!$B$2:$E$2,0))))))</f>
        <v/>
      </c>
      <c r="O509" s="17" t="str">
        <f aca="false">IF($C509="","",IF($E509="H",0,IF($E509="G",INDEX(Baseline!$I$3:$I$102,MIN(MAX(ROUND($F509,0),1),100)),IF($E509="T",IF($M509=3,INDEX(Baseline!$B$3:$B$122,MATCH(MIN(MAX(ROUND(($F509)/5,0)*5,5),600),Baseline!$A$3:$A$122,0))-Inputs!$B$9,INDEX(Course!$N$2:$N$19,MATCH($B509,Course!$A$2:$A$19,0))),INDEX(Baseline!$B$3:$E$122,MATCH(MIN(MAX(ROUND(($F509)/5,0)*5,5),600),Baseline!$A$3:$A$122,0),MATCH($E509,Baseline!$B$2:$E$2,0))))))</f>
        <v/>
      </c>
      <c r="P509" s="17" t="str">
        <f aca="false">IF($B509="","",INDEX(Course!$N$2:$N$19,MATCH($B509,Course!$A$2:$A$19,0)))</f>
        <v/>
      </c>
      <c r="Q509" s="17" t="str">
        <f aca="false">IF($B509="","",INDEX(Course!$P$2:$P$19,MATCH($B509,Course!$A$2:$A$19,0)))</f>
        <v/>
      </c>
      <c r="R509" s="17" t="str">
        <f aca="false">IF($C509="","",IF(OR($C509="G",$C509="H"),0,IF($C509="T",1,MIN(1,MAX(0,($N509-Inputs!$B$8)/MAX($P509-Inputs!$B$8,0.01))))))</f>
        <v/>
      </c>
      <c r="S509" s="17" t="str">
        <f aca="false">IF($C509="","",IF(OR($E509="G",$E509="H"),0,IF($E509="T",1,MIN(1,MAX(0,($O509-Inputs!$B$8)/MAX($P509-Inputs!$B$8,0.01))))))</f>
        <v/>
      </c>
    </row>
    <row r="510" customFormat="false" ht="15" hidden="false" customHeight="false" outlineLevel="0" collapsed="false">
      <c r="I510" s="7" t="str">
        <f aca="false">IF($C510="","",IF($C510="G","PUTT",IF(AND($C510="T",$M510&gt;3),"OTT",IF($D510&lt;=30,"ARG","APP"))))</f>
        <v/>
      </c>
      <c r="J510" s="17" t="str">
        <f aca="false">IF($C510="","",$N510+$Q510*$R510)</f>
        <v/>
      </c>
      <c r="K510" s="17" t="str">
        <f aca="false">IF($C510="","",$O510+$Q510*$S510)</f>
        <v/>
      </c>
      <c r="L510" s="17" t="str">
        <f aca="false">IF($C510="","",$J510-$K510-1-N($G510))</f>
        <v/>
      </c>
      <c r="M510" s="7" t="str">
        <f aca="false">IF($B510="","",INDEX(Course!$B$2:$B$19,MATCH($B510,Course!$A$2:$A$19,0)))</f>
        <v/>
      </c>
      <c r="N510" s="17" t="str">
        <f aca="false">IF($C510="","",IF($C510="H",0,IF($C510="G",INDEX(Baseline!$I$3:$I$102,MIN(MAX(ROUND($D510,0),1),100)),IF($C510="T",IF($M510=3,INDEX(Baseline!$B$3:$B$122,MATCH(MIN(MAX(ROUND(($D510)/5,0)*5,5),600),Baseline!$A$3:$A$122,0))-Inputs!$B$9,INDEX(Course!$N$2:$N$19,MATCH($B510,Course!$A$2:$A$19,0))),INDEX(Baseline!$B$3:$E$122,MATCH(MIN(MAX(ROUND(($D510)/5,0)*5,5),600),Baseline!$A$3:$A$122,0),MATCH($C510,Baseline!$B$2:$E$2,0))))))</f>
        <v/>
      </c>
      <c r="O510" s="17" t="str">
        <f aca="false">IF($C510="","",IF($E510="H",0,IF($E510="G",INDEX(Baseline!$I$3:$I$102,MIN(MAX(ROUND($F510,0),1),100)),IF($E510="T",IF($M510=3,INDEX(Baseline!$B$3:$B$122,MATCH(MIN(MAX(ROUND(($F510)/5,0)*5,5),600),Baseline!$A$3:$A$122,0))-Inputs!$B$9,INDEX(Course!$N$2:$N$19,MATCH($B510,Course!$A$2:$A$19,0))),INDEX(Baseline!$B$3:$E$122,MATCH(MIN(MAX(ROUND(($F510)/5,0)*5,5),600),Baseline!$A$3:$A$122,0),MATCH($E510,Baseline!$B$2:$E$2,0))))))</f>
        <v/>
      </c>
      <c r="P510" s="17" t="str">
        <f aca="false">IF($B510="","",INDEX(Course!$N$2:$N$19,MATCH($B510,Course!$A$2:$A$19,0)))</f>
        <v/>
      </c>
      <c r="Q510" s="17" t="str">
        <f aca="false">IF($B510="","",INDEX(Course!$P$2:$P$19,MATCH($B510,Course!$A$2:$A$19,0)))</f>
        <v/>
      </c>
      <c r="R510" s="17" t="str">
        <f aca="false">IF($C510="","",IF(OR($C510="G",$C510="H"),0,IF($C510="T",1,MIN(1,MAX(0,($N510-Inputs!$B$8)/MAX($P510-Inputs!$B$8,0.01))))))</f>
        <v/>
      </c>
      <c r="S510" s="17" t="str">
        <f aca="false">IF($C510="","",IF(OR($E510="G",$E510="H"),0,IF($E510="T",1,MIN(1,MAX(0,($O510-Inputs!$B$8)/MAX($P510-Inputs!$B$8,0.01))))))</f>
        <v/>
      </c>
    </row>
    <row r="511" customFormat="false" ht="15" hidden="false" customHeight="false" outlineLevel="0" collapsed="false">
      <c r="I511" s="7" t="str">
        <f aca="false">IF($C511="","",IF($C511="G","PUTT",IF(AND($C511="T",$M511&gt;3),"OTT",IF($D511&lt;=30,"ARG","APP"))))</f>
        <v/>
      </c>
      <c r="J511" s="17" t="str">
        <f aca="false">IF($C511="","",$N511+$Q511*$R511)</f>
        <v/>
      </c>
      <c r="K511" s="17" t="str">
        <f aca="false">IF($C511="","",$O511+$Q511*$S511)</f>
        <v/>
      </c>
      <c r="L511" s="17" t="str">
        <f aca="false">IF($C511="","",$J511-$K511-1-N($G511))</f>
        <v/>
      </c>
      <c r="M511" s="7" t="str">
        <f aca="false">IF($B511="","",INDEX(Course!$B$2:$B$19,MATCH($B511,Course!$A$2:$A$19,0)))</f>
        <v/>
      </c>
      <c r="N511" s="17" t="str">
        <f aca="false">IF($C511="","",IF($C511="H",0,IF($C511="G",INDEX(Baseline!$I$3:$I$102,MIN(MAX(ROUND($D511,0),1),100)),IF($C511="T",IF($M511=3,INDEX(Baseline!$B$3:$B$122,MATCH(MIN(MAX(ROUND(($D511)/5,0)*5,5),600),Baseline!$A$3:$A$122,0))-Inputs!$B$9,INDEX(Course!$N$2:$N$19,MATCH($B511,Course!$A$2:$A$19,0))),INDEX(Baseline!$B$3:$E$122,MATCH(MIN(MAX(ROUND(($D511)/5,0)*5,5),600),Baseline!$A$3:$A$122,0),MATCH($C511,Baseline!$B$2:$E$2,0))))))</f>
        <v/>
      </c>
      <c r="O511" s="17" t="str">
        <f aca="false">IF($C511="","",IF($E511="H",0,IF($E511="G",INDEX(Baseline!$I$3:$I$102,MIN(MAX(ROUND($F511,0),1),100)),IF($E511="T",IF($M511=3,INDEX(Baseline!$B$3:$B$122,MATCH(MIN(MAX(ROUND(($F511)/5,0)*5,5),600),Baseline!$A$3:$A$122,0))-Inputs!$B$9,INDEX(Course!$N$2:$N$19,MATCH($B511,Course!$A$2:$A$19,0))),INDEX(Baseline!$B$3:$E$122,MATCH(MIN(MAX(ROUND(($F511)/5,0)*5,5),600),Baseline!$A$3:$A$122,0),MATCH($E511,Baseline!$B$2:$E$2,0))))))</f>
        <v/>
      </c>
      <c r="P511" s="17" t="str">
        <f aca="false">IF($B511="","",INDEX(Course!$N$2:$N$19,MATCH($B511,Course!$A$2:$A$19,0)))</f>
        <v/>
      </c>
      <c r="Q511" s="17" t="str">
        <f aca="false">IF($B511="","",INDEX(Course!$P$2:$P$19,MATCH($B511,Course!$A$2:$A$19,0)))</f>
        <v/>
      </c>
      <c r="R511" s="17" t="str">
        <f aca="false">IF($C511="","",IF(OR($C511="G",$C511="H"),0,IF($C511="T",1,MIN(1,MAX(0,($N511-Inputs!$B$8)/MAX($P511-Inputs!$B$8,0.01))))))</f>
        <v/>
      </c>
      <c r="S511" s="17" t="str">
        <f aca="false">IF($C511="","",IF(OR($E511="G",$E511="H"),0,IF($E511="T",1,MIN(1,MAX(0,($O511-Inputs!$B$8)/MAX($P511-Inputs!$B$8,0.01))))))</f>
        <v/>
      </c>
    </row>
    <row r="512" customFormat="false" ht="15" hidden="false" customHeight="false" outlineLevel="0" collapsed="false">
      <c r="I512" s="7" t="str">
        <f aca="false">IF($C512="","",IF($C512="G","PUTT",IF(AND($C512="T",$M512&gt;3),"OTT",IF($D512&lt;=30,"ARG","APP"))))</f>
        <v/>
      </c>
      <c r="J512" s="17" t="str">
        <f aca="false">IF($C512="","",$N512+$Q512*$R512)</f>
        <v/>
      </c>
      <c r="K512" s="17" t="str">
        <f aca="false">IF($C512="","",$O512+$Q512*$S512)</f>
        <v/>
      </c>
      <c r="L512" s="17" t="str">
        <f aca="false">IF($C512="","",$J512-$K512-1-N($G512))</f>
        <v/>
      </c>
      <c r="M512" s="7" t="str">
        <f aca="false">IF($B512="","",INDEX(Course!$B$2:$B$19,MATCH($B512,Course!$A$2:$A$19,0)))</f>
        <v/>
      </c>
      <c r="N512" s="17" t="str">
        <f aca="false">IF($C512="","",IF($C512="H",0,IF($C512="G",INDEX(Baseline!$I$3:$I$102,MIN(MAX(ROUND($D512,0),1),100)),IF($C512="T",IF($M512=3,INDEX(Baseline!$B$3:$B$122,MATCH(MIN(MAX(ROUND(($D512)/5,0)*5,5),600),Baseline!$A$3:$A$122,0))-Inputs!$B$9,INDEX(Course!$N$2:$N$19,MATCH($B512,Course!$A$2:$A$19,0))),INDEX(Baseline!$B$3:$E$122,MATCH(MIN(MAX(ROUND(($D512)/5,0)*5,5),600),Baseline!$A$3:$A$122,0),MATCH($C512,Baseline!$B$2:$E$2,0))))))</f>
        <v/>
      </c>
      <c r="O512" s="17" t="str">
        <f aca="false">IF($C512="","",IF($E512="H",0,IF($E512="G",INDEX(Baseline!$I$3:$I$102,MIN(MAX(ROUND($F512,0),1),100)),IF($E512="T",IF($M512=3,INDEX(Baseline!$B$3:$B$122,MATCH(MIN(MAX(ROUND(($F512)/5,0)*5,5),600),Baseline!$A$3:$A$122,0))-Inputs!$B$9,INDEX(Course!$N$2:$N$19,MATCH($B512,Course!$A$2:$A$19,0))),INDEX(Baseline!$B$3:$E$122,MATCH(MIN(MAX(ROUND(($F512)/5,0)*5,5),600),Baseline!$A$3:$A$122,0),MATCH($E512,Baseline!$B$2:$E$2,0))))))</f>
        <v/>
      </c>
      <c r="P512" s="17" t="str">
        <f aca="false">IF($B512="","",INDEX(Course!$N$2:$N$19,MATCH($B512,Course!$A$2:$A$19,0)))</f>
        <v/>
      </c>
      <c r="Q512" s="17" t="str">
        <f aca="false">IF($B512="","",INDEX(Course!$P$2:$P$19,MATCH($B512,Course!$A$2:$A$19,0)))</f>
        <v/>
      </c>
      <c r="R512" s="17" t="str">
        <f aca="false">IF($C512="","",IF(OR($C512="G",$C512="H"),0,IF($C512="T",1,MIN(1,MAX(0,($N512-Inputs!$B$8)/MAX($P512-Inputs!$B$8,0.01))))))</f>
        <v/>
      </c>
      <c r="S512" s="17" t="str">
        <f aca="false">IF($C512="","",IF(OR($E512="G",$E512="H"),0,IF($E512="T",1,MIN(1,MAX(0,($O512-Inputs!$B$8)/MAX($P512-Inputs!$B$8,0.01))))))</f>
        <v/>
      </c>
    </row>
    <row r="513" customFormat="false" ht="15" hidden="false" customHeight="false" outlineLevel="0" collapsed="false">
      <c r="I513" s="7" t="str">
        <f aca="false">IF($C513="","",IF($C513="G","PUTT",IF(AND($C513="T",$M513&gt;3),"OTT",IF($D513&lt;=30,"ARG","APP"))))</f>
        <v/>
      </c>
      <c r="J513" s="17" t="str">
        <f aca="false">IF($C513="","",$N513+$Q513*$R513)</f>
        <v/>
      </c>
      <c r="K513" s="17" t="str">
        <f aca="false">IF($C513="","",$O513+$Q513*$S513)</f>
        <v/>
      </c>
      <c r="L513" s="17" t="str">
        <f aca="false">IF($C513="","",$J513-$K513-1-N($G513))</f>
        <v/>
      </c>
      <c r="M513" s="7" t="str">
        <f aca="false">IF($B513="","",INDEX(Course!$B$2:$B$19,MATCH($B513,Course!$A$2:$A$19,0)))</f>
        <v/>
      </c>
      <c r="N513" s="17" t="str">
        <f aca="false">IF($C513="","",IF($C513="H",0,IF($C513="G",INDEX(Baseline!$I$3:$I$102,MIN(MAX(ROUND($D513,0),1),100)),IF($C513="T",IF($M513=3,INDEX(Baseline!$B$3:$B$122,MATCH(MIN(MAX(ROUND(($D513)/5,0)*5,5),600),Baseline!$A$3:$A$122,0))-Inputs!$B$9,INDEX(Course!$N$2:$N$19,MATCH($B513,Course!$A$2:$A$19,0))),INDEX(Baseline!$B$3:$E$122,MATCH(MIN(MAX(ROUND(($D513)/5,0)*5,5),600),Baseline!$A$3:$A$122,0),MATCH($C513,Baseline!$B$2:$E$2,0))))))</f>
        <v/>
      </c>
      <c r="O513" s="17" t="str">
        <f aca="false">IF($C513="","",IF($E513="H",0,IF($E513="G",INDEX(Baseline!$I$3:$I$102,MIN(MAX(ROUND($F513,0),1),100)),IF($E513="T",IF($M513=3,INDEX(Baseline!$B$3:$B$122,MATCH(MIN(MAX(ROUND(($F513)/5,0)*5,5),600),Baseline!$A$3:$A$122,0))-Inputs!$B$9,INDEX(Course!$N$2:$N$19,MATCH($B513,Course!$A$2:$A$19,0))),INDEX(Baseline!$B$3:$E$122,MATCH(MIN(MAX(ROUND(($F513)/5,0)*5,5),600),Baseline!$A$3:$A$122,0),MATCH($E513,Baseline!$B$2:$E$2,0))))))</f>
        <v/>
      </c>
      <c r="P513" s="17" t="str">
        <f aca="false">IF($B513="","",INDEX(Course!$N$2:$N$19,MATCH($B513,Course!$A$2:$A$19,0)))</f>
        <v/>
      </c>
      <c r="Q513" s="17" t="str">
        <f aca="false">IF($B513="","",INDEX(Course!$P$2:$P$19,MATCH($B513,Course!$A$2:$A$19,0)))</f>
        <v/>
      </c>
      <c r="R513" s="17" t="str">
        <f aca="false">IF($C513="","",IF(OR($C513="G",$C513="H"),0,IF($C513="T",1,MIN(1,MAX(0,($N513-Inputs!$B$8)/MAX($P513-Inputs!$B$8,0.01))))))</f>
        <v/>
      </c>
      <c r="S513" s="17" t="str">
        <f aca="false">IF($C513="","",IF(OR($E513="G",$E513="H"),0,IF($E513="T",1,MIN(1,MAX(0,($O513-Inputs!$B$8)/MAX($P513-Inputs!$B$8,0.01))))))</f>
        <v/>
      </c>
    </row>
    <row r="514" customFormat="false" ht="15" hidden="false" customHeight="false" outlineLevel="0" collapsed="false">
      <c r="I514" s="7" t="str">
        <f aca="false">IF($C514="","",IF($C514="G","PUTT",IF(AND($C514="T",$M514&gt;3),"OTT",IF($D514&lt;=30,"ARG","APP"))))</f>
        <v/>
      </c>
      <c r="J514" s="17" t="str">
        <f aca="false">IF($C514="","",$N514+$Q514*$R514)</f>
        <v/>
      </c>
      <c r="K514" s="17" t="str">
        <f aca="false">IF($C514="","",$O514+$Q514*$S514)</f>
        <v/>
      </c>
      <c r="L514" s="17" t="str">
        <f aca="false">IF($C514="","",$J514-$K514-1-N($G514))</f>
        <v/>
      </c>
      <c r="M514" s="7" t="str">
        <f aca="false">IF($B514="","",INDEX(Course!$B$2:$B$19,MATCH($B514,Course!$A$2:$A$19,0)))</f>
        <v/>
      </c>
      <c r="N514" s="17" t="str">
        <f aca="false">IF($C514="","",IF($C514="H",0,IF($C514="G",INDEX(Baseline!$I$3:$I$102,MIN(MAX(ROUND($D514,0),1),100)),IF($C514="T",IF($M514=3,INDEX(Baseline!$B$3:$B$122,MATCH(MIN(MAX(ROUND(($D514)/5,0)*5,5),600),Baseline!$A$3:$A$122,0))-Inputs!$B$9,INDEX(Course!$N$2:$N$19,MATCH($B514,Course!$A$2:$A$19,0))),INDEX(Baseline!$B$3:$E$122,MATCH(MIN(MAX(ROUND(($D514)/5,0)*5,5),600),Baseline!$A$3:$A$122,0),MATCH($C514,Baseline!$B$2:$E$2,0))))))</f>
        <v/>
      </c>
      <c r="O514" s="17" t="str">
        <f aca="false">IF($C514="","",IF($E514="H",0,IF($E514="G",INDEX(Baseline!$I$3:$I$102,MIN(MAX(ROUND($F514,0),1),100)),IF($E514="T",IF($M514=3,INDEX(Baseline!$B$3:$B$122,MATCH(MIN(MAX(ROUND(($F514)/5,0)*5,5),600),Baseline!$A$3:$A$122,0))-Inputs!$B$9,INDEX(Course!$N$2:$N$19,MATCH($B514,Course!$A$2:$A$19,0))),INDEX(Baseline!$B$3:$E$122,MATCH(MIN(MAX(ROUND(($F514)/5,0)*5,5),600),Baseline!$A$3:$A$122,0),MATCH($E514,Baseline!$B$2:$E$2,0))))))</f>
        <v/>
      </c>
      <c r="P514" s="17" t="str">
        <f aca="false">IF($B514="","",INDEX(Course!$N$2:$N$19,MATCH($B514,Course!$A$2:$A$19,0)))</f>
        <v/>
      </c>
      <c r="Q514" s="17" t="str">
        <f aca="false">IF($B514="","",INDEX(Course!$P$2:$P$19,MATCH($B514,Course!$A$2:$A$19,0)))</f>
        <v/>
      </c>
      <c r="R514" s="17" t="str">
        <f aca="false">IF($C514="","",IF(OR($C514="G",$C514="H"),0,IF($C514="T",1,MIN(1,MAX(0,($N514-Inputs!$B$8)/MAX($P514-Inputs!$B$8,0.01))))))</f>
        <v/>
      </c>
      <c r="S514" s="17" t="str">
        <f aca="false">IF($C514="","",IF(OR($E514="G",$E514="H"),0,IF($E514="T",1,MIN(1,MAX(0,($O514-Inputs!$B$8)/MAX($P514-Inputs!$B$8,0.01))))))</f>
        <v/>
      </c>
    </row>
    <row r="515" customFormat="false" ht="15" hidden="false" customHeight="false" outlineLevel="0" collapsed="false">
      <c r="I515" s="7" t="str">
        <f aca="false">IF($C515="","",IF($C515="G","PUTT",IF(AND($C515="T",$M515&gt;3),"OTT",IF($D515&lt;=30,"ARG","APP"))))</f>
        <v/>
      </c>
      <c r="J515" s="17" t="str">
        <f aca="false">IF($C515="","",$N515+$Q515*$R515)</f>
        <v/>
      </c>
      <c r="K515" s="17" t="str">
        <f aca="false">IF($C515="","",$O515+$Q515*$S515)</f>
        <v/>
      </c>
      <c r="L515" s="17" t="str">
        <f aca="false">IF($C515="","",$J515-$K515-1-N($G515))</f>
        <v/>
      </c>
      <c r="M515" s="7" t="str">
        <f aca="false">IF($B515="","",INDEX(Course!$B$2:$B$19,MATCH($B515,Course!$A$2:$A$19,0)))</f>
        <v/>
      </c>
      <c r="N515" s="17" t="str">
        <f aca="false">IF($C515="","",IF($C515="H",0,IF($C515="G",INDEX(Baseline!$I$3:$I$102,MIN(MAX(ROUND($D515,0),1),100)),IF($C515="T",IF($M515=3,INDEX(Baseline!$B$3:$B$122,MATCH(MIN(MAX(ROUND(($D515)/5,0)*5,5),600),Baseline!$A$3:$A$122,0))-Inputs!$B$9,INDEX(Course!$N$2:$N$19,MATCH($B515,Course!$A$2:$A$19,0))),INDEX(Baseline!$B$3:$E$122,MATCH(MIN(MAX(ROUND(($D515)/5,0)*5,5),600),Baseline!$A$3:$A$122,0),MATCH($C515,Baseline!$B$2:$E$2,0))))))</f>
        <v/>
      </c>
      <c r="O515" s="17" t="str">
        <f aca="false">IF($C515="","",IF($E515="H",0,IF($E515="G",INDEX(Baseline!$I$3:$I$102,MIN(MAX(ROUND($F515,0),1),100)),IF($E515="T",IF($M515=3,INDEX(Baseline!$B$3:$B$122,MATCH(MIN(MAX(ROUND(($F515)/5,0)*5,5),600),Baseline!$A$3:$A$122,0))-Inputs!$B$9,INDEX(Course!$N$2:$N$19,MATCH($B515,Course!$A$2:$A$19,0))),INDEX(Baseline!$B$3:$E$122,MATCH(MIN(MAX(ROUND(($F515)/5,0)*5,5),600),Baseline!$A$3:$A$122,0),MATCH($E515,Baseline!$B$2:$E$2,0))))))</f>
        <v/>
      </c>
      <c r="P515" s="17" t="str">
        <f aca="false">IF($B515="","",INDEX(Course!$N$2:$N$19,MATCH($B515,Course!$A$2:$A$19,0)))</f>
        <v/>
      </c>
      <c r="Q515" s="17" t="str">
        <f aca="false">IF($B515="","",INDEX(Course!$P$2:$P$19,MATCH($B515,Course!$A$2:$A$19,0)))</f>
        <v/>
      </c>
      <c r="R515" s="17" t="str">
        <f aca="false">IF($C515="","",IF(OR($C515="G",$C515="H"),0,IF($C515="T",1,MIN(1,MAX(0,($N515-Inputs!$B$8)/MAX($P515-Inputs!$B$8,0.01))))))</f>
        <v/>
      </c>
      <c r="S515" s="17" t="str">
        <f aca="false">IF($C515="","",IF(OR($E515="G",$E515="H"),0,IF($E515="T",1,MIN(1,MAX(0,($O515-Inputs!$B$8)/MAX($P515-Inputs!$B$8,0.01))))))</f>
        <v/>
      </c>
    </row>
    <row r="516" customFormat="false" ht="15" hidden="false" customHeight="false" outlineLevel="0" collapsed="false">
      <c r="I516" s="7" t="str">
        <f aca="false">IF($C516="","",IF($C516="G","PUTT",IF(AND($C516="T",$M516&gt;3),"OTT",IF($D516&lt;=30,"ARG","APP"))))</f>
        <v/>
      </c>
      <c r="J516" s="17" t="str">
        <f aca="false">IF($C516="","",$N516+$Q516*$R516)</f>
        <v/>
      </c>
      <c r="K516" s="17" t="str">
        <f aca="false">IF($C516="","",$O516+$Q516*$S516)</f>
        <v/>
      </c>
      <c r="L516" s="17" t="str">
        <f aca="false">IF($C516="","",$J516-$K516-1-N($G516))</f>
        <v/>
      </c>
      <c r="M516" s="7" t="str">
        <f aca="false">IF($B516="","",INDEX(Course!$B$2:$B$19,MATCH($B516,Course!$A$2:$A$19,0)))</f>
        <v/>
      </c>
      <c r="N516" s="17" t="str">
        <f aca="false">IF($C516="","",IF($C516="H",0,IF($C516="G",INDEX(Baseline!$I$3:$I$102,MIN(MAX(ROUND($D516,0),1),100)),IF($C516="T",IF($M516=3,INDEX(Baseline!$B$3:$B$122,MATCH(MIN(MAX(ROUND(($D516)/5,0)*5,5),600),Baseline!$A$3:$A$122,0))-Inputs!$B$9,INDEX(Course!$N$2:$N$19,MATCH($B516,Course!$A$2:$A$19,0))),INDEX(Baseline!$B$3:$E$122,MATCH(MIN(MAX(ROUND(($D516)/5,0)*5,5),600),Baseline!$A$3:$A$122,0),MATCH($C516,Baseline!$B$2:$E$2,0))))))</f>
        <v/>
      </c>
      <c r="O516" s="17" t="str">
        <f aca="false">IF($C516="","",IF($E516="H",0,IF($E516="G",INDEX(Baseline!$I$3:$I$102,MIN(MAX(ROUND($F516,0),1),100)),IF($E516="T",IF($M516=3,INDEX(Baseline!$B$3:$B$122,MATCH(MIN(MAX(ROUND(($F516)/5,0)*5,5),600),Baseline!$A$3:$A$122,0))-Inputs!$B$9,INDEX(Course!$N$2:$N$19,MATCH($B516,Course!$A$2:$A$19,0))),INDEX(Baseline!$B$3:$E$122,MATCH(MIN(MAX(ROUND(($F516)/5,0)*5,5),600),Baseline!$A$3:$A$122,0),MATCH($E516,Baseline!$B$2:$E$2,0))))))</f>
        <v/>
      </c>
      <c r="P516" s="17" t="str">
        <f aca="false">IF($B516="","",INDEX(Course!$N$2:$N$19,MATCH($B516,Course!$A$2:$A$19,0)))</f>
        <v/>
      </c>
      <c r="Q516" s="17" t="str">
        <f aca="false">IF($B516="","",INDEX(Course!$P$2:$P$19,MATCH($B516,Course!$A$2:$A$19,0)))</f>
        <v/>
      </c>
      <c r="R516" s="17" t="str">
        <f aca="false">IF($C516="","",IF(OR($C516="G",$C516="H"),0,IF($C516="T",1,MIN(1,MAX(0,($N516-Inputs!$B$8)/MAX($P516-Inputs!$B$8,0.01))))))</f>
        <v/>
      </c>
      <c r="S516" s="17" t="str">
        <f aca="false">IF($C516="","",IF(OR($E516="G",$E516="H"),0,IF($E516="T",1,MIN(1,MAX(0,($O516-Inputs!$B$8)/MAX($P516-Inputs!$B$8,0.01))))))</f>
        <v/>
      </c>
    </row>
    <row r="517" customFormat="false" ht="15" hidden="false" customHeight="false" outlineLevel="0" collapsed="false">
      <c r="I517" s="7" t="str">
        <f aca="false">IF($C517="","",IF($C517="G","PUTT",IF(AND($C517="T",$M517&gt;3),"OTT",IF($D517&lt;=30,"ARG","APP"))))</f>
        <v/>
      </c>
      <c r="J517" s="17" t="str">
        <f aca="false">IF($C517="","",$N517+$Q517*$R517)</f>
        <v/>
      </c>
      <c r="K517" s="17" t="str">
        <f aca="false">IF($C517="","",$O517+$Q517*$S517)</f>
        <v/>
      </c>
      <c r="L517" s="17" t="str">
        <f aca="false">IF($C517="","",$J517-$K517-1-N($G517))</f>
        <v/>
      </c>
      <c r="M517" s="7" t="str">
        <f aca="false">IF($B517="","",INDEX(Course!$B$2:$B$19,MATCH($B517,Course!$A$2:$A$19,0)))</f>
        <v/>
      </c>
      <c r="N517" s="17" t="str">
        <f aca="false">IF($C517="","",IF($C517="H",0,IF($C517="G",INDEX(Baseline!$I$3:$I$102,MIN(MAX(ROUND($D517,0),1),100)),IF($C517="T",IF($M517=3,INDEX(Baseline!$B$3:$B$122,MATCH(MIN(MAX(ROUND(($D517)/5,0)*5,5),600),Baseline!$A$3:$A$122,0))-Inputs!$B$9,INDEX(Course!$N$2:$N$19,MATCH($B517,Course!$A$2:$A$19,0))),INDEX(Baseline!$B$3:$E$122,MATCH(MIN(MAX(ROUND(($D517)/5,0)*5,5),600),Baseline!$A$3:$A$122,0),MATCH($C517,Baseline!$B$2:$E$2,0))))))</f>
        <v/>
      </c>
      <c r="O517" s="17" t="str">
        <f aca="false">IF($C517="","",IF($E517="H",0,IF($E517="G",INDEX(Baseline!$I$3:$I$102,MIN(MAX(ROUND($F517,0),1),100)),IF($E517="T",IF($M517=3,INDEX(Baseline!$B$3:$B$122,MATCH(MIN(MAX(ROUND(($F517)/5,0)*5,5),600),Baseline!$A$3:$A$122,0))-Inputs!$B$9,INDEX(Course!$N$2:$N$19,MATCH($B517,Course!$A$2:$A$19,0))),INDEX(Baseline!$B$3:$E$122,MATCH(MIN(MAX(ROUND(($F517)/5,0)*5,5),600),Baseline!$A$3:$A$122,0),MATCH($E517,Baseline!$B$2:$E$2,0))))))</f>
        <v/>
      </c>
      <c r="P517" s="17" t="str">
        <f aca="false">IF($B517="","",INDEX(Course!$N$2:$N$19,MATCH($B517,Course!$A$2:$A$19,0)))</f>
        <v/>
      </c>
      <c r="Q517" s="17" t="str">
        <f aca="false">IF($B517="","",INDEX(Course!$P$2:$P$19,MATCH($B517,Course!$A$2:$A$19,0)))</f>
        <v/>
      </c>
      <c r="R517" s="17" t="str">
        <f aca="false">IF($C517="","",IF(OR($C517="G",$C517="H"),0,IF($C517="T",1,MIN(1,MAX(0,($N517-Inputs!$B$8)/MAX($P517-Inputs!$B$8,0.01))))))</f>
        <v/>
      </c>
      <c r="S517" s="17" t="str">
        <f aca="false">IF($C517="","",IF(OR($E517="G",$E517="H"),0,IF($E517="T",1,MIN(1,MAX(0,($O517-Inputs!$B$8)/MAX($P517-Inputs!$B$8,0.01))))))</f>
        <v/>
      </c>
    </row>
    <row r="518" customFormat="false" ht="15" hidden="false" customHeight="false" outlineLevel="0" collapsed="false">
      <c r="I518" s="7" t="str">
        <f aca="false">IF($C518="","",IF($C518="G","PUTT",IF(AND($C518="T",$M518&gt;3),"OTT",IF($D518&lt;=30,"ARG","APP"))))</f>
        <v/>
      </c>
      <c r="J518" s="17" t="str">
        <f aca="false">IF($C518="","",$N518+$Q518*$R518)</f>
        <v/>
      </c>
      <c r="K518" s="17" t="str">
        <f aca="false">IF($C518="","",$O518+$Q518*$S518)</f>
        <v/>
      </c>
      <c r="L518" s="17" t="str">
        <f aca="false">IF($C518="","",$J518-$K518-1-N($G518))</f>
        <v/>
      </c>
      <c r="M518" s="7" t="str">
        <f aca="false">IF($B518="","",INDEX(Course!$B$2:$B$19,MATCH($B518,Course!$A$2:$A$19,0)))</f>
        <v/>
      </c>
      <c r="N518" s="17" t="str">
        <f aca="false">IF($C518="","",IF($C518="H",0,IF($C518="G",INDEX(Baseline!$I$3:$I$102,MIN(MAX(ROUND($D518,0),1),100)),IF($C518="T",IF($M518=3,INDEX(Baseline!$B$3:$B$122,MATCH(MIN(MAX(ROUND(($D518)/5,0)*5,5),600),Baseline!$A$3:$A$122,0))-Inputs!$B$9,INDEX(Course!$N$2:$N$19,MATCH($B518,Course!$A$2:$A$19,0))),INDEX(Baseline!$B$3:$E$122,MATCH(MIN(MAX(ROUND(($D518)/5,0)*5,5),600),Baseline!$A$3:$A$122,0),MATCH($C518,Baseline!$B$2:$E$2,0))))))</f>
        <v/>
      </c>
      <c r="O518" s="17" t="str">
        <f aca="false">IF($C518="","",IF($E518="H",0,IF($E518="G",INDEX(Baseline!$I$3:$I$102,MIN(MAX(ROUND($F518,0),1),100)),IF($E518="T",IF($M518=3,INDEX(Baseline!$B$3:$B$122,MATCH(MIN(MAX(ROUND(($F518)/5,0)*5,5),600),Baseline!$A$3:$A$122,0))-Inputs!$B$9,INDEX(Course!$N$2:$N$19,MATCH($B518,Course!$A$2:$A$19,0))),INDEX(Baseline!$B$3:$E$122,MATCH(MIN(MAX(ROUND(($F518)/5,0)*5,5),600),Baseline!$A$3:$A$122,0),MATCH($E518,Baseline!$B$2:$E$2,0))))))</f>
        <v/>
      </c>
      <c r="P518" s="17" t="str">
        <f aca="false">IF($B518="","",INDEX(Course!$N$2:$N$19,MATCH($B518,Course!$A$2:$A$19,0)))</f>
        <v/>
      </c>
      <c r="Q518" s="17" t="str">
        <f aca="false">IF($B518="","",INDEX(Course!$P$2:$P$19,MATCH($B518,Course!$A$2:$A$19,0)))</f>
        <v/>
      </c>
      <c r="R518" s="17" t="str">
        <f aca="false">IF($C518="","",IF(OR($C518="G",$C518="H"),0,IF($C518="T",1,MIN(1,MAX(0,($N518-Inputs!$B$8)/MAX($P518-Inputs!$B$8,0.01))))))</f>
        <v/>
      </c>
      <c r="S518" s="17" t="str">
        <f aca="false">IF($C518="","",IF(OR($E518="G",$E518="H"),0,IF($E518="T",1,MIN(1,MAX(0,($O518-Inputs!$B$8)/MAX($P518-Inputs!$B$8,0.01))))))</f>
        <v/>
      </c>
    </row>
    <row r="519" customFormat="false" ht="15" hidden="false" customHeight="false" outlineLevel="0" collapsed="false">
      <c r="I519" s="7" t="str">
        <f aca="false">IF($C519="","",IF($C519="G","PUTT",IF(AND($C519="T",$M519&gt;3),"OTT",IF($D519&lt;=30,"ARG","APP"))))</f>
        <v/>
      </c>
      <c r="J519" s="17" t="str">
        <f aca="false">IF($C519="","",$N519+$Q519*$R519)</f>
        <v/>
      </c>
      <c r="K519" s="17" t="str">
        <f aca="false">IF($C519="","",$O519+$Q519*$S519)</f>
        <v/>
      </c>
      <c r="L519" s="17" t="str">
        <f aca="false">IF($C519="","",$J519-$K519-1-N($G519))</f>
        <v/>
      </c>
      <c r="M519" s="7" t="str">
        <f aca="false">IF($B519="","",INDEX(Course!$B$2:$B$19,MATCH($B519,Course!$A$2:$A$19,0)))</f>
        <v/>
      </c>
      <c r="N519" s="17" t="str">
        <f aca="false">IF($C519="","",IF($C519="H",0,IF($C519="G",INDEX(Baseline!$I$3:$I$102,MIN(MAX(ROUND($D519,0),1),100)),IF($C519="T",IF($M519=3,INDEX(Baseline!$B$3:$B$122,MATCH(MIN(MAX(ROUND(($D519)/5,0)*5,5),600),Baseline!$A$3:$A$122,0))-Inputs!$B$9,INDEX(Course!$N$2:$N$19,MATCH($B519,Course!$A$2:$A$19,0))),INDEX(Baseline!$B$3:$E$122,MATCH(MIN(MAX(ROUND(($D519)/5,0)*5,5),600),Baseline!$A$3:$A$122,0),MATCH($C519,Baseline!$B$2:$E$2,0))))))</f>
        <v/>
      </c>
      <c r="O519" s="17" t="str">
        <f aca="false">IF($C519="","",IF($E519="H",0,IF($E519="G",INDEX(Baseline!$I$3:$I$102,MIN(MAX(ROUND($F519,0),1),100)),IF($E519="T",IF($M519=3,INDEX(Baseline!$B$3:$B$122,MATCH(MIN(MAX(ROUND(($F519)/5,0)*5,5),600),Baseline!$A$3:$A$122,0))-Inputs!$B$9,INDEX(Course!$N$2:$N$19,MATCH($B519,Course!$A$2:$A$19,0))),INDEX(Baseline!$B$3:$E$122,MATCH(MIN(MAX(ROUND(($F519)/5,0)*5,5),600),Baseline!$A$3:$A$122,0),MATCH($E519,Baseline!$B$2:$E$2,0))))))</f>
        <v/>
      </c>
      <c r="P519" s="17" t="str">
        <f aca="false">IF($B519="","",INDEX(Course!$N$2:$N$19,MATCH($B519,Course!$A$2:$A$19,0)))</f>
        <v/>
      </c>
      <c r="Q519" s="17" t="str">
        <f aca="false">IF($B519="","",INDEX(Course!$P$2:$P$19,MATCH($B519,Course!$A$2:$A$19,0)))</f>
        <v/>
      </c>
      <c r="R519" s="17" t="str">
        <f aca="false">IF($C519="","",IF(OR($C519="G",$C519="H"),0,IF($C519="T",1,MIN(1,MAX(0,($N519-Inputs!$B$8)/MAX($P519-Inputs!$B$8,0.01))))))</f>
        <v/>
      </c>
      <c r="S519" s="17" t="str">
        <f aca="false">IF($C519="","",IF(OR($E519="G",$E519="H"),0,IF($E519="T",1,MIN(1,MAX(0,($O519-Inputs!$B$8)/MAX($P519-Inputs!$B$8,0.01))))))</f>
        <v/>
      </c>
    </row>
    <row r="520" customFormat="false" ht="15" hidden="false" customHeight="false" outlineLevel="0" collapsed="false">
      <c r="I520" s="7" t="str">
        <f aca="false">IF($C520="","",IF($C520="G","PUTT",IF(AND($C520="T",$M520&gt;3),"OTT",IF($D520&lt;=30,"ARG","APP"))))</f>
        <v/>
      </c>
      <c r="J520" s="17" t="str">
        <f aca="false">IF($C520="","",$N520+$Q520*$R520)</f>
        <v/>
      </c>
      <c r="K520" s="17" t="str">
        <f aca="false">IF($C520="","",$O520+$Q520*$S520)</f>
        <v/>
      </c>
      <c r="L520" s="17" t="str">
        <f aca="false">IF($C520="","",$J520-$K520-1-N($G520))</f>
        <v/>
      </c>
      <c r="M520" s="7" t="str">
        <f aca="false">IF($B520="","",INDEX(Course!$B$2:$B$19,MATCH($B520,Course!$A$2:$A$19,0)))</f>
        <v/>
      </c>
      <c r="N520" s="17" t="str">
        <f aca="false">IF($C520="","",IF($C520="H",0,IF($C520="G",INDEX(Baseline!$I$3:$I$102,MIN(MAX(ROUND($D520,0),1),100)),IF($C520="T",IF($M520=3,INDEX(Baseline!$B$3:$B$122,MATCH(MIN(MAX(ROUND(($D520)/5,0)*5,5),600),Baseline!$A$3:$A$122,0))-Inputs!$B$9,INDEX(Course!$N$2:$N$19,MATCH($B520,Course!$A$2:$A$19,0))),INDEX(Baseline!$B$3:$E$122,MATCH(MIN(MAX(ROUND(($D520)/5,0)*5,5),600),Baseline!$A$3:$A$122,0),MATCH($C520,Baseline!$B$2:$E$2,0))))))</f>
        <v/>
      </c>
      <c r="O520" s="17" t="str">
        <f aca="false">IF($C520="","",IF($E520="H",0,IF($E520="G",INDEX(Baseline!$I$3:$I$102,MIN(MAX(ROUND($F520,0),1),100)),IF($E520="T",IF($M520=3,INDEX(Baseline!$B$3:$B$122,MATCH(MIN(MAX(ROUND(($F520)/5,0)*5,5),600),Baseline!$A$3:$A$122,0))-Inputs!$B$9,INDEX(Course!$N$2:$N$19,MATCH($B520,Course!$A$2:$A$19,0))),INDEX(Baseline!$B$3:$E$122,MATCH(MIN(MAX(ROUND(($F520)/5,0)*5,5),600),Baseline!$A$3:$A$122,0),MATCH($E520,Baseline!$B$2:$E$2,0))))))</f>
        <v/>
      </c>
      <c r="P520" s="17" t="str">
        <f aca="false">IF($B520="","",INDEX(Course!$N$2:$N$19,MATCH($B520,Course!$A$2:$A$19,0)))</f>
        <v/>
      </c>
      <c r="Q520" s="17" t="str">
        <f aca="false">IF($B520="","",INDEX(Course!$P$2:$P$19,MATCH($B520,Course!$A$2:$A$19,0)))</f>
        <v/>
      </c>
      <c r="R520" s="17" t="str">
        <f aca="false">IF($C520="","",IF(OR($C520="G",$C520="H"),0,IF($C520="T",1,MIN(1,MAX(0,($N520-Inputs!$B$8)/MAX($P520-Inputs!$B$8,0.01))))))</f>
        <v/>
      </c>
      <c r="S520" s="17" t="str">
        <f aca="false">IF($C520="","",IF(OR($E520="G",$E520="H"),0,IF($E520="T",1,MIN(1,MAX(0,($O520-Inputs!$B$8)/MAX($P520-Inputs!$B$8,0.01))))))</f>
        <v/>
      </c>
    </row>
    <row r="521" customFormat="false" ht="15" hidden="false" customHeight="false" outlineLevel="0" collapsed="false">
      <c r="I521" s="7" t="str">
        <f aca="false">IF($C521="","",IF($C521="G","PUTT",IF(AND($C521="T",$M521&gt;3),"OTT",IF($D521&lt;=30,"ARG","APP"))))</f>
        <v/>
      </c>
      <c r="J521" s="17" t="str">
        <f aca="false">IF($C521="","",$N521+$Q521*$R521)</f>
        <v/>
      </c>
      <c r="K521" s="17" t="str">
        <f aca="false">IF($C521="","",$O521+$Q521*$S521)</f>
        <v/>
      </c>
      <c r="L521" s="17" t="str">
        <f aca="false">IF($C521="","",$J521-$K521-1-N($G521))</f>
        <v/>
      </c>
      <c r="M521" s="7" t="str">
        <f aca="false">IF($B521="","",INDEX(Course!$B$2:$B$19,MATCH($B521,Course!$A$2:$A$19,0)))</f>
        <v/>
      </c>
      <c r="N521" s="17" t="str">
        <f aca="false">IF($C521="","",IF($C521="H",0,IF($C521="G",INDEX(Baseline!$I$3:$I$102,MIN(MAX(ROUND($D521,0),1),100)),IF($C521="T",IF($M521=3,INDEX(Baseline!$B$3:$B$122,MATCH(MIN(MAX(ROUND(($D521)/5,0)*5,5),600),Baseline!$A$3:$A$122,0))-Inputs!$B$9,INDEX(Course!$N$2:$N$19,MATCH($B521,Course!$A$2:$A$19,0))),INDEX(Baseline!$B$3:$E$122,MATCH(MIN(MAX(ROUND(($D521)/5,0)*5,5),600),Baseline!$A$3:$A$122,0),MATCH($C521,Baseline!$B$2:$E$2,0))))))</f>
        <v/>
      </c>
      <c r="O521" s="17" t="str">
        <f aca="false">IF($C521="","",IF($E521="H",0,IF($E521="G",INDEX(Baseline!$I$3:$I$102,MIN(MAX(ROUND($F521,0),1),100)),IF($E521="T",IF($M521=3,INDEX(Baseline!$B$3:$B$122,MATCH(MIN(MAX(ROUND(($F521)/5,0)*5,5),600),Baseline!$A$3:$A$122,0))-Inputs!$B$9,INDEX(Course!$N$2:$N$19,MATCH($B521,Course!$A$2:$A$19,0))),INDEX(Baseline!$B$3:$E$122,MATCH(MIN(MAX(ROUND(($F521)/5,0)*5,5),600),Baseline!$A$3:$A$122,0),MATCH($E521,Baseline!$B$2:$E$2,0))))))</f>
        <v/>
      </c>
      <c r="P521" s="17" t="str">
        <f aca="false">IF($B521="","",INDEX(Course!$N$2:$N$19,MATCH($B521,Course!$A$2:$A$19,0)))</f>
        <v/>
      </c>
      <c r="Q521" s="17" t="str">
        <f aca="false">IF($B521="","",INDEX(Course!$P$2:$P$19,MATCH($B521,Course!$A$2:$A$19,0)))</f>
        <v/>
      </c>
      <c r="R521" s="17" t="str">
        <f aca="false">IF($C521="","",IF(OR($C521="G",$C521="H"),0,IF($C521="T",1,MIN(1,MAX(0,($N521-Inputs!$B$8)/MAX($P521-Inputs!$B$8,0.01))))))</f>
        <v/>
      </c>
      <c r="S521" s="17" t="str">
        <f aca="false">IF($C521="","",IF(OR($E521="G",$E521="H"),0,IF($E521="T",1,MIN(1,MAX(0,($O521-Inputs!$B$8)/MAX($P521-Inputs!$B$8,0.01))))))</f>
        <v/>
      </c>
    </row>
    <row r="522" customFormat="false" ht="15" hidden="false" customHeight="false" outlineLevel="0" collapsed="false">
      <c r="I522" s="7" t="str">
        <f aca="false">IF($C522="","",IF($C522="G","PUTT",IF(AND($C522="T",$M522&gt;3),"OTT",IF($D522&lt;=30,"ARG","APP"))))</f>
        <v/>
      </c>
      <c r="J522" s="17" t="str">
        <f aca="false">IF($C522="","",$N522+$Q522*$R522)</f>
        <v/>
      </c>
      <c r="K522" s="17" t="str">
        <f aca="false">IF($C522="","",$O522+$Q522*$S522)</f>
        <v/>
      </c>
      <c r="L522" s="17" t="str">
        <f aca="false">IF($C522="","",$J522-$K522-1-N($G522))</f>
        <v/>
      </c>
      <c r="M522" s="7" t="str">
        <f aca="false">IF($B522="","",INDEX(Course!$B$2:$B$19,MATCH($B522,Course!$A$2:$A$19,0)))</f>
        <v/>
      </c>
      <c r="N522" s="17" t="str">
        <f aca="false">IF($C522="","",IF($C522="H",0,IF($C522="G",INDEX(Baseline!$I$3:$I$102,MIN(MAX(ROUND($D522,0),1),100)),IF($C522="T",IF($M522=3,INDEX(Baseline!$B$3:$B$122,MATCH(MIN(MAX(ROUND(($D522)/5,0)*5,5),600),Baseline!$A$3:$A$122,0))-Inputs!$B$9,INDEX(Course!$N$2:$N$19,MATCH($B522,Course!$A$2:$A$19,0))),INDEX(Baseline!$B$3:$E$122,MATCH(MIN(MAX(ROUND(($D522)/5,0)*5,5),600),Baseline!$A$3:$A$122,0),MATCH($C522,Baseline!$B$2:$E$2,0))))))</f>
        <v/>
      </c>
      <c r="O522" s="17" t="str">
        <f aca="false">IF($C522="","",IF($E522="H",0,IF($E522="G",INDEX(Baseline!$I$3:$I$102,MIN(MAX(ROUND($F522,0),1),100)),IF($E522="T",IF($M522=3,INDEX(Baseline!$B$3:$B$122,MATCH(MIN(MAX(ROUND(($F522)/5,0)*5,5),600),Baseline!$A$3:$A$122,0))-Inputs!$B$9,INDEX(Course!$N$2:$N$19,MATCH($B522,Course!$A$2:$A$19,0))),INDEX(Baseline!$B$3:$E$122,MATCH(MIN(MAX(ROUND(($F522)/5,0)*5,5),600),Baseline!$A$3:$A$122,0),MATCH($E522,Baseline!$B$2:$E$2,0))))))</f>
        <v/>
      </c>
      <c r="P522" s="17" t="str">
        <f aca="false">IF($B522="","",INDEX(Course!$N$2:$N$19,MATCH($B522,Course!$A$2:$A$19,0)))</f>
        <v/>
      </c>
      <c r="Q522" s="17" t="str">
        <f aca="false">IF($B522="","",INDEX(Course!$P$2:$P$19,MATCH($B522,Course!$A$2:$A$19,0)))</f>
        <v/>
      </c>
      <c r="R522" s="17" t="str">
        <f aca="false">IF($C522="","",IF(OR($C522="G",$C522="H"),0,IF($C522="T",1,MIN(1,MAX(0,($N522-Inputs!$B$8)/MAX($P522-Inputs!$B$8,0.01))))))</f>
        <v/>
      </c>
      <c r="S522" s="17" t="str">
        <f aca="false">IF($C522="","",IF(OR($E522="G",$E522="H"),0,IF($E522="T",1,MIN(1,MAX(0,($O522-Inputs!$B$8)/MAX($P522-Inputs!$B$8,0.01))))))</f>
        <v/>
      </c>
    </row>
    <row r="523" customFormat="false" ht="15" hidden="false" customHeight="false" outlineLevel="0" collapsed="false">
      <c r="I523" s="7" t="str">
        <f aca="false">IF($C523="","",IF($C523="G","PUTT",IF(AND($C523="T",$M523&gt;3),"OTT",IF($D523&lt;=30,"ARG","APP"))))</f>
        <v/>
      </c>
      <c r="J523" s="17" t="str">
        <f aca="false">IF($C523="","",$N523+$Q523*$R523)</f>
        <v/>
      </c>
      <c r="K523" s="17" t="str">
        <f aca="false">IF($C523="","",$O523+$Q523*$S523)</f>
        <v/>
      </c>
      <c r="L523" s="17" t="str">
        <f aca="false">IF($C523="","",$J523-$K523-1-N($G523))</f>
        <v/>
      </c>
      <c r="M523" s="7" t="str">
        <f aca="false">IF($B523="","",INDEX(Course!$B$2:$B$19,MATCH($B523,Course!$A$2:$A$19,0)))</f>
        <v/>
      </c>
      <c r="N523" s="17" t="str">
        <f aca="false">IF($C523="","",IF($C523="H",0,IF($C523="G",INDEX(Baseline!$I$3:$I$102,MIN(MAX(ROUND($D523,0),1),100)),IF($C523="T",IF($M523=3,INDEX(Baseline!$B$3:$B$122,MATCH(MIN(MAX(ROUND(($D523)/5,0)*5,5),600),Baseline!$A$3:$A$122,0))-Inputs!$B$9,INDEX(Course!$N$2:$N$19,MATCH($B523,Course!$A$2:$A$19,0))),INDEX(Baseline!$B$3:$E$122,MATCH(MIN(MAX(ROUND(($D523)/5,0)*5,5),600),Baseline!$A$3:$A$122,0),MATCH($C523,Baseline!$B$2:$E$2,0))))))</f>
        <v/>
      </c>
      <c r="O523" s="17" t="str">
        <f aca="false">IF($C523="","",IF($E523="H",0,IF($E523="G",INDEX(Baseline!$I$3:$I$102,MIN(MAX(ROUND($F523,0),1),100)),IF($E523="T",IF($M523=3,INDEX(Baseline!$B$3:$B$122,MATCH(MIN(MAX(ROUND(($F523)/5,0)*5,5),600),Baseline!$A$3:$A$122,0))-Inputs!$B$9,INDEX(Course!$N$2:$N$19,MATCH($B523,Course!$A$2:$A$19,0))),INDEX(Baseline!$B$3:$E$122,MATCH(MIN(MAX(ROUND(($F523)/5,0)*5,5),600),Baseline!$A$3:$A$122,0),MATCH($E523,Baseline!$B$2:$E$2,0))))))</f>
        <v/>
      </c>
      <c r="P523" s="17" t="str">
        <f aca="false">IF($B523="","",INDEX(Course!$N$2:$N$19,MATCH($B523,Course!$A$2:$A$19,0)))</f>
        <v/>
      </c>
      <c r="Q523" s="17" t="str">
        <f aca="false">IF($B523="","",INDEX(Course!$P$2:$P$19,MATCH($B523,Course!$A$2:$A$19,0)))</f>
        <v/>
      </c>
      <c r="R523" s="17" t="str">
        <f aca="false">IF($C523="","",IF(OR($C523="G",$C523="H"),0,IF($C523="T",1,MIN(1,MAX(0,($N523-Inputs!$B$8)/MAX($P523-Inputs!$B$8,0.01))))))</f>
        <v/>
      </c>
      <c r="S523" s="17" t="str">
        <f aca="false">IF($C523="","",IF(OR($E523="G",$E523="H"),0,IF($E523="T",1,MIN(1,MAX(0,($O523-Inputs!$B$8)/MAX($P523-Inputs!$B$8,0.01))))))</f>
        <v/>
      </c>
    </row>
    <row r="524" customFormat="false" ht="15" hidden="false" customHeight="false" outlineLevel="0" collapsed="false">
      <c r="I524" s="7" t="str">
        <f aca="false">IF($C524="","",IF($C524="G","PUTT",IF(AND($C524="T",$M524&gt;3),"OTT",IF($D524&lt;=30,"ARG","APP"))))</f>
        <v/>
      </c>
      <c r="J524" s="17" t="str">
        <f aca="false">IF($C524="","",$N524+$Q524*$R524)</f>
        <v/>
      </c>
      <c r="K524" s="17" t="str">
        <f aca="false">IF($C524="","",$O524+$Q524*$S524)</f>
        <v/>
      </c>
      <c r="L524" s="17" t="str">
        <f aca="false">IF($C524="","",$J524-$K524-1-N($G524))</f>
        <v/>
      </c>
      <c r="M524" s="7" t="str">
        <f aca="false">IF($B524="","",INDEX(Course!$B$2:$B$19,MATCH($B524,Course!$A$2:$A$19,0)))</f>
        <v/>
      </c>
      <c r="N524" s="17" t="str">
        <f aca="false">IF($C524="","",IF($C524="H",0,IF($C524="G",INDEX(Baseline!$I$3:$I$102,MIN(MAX(ROUND($D524,0),1),100)),IF($C524="T",IF($M524=3,INDEX(Baseline!$B$3:$B$122,MATCH(MIN(MAX(ROUND(($D524)/5,0)*5,5),600),Baseline!$A$3:$A$122,0))-Inputs!$B$9,INDEX(Course!$N$2:$N$19,MATCH($B524,Course!$A$2:$A$19,0))),INDEX(Baseline!$B$3:$E$122,MATCH(MIN(MAX(ROUND(($D524)/5,0)*5,5),600),Baseline!$A$3:$A$122,0),MATCH($C524,Baseline!$B$2:$E$2,0))))))</f>
        <v/>
      </c>
      <c r="O524" s="17" t="str">
        <f aca="false">IF($C524="","",IF($E524="H",0,IF($E524="G",INDEX(Baseline!$I$3:$I$102,MIN(MAX(ROUND($F524,0),1),100)),IF($E524="T",IF($M524=3,INDEX(Baseline!$B$3:$B$122,MATCH(MIN(MAX(ROUND(($F524)/5,0)*5,5),600),Baseline!$A$3:$A$122,0))-Inputs!$B$9,INDEX(Course!$N$2:$N$19,MATCH($B524,Course!$A$2:$A$19,0))),INDEX(Baseline!$B$3:$E$122,MATCH(MIN(MAX(ROUND(($F524)/5,0)*5,5),600),Baseline!$A$3:$A$122,0),MATCH($E524,Baseline!$B$2:$E$2,0))))))</f>
        <v/>
      </c>
      <c r="P524" s="17" t="str">
        <f aca="false">IF($B524="","",INDEX(Course!$N$2:$N$19,MATCH($B524,Course!$A$2:$A$19,0)))</f>
        <v/>
      </c>
      <c r="Q524" s="17" t="str">
        <f aca="false">IF($B524="","",INDEX(Course!$P$2:$P$19,MATCH($B524,Course!$A$2:$A$19,0)))</f>
        <v/>
      </c>
      <c r="R524" s="17" t="str">
        <f aca="false">IF($C524="","",IF(OR($C524="G",$C524="H"),0,IF($C524="T",1,MIN(1,MAX(0,($N524-Inputs!$B$8)/MAX($P524-Inputs!$B$8,0.01))))))</f>
        <v/>
      </c>
      <c r="S524" s="17" t="str">
        <f aca="false">IF($C524="","",IF(OR($E524="G",$E524="H"),0,IF($E524="T",1,MIN(1,MAX(0,($O524-Inputs!$B$8)/MAX($P524-Inputs!$B$8,0.01))))))</f>
        <v/>
      </c>
    </row>
    <row r="525" customFormat="false" ht="15" hidden="false" customHeight="false" outlineLevel="0" collapsed="false">
      <c r="I525" s="7" t="str">
        <f aca="false">IF($C525="","",IF($C525="G","PUTT",IF(AND($C525="T",$M525&gt;3),"OTT",IF($D525&lt;=30,"ARG","APP"))))</f>
        <v/>
      </c>
      <c r="J525" s="17" t="str">
        <f aca="false">IF($C525="","",$N525+$Q525*$R525)</f>
        <v/>
      </c>
      <c r="K525" s="17" t="str">
        <f aca="false">IF($C525="","",$O525+$Q525*$S525)</f>
        <v/>
      </c>
      <c r="L525" s="17" t="str">
        <f aca="false">IF($C525="","",$J525-$K525-1-N($G525))</f>
        <v/>
      </c>
      <c r="M525" s="7" t="str">
        <f aca="false">IF($B525="","",INDEX(Course!$B$2:$B$19,MATCH($B525,Course!$A$2:$A$19,0)))</f>
        <v/>
      </c>
      <c r="N525" s="17" t="str">
        <f aca="false">IF($C525="","",IF($C525="H",0,IF($C525="G",INDEX(Baseline!$I$3:$I$102,MIN(MAX(ROUND($D525,0),1),100)),IF($C525="T",IF($M525=3,INDEX(Baseline!$B$3:$B$122,MATCH(MIN(MAX(ROUND(($D525)/5,0)*5,5),600),Baseline!$A$3:$A$122,0))-Inputs!$B$9,INDEX(Course!$N$2:$N$19,MATCH($B525,Course!$A$2:$A$19,0))),INDEX(Baseline!$B$3:$E$122,MATCH(MIN(MAX(ROUND(($D525)/5,0)*5,5),600),Baseline!$A$3:$A$122,0),MATCH($C525,Baseline!$B$2:$E$2,0))))))</f>
        <v/>
      </c>
      <c r="O525" s="17" t="str">
        <f aca="false">IF($C525="","",IF($E525="H",0,IF($E525="G",INDEX(Baseline!$I$3:$I$102,MIN(MAX(ROUND($F525,0),1),100)),IF($E525="T",IF($M525=3,INDEX(Baseline!$B$3:$B$122,MATCH(MIN(MAX(ROUND(($F525)/5,0)*5,5),600),Baseline!$A$3:$A$122,0))-Inputs!$B$9,INDEX(Course!$N$2:$N$19,MATCH($B525,Course!$A$2:$A$19,0))),INDEX(Baseline!$B$3:$E$122,MATCH(MIN(MAX(ROUND(($F525)/5,0)*5,5),600),Baseline!$A$3:$A$122,0),MATCH($E525,Baseline!$B$2:$E$2,0))))))</f>
        <v/>
      </c>
      <c r="P525" s="17" t="str">
        <f aca="false">IF($B525="","",INDEX(Course!$N$2:$N$19,MATCH($B525,Course!$A$2:$A$19,0)))</f>
        <v/>
      </c>
      <c r="Q525" s="17" t="str">
        <f aca="false">IF($B525="","",INDEX(Course!$P$2:$P$19,MATCH($B525,Course!$A$2:$A$19,0)))</f>
        <v/>
      </c>
      <c r="R525" s="17" t="str">
        <f aca="false">IF($C525="","",IF(OR($C525="G",$C525="H"),0,IF($C525="T",1,MIN(1,MAX(0,($N525-Inputs!$B$8)/MAX($P525-Inputs!$B$8,0.01))))))</f>
        <v/>
      </c>
      <c r="S525" s="17" t="str">
        <f aca="false">IF($C525="","",IF(OR($E525="G",$E525="H"),0,IF($E525="T",1,MIN(1,MAX(0,($O525-Inputs!$B$8)/MAX($P525-Inputs!$B$8,0.01))))))</f>
        <v/>
      </c>
    </row>
    <row r="526" customFormat="false" ht="15" hidden="false" customHeight="false" outlineLevel="0" collapsed="false">
      <c r="I526" s="7" t="str">
        <f aca="false">IF($C526="","",IF($C526="G","PUTT",IF(AND($C526="T",$M526&gt;3),"OTT",IF($D526&lt;=30,"ARG","APP"))))</f>
        <v/>
      </c>
      <c r="J526" s="17" t="str">
        <f aca="false">IF($C526="","",$N526+$Q526*$R526)</f>
        <v/>
      </c>
      <c r="K526" s="17" t="str">
        <f aca="false">IF($C526="","",$O526+$Q526*$S526)</f>
        <v/>
      </c>
      <c r="L526" s="17" t="str">
        <f aca="false">IF($C526="","",$J526-$K526-1-N($G526))</f>
        <v/>
      </c>
      <c r="M526" s="7" t="str">
        <f aca="false">IF($B526="","",INDEX(Course!$B$2:$B$19,MATCH($B526,Course!$A$2:$A$19,0)))</f>
        <v/>
      </c>
      <c r="N526" s="17" t="str">
        <f aca="false">IF($C526="","",IF($C526="H",0,IF($C526="G",INDEX(Baseline!$I$3:$I$102,MIN(MAX(ROUND($D526,0),1),100)),IF($C526="T",IF($M526=3,INDEX(Baseline!$B$3:$B$122,MATCH(MIN(MAX(ROUND(($D526)/5,0)*5,5),600),Baseline!$A$3:$A$122,0))-Inputs!$B$9,INDEX(Course!$N$2:$N$19,MATCH($B526,Course!$A$2:$A$19,0))),INDEX(Baseline!$B$3:$E$122,MATCH(MIN(MAX(ROUND(($D526)/5,0)*5,5),600),Baseline!$A$3:$A$122,0),MATCH($C526,Baseline!$B$2:$E$2,0))))))</f>
        <v/>
      </c>
      <c r="O526" s="17" t="str">
        <f aca="false">IF($C526="","",IF($E526="H",0,IF($E526="G",INDEX(Baseline!$I$3:$I$102,MIN(MAX(ROUND($F526,0),1),100)),IF($E526="T",IF($M526=3,INDEX(Baseline!$B$3:$B$122,MATCH(MIN(MAX(ROUND(($F526)/5,0)*5,5),600),Baseline!$A$3:$A$122,0))-Inputs!$B$9,INDEX(Course!$N$2:$N$19,MATCH($B526,Course!$A$2:$A$19,0))),INDEX(Baseline!$B$3:$E$122,MATCH(MIN(MAX(ROUND(($F526)/5,0)*5,5),600),Baseline!$A$3:$A$122,0),MATCH($E526,Baseline!$B$2:$E$2,0))))))</f>
        <v/>
      </c>
      <c r="P526" s="17" t="str">
        <f aca="false">IF($B526="","",INDEX(Course!$N$2:$N$19,MATCH($B526,Course!$A$2:$A$19,0)))</f>
        <v/>
      </c>
      <c r="Q526" s="17" t="str">
        <f aca="false">IF($B526="","",INDEX(Course!$P$2:$P$19,MATCH($B526,Course!$A$2:$A$19,0)))</f>
        <v/>
      </c>
      <c r="R526" s="17" t="str">
        <f aca="false">IF($C526="","",IF(OR($C526="G",$C526="H"),0,IF($C526="T",1,MIN(1,MAX(0,($N526-Inputs!$B$8)/MAX($P526-Inputs!$B$8,0.01))))))</f>
        <v/>
      </c>
      <c r="S526" s="17" t="str">
        <f aca="false">IF($C526="","",IF(OR($E526="G",$E526="H"),0,IF($E526="T",1,MIN(1,MAX(0,($O526-Inputs!$B$8)/MAX($P526-Inputs!$B$8,0.01))))))</f>
        <v/>
      </c>
    </row>
    <row r="527" customFormat="false" ht="15" hidden="false" customHeight="false" outlineLevel="0" collapsed="false">
      <c r="I527" s="7" t="str">
        <f aca="false">IF($C527="","",IF($C527="G","PUTT",IF(AND($C527="T",$M527&gt;3),"OTT",IF($D527&lt;=30,"ARG","APP"))))</f>
        <v/>
      </c>
      <c r="J527" s="17" t="str">
        <f aca="false">IF($C527="","",$N527+$Q527*$R527)</f>
        <v/>
      </c>
      <c r="K527" s="17" t="str">
        <f aca="false">IF($C527="","",$O527+$Q527*$S527)</f>
        <v/>
      </c>
      <c r="L527" s="17" t="str">
        <f aca="false">IF($C527="","",$J527-$K527-1-N($G527))</f>
        <v/>
      </c>
      <c r="M527" s="7" t="str">
        <f aca="false">IF($B527="","",INDEX(Course!$B$2:$B$19,MATCH($B527,Course!$A$2:$A$19,0)))</f>
        <v/>
      </c>
      <c r="N527" s="17" t="str">
        <f aca="false">IF($C527="","",IF($C527="H",0,IF($C527="G",INDEX(Baseline!$I$3:$I$102,MIN(MAX(ROUND($D527,0),1),100)),IF($C527="T",IF($M527=3,INDEX(Baseline!$B$3:$B$122,MATCH(MIN(MAX(ROUND(($D527)/5,0)*5,5),600),Baseline!$A$3:$A$122,0))-Inputs!$B$9,INDEX(Course!$N$2:$N$19,MATCH($B527,Course!$A$2:$A$19,0))),INDEX(Baseline!$B$3:$E$122,MATCH(MIN(MAX(ROUND(($D527)/5,0)*5,5),600),Baseline!$A$3:$A$122,0),MATCH($C527,Baseline!$B$2:$E$2,0))))))</f>
        <v/>
      </c>
      <c r="O527" s="17" t="str">
        <f aca="false">IF($C527="","",IF($E527="H",0,IF($E527="G",INDEX(Baseline!$I$3:$I$102,MIN(MAX(ROUND($F527,0),1),100)),IF($E527="T",IF($M527=3,INDEX(Baseline!$B$3:$B$122,MATCH(MIN(MAX(ROUND(($F527)/5,0)*5,5),600),Baseline!$A$3:$A$122,0))-Inputs!$B$9,INDEX(Course!$N$2:$N$19,MATCH($B527,Course!$A$2:$A$19,0))),INDEX(Baseline!$B$3:$E$122,MATCH(MIN(MAX(ROUND(($F527)/5,0)*5,5),600),Baseline!$A$3:$A$122,0),MATCH($E527,Baseline!$B$2:$E$2,0))))))</f>
        <v/>
      </c>
      <c r="P527" s="17" t="str">
        <f aca="false">IF($B527="","",INDEX(Course!$N$2:$N$19,MATCH($B527,Course!$A$2:$A$19,0)))</f>
        <v/>
      </c>
      <c r="Q527" s="17" t="str">
        <f aca="false">IF($B527="","",INDEX(Course!$P$2:$P$19,MATCH($B527,Course!$A$2:$A$19,0)))</f>
        <v/>
      </c>
      <c r="R527" s="17" t="str">
        <f aca="false">IF($C527="","",IF(OR($C527="G",$C527="H"),0,IF($C527="T",1,MIN(1,MAX(0,($N527-Inputs!$B$8)/MAX($P527-Inputs!$B$8,0.01))))))</f>
        <v/>
      </c>
      <c r="S527" s="17" t="str">
        <f aca="false">IF($C527="","",IF(OR($E527="G",$E527="H"),0,IF($E527="T",1,MIN(1,MAX(0,($O527-Inputs!$B$8)/MAX($P527-Inputs!$B$8,0.01))))))</f>
        <v/>
      </c>
    </row>
    <row r="528" customFormat="false" ht="15" hidden="false" customHeight="false" outlineLevel="0" collapsed="false">
      <c r="I528" s="7" t="str">
        <f aca="false">IF($C528="","",IF($C528="G","PUTT",IF(AND($C528="T",$M528&gt;3),"OTT",IF($D528&lt;=30,"ARG","APP"))))</f>
        <v/>
      </c>
      <c r="J528" s="17" t="str">
        <f aca="false">IF($C528="","",$N528+$Q528*$R528)</f>
        <v/>
      </c>
      <c r="K528" s="17" t="str">
        <f aca="false">IF($C528="","",$O528+$Q528*$S528)</f>
        <v/>
      </c>
      <c r="L528" s="17" t="str">
        <f aca="false">IF($C528="","",$J528-$K528-1-N($G528))</f>
        <v/>
      </c>
      <c r="M528" s="7" t="str">
        <f aca="false">IF($B528="","",INDEX(Course!$B$2:$B$19,MATCH($B528,Course!$A$2:$A$19,0)))</f>
        <v/>
      </c>
      <c r="N528" s="17" t="str">
        <f aca="false">IF($C528="","",IF($C528="H",0,IF($C528="G",INDEX(Baseline!$I$3:$I$102,MIN(MAX(ROUND($D528,0),1),100)),IF($C528="T",IF($M528=3,INDEX(Baseline!$B$3:$B$122,MATCH(MIN(MAX(ROUND(($D528)/5,0)*5,5),600),Baseline!$A$3:$A$122,0))-Inputs!$B$9,INDEX(Course!$N$2:$N$19,MATCH($B528,Course!$A$2:$A$19,0))),INDEX(Baseline!$B$3:$E$122,MATCH(MIN(MAX(ROUND(($D528)/5,0)*5,5),600),Baseline!$A$3:$A$122,0),MATCH($C528,Baseline!$B$2:$E$2,0))))))</f>
        <v/>
      </c>
      <c r="O528" s="17" t="str">
        <f aca="false">IF($C528="","",IF($E528="H",0,IF($E528="G",INDEX(Baseline!$I$3:$I$102,MIN(MAX(ROUND($F528,0),1),100)),IF($E528="T",IF($M528=3,INDEX(Baseline!$B$3:$B$122,MATCH(MIN(MAX(ROUND(($F528)/5,0)*5,5),600),Baseline!$A$3:$A$122,0))-Inputs!$B$9,INDEX(Course!$N$2:$N$19,MATCH($B528,Course!$A$2:$A$19,0))),INDEX(Baseline!$B$3:$E$122,MATCH(MIN(MAX(ROUND(($F528)/5,0)*5,5),600),Baseline!$A$3:$A$122,0),MATCH($E528,Baseline!$B$2:$E$2,0))))))</f>
        <v/>
      </c>
      <c r="P528" s="17" t="str">
        <f aca="false">IF($B528="","",INDEX(Course!$N$2:$N$19,MATCH($B528,Course!$A$2:$A$19,0)))</f>
        <v/>
      </c>
      <c r="Q528" s="17" t="str">
        <f aca="false">IF($B528="","",INDEX(Course!$P$2:$P$19,MATCH($B528,Course!$A$2:$A$19,0)))</f>
        <v/>
      </c>
      <c r="R528" s="17" t="str">
        <f aca="false">IF($C528="","",IF(OR($C528="G",$C528="H"),0,IF($C528="T",1,MIN(1,MAX(0,($N528-Inputs!$B$8)/MAX($P528-Inputs!$B$8,0.01))))))</f>
        <v/>
      </c>
      <c r="S528" s="17" t="str">
        <f aca="false">IF($C528="","",IF(OR($E528="G",$E528="H"),0,IF($E528="T",1,MIN(1,MAX(0,($O528-Inputs!$B$8)/MAX($P528-Inputs!$B$8,0.01))))))</f>
        <v/>
      </c>
    </row>
    <row r="529" customFormat="false" ht="15" hidden="false" customHeight="false" outlineLevel="0" collapsed="false">
      <c r="I529" s="7" t="str">
        <f aca="false">IF($C529="","",IF($C529="G","PUTT",IF(AND($C529="T",$M529&gt;3),"OTT",IF($D529&lt;=30,"ARG","APP"))))</f>
        <v/>
      </c>
      <c r="J529" s="17" t="str">
        <f aca="false">IF($C529="","",$N529+$Q529*$R529)</f>
        <v/>
      </c>
      <c r="K529" s="17" t="str">
        <f aca="false">IF($C529="","",$O529+$Q529*$S529)</f>
        <v/>
      </c>
      <c r="L529" s="17" t="str">
        <f aca="false">IF($C529="","",$J529-$K529-1-N($G529))</f>
        <v/>
      </c>
      <c r="M529" s="7" t="str">
        <f aca="false">IF($B529="","",INDEX(Course!$B$2:$B$19,MATCH($B529,Course!$A$2:$A$19,0)))</f>
        <v/>
      </c>
      <c r="N529" s="17" t="str">
        <f aca="false">IF($C529="","",IF($C529="H",0,IF($C529="G",INDEX(Baseline!$I$3:$I$102,MIN(MAX(ROUND($D529,0),1),100)),IF($C529="T",IF($M529=3,INDEX(Baseline!$B$3:$B$122,MATCH(MIN(MAX(ROUND(($D529)/5,0)*5,5),600),Baseline!$A$3:$A$122,0))-Inputs!$B$9,INDEX(Course!$N$2:$N$19,MATCH($B529,Course!$A$2:$A$19,0))),INDEX(Baseline!$B$3:$E$122,MATCH(MIN(MAX(ROUND(($D529)/5,0)*5,5),600),Baseline!$A$3:$A$122,0),MATCH($C529,Baseline!$B$2:$E$2,0))))))</f>
        <v/>
      </c>
      <c r="O529" s="17" t="str">
        <f aca="false">IF($C529="","",IF($E529="H",0,IF($E529="G",INDEX(Baseline!$I$3:$I$102,MIN(MAX(ROUND($F529,0),1),100)),IF($E529="T",IF($M529=3,INDEX(Baseline!$B$3:$B$122,MATCH(MIN(MAX(ROUND(($F529)/5,0)*5,5),600),Baseline!$A$3:$A$122,0))-Inputs!$B$9,INDEX(Course!$N$2:$N$19,MATCH($B529,Course!$A$2:$A$19,0))),INDEX(Baseline!$B$3:$E$122,MATCH(MIN(MAX(ROUND(($F529)/5,0)*5,5),600),Baseline!$A$3:$A$122,0),MATCH($E529,Baseline!$B$2:$E$2,0))))))</f>
        <v/>
      </c>
      <c r="P529" s="17" t="str">
        <f aca="false">IF($B529="","",INDEX(Course!$N$2:$N$19,MATCH($B529,Course!$A$2:$A$19,0)))</f>
        <v/>
      </c>
      <c r="Q529" s="17" t="str">
        <f aca="false">IF($B529="","",INDEX(Course!$P$2:$P$19,MATCH($B529,Course!$A$2:$A$19,0)))</f>
        <v/>
      </c>
      <c r="R529" s="17" t="str">
        <f aca="false">IF($C529="","",IF(OR($C529="G",$C529="H"),0,IF($C529="T",1,MIN(1,MAX(0,($N529-Inputs!$B$8)/MAX($P529-Inputs!$B$8,0.01))))))</f>
        <v/>
      </c>
      <c r="S529" s="17" t="str">
        <f aca="false">IF($C529="","",IF(OR($E529="G",$E529="H"),0,IF($E529="T",1,MIN(1,MAX(0,($O529-Inputs!$B$8)/MAX($P529-Inputs!$B$8,0.01))))))</f>
        <v/>
      </c>
    </row>
    <row r="530" customFormat="false" ht="15" hidden="false" customHeight="false" outlineLevel="0" collapsed="false">
      <c r="I530" s="7" t="str">
        <f aca="false">IF($C530="","",IF($C530="G","PUTT",IF(AND($C530="T",$M530&gt;3),"OTT",IF($D530&lt;=30,"ARG","APP"))))</f>
        <v/>
      </c>
      <c r="J530" s="17" t="str">
        <f aca="false">IF($C530="","",$N530+$Q530*$R530)</f>
        <v/>
      </c>
      <c r="K530" s="17" t="str">
        <f aca="false">IF($C530="","",$O530+$Q530*$S530)</f>
        <v/>
      </c>
      <c r="L530" s="17" t="str">
        <f aca="false">IF($C530="","",$J530-$K530-1-N($G530))</f>
        <v/>
      </c>
      <c r="M530" s="7" t="str">
        <f aca="false">IF($B530="","",INDEX(Course!$B$2:$B$19,MATCH($B530,Course!$A$2:$A$19,0)))</f>
        <v/>
      </c>
      <c r="N530" s="17" t="str">
        <f aca="false">IF($C530="","",IF($C530="H",0,IF($C530="G",INDEX(Baseline!$I$3:$I$102,MIN(MAX(ROUND($D530,0),1),100)),IF($C530="T",IF($M530=3,INDEX(Baseline!$B$3:$B$122,MATCH(MIN(MAX(ROUND(($D530)/5,0)*5,5),600),Baseline!$A$3:$A$122,0))-Inputs!$B$9,INDEX(Course!$N$2:$N$19,MATCH($B530,Course!$A$2:$A$19,0))),INDEX(Baseline!$B$3:$E$122,MATCH(MIN(MAX(ROUND(($D530)/5,0)*5,5),600),Baseline!$A$3:$A$122,0),MATCH($C530,Baseline!$B$2:$E$2,0))))))</f>
        <v/>
      </c>
      <c r="O530" s="17" t="str">
        <f aca="false">IF($C530="","",IF($E530="H",0,IF($E530="G",INDEX(Baseline!$I$3:$I$102,MIN(MAX(ROUND($F530,0),1),100)),IF($E530="T",IF($M530=3,INDEX(Baseline!$B$3:$B$122,MATCH(MIN(MAX(ROUND(($F530)/5,0)*5,5),600),Baseline!$A$3:$A$122,0))-Inputs!$B$9,INDEX(Course!$N$2:$N$19,MATCH($B530,Course!$A$2:$A$19,0))),INDEX(Baseline!$B$3:$E$122,MATCH(MIN(MAX(ROUND(($F530)/5,0)*5,5),600),Baseline!$A$3:$A$122,0),MATCH($E530,Baseline!$B$2:$E$2,0))))))</f>
        <v/>
      </c>
      <c r="P530" s="17" t="str">
        <f aca="false">IF($B530="","",INDEX(Course!$N$2:$N$19,MATCH($B530,Course!$A$2:$A$19,0)))</f>
        <v/>
      </c>
      <c r="Q530" s="17" t="str">
        <f aca="false">IF($B530="","",INDEX(Course!$P$2:$P$19,MATCH($B530,Course!$A$2:$A$19,0)))</f>
        <v/>
      </c>
      <c r="R530" s="17" t="str">
        <f aca="false">IF($C530="","",IF(OR($C530="G",$C530="H"),0,IF($C530="T",1,MIN(1,MAX(0,($N530-Inputs!$B$8)/MAX($P530-Inputs!$B$8,0.01))))))</f>
        <v/>
      </c>
      <c r="S530" s="17" t="str">
        <f aca="false">IF($C530="","",IF(OR($E530="G",$E530="H"),0,IF($E530="T",1,MIN(1,MAX(0,($O530-Inputs!$B$8)/MAX($P530-Inputs!$B$8,0.01))))))</f>
        <v/>
      </c>
    </row>
    <row r="531" customFormat="false" ht="15" hidden="false" customHeight="false" outlineLevel="0" collapsed="false">
      <c r="I531" s="7" t="str">
        <f aca="false">IF($C531="","",IF($C531="G","PUTT",IF(AND($C531="T",$M531&gt;3),"OTT",IF($D531&lt;=30,"ARG","APP"))))</f>
        <v/>
      </c>
      <c r="J531" s="17" t="str">
        <f aca="false">IF($C531="","",$N531+$Q531*$R531)</f>
        <v/>
      </c>
      <c r="K531" s="17" t="str">
        <f aca="false">IF($C531="","",$O531+$Q531*$S531)</f>
        <v/>
      </c>
      <c r="L531" s="17" t="str">
        <f aca="false">IF($C531="","",$J531-$K531-1-N($G531))</f>
        <v/>
      </c>
      <c r="M531" s="7" t="str">
        <f aca="false">IF($B531="","",INDEX(Course!$B$2:$B$19,MATCH($B531,Course!$A$2:$A$19,0)))</f>
        <v/>
      </c>
      <c r="N531" s="17" t="str">
        <f aca="false">IF($C531="","",IF($C531="H",0,IF($C531="G",INDEX(Baseline!$I$3:$I$102,MIN(MAX(ROUND($D531,0),1),100)),IF($C531="T",IF($M531=3,INDEX(Baseline!$B$3:$B$122,MATCH(MIN(MAX(ROUND(($D531)/5,0)*5,5),600),Baseline!$A$3:$A$122,0))-Inputs!$B$9,INDEX(Course!$N$2:$N$19,MATCH($B531,Course!$A$2:$A$19,0))),INDEX(Baseline!$B$3:$E$122,MATCH(MIN(MAX(ROUND(($D531)/5,0)*5,5),600),Baseline!$A$3:$A$122,0),MATCH($C531,Baseline!$B$2:$E$2,0))))))</f>
        <v/>
      </c>
      <c r="O531" s="17" t="str">
        <f aca="false">IF($C531="","",IF($E531="H",0,IF($E531="G",INDEX(Baseline!$I$3:$I$102,MIN(MAX(ROUND($F531,0),1),100)),IF($E531="T",IF($M531=3,INDEX(Baseline!$B$3:$B$122,MATCH(MIN(MAX(ROUND(($F531)/5,0)*5,5),600),Baseline!$A$3:$A$122,0))-Inputs!$B$9,INDEX(Course!$N$2:$N$19,MATCH($B531,Course!$A$2:$A$19,0))),INDEX(Baseline!$B$3:$E$122,MATCH(MIN(MAX(ROUND(($F531)/5,0)*5,5),600),Baseline!$A$3:$A$122,0),MATCH($E531,Baseline!$B$2:$E$2,0))))))</f>
        <v/>
      </c>
      <c r="P531" s="17" t="str">
        <f aca="false">IF($B531="","",INDEX(Course!$N$2:$N$19,MATCH($B531,Course!$A$2:$A$19,0)))</f>
        <v/>
      </c>
      <c r="Q531" s="17" t="str">
        <f aca="false">IF($B531="","",INDEX(Course!$P$2:$P$19,MATCH($B531,Course!$A$2:$A$19,0)))</f>
        <v/>
      </c>
      <c r="R531" s="17" t="str">
        <f aca="false">IF($C531="","",IF(OR($C531="G",$C531="H"),0,IF($C531="T",1,MIN(1,MAX(0,($N531-Inputs!$B$8)/MAX($P531-Inputs!$B$8,0.01))))))</f>
        <v/>
      </c>
      <c r="S531" s="17" t="str">
        <f aca="false">IF($C531="","",IF(OR($E531="G",$E531="H"),0,IF($E531="T",1,MIN(1,MAX(0,($O531-Inputs!$B$8)/MAX($P531-Inputs!$B$8,0.01))))))</f>
        <v/>
      </c>
    </row>
    <row r="532" customFormat="false" ht="15" hidden="false" customHeight="false" outlineLevel="0" collapsed="false">
      <c r="I532" s="7" t="str">
        <f aca="false">IF($C532="","",IF($C532="G","PUTT",IF(AND($C532="T",$M532&gt;3),"OTT",IF($D532&lt;=30,"ARG","APP"))))</f>
        <v/>
      </c>
      <c r="J532" s="17" t="str">
        <f aca="false">IF($C532="","",$N532+$Q532*$R532)</f>
        <v/>
      </c>
      <c r="K532" s="17" t="str">
        <f aca="false">IF($C532="","",$O532+$Q532*$S532)</f>
        <v/>
      </c>
      <c r="L532" s="17" t="str">
        <f aca="false">IF($C532="","",$J532-$K532-1-N($G532))</f>
        <v/>
      </c>
      <c r="M532" s="7" t="str">
        <f aca="false">IF($B532="","",INDEX(Course!$B$2:$B$19,MATCH($B532,Course!$A$2:$A$19,0)))</f>
        <v/>
      </c>
      <c r="N532" s="17" t="str">
        <f aca="false">IF($C532="","",IF($C532="H",0,IF($C532="G",INDEX(Baseline!$I$3:$I$102,MIN(MAX(ROUND($D532,0),1),100)),IF($C532="T",IF($M532=3,INDEX(Baseline!$B$3:$B$122,MATCH(MIN(MAX(ROUND(($D532)/5,0)*5,5),600),Baseline!$A$3:$A$122,0))-Inputs!$B$9,INDEX(Course!$N$2:$N$19,MATCH($B532,Course!$A$2:$A$19,0))),INDEX(Baseline!$B$3:$E$122,MATCH(MIN(MAX(ROUND(($D532)/5,0)*5,5),600),Baseline!$A$3:$A$122,0),MATCH($C532,Baseline!$B$2:$E$2,0))))))</f>
        <v/>
      </c>
      <c r="O532" s="17" t="str">
        <f aca="false">IF($C532="","",IF($E532="H",0,IF($E532="G",INDEX(Baseline!$I$3:$I$102,MIN(MAX(ROUND($F532,0),1),100)),IF($E532="T",IF($M532=3,INDEX(Baseline!$B$3:$B$122,MATCH(MIN(MAX(ROUND(($F532)/5,0)*5,5),600),Baseline!$A$3:$A$122,0))-Inputs!$B$9,INDEX(Course!$N$2:$N$19,MATCH($B532,Course!$A$2:$A$19,0))),INDEX(Baseline!$B$3:$E$122,MATCH(MIN(MAX(ROUND(($F532)/5,0)*5,5),600),Baseline!$A$3:$A$122,0),MATCH($E532,Baseline!$B$2:$E$2,0))))))</f>
        <v/>
      </c>
      <c r="P532" s="17" t="str">
        <f aca="false">IF($B532="","",INDEX(Course!$N$2:$N$19,MATCH($B532,Course!$A$2:$A$19,0)))</f>
        <v/>
      </c>
      <c r="Q532" s="17" t="str">
        <f aca="false">IF($B532="","",INDEX(Course!$P$2:$P$19,MATCH($B532,Course!$A$2:$A$19,0)))</f>
        <v/>
      </c>
      <c r="R532" s="17" t="str">
        <f aca="false">IF($C532="","",IF(OR($C532="G",$C532="H"),0,IF($C532="T",1,MIN(1,MAX(0,($N532-Inputs!$B$8)/MAX($P532-Inputs!$B$8,0.01))))))</f>
        <v/>
      </c>
      <c r="S532" s="17" t="str">
        <f aca="false">IF($C532="","",IF(OR($E532="G",$E532="H"),0,IF($E532="T",1,MIN(1,MAX(0,($O532-Inputs!$B$8)/MAX($P532-Inputs!$B$8,0.01))))))</f>
        <v/>
      </c>
    </row>
    <row r="533" customFormat="false" ht="15" hidden="false" customHeight="false" outlineLevel="0" collapsed="false">
      <c r="I533" s="7" t="str">
        <f aca="false">IF($C533="","",IF($C533="G","PUTT",IF(AND($C533="T",$M533&gt;3),"OTT",IF($D533&lt;=30,"ARG","APP"))))</f>
        <v/>
      </c>
      <c r="J533" s="17" t="str">
        <f aca="false">IF($C533="","",$N533+$Q533*$R533)</f>
        <v/>
      </c>
      <c r="K533" s="17" t="str">
        <f aca="false">IF($C533="","",$O533+$Q533*$S533)</f>
        <v/>
      </c>
      <c r="L533" s="17" t="str">
        <f aca="false">IF($C533="","",$J533-$K533-1-N($G533))</f>
        <v/>
      </c>
      <c r="M533" s="7" t="str">
        <f aca="false">IF($B533="","",INDEX(Course!$B$2:$B$19,MATCH($B533,Course!$A$2:$A$19,0)))</f>
        <v/>
      </c>
      <c r="N533" s="17" t="str">
        <f aca="false">IF($C533="","",IF($C533="H",0,IF($C533="G",INDEX(Baseline!$I$3:$I$102,MIN(MAX(ROUND($D533,0),1),100)),IF($C533="T",IF($M533=3,INDEX(Baseline!$B$3:$B$122,MATCH(MIN(MAX(ROUND(($D533)/5,0)*5,5),600),Baseline!$A$3:$A$122,0))-Inputs!$B$9,INDEX(Course!$N$2:$N$19,MATCH($B533,Course!$A$2:$A$19,0))),INDEX(Baseline!$B$3:$E$122,MATCH(MIN(MAX(ROUND(($D533)/5,0)*5,5),600),Baseline!$A$3:$A$122,0),MATCH($C533,Baseline!$B$2:$E$2,0))))))</f>
        <v/>
      </c>
      <c r="O533" s="17" t="str">
        <f aca="false">IF($C533="","",IF($E533="H",0,IF($E533="G",INDEX(Baseline!$I$3:$I$102,MIN(MAX(ROUND($F533,0),1),100)),IF($E533="T",IF($M533=3,INDEX(Baseline!$B$3:$B$122,MATCH(MIN(MAX(ROUND(($F533)/5,0)*5,5),600),Baseline!$A$3:$A$122,0))-Inputs!$B$9,INDEX(Course!$N$2:$N$19,MATCH($B533,Course!$A$2:$A$19,0))),INDEX(Baseline!$B$3:$E$122,MATCH(MIN(MAX(ROUND(($F533)/5,0)*5,5),600),Baseline!$A$3:$A$122,0),MATCH($E533,Baseline!$B$2:$E$2,0))))))</f>
        <v/>
      </c>
      <c r="P533" s="17" t="str">
        <f aca="false">IF($B533="","",INDEX(Course!$N$2:$N$19,MATCH($B533,Course!$A$2:$A$19,0)))</f>
        <v/>
      </c>
      <c r="Q533" s="17" t="str">
        <f aca="false">IF($B533="","",INDEX(Course!$P$2:$P$19,MATCH($B533,Course!$A$2:$A$19,0)))</f>
        <v/>
      </c>
      <c r="R533" s="17" t="str">
        <f aca="false">IF($C533="","",IF(OR($C533="G",$C533="H"),0,IF($C533="T",1,MIN(1,MAX(0,($N533-Inputs!$B$8)/MAX($P533-Inputs!$B$8,0.01))))))</f>
        <v/>
      </c>
      <c r="S533" s="17" t="str">
        <f aca="false">IF($C533="","",IF(OR($E533="G",$E533="H"),0,IF($E533="T",1,MIN(1,MAX(0,($O533-Inputs!$B$8)/MAX($P533-Inputs!$B$8,0.01))))))</f>
        <v/>
      </c>
    </row>
    <row r="534" customFormat="false" ht="15" hidden="false" customHeight="false" outlineLevel="0" collapsed="false">
      <c r="I534" s="7" t="str">
        <f aca="false">IF($C534="","",IF($C534="G","PUTT",IF(AND($C534="T",$M534&gt;3),"OTT",IF($D534&lt;=30,"ARG","APP"))))</f>
        <v/>
      </c>
      <c r="J534" s="17" t="str">
        <f aca="false">IF($C534="","",$N534+$Q534*$R534)</f>
        <v/>
      </c>
      <c r="K534" s="17" t="str">
        <f aca="false">IF($C534="","",$O534+$Q534*$S534)</f>
        <v/>
      </c>
      <c r="L534" s="17" t="str">
        <f aca="false">IF($C534="","",$J534-$K534-1-N($G534))</f>
        <v/>
      </c>
      <c r="M534" s="7" t="str">
        <f aca="false">IF($B534="","",INDEX(Course!$B$2:$B$19,MATCH($B534,Course!$A$2:$A$19,0)))</f>
        <v/>
      </c>
      <c r="N534" s="17" t="str">
        <f aca="false">IF($C534="","",IF($C534="H",0,IF($C534="G",INDEX(Baseline!$I$3:$I$102,MIN(MAX(ROUND($D534,0),1),100)),IF($C534="T",IF($M534=3,INDEX(Baseline!$B$3:$B$122,MATCH(MIN(MAX(ROUND(($D534)/5,0)*5,5),600),Baseline!$A$3:$A$122,0))-Inputs!$B$9,INDEX(Course!$N$2:$N$19,MATCH($B534,Course!$A$2:$A$19,0))),INDEX(Baseline!$B$3:$E$122,MATCH(MIN(MAX(ROUND(($D534)/5,0)*5,5),600),Baseline!$A$3:$A$122,0),MATCH($C534,Baseline!$B$2:$E$2,0))))))</f>
        <v/>
      </c>
      <c r="O534" s="17" t="str">
        <f aca="false">IF($C534="","",IF($E534="H",0,IF($E534="G",INDEX(Baseline!$I$3:$I$102,MIN(MAX(ROUND($F534,0),1),100)),IF($E534="T",IF($M534=3,INDEX(Baseline!$B$3:$B$122,MATCH(MIN(MAX(ROUND(($F534)/5,0)*5,5),600),Baseline!$A$3:$A$122,0))-Inputs!$B$9,INDEX(Course!$N$2:$N$19,MATCH($B534,Course!$A$2:$A$19,0))),INDEX(Baseline!$B$3:$E$122,MATCH(MIN(MAX(ROUND(($F534)/5,0)*5,5),600),Baseline!$A$3:$A$122,0),MATCH($E534,Baseline!$B$2:$E$2,0))))))</f>
        <v/>
      </c>
      <c r="P534" s="17" t="str">
        <f aca="false">IF($B534="","",INDEX(Course!$N$2:$N$19,MATCH($B534,Course!$A$2:$A$19,0)))</f>
        <v/>
      </c>
      <c r="Q534" s="17" t="str">
        <f aca="false">IF($B534="","",INDEX(Course!$P$2:$P$19,MATCH($B534,Course!$A$2:$A$19,0)))</f>
        <v/>
      </c>
      <c r="R534" s="17" t="str">
        <f aca="false">IF($C534="","",IF(OR($C534="G",$C534="H"),0,IF($C534="T",1,MIN(1,MAX(0,($N534-Inputs!$B$8)/MAX($P534-Inputs!$B$8,0.01))))))</f>
        <v/>
      </c>
      <c r="S534" s="17" t="str">
        <f aca="false">IF($C534="","",IF(OR($E534="G",$E534="H"),0,IF($E534="T",1,MIN(1,MAX(0,($O534-Inputs!$B$8)/MAX($P534-Inputs!$B$8,0.01))))))</f>
        <v/>
      </c>
    </row>
    <row r="535" customFormat="false" ht="15" hidden="false" customHeight="false" outlineLevel="0" collapsed="false">
      <c r="I535" s="7" t="str">
        <f aca="false">IF($C535="","",IF($C535="G","PUTT",IF(AND($C535="T",$M535&gt;3),"OTT",IF($D535&lt;=30,"ARG","APP"))))</f>
        <v/>
      </c>
      <c r="J535" s="17" t="str">
        <f aca="false">IF($C535="","",$N535+$Q535*$R535)</f>
        <v/>
      </c>
      <c r="K535" s="17" t="str">
        <f aca="false">IF($C535="","",$O535+$Q535*$S535)</f>
        <v/>
      </c>
      <c r="L535" s="17" t="str">
        <f aca="false">IF($C535="","",$J535-$K535-1-N($G535))</f>
        <v/>
      </c>
      <c r="M535" s="7" t="str">
        <f aca="false">IF($B535="","",INDEX(Course!$B$2:$B$19,MATCH($B535,Course!$A$2:$A$19,0)))</f>
        <v/>
      </c>
      <c r="N535" s="17" t="str">
        <f aca="false">IF($C535="","",IF($C535="H",0,IF($C535="G",INDEX(Baseline!$I$3:$I$102,MIN(MAX(ROUND($D535,0),1),100)),IF($C535="T",IF($M535=3,INDEX(Baseline!$B$3:$B$122,MATCH(MIN(MAX(ROUND(($D535)/5,0)*5,5),600),Baseline!$A$3:$A$122,0))-Inputs!$B$9,INDEX(Course!$N$2:$N$19,MATCH($B535,Course!$A$2:$A$19,0))),INDEX(Baseline!$B$3:$E$122,MATCH(MIN(MAX(ROUND(($D535)/5,0)*5,5),600),Baseline!$A$3:$A$122,0),MATCH($C535,Baseline!$B$2:$E$2,0))))))</f>
        <v/>
      </c>
      <c r="O535" s="17" t="str">
        <f aca="false">IF($C535="","",IF($E535="H",0,IF($E535="G",INDEX(Baseline!$I$3:$I$102,MIN(MAX(ROUND($F535,0),1),100)),IF($E535="T",IF($M535=3,INDEX(Baseline!$B$3:$B$122,MATCH(MIN(MAX(ROUND(($F535)/5,0)*5,5),600),Baseline!$A$3:$A$122,0))-Inputs!$B$9,INDEX(Course!$N$2:$N$19,MATCH($B535,Course!$A$2:$A$19,0))),INDEX(Baseline!$B$3:$E$122,MATCH(MIN(MAX(ROUND(($F535)/5,0)*5,5),600),Baseline!$A$3:$A$122,0),MATCH($E535,Baseline!$B$2:$E$2,0))))))</f>
        <v/>
      </c>
      <c r="P535" s="17" t="str">
        <f aca="false">IF($B535="","",INDEX(Course!$N$2:$N$19,MATCH($B535,Course!$A$2:$A$19,0)))</f>
        <v/>
      </c>
      <c r="Q535" s="17" t="str">
        <f aca="false">IF($B535="","",INDEX(Course!$P$2:$P$19,MATCH($B535,Course!$A$2:$A$19,0)))</f>
        <v/>
      </c>
      <c r="R535" s="17" t="str">
        <f aca="false">IF($C535="","",IF(OR($C535="G",$C535="H"),0,IF($C535="T",1,MIN(1,MAX(0,($N535-Inputs!$B$8)/MAX($P535-Inputs!$B$8,0.01))))))</f>
        <v/>
      </c>
      <c r="S535" s="17" t="str">
        <f aca="false">IF($C535="","",IF(OR($E535="G",$E535="H"),0,IF($E535="T",1,MIN(1,MAX(0,($O535-Inputs!$B$8)/MAX($P535-Inputs!$B$8,0.01))))))</f>
        <v/>
      </c>
    </row>
    <row r="536" customFormat="false" ht="15" hidden="false" customHeight="false" outlineLevel="0" collapsed="false">
      <c r="I536" s="7" t="str">
        <f aca="false">IF($C536="","",IF($C536="G","PUTT",IF(AND($C536="T",$M536&gt;3),"OTT",IF($D536&lt;=30,"ARG","APP"))))</f>
        <v/>
      </c>
      <c r="J536" s="17" t="str">
        <f aca="false">IF($C536="","",$N536+$Q536*$R536)</f>
        <v/>
      </c>
      <c r="K536" s="17" t="str">
        <f aca="false">IF($C536="","",$O536+$Q536*$S536)</f>
        <v/>
      </c>
      <c r="L536" s="17" t="str">
        <f aca="false">IF($C536="","",$J536-$K536-1-N($G536))</f>
        <v/>
      </c>
      <c r="M536" s="7" t="str">
        <f aca="false">IF($B536="","",INDEX(Course!$B$2:$B$19,MATCH($B536,Course!$A$2:$A$19,0)))</f>
        <v/>
      </c>
      <c r="N536" s="17" t="str">
        <f aca="false">IF($C536="","",IF($C536="H",0,IF($C536="G",INDEX(Baseline!$I$3:$I$102,MIN(MAX(ROUND($D536,0),1),100)),IF($C536="T",IF($M536=3,INDEX(Baseline!$B$3:$B$122,MATCH(MIN(MAX(ROUND(($D536)/5,0)*5,5),600),Baseline!$A$3:$A$122,0))-Inputs!$B$9,INDEX(Course!$N$2:$N$19,MATCH($B536,Course!$A$2:$A$19,0))),INDEX(Baseline!$B$3:$E$122,MATCH(MIN(MAX(ROUND(($D536)/5,0)*5,5),600),Baseline!$A$3:$A$122,0),MATCH($C536,Baseline!$B$2:$E$2,0))))))</f>
        <v/>
      </c>
      <c r="O536" s="17" t="str">
        <f aca="false">IF($C536="","",IF($E536="H",0,IF($E536="G",INDEX(Baseline!$I$3:$I$102,MIN(MAX(ROUND($F536,0),1),100)),IF($E536="T",IF($M536=3,INDEX(Baseline!$B$3:$B$122,MATCH(MIN(MAX(ROUND(($F536)/5,0)*5,5),600),Baseline!$A$3:$A$122,0))-Inputs!$B$9,INDEX(Course!$N$2:$N$19,MATCH($B536,Course!$A$2:$A$19,0))),INDEX(Baseline!$B$3:$E$122,MATCH(MIN(MAX(ROUND(($F536)/5,0)*5,5),600),Baseline!$A$3:$A$122,0),MATCH($E536,Baseline!$B$2:$E$2,0))))))</f>
        <v/>
      </c>
      <c r="P536" s="17" t="str">
        <f aca="false">IF($B536="","",INDEX(Course!$N$2:$N$19,MATCH($B536,Course!$A$2:$A$19,0)))</f>
        <v/>
      </c>
      <c r="Q536" s="17" t="str">
        <f aca="false">IF($B536="","",INDEX(Course!$P$2:$P$19,MATCH($B536,Course!$A$2:$A$19,0)))</f>
        <v/>
      </c>
      <c r="R536" s="17" t="str">
        <f aca="false">IF($C536="","",IF(OR($C536="G",$C536="H"),0,IF($C536="T",1,MIN(1,MAX(0,($N536-Inputs!$B$8)/MAX($P536-Inputs!$B$8,0.01))))))</f>
        <v/>
      </c>
      <c r="S536" s="17" t="str">
        <f aca="false">IF($C536="","",IF(OR($E536="G",$E536="H"),0,IF($E536="T",1,MIN(1,MAX(0,($O536-Inputs!$B$8)/MAX($P536-Inputs!$B$8,0.01))))))</f>
        <v/>
      </c>
    </row>
    <row r="537" customFormat="false" ht="15" hidden="false" customHeight="false" outlineLevel="0" collapsed="false">
      <c r="I537" s="7" t="str">
        <f aca="false">IF($C537="","",IF($C537="G","PUTT",IF(AND($C537="T",$M537&gt;3),"OTT",IF($D537&lt;=30,"ARG","APP"))))</f>
        <v/>
      </c>
      <c r="J537" s="17" t="str">
        <f aca="false">IF($C537="","",$N537+$Q537*$R537)</f>
        <v/>
      </c>
      <c r="K537" s="17" t="str">
        <f aca="false">IF($C537="","",$O537+$Q537*$S537)</f>
        <v/>
      </c>
      <c r="L537" s="17" t="str">
        <f aca="false">IF($C537="","",$J537-$K537-1-N($G537))</f>
        <v/>
      </c>
      <c r="M537" s="7" t="str">
        <f aca="false">IF($B537="","",INDEX(Course!$B$2:$B$19,MATCH($B537,Course!$A$2:$A$19,0)))</f>
        <v/>
      </c>
      <c r="N537" s="17" t="str">
        <f aca="false">IF($C537="","",IF($C537="H",0,IF($C537="G",INDEX(Baseline!$I$3:$I$102,MIN(MAX(ROUND($D537,0),1),100)),IF($C537="T",IF($M537=3,INDEX(Baseline!$B$3:$B$122,MATCH(MIN(MAX(ROUND(($D537)/5,0)*5,5),600),Baseline!$A$3:$A$122,0))-Inputs!$B$9,INDEX(Course!$N$2:$N$19,MATCH($B537,Course!$A$2:$A$19,0))),INDEX(Baseline!$B$3:$E$122,MATCH(MIN(MAX(ROUND(($D537)/5,0)*5,5),600),Baseline!$A$3:$A$122,0),MATCH($C537,Baseline!$B$2:$E$2,0))))))</f>
        <v/>
      </c>
      <c r="O537" s="17" t="str">
        <f aca="false">IF($C537="","",IF($E537="H",0,IF($E537="G",INDEX(Baseline!$I$3:$I$102,MIN(MAX(ROUND($F537,0),1),100)),IF($E537="T",IF($M537=3,INDEX(Baseline!$B$3:$B$122,MATCH(MIN(MAX(ROUND(($F537)/5,0)*5,5),600),Baseline!$A$3:$A$122,0))-Inputs!$B$9,INDEX(Course!$N$2:$N$19,MATCH($B537,Course!$A$2:$A$19,0))),INDEX(Baseline!$B$3:$E$122,MATCH(MIN(MAX(ROUND(($F537)/5,0)*5,5),600),Baseline!$A$3:$A$122,0),MATCH($E537,Baseline!$B$2:$E$2,0))))))</f>
        <v/>
      </c>
      <c r="P537" s="17" t="str">
        <f aca="false">IF($B537="","",INDEX(Course!$N$2:$N$19,MATCH($B537,Course!$A$2:$A$19,0)))</f>
        <v/>
      </c>
      <c r="Q537" s="17" t="str">
        <f aca="false">IF($B537="","",INDEX(Course!$P$2:$P$19,MATCH($B537,Course!$A$2:$A$19,0)))</f>
        <v/>
      </c>
      <c r="R537" s="17" t="str">
        <f aca="false">IF($C537="","",IF(OR($C537="G",$C537="H"),0,IF($C537="T",1,MIN(1,MAX(0,($N537-Inputs!$B$8)/MAX($P537-Inputs!$B$8,0.01))))))</f>
        <v/>
      </c>
      <c r="S537" s="17" t="str">
        <f aca="false">IF($C537="","",IF(OR($E537="G",$E537="H"),0,IF($E537="T",1,MIN(1,MAX(0,($O537-Inputs!$B$8)/MAX($P537-Inputs!$B$8,0.01))))))</f>
        <v/>
      </c>
    </row>
    <row r="538" customFormat="false" ht="15" hidden="false" customHeight="false" outlineLevel="0" collapsed="false">
      <c r="I538" s="7" t="str">
        <f aca="false">IF($C538="","",IF($C538="G","PUTT",IF(AND($C538="T",$M538&gt;3),"OTT",IF($D538&lt;=30,"ARG","APP"))))</f>
        <v/>
      </c>
      <c r="J538" s="17" t="str">
        <f aca="false">IF($C538="","",$N538+$Q538*$R538)</f>
        <v/>
      </c>
      <c r="K538" s="17" t="str">
        <f aca="false">IF($C538="","",$O538+$Q538*$S538)</f>
        <v/>
      </c>
      <c r="L538" s="17" t="str">
        <f aca="false">IF($C538="","",$J538-$K538-1-N($G538))</f>
        <v/>
      </c>
      <c r="M538" s="7" t="str">
        <f aca="false">IF($B538="","",INDEX(Course!$B$2:$B$19,MATCH($B538,Course!$A$2:$A$19,0)))</f>
        <v/>
      </c>
      <c r="N538" s="17" t="str">
        <f aca="false">IF($C538="","",IF($C538="H",0,IF($C538="G",INDEX(Baseline!$I$3:$I$102,MIN(MAX(ROUND($D538,0),1),100)),IF($C538="T",IF($M538=3,INDEX(Baseline!$B$3:$B$122,MATCH(MIN(MAX(ROUND(($D538)/5,0)*5,5),600),Baseline!$A$3:$A$122,0))-Inputs!$B$9,INDEX(Course!$N$2:$N$19,MATCH($B538,Course!$A$2:$A$19,0))),INDEX(Baseline!$B$3:$E$122,MATCH(MIN(MAX(ROUND(($D538)/5,0)*5,5),600),Baseline!$A$3:$A$122,0),MATCH($C538,Baseline!$B$2:$E$2,0))))))</f>
        <v/>
      </c>
      <c r="O538" s="17" t="str">
        <f aca="false">IF($C538="","",IF($E538="H",0,IF($E538="G",INDEX(Baseline!$I$3:$I$102,MIN(MAX(ROUND($F538,0),1),100)),IF($E538="T",IF($M538=3,INDEX(Baseline!$B$3:$B$122,MATCH(MIN(MAX(ROUND(($F538)/5,0)*5,5),600),Baseline!$A$3:$A$122,0))-Inputs!$B$9,INDEX(Course!$N$2:$N$19,MATCH($B538,Course!$A$2:$A$19,0))),INDEX(Baseline!$B$3:$E$122,MATCH(MIN(MAX(ROUND(($F538)/5,0)*5,5),600),Baseline!$A$3:$A$122,0),MATCH($E538,Baseline!$B$2:$E$2,0))))))</f>
        <v/>
      </c>
      <c r="P538" s="17" t="str">
        <f aca="false">IF($B538="","",INDEX(Course!$N$2:$N$19,MATCH($B538,Course!$A$2:$A$19,0)))</f>
        <v/>
      </c>
      <c r="Q538" s="17" t="str">
        <f aca="false">IF($B538="","",INDEX(Course!$P$2:$P$19,MATCH($B538,Course!$A$2:$A$19,0)))</f>
        <v/>
      </c>
      <c r="R538" s="17" t="str">
        <f aca="false">IF($C538="","",IF(OR($C538="G",$C538="H"),0,IF($C538="T",1,MIN(1,MAX(0,($N538-Inputs!$B$8)/MAX($P538-Inputs!$B$8,0.01))))))</f>
        <v/>
      </c>
      <c r="S538" s="17" t="str">
        <f aca="false">IF($C538="","",IF(OR($E538="G",$E538="H"),0,IF($E538="T",1,MIN(1,MAX(0,($O538-Inputs!$B$8)/MAX($P538-Inputs!$B$8,0.01))))))</f>
        <v/>
      </c>
    </row>
    <row r="539" customFormat="false" ht="15" hidden="false" customHeight="false" outlineLevel="0" collapsed="false">
      <c r="I539" s="7" t="str">
        <f aca="false">IF($C539="","",IF($C539="G","PUTT",IF(AND($C539="T",$M539&gt;3),"OTT",IF($D539&lt;=30,"ARG","APP"))))</f>
        <v/>
      </c>
      <c r="J539" s="17" t="str">
        <f aca="false">IF($C539="","",$N539+$Q539*$R539)</f>
        <v/>
      </c>
      <c r="K539" s="17" t="str">
        <f aca="false">IF($C539="","",$O539+$Q539*$S539)</f>
        <v/>
      </c>
      <c r="L539" s="17" t="str">
        <f aca="false">IF($C539="","",$J539-$K539-1-N($G539))</f>
        <v/>
      </c>
      <c r="M539" s="7" t="str">
        <f aca="false">IF($B539="","",INDEX(Course!$B$2:$B$19,MATCH($B539,Course!$A$2:$A$19,0)))</f>
        <v/>
      </c>
      <c r="N539" s="17" t="str">
        <f aca="false">IF($C539="","",IF($C539="H",0,IF($C539="G",INDEX(Baseline!$I$3:$I$102,MIN(MAX(ROUND($D539,0),1),100)),IF($C539="T",IF($M539=3,INDEX(Baseline!$B$3:$B$122,MATCH(MIN(MAX(ROUND(($D539)/5,0)*5,5),600),Baseline!$A$3:$A$122,0))-Inputs!$B$9,INDEX(Course!$N$2:$N$19,MATCH($B539,Course!$A$2:$A$19,0))),INDEX(Baseline!$B$3:$E$122,MATCH(MIN(MAX(ROUND(($D539)/5,0)*5,5),600),Baseline!$A$3:$A$122,0),MATCH($C539,Baseline!$B$2:$E$2,0))))))</f>
        <v/>
      </c>
      <c r="O539" s="17" t="str">
        <f aca="false">IF($C539="","",IF($E539="H",0,IF($E539="G",INDEX(Baseline!$I$3:$I$102,MIN(MAX(ROUND($F539,0),1),100)),IF($E539="T",IF($M539=3,INDEX(Baseline!$B$3:$B$122,MATCH(MIN(MAX(ROUND(($F539)/5,0)*5,5),600),Baseline!$A$3:$A$122,0))-Inputs!$B$9,INDEX(Course!$N$2:$N$19,MATCH($B539,Course!$A$2:$A$19,0))),INDEX(Baseline!$B$3:$E$122,MATCH(MIN(MAX(ROUND(($F539)/5,0)*5,5),600),Baseline!$A$3:$A$122,0),MATCH($E539,Baseline!$B$2:$E$2,0))))))</f>
        <v/>
      </c>
      <c r="P539" s="17" t="str">
        <f aca="false">IF($B539="","",INDEX(Course!$N$2:$N$19,MATCH($B539,Course!$A$2:$A$19,0)))</f>
        <v/>
      </c>
      <c r="Q539" s="17" t="str">
        <f aca="false">IF($B539="","",INDEX(Course!$P$2:$P$19,MATCH($B539,Course!$A$2:$A$19,0)))</f>
        <v/>
      </c>
      <c r="R539" s="17" t="str">
        <f aca="false">IF($C539="","",IF(OR($C539="G",$C539="H"),0,IF($C539="T",1,MIN(1,MAX(0,($N539-Inputs!$B$8)/MAX($P539-Inputs!$B$8,0.01))))))</f>
        <v/>
      </c>
      <c r="S539" s="17" t="str">
        <f aca="false">IF($C539="","",IF(OR($E539="G",$E539="H"),0,IF($E539="T",1,MIN(1,MAX(0,($O539-Inputs!$B$8)/MAX($P539-Inputs!$B$8,0.01))))))</f>
        <v/>
      </c>
    </row>
    <row r="540" customFormat="false" ht="15" hidden="false" customHeight="false" outlineLevel="0" collapsed="false">
      <c r="I540" s="7" t="str">
        <f aca="false">IF($C540="","",IF($C540="G","PUTT",IF(AND($C540="T",$M540&gt;3),"OTT",IF($D540&lt;=30,"ARG","APP"))))</f>
        <v/>
      </c>
      <c r="J540" s="17" t="str">
        <f aca="false">IF($C540="","",$N540+$Q540*$R540)</f>
        <v/>
      </c>
      <c r="K540" s="17" t="str">
        <f aca="false">IF($C540="","",$O540+$Q540*$S540)</f>
        <v/>
      </c>
      <c r="L540" s="17" t="str">
        <f aca="false">IF($C540="","",$J540-$K540-1-N($G540))</f>
        <v/>
      </c>
      <c r="M540" s="7" t="str">
        <f aca="false">IF($B540="","",INDEX(Course!$B$2:$B$19,MATCH($B540,Course!$A$2:$A$19,0)))</f>
        <v/>
      </c>
      <c r="N540" s="17" t="str">
        <f aca="false">IF($C540="","",IF($C540="H",0,IF($C540="G",INDEX(Baseline!$I$3:$I$102,MIN(MAX(ROUND($D540,0),1),100)),IF($C540="T",IF($M540=3,INDEX(Baseline!$B$3:$B$122,MATCH(MIN(MAX(ROUND(($D540)/5,0)*5,5),600),Baseline!$A$3:$A$122,0))-Inputs!$B$9,INDEX(Course!$N$2:$N$19,MATCH($B540,Course!$A$2:$A$19,0))),INDEX(Baseline!$B$3:$E$122,MATCH(MIN(MAX(ROUND(($D540)/5,0)*5,5),600),Baseline!$A$3:$A$122,0),MATCH($C540,Baseline!$B$2:$E$2,0))))))</f>
        <v/>
      </c>
      <c r="O540" s="17" t="str">
        <f aca="false">IF($C540="","",IF($E540="H",0,IF($E540="G",INDEX(Baseline!$I$3:$I$102,MIN(MAX(ROUND($F540,0),1),100)),IF($E540="T",IF($M540=3,INDEX(Baseline!$B$3:$B$122,MATCH(MIN(MAX(ROUND(($F540)/5,0)*5,5),600),Baseline!$A$3:$A$122,0))-Inputs!$B$9,INDEX(Course!$N$2:$N$19,MATCH($B540,Course!$A$2:$A$19,0))),INDEX(Baseline!$B$3:$E$122,MATCH(MIN(MAX(ROUND(($F540)/5,0)*5,5),600),Baseline!$A$3:$A$122,0),MATCH($E540,Baseline!$B$2:$E$2,0))))))</f>
        <v/>
      </c>
      <c r="P540" s="17" t="str">
        <f aca="false">IF($B540="","",INDEX(Course!$N$2:$N$19,MATCH($B540,Course!$A$2:$A$19,0)))</f>
        <v/>
      </c>
      <c r="Q540" s="17" t="str">
        <f aca="false">IF($B540="","",INDEX(Course!$P$2:$P$19,MATCH($B540,Course!$A$2:$A$19,0)))</f>
        <v/>
      </c>
      <c r="R540" s="17" t="str">
        <f aca="false">IF($C540="","",IF(OR($C540="G",$C540="H"),0,IF($C540="T",1,MIN(1,MAX(0,($N540-Inputs!$B$8)/MAX($P540-Inputs!$B$8,0.01))))))</f>
        <v/>
      </c>
      <c r="S540" s="17" t="str">
        <f aca="false">IF($C540="","",IF(OR($E540="G",$E540="H"),0,IF($E540="T",1,MIN(1,MAX(0,($O540-Inputs!$B$8)/MAX($P540-Inputs!$B$8,0.01))))))</f>
        <v/>
      </c>
    </row>
    <row r="541" customFormat="false" ht="15" hidden="false" customHeight="false" outlineLevel="0" collapsed="false">
      <c r="I541" s="7" t="str">
        <f aca="false">IF($C541="","",IF($C541="G","PUTT",IF(AND($C541="T",$M541&gt;3),"OTT",IF($D541&lt;=30,"ARG","APP"))))</f>
        <v/>
      </c>
      <c r="J541" s="17" t="str">
        <f aca="false">IF($C541="","",$N541+$Q541*$R541)</f>
        <v/>
      </c>
      <c r="K541" s="17" t="str">
        <f aca="false">IF($C541="","",$O541+$Q541*$S541)</f>
        <v/>
      </c>
      <c r="L541" s="17" t="str">
        <f aca="false">IF($C541="","",$J541-$K541-1-N($G541))</f>
        <v/>
      </c>
      <c r="M541" s="7" t="str">
        <f aca="false">IF($B541="","",INDEX(Course!$B$2:$B$19,MATCH($B541,Course!$A$2:$A$19,0)))</f>
        <v/>
      </c>
      <c r="N541" s="17" t="str">
        <f aca="false">IF($C541="","",IF($C541="H",0,IF($C541="G",INDEX(Baseline!$I$3:$I$102,MIN(MAX(ROUND($D541,0),1),100)),IF($C541="T",IF($M541=3,INDEX(Baseline!$B$3:$B$122,MATCH(MIN(MAX(ROUND(($D541)/5,0)*5,5),600),Baseline!$A$3:$A$122,0))-Inputs!$B$9,INDEX(Course!$N$2:$N$19,MATCH($B541,Course!$A$2:$A$19,0))),INDEX(Baseline!$B$3:$E$122,MATCH(MIN(MAX(ROUND(($D541)/5,0)*5,5),600),Baseline!$A$3:$A$122,0),MATCH($C541,Baseline!$B$2:$E$2,0))))))</f>
        <v/>
      </c>
      <c r="O541" s="17" t="str">
        <f aca="false">IF($C541="","",IF($E541="H",0,IF($E541="G",INDEX(Baseline!$I$3:$I$102,MIN(MAX(ROUND($F541,0),1),100)),IF($E541="T",IF($M541=3,INDEX(Baseline!$B$3:$B$122,MATCH(MIN(MAX(ROUND(($F541)/5,0)*5,5),600),Baseline!$A$3:$A$122,0))-Inputs!$B$9,INDEX(Course!$N$2:$N$19,MATCH($B541,Course!$A$2:$A$19,0))),INDEX(Baseline!$B$3:$E$122,MATCH(MIN(MAX(ROUND(($F541)/5,0)*5,5),600),Baseline!$A$3:$A$122,0),MATCH($E541,Baseline!$B$2:$E$2,0))))))</f>
        <v/>
      </c>
      <c r="P541" s="17" t="str">
        <f aca="false">IF($B541="","",INDEX(Course!$N$2:$N$19,MATCH($B541,Course!$A$2:$A$19,0)))</f>
        <v/>
      </c>
      <c r="Q541" s="17" t="str">
        <f aca="false">IF($B541="","",INDEX(Course!$P$2:$P$19,MATCH($B541,Course!$A$2:$A$19,0)))</f>
        <v/>
      </c>
      <c r="R541" s="17" t="str">
        <f aca="false">IF($C541="","",IF(OR($C541="G",$C541="H"),0,IF($C541="T",1,MIN(1,MAX(0,($N541-Inputs!$B$8)/MAX($P541-Inputs!$B$8,0.01))))))</f>
        <v/>
      </c>
      <c r="S541" s="17" t="str">
        <f aca="false">IF($C541="","",IF(OR($E541="G",$E541="H"),0,IF($E541="T",1,MIN(1,MAX(0,($O541-Inputs!$B$8)/MAX($P541-Inputs!$B$8,0.01))))))</f>
        <v/>
      </c>
    </row>
    <row r="542" customFormat="false" ht="15" hidden="false" customHeight="false" outlineLevel="0" collapsed="false">
      <c r="I542" s="7" t="str">
        <f aca="false">IF($C542="","",IF($C542="G","PUTT",IF(AND($C542="T",$M542&gt;3),"OTT",IF($D542&lt;=30,"ARG","APP"))))</f>
        <v/>
      </c>
      <c r="J542" s="17" t="str">
        <f aca="false">IF($C542="","",$N542+$Q542*$R542)</f>
        <v/>
      </c>
      <c r="K542" s="17" t="str">
        <f aca="false">IF($C542="","",$O542+$Q542*$S542)</f>
        <v/>
      </c>
      <c r="L542" s="17" t="str">
        <f aca="false">IF($C542="","",$J542-$K542-1-N($G542))</f>
        <v/>
      </c>
      <c r="M542" s="7" t="str">
        <f aca="false">IF($B542="","",INDEX(Course!$B$2:$B$19,MATCH($B542,Course!$A$2:$A$19,0)))</f>
        <v/>
      </c>
      <c r="N542" s="17" t="str">
        <f aca="false">IF($C542="","",IF($C542="H",0,IF($C542="G",INDEX(Baseline!$I$3:$I$102,MIN(MAX(ROUND($D542,0),1),100)),IF($C542="T",IF($M542=3,INDEX(Baseline!$B$3:$B$122,MATCH(MIN(MAX(ROUND(($D542)/5,0)*5,5),600),Baseline!$A$3:$A$122,0))-Inputs!$B$9,INDEX(Course!$N$2:$N$19,MATCH($B542,Course!$A$2:$A$19,0))),INDEX(Baseline!$B$3:$E$122,MATCH(MIN(MAX(ROUND(($D542)/5,0)*5,5),600),Baseline!$A$3:$A$122,0),MATCH($C542,Baseline!$B$2:$E$2,0))))))</f>
        <v/>
      </c>
      <c r="O542" s="17" t="str">
        <f aca="false">IF($C542="","",IF($E542="H",0,IF($E542="G",INDEX(Baseline!$I$3:$I$102,MIN(MAX(ROUND($F542,0),1),100)),IF($E542="T",IF($M542=3,INDEX(Baseline!$B$3:$B$122,MATCH(MIN(MAX(ROUND(($F542)/5,0)*5,5),600),Baseline!$A$3:$A$122,0))-Inputs!$B$9,INDEX(Course!$N$2:$N$19,MATCH($B542,Course!$A$2:$A$19,0))),INDEX(Baseline!$B$3:$E$122,MATCH(MIN(MAX(ROUND(($F542)/5,0)*5,5),600),Baseline!$A$3:$A$122,0),MATCH($E542,Baseline!$B$2:$E$2,0))))))</f>
        <v/>
      </c>
      <c r="P542" s="17" t="str">
        <f aca="false">IF($B542="","",INDEX(Course!$N$2:$N$19,MATCH($B542,Course!$A$2:$A$19,0)))</f>
        <v/>
      </c>
      <c r="Q542" s="17" t="str">
        <f aca="false">IF($B542="","",INDEX(Course!$P$2:$P$19,MATCH($B542,Course!$A$2:$A$19,0)))</f>
        <v/>
      </c>
      <c r="R542" s="17" t="str">
        <f aca="false">IF($C542="","",IF(OR($C542="G",$C542="H"),0,IF($C542="T",1,MIN(1,MAX(0,($N542-Inputs!$B$8)/MAX($P542-Inputs!$B$8,0.01))))))</f>
        <v/>
      </c>
      <c r="S542" s="17" t="str">
        <f aca="false">IF($C542="","",IF(OR($E542="G",$E542="H"),0,IF($E542="T",1,MIN(1,MAX(0,($O542-Inputs!$B$8)/MAX($P542-Inputs!$B$8,0.01))))))</f>
        <v/>
      </c>
    </row>
    <row r="543" customFormat="false" ht="15" hidden="false" customHeight="false" outlineLevel="0" collapsed="false">
      <c r="I543" s="7" t="str">
        <f aca="false">IF($C543="","",IF($C543="G","PUTT",IF(AND($C543="T",$M543&gt;3),"OTT",IF($D543&lt;=30,"ARG","APP"))))</f>
        <v/>
      </c>
      <c r="J543" s="17" t="str">
        <f aca="false">IF($C543="","",$N543+$Q543*$R543)</f>
        <v/>
      </c>
      <c r="K543" s="17" t="str">
        <f aca="false">IF($C543="","",$O543+$Q543*$S543)</f>
        <v/>
      </c>
      <c r="L543" s="17" t="str">
        <f aca="false">IF($C543="","",$J543-$K543-1-N($G543))</f>
        <v/>
      </c>
      <c r="M543" s="7" t="str">
        <f aca="false">IF($B543="","",INDEX(Course!$B$2:$B$19,MATCH($B543,Course!$A$2:$A$19,0)))</f>
        <v/>
      </c>
      <c r="N543" s="17" t="str">
        <f aca="false">IF($C543="","",IF($C543="H",0,IF($C543="G",INDEX(Baseline!$I$3:$I$102,MIN(MAX(ROUND($D543,0),1),100)),IF($C543="T",IF($M543=3,INDEX(Baseline!$B$3:$B$122,MATCH(MIN(MAX(ROUND(($D543)/5,0)*5,5),600),Baseline!$A$3:$A$122,0))-Inputs!$B$9,INDEX(Course!$N$2:$N$19,MATCH($B543,Course!$A$2:$A$19,0))),INDEX(Baseline!$B$3:$E$122,MATCH(MIN(MAX(ROUND(($D543)/5,0)*5,5),600),Baseline!$A$3:$A$122,0),MATCH($C543,Baseline!$B$2:$E$2,0))))))</f>
        <v/>
      </c>
      <c r="O543" s="17" t="str">
        <f aca="false">IF($C543="","",IF($E543="H",0,IF($E543="G",INDEX(Baseline!$I$3:$I$102,MIN(MAX(ROUND($F543,0),1),100)),IF($E543="T",IF($M543=3,INDEX(Baseline!$B$3:$B$122,MATCH(MIN(MAX(ROUND(($F543)/5,0)*5,5),600),Baseline!$A$3:$A$122,0))-Inputs!$B$9,INDEX(Course!$N$2:$N$19,MATCH($B543,Course!$A$2:$A$19,0))),INDEX(Baseline!$B$3:$E$122,MATCH(MIN(MAX(ROUND(($F543)/5,0)*5,5),600),Baseline!$A$3:$A$122,0),MATCH($E543,Baseline!$B$2:$E$2,0))))))</f>
        <v/>
      </c>
      <c r="P543" s="17" t="str">
        <f aca="false">IF($B543="","",INDEX(Course!$N$2:$N$19,MATCH($B543,Course!$A$2:$A$19,0)))</f>
        <v/>
      </c>
      <c r="Q543" s="17" t="str">
        <f aca="false">IF($B543="","",INDEX(Course!$P$2:$P$19,MATCH($B543,Course!$A$2:$A$19,0)))</f>
        <v/>
      </c>
      <c r="R543" s="17" t="str">
        <f aca="false">IF($C543="","",IF(OR($C543="G",$C543="H"),0,IF($C543="T",1,MIN(1,MAX(0,($N543-Inputs!$B$8)/MAX($P543-Inputs!$B$8,0.01))))))</f>
        <v/>
      </c>
      <c r="S543" s="17" t="str">
        <f aca="false">IF($C543="","",IF(OR($E543="G",$E543="H"),0,IF($E543="T",1,MIN(1,MAX(0,($O543-Inputs!$B$8)/MAX($P543-Inputs!$B$8,0.01))))))</f>
        <v/>
      </c>
    </row>
    <row r="544" customFormat="false" ht="15" hidden="false" customHeight="false" outlineLevel="0" collapsed="false">
      <c r="I544" s="7" t="str">
        <f aca="false">IF($C544="","",IF($C544="G","PUTT",IF(AND($C544="T",$M544&gt;3),"OTT",IF($D544&lt;=30,"ARG","APP"))))</f>
        <v/>
      </c>
      <c r="J544" s="17" t="str">
        <f aca="false">IF($C544="","",$N544+$Q544*$R544)</f>
        <v/>
      </c>
      <c r="K544" s="17" t="str">
        <f aca="false">IF($C544="","",$O544+$Q544*$S544)</f>
        <v/>
      </c>
      <c r="L544" s="17" t="str">
        <f aca="false">IF($C544="","",$J544-$K544-1-N($G544))</f>
        <v/>
      </c>
      <c r="M544" s="7" t="str">
        <f aca="false">IF($B544="","",INDEX(Course!$B$2:$B$19,MATCH($B544,Course!$A$2:$A$19,0)))</f>
        <v/>
      </c>
      <c r="N544" s="17" t="str">
        <f aca="false">IF($C544="","",IF($C544="H",0,IF($C544="G",INDEX(Baseline!$I$3:$I$102,MIN(MAX(ROUND($D544,0),1),100)),IF($C544="T",IF($M544=3,INDEX(Baseline!$B$3:$B$122,MATCH(MIN(MAX(ROUND(($D544)/5,0)*5,5),600),Baseline!$A$3:$A$122,0))-Inputs!$B$9,INDEX(Course!$N$2:$N$19,MATCH($B544,Course!$A$2:$A$19,0))),INDEX(Baseline!$B$3:$E$122,MATCH(MIN(MAX(ROUND(($D544)/5,0)*5,5),600),Baseline!$A$3:$A$122,0),MATCH($C544,Baseline!$B$2:$E$2,0))))))</f>
        <v/>
      </c>
      <c r="O544" s="17" t="str">
        <f aca="false">IF($C544="","",IF($E544="H",0,IF($E544="G",INDEX(Baseline!$I$3:$I$102,MIN(MAX(ROUND($F544,0),1),100)),IF($E544="T",IF($M544=3,INDEX(Baseline!$B$3:$B$122,MATCH(MIN(MAX(ROUND(($F544)/5,0)*5,5),600),Baseline!$A$3:$A$122,0))-Inputs!$B$9,INDEX(Course!$N$2:$N$19,MATCH($B544,Course!$A$2:$A$19,0))),INDEX(Baseline!$B$3:$E$122,MATCH(MIN(MAX(ROUND(($F544)/5,0)*5,5),600),Baseline!$A$3:$A$122,0),MATCH($E544,Baseline!$B$2:$E$2,0))))))</f>
        <v/>
      </c>
      <c r="P544" s="17" t="str">
        <f aca="false">IF($B544="","",INDEX(Course!$N$2:$N$19,MATCH($B544,Course!$A$2:$A$19,0)))</f>
        <v/>
      </c>
      <c r="Q544" s="17" t="str">
        <f aca="false">IF($B544="","",INDEX(Course!$P$2:$P$19,MATCH($B544,Course!$A$2:$A$19,0)))</f>
        <v/>
      </c>
      <c r="R544" s="17" t="str">
        <f aca="false">IF($C544="","",IF(OR($C544="G",$C544="H"),0,IF($C544="T",1,MIN(1,MAX(0,($N544-Inputs!$B$8)/MAX($P544-Inputs!$B$8,0.01))))))</f>
        <v/>
      </c>
      <c r="S544" s="17" t="str">
        <f aca="false">IF($C544="","",IF(OR($E544="G",$E544="H"),0,IF($E544="T",1,MIN(1,MAX(0,($O544-Inputs!$B$8)/MAX($P544-Inputs!$B$8,0.01))))))</f>
        <v/>
      </c>
    </row>
    <row r="545" customFormat="false" ht="15" hidden="false" customHeight="false" outlineLevel="0" collapsed="false">
      <c r="I545" s="7" t="str">
        <f aca="false">IF($C545="","",IF($C545="G","PUTT",IF(AND($C545="T",$M545&gt;3),"OTT",IF($D545&lt;=30,"ARG","APP"))))</f>
        <v/>
      </c>
      <c r="J545" s="17" t="str">
        <f aca="false">IF($C545="","",$N545+$Q545*$R545)</f>
        <v/>
      </c>
      <c r="K545" s="17" t="str">
        <f aca="false">IF($C545="","",$O545+$Q545*$S545)</f>
        <v/>
      </c>
      <c r="L545" s="17" t="str">
        <f aca="false">IF($C545="","",$J545-$K545-1-N($G545))</f>
        <v/>
      </c>
      <c r="M545" s="7" t="str">
        <f aca="false">IF($B545="","",INDEX(Course!$B$2:$B$19,MATCH($B545,Course!$A$2:$A$19,0)))</f>
        <v/>
      </c>
      <c r="N545" s="17" t="str">
        <f aca="false">IF($C545="","",IF($C545="H",0,IF($C545="G",INDEX(Baseline!$I$3:$I$102,MIN(MAX(ROUND($D545,0),1),100)),IF($C545="T",IF($M545=3,INDEX(Baseline!$B$3:$B$122,MATCH(MIN(MAX(ROUND(($D545)/5,0)*5,5),600),Baseline!$A$3:$A$122,0))-Inputs!$B$9,INDEX(Course!$N$2:$N$19,MATCH($B545,Course!$A$2:$A$19,0))),INDEX(Baseline!$B$3:$E$122,MATCH(MIN(MAX(ROUND(($D545)/5,0)*5,5),600),Baseline!$A$3:$A$122,0),MATCH($C545,Baseline!$B$2:$E$2,0))))))</f>
        <v/>
      </c>
      <c r="O545" s="17" t="str">
        <f aca="false">IF($C545="","",IF($E545="H",0,IF($E545="G",INDEX(Baseline!$I$3:$I$102,MIN(MAX(ROUND($F545,0),1),100)),IF($E545="T",IF($M545=3,INDEX(Baseline!$B$3:$B$122,MATCH(MIN(MAX(ROUND(($F545)/5,0)*5,5),600),Baseline!$A$3:$A$122,0))-Inputs!$B$9,INDEX(Course!$N$2:$N$19,MATCH($B545,Course!$A$2:$A$19,0))),INDEX(Baseline!$B$3:$E$122,MATCH(MIN(MAX(ROUND(($F545)/5,0)*5,5),600),Baseline!$A$3:$A$122,0),MATCH($E545,Baseline!$B$2:$E$2,0))))))</f>
        <v/>
      </c>
      <c r="P545" s="17" t="str">
        <f aca="false">IF($B545="","",INDEX(Course!$N$2:$N$19,MATCH($B545,Course!$A$2:$A$19,0)))</f>
        <v/>
      </c>
      <c r="Q545" s="17" t="str">
        <f aca="false">IF($B545="","",INDEX(Course!$P$2:$P$19,MATCH($B545,Course!$A$2:$A$19,0)))</f>
        <v/>
      </c>
      <c r="R545" s="17" t="str">
        <f aca="false">IF($C545="","",IF(OR($C545="G",$C545="H"),0,IF($C545="T",1,MIN(1,MAX(0,($N545-Inputs!$B$8)/MAX($P545-Inputs!$B$8,0.01))))))</f>
        <v/>
      </c>
      <c r="S545" s="17" t="str">
        <f aca="false">IF($C545="","",IF(OR($E545="G",$E545="H"),0,IF($E545="T",1,MIN(1,MAX(0,($O545-Inputs!$B$8)/MAX($P545-Inputs!$B$8,0.01))))))</f>
        <v/>
      </c>
    </row>
    <row r="546" customFormat="false" ht="15" hidden="false" customHeight="false" outlineLevel="0" collapsed="false">
      <c r="I546" s="7" t="str">
        <f aca="false">IF($C546="","",IF($C546="G","PUTT",IF(AND($C546="T",$M546&gt;3),"OTT",IF($D546&lt;=30,"ARG","APP"))))</f>
        <v/>
      </c>
      <c r="J546" s="17" t="str">
        <f aca="false">IF($C546="","",$N546+$Q546*$R546)</f>
        <v/>
      </c>
      <c r="K546" s="17" t="str">
        <f aca="false">IF($C546="","",$O546+$Q546*$S546)</f>
        <v/>
      </c>
      <c r="L546" s="17" t="str">
        <f aca="false">IF($C546="","",$J546-$K546-1-N($G546))</f>
        <v/>
      </c>
      <c r="M546" s="7" t="str">
        <f aca="false">IF($B546="","",INDEX(Course!$B$2:$B$19,MATCH($B546,Course!$A$2:$A$19,0)))</f>
        <v/>
      </c>
      <c r="N546" s="17" t="str">
        <f aca="false">IF($C546="","",IF($C546="H",0,IF($C546="G",INDEX(Baseline!$I$3:$I$102,MIN(MAX(ROUND($D546,0),1),100)),IF($C546="T",IF($M546=3,INDEX(Baseline!$B$3:$B$122,MATCH(MIN(MAX(ROUND(($D546)/5,0)*5,5),600),Baseline!$A$3:$A$122,0))-Inputs!$B$9,INDEX(Course!$N$2:$N$19,MATCH($B546,Course!$A$2:$A$19,0))),INDEX(Baseline!$B$3:$E$122,MATCH(MIN(MAX(ROUND(($D546)/5,0)*5,5),600),Baseline!$A$3:$A$122,0),MATCH($C546,Baseline!$B$2:$E$2,0))))))</f>
        <v/>
      </c>
      <c r="O546" s="17" t="str">
        <f aca="false">IF($C546="","",IF($E546="H",0,IF($E546="G",INDEX(Baseline!$I$3:$I$102,MIN(MAX(ROUND($F546,0),1),100)),IF($E546="T",IF($M546=3,INDEX(Baseline!$B$3:$B$122,MATCH(MIN(MAX(ROUND(($F546)/5,0)*5,5),600),Baseline!$A$3:$A$122,0))-Inputs!$B$9,INDEX(Course!$N$2:$N$19,MATCH($B546,Course!$A$2:$A$19,0))),INDEX(Baseline!$B$3:$E$122,MATCH(MIN(MAX(ROUND(($F546)/5,0)*5,5),600),Baseline!$A$3:$A$122,0),MATCH($E546,Baseline!$B$2:$E$2,0))))))</f>
        <v/>
      </c>
      <c r="P546" s="17" t="str">
        <f aca="false">IF($B546="","",INDEX(Course!$N$2:$N$19,MATCH($B546,Course!$A$2:$A$19,0)))</f>
        <v/>
      </c>
      <c r="Q546" s="17" t="str">
        <f aca="false">IF($B546="","",INDEX(Course!$P$2:$P$19,MATCH($B546,Course!$A$2:$A$19,0)))</f>
        <v/>
      </c>
      <c r="R546" s="17" t="str">
        <f aca="false">IF($C546="","",IF(OR($C546="G",$C546="H"),0,IF($C546="T",1,MIN(1,MAX(0,($N546-Inputs!$B$8)/MAX($P546-Inputs!$B$8,0.01))))))</f>
        <v/>
      </c>
      <c r="S546" s="17" t="str">
        <f aca="false">IF($C546="","",IF(OR($E546="G",$E546="H"),0,IF($E546="T",1,MIN(1,MAX(0,($O546-Inputs!$B$8)/MAX($P546-Inputs!$B$8,0.01))))))</f>
        <v/>
      </c>
    </row>
    <row r="547" customFormat="false" ht="15" hidden="false" customHeight="false" outlineLevel="0" collapsed="false">
      <c r="I547" s="7" t="str">
        <f aca="false">IF($C547="","",IF($C547="G","PUTT",IF(AND($C547="T",$M547&gt;3),"OTT",IF($D547&lt;=30,"ARG","APP"))))</f>
        <v/>
      </c>
      <c r="J547" s="17" t="str">
        <f aca="false">IF($C547="","",$N547+$Q547*$R547)</f>
        <v/>
      </c>
      <c r="K547" s="17" t="str">
        <f aca="false">IF($C547="","",$O547+$Q547*$S547)</f>
        <v/>
      </c>
      <c r="L547" s="17" t="str">
        <f aca="false">IF($C547="","",$J547-$K547-1-N($G547))</f>
        <v/>
      </c>
      <c r="M547" s="7" t="str">
        <f aca="false">IF($B547="","",INDEX(Course!$B$2:$B$19,MATCH($B547,Course!$A$2:$A$19,0)))</f>
        <v/>
      </c>
      <c r="N547" s="17" t="str">
        <f aca="false">IF($C547="","",IF($C547="H",0,IF($C547="G",INDEX(Baseline!$I$3:$I$102,MIN(MAX(ROUND($D547,0),1),100)),IF($C547="T",IF($M547=3,INDEX(Baseline!$B$3:$B$122,MATCH(MIN(MAX(ROUND(($D547)/5,0)*5,5),600),Baseline!$A$3:$A$122,0))-Inputs!$B$9,INDEX(Course!$N$2:$N$19,MATCH($B547,Course!$A$2:$A$19,0))),INDEX(Baseline!$B$3:$E$122,MATCH(MIN(MAX(ROUND(($D547)/5,0)*5,5),600),Baseline!$A$3:$A$122,0),MATCH($C547,Baseline!$B$2:$E$2,0))))))</f>
        <v/>
      </c>
      <c r="O547" s="17" t="str">
        <f aca="false">IF($C547="","",IF($E547="H",0,IF($E547="G",INDEX(Baseline!$I$3:$I$102,MIN(MAX(ROUND($F547,0),1),100)),IF($E547="T",IF($M547=3,INDEX(Baseline!$B$3:$B$122,MATCH(MIN(MAX(ROUND(($F547)/5,0)*5,5),600),Baseline!$A$3:$A$122,0))-Inputs!$B$9,INDEX(Course!$N$2:$N$19,MATCH($B547,Course!$A$2:$A$19,0))),INDEX(Baseline!$B$3:$E$122,MATCH(MIN(MAX(ROUND(($F547)/5,0)*5,5),600),Baseline!$A$3:$A$122,0),MATCH($E547,Baseline!$B$2:$E$2,0))))))</f>
        <v/>
      </c>
      <c r="P547" s="17" t="str">
        <f aca="false">IF($B547="","",INDEX(Course!$N$2:$N$19,MATCH($B547,Course!$A$2:$A$19,0)))</f>
        <v/>
      </c>
      <c r="Q547" s="17" t="str">
        <f aca="false">IF($B547="","",INDEX(Course!$P$2:$P$19,MATCH($B547,Course!$A$2:$A$19,0)))</f>
        <v/>
      </c>
      <c r="R547" s="17" t="str">
        <f aca="false">IF($C547="","",IF(OR($C547="G",$C547="H"),0,IF($C547="T",1,MIN(1,MAX(0,($N547-Inputs!$B$8)/MAX($P547-Inputs!$B$8,0.01))))))</f>
        <v/>
      </c>
      <c r="S547" s="17" t="str">
        <f aca="false">IF($C547="","",IF(OR($E547="G",$E547="H"),0,IF($E547="T",1,MIN(1,MAX(0,($O547-Inputs!$B$8)/MAX($P547-Inputs!$B$8,0.01))))))</f>
        <v/>
      </c>
    </row>
    <row r="548" customFormat="false" ht="15" hidden="false" customHeight="false" outlineLevel="0" collapsed="false">
      <c r="I548" s="7" t="str">
        <f aca="false">IF($C548="","",IF($C548="G","PUTT",IF(AND($C548="T",$M548&gt;3),"OTT",IF($D548&lt;=30,"ARG","APP"))))</f>
        <v/>
      </c>
      <c r="J548" s="17" t="str">
        <f aca="false">IF($C548="","",$N548+$Q548*$R548)</f>
        <v/>
      </c>
      <c r="K548" s="17" t="str">
        <f aca="false">IF($C548="","",$O548+$Q548*$S548)</f>
        <v/>
      </c>
      <c r="L548" s="17" t="str">
        <f aca="false">IF($C548="","",$J548-$K548-1-N($G548))</f>
        <v/>
      </c>
      <c r="M548" s="7" t="str">
        <f aca="false">IF($B548="","",INDEX(Course!$B$2:$B$19,MATCH($B548,Course!$A$2:$A$19,0)))</f>
        <v/>
      </c>
      <c r="N548" s="17" t="str">
        <f aca="false">IF($C548="","",IF($C548="H",0,IF($C548="G",INDEX(Baseline!$I$3:$I$102,MIN(MAX(ROUND($D548,0),1),100)),IF($C548="T",IF($M548=3,INDEX(Baseline!$B$3:$B$122,MATCH(MIN(MAX(ROUND(($D548)/5,0)*5,5),600),Baseline!$A$3:$A$122,0))-Inputs!$B$9,INDEX(Course!$N$2:$N$19,MATCH($B548,Course!$A$2:$A$19,0))),INDEX(Baseline!$B$3:$E$122,MATCH(MIN(MAX(ROUND(($D548)/5,0)*5,5),600),Baseline!$A$3:$A$122,0),MATCH($C548,Baseline!$B$2:$E$2,0))))))</f>
        <v/>
      </c>
      <c r="O548" s="17" t="str">
        <f aca="false">IF($C548="","",IF($E548="H",0,IF($E548="G",INDEX(Baseline!$I$3:$I$102,MIN(MAX(ROUND($F548,0),1),100)),IF($E548="T",IF($M548=3,INDEX(Baseline!$B$3:$B$122,MATCH(MIN(MAX(ROUND(($F548)/5,0)*5,5),600),Baseline!$A$3:$A$122,0))-Inputs!$B$9,INDEX(Course!$N$2:$N$19,MATCH($B548,Course!$A$2:$A$19,0))),INDEX(Baseline!$B$3:$E$122,MATCH(MIN(MAX(ROUND(($F548)/5,0)*5,5),600),Baseline!$A$3:$A$122,0),MATCH($E548,Baseline!$B$2:$E$2,0))))))</f>
        <v/>
      </c>
      <c r="P548" s="17" t="str">
        <f aca="false">IF($B548="","",INDEX(Course!$N$2:$N$19,MATCH($B548,Course!$A$2:$A$19,0)))</f>
        <v/>
      </c>
      <c r="Q548" s="17" t="str">
        <f aca="false">IF($B548="","",INDEX(Course!$P$2:$P$19,MATCH($B548,Course!$A$2:$A$19,0)))</f>
        <v/>
      </c>
      <c r="R548" s="17" t="str">
        <f aca="false">IF($C548="","",IF(OR($C548="G",$C548="H"),0,IF($C548="T",1,MIN(1,MAX(0,($N548-Inputs!$B$8)/MAX($P548-Inputs!$B$8,0.01))))))</f>
        <v/>
      </c>
      <c r="S548" s="17" t="str">
        <f aca="false">IF($C548="","",IF(OR($E548="G",$E548="H"),0,IF($E548="T",1,MIN(1,MAX(0,($O548-Inputs!$B$8)/MAX($P548-Inputs!$B$8,0.01))))))</f>
        <v/>
      </c>
    </row>
    <row r="549" customFormat="false" ht="15" hidden="false" customHeight="false" outlineLevel="0" collapsed="false">
      <c r="I549" s="7" t="str">
        <f aca="false">IF($C549="","",IF($C549="G","PUTT",IF(AND($C549="T",$M549&gt;3),"OTT",IF($D549&lt;=30,"ARG","APP"))))</f>
        <v/>
      </c>
      <c r="J549" s="17" t="str">
        <f aca="false">IF($C549="","",$N549+$Q549*$R549)</f>
        <v/>
      </c>
      <c r="K549" s="17" t="str">
        <f aca="false">IF($C549="","",$O549+$Q549*$S549)</f>
        <v/>
      </c>
      <c r="L549" s="17" t="str">
        <f aca="false">IF($C549="","",$J549-$K549-1-N($G549))</f>
        <v/>
      </c>
      <c r="M549" s="7" t="str">
        <f aca="false">IF($B549="","",INDEX(Course!$B$2:$B$19,MATCH($B549,Course!$A$2:$A$19,0)))</f>
        <v/>
      </c>
      <c r="N549" s="17" t="str">
        <f aca="false">IF($C549="","",IF($C549="H",0,IF($C549="G",INDEX(Baseline!$I$3:$I$102,MIN(MAX(ROUND($D549,0),1),100)),IF($C549="T",IF($M549=3,INDEX(Baseline!$B$3:$B$122,MATCH(MIN(MAX(ROUND(($D549)/5,0)*5,5),600),Baseline!$A$3:$A$122,0))-Inputs!$B$9,INDEX(Course!$N$2:$N$19,MATCH($B549,Course!$A$2:$A$19,0))),INDEX(Baseline!$B$3:$E$122,MATCH(MIN(MAX(ROUND(($D549)/5,0)*5,5),600),Baseline!$A$3:$A$122,0),MATCH($C549,Baseline!$B$2:$E$2,0))))))</f>
        <v/>
      </c>
      <c r="O549" s="17" t="str">
        <f aca="false">IF($C549="","",IF($E549="H",0,IF($E549="G",INDEX(Baseline!$I$3:$I$102,MIN(MAX(ROUND($F549,0),1),100)),IF($E549="T",IF($M549=3,INDEX(Baseline!$B$3:$B$122,MATCH(MIN(MAX(ROUND(($F549)/5,0)*5,5),600),Baseline!$A$3:$A$122,0))-Inputs!$B$9,INDEX(Course!$N$2:$N$19,MATCH($B549,Course!$A$2:$A$19,0))),INDEX(Baseline!$B$3:$E$122,MATCH(MIN(MAX(ROUND(($F549)/5,0)*5,5),600),Baseline!$A$3:$A$122,0),MATCH($E549,Baseline!$B$2:$E$2,0))))))</f>
        <v/>
      </c>
      <c r="P549" s="17" t="str">
        <f aca="false">IF($B549="","",INDEX(Course!$N$2:$N$19,MATCH($B549,Course!$A$2:$A$19,0)))</f>
        <v/>
      </c>
      <c r="Q549" s="17" t="str">
        <f aca="false">IF($B549="","",INDEX(Course!$P$2:$P$19,MATCH($B549,Course!$A$2:$A$19,0)))</f>
        <v/>
      </c>
      <c r="R549" s="17" t="str">
        <f aca="false">IF($C549="","",IF(OR($C549="G",$C549="H"),0,IF($C549="T",1,MIN(1,MAX(0,($N549-Inputs!$B$8)/MAX($P549-Inputs!$B$8,0.01))))))</f>
        <v/>
      </c>
      <c r="S549" s="17" t="str">
        <f aca="false">IF($C549="","",IF(OR($E549="G",$E549="H"),0,IF($E549="T",1,MIN(1,MAX(0,($O549-Inputs!$B$8)/MAX($P549-Inputs!$B$8,0.01))))))</f>
        <v/>
      </c>
    </row>
    <row r="550" customFormat="false" ht="15" hidden="false" customHeight="false" outlineLevel="0" collapsed="false">
      <c r="I550" s="7" t="str">
        <f aca="false">IF($C550="","",IF($C550="G","PUTT",IF(AND($C550="T",$M550&gt;3),"OTT",IF($D550&lt;=30,"ARG","APP"))))</f>
        <v/>
      </c>
      <c r="J550" s="17" t="str">
        <f aca="false">IF($C550="","",$N550+$Q550*$R550)</f>
        <v/>
      </c>
      <c r="K550" s="17" t="str">
        <f aca="false">IF($C550="","",$O550+$Q550*$S550)</f>
        <v/>
      </c>
      <c r="L550" s="17" t="str">
        <f aca="false">IF($C550="","",$J550-$K550-1-N($G550))</f>
        <v/>
      </c>
      <c r="M550" s="7" t="str">
        <f aca="false">IF($B550="","",INDEX(Course!$B$2:$B$19,MATCH($B550,Course!$A$2:$A$19,0)))</f>
        <v/>
      </c>
      <c r="N550" s="17" t="str">
        <f aca="false">IF($C550="","",IF($C550="H",0,IF($C550="G",INDEX(Baseline!$I$3:$I$102,MIN(MAX(ROUND($D550,0),1),100)),IF($C550="T",IF($M550=3,INDEX(Baseline!$B$3:$B$122,MATCH(MIN(MAX(ROUND(($D550)/5,0)*5,5),600),Baseline!$A$3:$A$122,0))-Inputs!$B$9,INDEX(Course!$N$2:$N$19,MATCH($B550,Course!$A$2:$A$19,0))),INDEX(Baseline!$B$3:$E$122,MATCH(MIN(MAX(ROUND(($D550)/5,0)*5,5),600),Baseline!$A$3:$A$122,0),MATCH($C550,Baseline!$B$2:$E$2,0))))))</f>
        <v/>
      </c>
      <c r="O550" s="17" t="str">
        <f aca="false">IF($C550="","",IF($E550="H",0,IF($E550="G",INDEX(Baseline!$I$3:$I$102,MIN(MAX(ROUND($F550,0),1),100)),IF($E550="T",IF($M550=3,INDEX(Baseline!$B$3:$B$122,MATCH(MIN(MAX(ROUND(($F550)/5,0)*5,5),600),Baseline!$A$3:$A$122,0))-Inputs!$B$9,INDEX(Course!$N$2:$N$19,MATCH($B550,Course!$A$2:$A$19,0))),INDEX(Baseline!$B$3:$E$122,MATCH(MIN(MAX(ROUND(($F550)/5,0)*5,5),600),Baseline!$A$3:$A$122,0),MATCH($E550,Baseline!$B$2:$E$2,0))))))</f>
        <v/>
      </c>
      <c r="P550" s="17" t="str">
        <f aca="false">IF($B550="","",INDEX(Course!$N$2:$N$19,MATCH($B550,Course!$A$2:$A$19,0)))</f>
        <v/>
      </c>
      <c r="Q550" s="17" t="str">
        <f aca="false">IF($B550="","",INDEX(Course!$P$2:$P$19,MATCH($B550,Course!$A$2:$A$19,0)))</f>
        <v/>
      </c>
      <c r="R550" s="17" t="str">
        <f aca="false">IF($C550="","",IF(OR($C550="G",$C550="H"),0,IF($C550="T",1,MIN(1,MAX(0,($N550-Inputs!$B$8)/MAX($P550-Inputs!$B$8,0.01))))))</f>
        <v/>
      </c>
      <c r="S550" s="17" t="str">
        <f aca="false">IF($C550="","",IF(OR($E550="G",$E550="H"),0,IF($E550="T",1,MIN(1,MAX(0,($O550-Inputs!$B$8)/MAX($P550-Inputs!$B$8,0.01))))))</f>
        <v/>
      </c>
    </row>
    <row r="551" customFormat="false" ht="15" hidden="false" customHeight="false" outlineLevel="0" collapsed="false">
      <c r="I551" s="7" t="str">
        <f aca="false">IF($C551="","",IF($C551="G","PUTT",IF(AND($C551="T",$M551&gt;3),"OTT",IF($D551&lt;=30,"ARG","APP"))))</f>
        <v/>
      </c>
      <c r="J551" s="17" t="str">
        <f aca="false">IF($C551="","",$N551+$Q551*$R551)</f>
        <v/>
      </c>
      <c r="K551" s="17" t="str">
        <f aca="false">IF($C551="","",$O551+$Q551*$S551)</f>
        <v/>
      </c>
      <c r="L551" s="17" t="str">
        <f aca="false">IF($C551="","",$J551-$K551-1-N($G551))</f>
        <v/>
      </c>
      <c r="M551" s="7" t="str">
        <f aca="false">IF($B551="","",INDEX(Course!$B$2:$B$19,MATCH($B551,Course!$A$2:$A$19,0)))</f>
        <v/>
      </c>
      <c r="N551" s="17" t="str">
        <f aca="false">IF($C551="","",IF($C551="H",0,IF($C551="G",INDEX(Baseline!$I$3:$I$102,MIN(MAX(ROUND($D551,0),1),100)),IF($C551="T",IF($M551=3,INDEX(Baseline!$B$3:$B$122,MATCH(MIN(MAX(ROUND(($D551)/5,0)*5,5),600),Baseline!$A$3:$A$122,0))-Inputs!$B$9,INDEX(Course!$N$2:$N$19,MATCH($B551,Course!$A$2:$A$19,0))),INDEX(Baseline!$B$3:$E$122,MATCH(MIN(MAX(ROUND(($D551)/5,0)*5,5),600),Baseline!$A$3:$A$122,0),MATCH($C551,Baseline!$B$2:$E$2,0))))))</f>
        <v/>
      </c>
      <c r="O551" s="17" t="str">
        <f aca="false">IF($C551="","",IF($E551="H",0,IF($E551="G",INDEX(Baseline!$I$3:$I$102,MIN(MAX(ROUND($F551,0),1),100)),IF($E551="T",IF($M551=3,INDEX(Baseline!$B$3:$B$122,MATCH(MIN(MAX(ROUND(($F551)/5,0)*5,5),600),Baseline!$A$3:$A$122,0))-Inputs!$B$9,INDEX(Course!$N$2:$N$19,MATCH($B551,Course!$A$2:$A$19,0))),INDEX(Baseline!$B$3:$E$122,MATCH(MIN(MAX(ROUND(($F551)/5,0)*5,5),600),Baseline!$A$3:$A$122,0),MATCH($E551,Baseline!$B$2:$E$2,0))))))</f>
        <v/>
      </c>
      <c r="P551" s="17" t="str">
        <f aca="false">IF($B551="","",INDEX(Course!$N$2:$N$19,MATCH($B551,Course!$A$2:$A$19,0)))</f>
        <v/>
      </c>
      <c r="Q551" s="17" t="str">
        <f aca="false">IF($B551="","",INDEX(Course!$P$2:$P$19,MATCH($B551,Course!$A$2:$A$19,0)))</f>
        <v/>
      </c>
      <c r="R551" s="17" t="str">
        <f aca="false">IF($C551="","",IF(OR($C551="G",$C551="H"),0,IF($C551="T",1,MIN(1,MAX(0,($N551-Inputs!$B$8)/MAX($P551-Inputs!$B$8,0.01))))))</f>
        <v/>
      </c>
      <c r="S551" s="17" t="str">
        <f aca="false">IF($C551="","",IF(OR($E551="G",$E551="H"),0,IF($E551="T",1,MIN(1,MAX(0,($O551-Inputs!$B$8)/MAX($P551-Inputs!$B$8,0.01))))))</f>
        <v/>
      </c>
    </row>
    <row r="552" customFormat="false" ht="15" hidden="false" customHeight="false" outlineLevel="0" collapsed="false">
      <c r="I552" s="7" t="str">
        <f aca="false">IF($C552="","",IF($C552="G","PUTT",IF(AND($C552="T",$M552&gt;3),"OTT",IF($D552&lt;=30,"ARG","APP"))))</f>
        <v/>
      </c>
      <c r="J552" s="17" t="str">
        <f aca="false">IF($C552="","",$N552+$Q552*$R552)</f>
        <v/>
      </c>
      <c r="K552" s="17" t="str">
        <f aca="false">IF($C552="","",$O552+$Q552*$S552)</f>
        <v/>
      </c>
      <c r="L552" s="17" t="str">
        <f aca="false">IF($C552="","",$J552-$K552-1-N($G552))</f>
        <v/>
      </c>
      <c r="M552" s="7" t="str">
        <f aca="false">IF($B552="","",INDEX(Course!$B$2:$B$19,MATCH($B552,Course!$A$2:$A$19,0)))</f>
        <v/>
      </c>
      <c r="N552" s="17" t="str">
        <f aca="false">IF($C552="","",IF($C552="H",0,IF($C552="G",INDEX(Baseline!$I$3:$I$102,MIN(MAX(ROUND($D552,0),1),100)),IF($C552="T",IF($M552=3,INDEX(Baseline!$B$3:$B$122,MATCH(MIN(MAX(ROUND(($D552)/5,0)*5,5),600),Baseline!$A$3:$A$122,0))-Inputs!$B$9,INDEX(Course!$N$2:$N$19,MATCH($B552,Course!$A$2:$A$19,0))),INDEX(Baseline!$B$3:$E$122,MATCH(MIN(MAX(ROUND(($D552)/5,0)*5,5),600),Baseline!$A$3:$A$122,0),MATCH($C552,Baseline!$B$2:$E$2,0))))))</f>
        <v/>
      </c>
      <c r="O552" s="17" t="str">
        <f aca="false">IF($C552="","",IF($E552="H",0,IF($E552="G",INDEX(Baseline!$I$3:$I$102,MIN(MAX(ROUND($F552,0),1),100)),IF($E552="T",IF($M552=3,INDEX(Baseline!$B$3:$B$122,MATCH(MIN(MAX(ROUND(($F552)/5,0)*5,5),600),Baseline!$A$3:$A$122,0))-Inputs!$B$9,INDEX(Course!$N$2:$N$19,MATCH($B552,Course!$A$2:$A$19,0))),INDEX(Baseline!$B$3:$E$122,MATCH(MIN(MAX(ROUND(($F552)/5,0)*5,5),600),Baseline!$A$3:$A$122,0),MATCH($E552,Baseline!$B$2:$E$2,0))))))</f>
        <v/>
      </c>
      <c r="P552" s="17" t="str">
        <f aca="false">IF($B552="","",INDEX(Course!$N$2:$N$19,MATCH($B552,Course!$A$2:$A$19,0)))</f>
        <v/>
      </c>
      <c r="Q552" s="17" t="str">
        <f aca="false">IF($B552="","",INDEX(Course!$P$2:$P$19,MATCH($B552,Course!$A$2:$A$19,0)))</f>
        <v/>
      </c>
      <c r="R552" s="17" t="str">
        <f aca="false">IF($C552="","",IF(OR($C552="G",$C552="H"),0,IF($C552="T",1,MIN(1,MAX(0,($N552-Inputs!$B$8)/MAX($P552-Inputs!$B$8,0.01))))))</f>
        <v/>
      </c>
      <c r="S552" s="17" t="str">
        <f aca="false">IF($C552="","",IF(OR($E552="G",$E552="H"),0,IF($E552="T",1,MIN(1,MAX(0,($O552-Inputs!$B$8)/MAX($P552-Inputs!$B$8,0.01))))))</f>
        <v/>
      </c>
    </row>
    <row r="553" customFormat="false" ht="15" hidden="false" customHeight="false" outlineLevel="0" collapsed="false">
      <c r="I553" s="7" t="str">
        <f aca="false">IF($C553="","",IF($C553="G","PUTT",IF(AND($C553="T",$M553&gt;3),"OTT",IF($D553&lt;=30,"ARG","APP"))))</f>
        <v/>
      </c>
      <c r="J553" s="17" t="str">
        <f aca="false">IF($C553="","",$N553+$Q553*$R553)</f>
        <v/>
      </c>
      <c r="K553" s="17" t="str">
        <f aca="false">IF($C553="","",$O553+$Q553*$S553)</f>
        <v/>
      </c>
      <c r="L553" s="17" t="str">
        <f aca="false">IF($C553="","",$J553-$K553-1-N($G553))</f>
        <v/>
      </c>
      <c r="M553" s="7" t="str">
        <f aca="false">IF($B553="","",INDEX(Course!$B$2:$B$19,MATCH($B553,Course!$A$2:$A$19,0)))</f>
        <v/>
      </c>
      <c r="N553" s="17" t="str">
        <f aca="false">IF($C553="","",IF($C553="H",0,IF($C553="G",INDEX(Baseline!$I$3:$I$102,MIN(MAX(ROUND($D553,0),1),100)),IF($C553="T",IF($M553=3,INDEX(Baseline!$B$3:$B$122,MATCH(MIN(MAX(ROUND(($D553)/5,0)*5,5),600),Baseline!$A$3:$A$122,0))-Inputs!$B$9,INDEX(Course!$N$2:$N$19,MATCH($B553,Course!$A$2:$A$19,0))),INDEX(Baseline!$B$3:$E$122,MATCH(MIN(MAX(ROUND(($D553)/5,0)*5,5),600),Baseline!$A$3:$A$122,0),MATCH($C553,Baseline!$B$2:$E$2,0))))))</f>
        <v/>
      </c>
      <c r="O553" s="17" t="str">
        <f aca="false">IF($C553="","",IF($E553="H",0,IF($E553="G",INDEX(Baseline!$I$3:$I$102,MIN(MAX(ROUND($F553,0),1),100)),IF($E553="T",IF($M553=3,INDEX(Baseline!$B$3:$B$122,MATCH(MIN(MAX(ROUND(($F553)/5,0)*5,5),600),Baseline!$A$3:$A$122,0))-Inputs!$B$9,INDEX(Course!$N$2:$N$19,MATCH($B553,Course!$A$2:$A$19,0))),INDEX(Baseline!$B$3:$E$122,MATCH(MIN(MAX(ROUND(($F553)/5,0)*5,5),600),Baseline!$A$3:$A$122,0),MATCH($E553,Baseline!$B$2:$E$2,0))))))</f>
        <v/>
      </c>
      <c r="P553" s="17" t="str">
        <f aca="false">IF($B553="","",INDEX(Course!$N$2:$N$19,MATCH($B553,Course!$A$2:$A$19,0)))</f>
        <v/>
      </c>
      <c r="Q553" s="17" t="str">
        <f aca="false">IF($B553="","",INDEX(Course!$P$2:$P$19,MATCH($B553,Course!$A$2:$A$19,0)))</f>
        <v/>
      </c>
      <c r="R553" s="17" t="str">
        <f aca="false">IF($C553="","",IF(OR($C553="G",$C553="H"),0,IF($C553="T",1,MIN(1,MAX(0,($N553-Inputs!$B$8)/MAX($P553-Inputs!$B$8,0.01))))))</f>
        <v/>
      </c>
      <c r="S553" s="17" t="str">
        <f aca="false">IF($C553="","",IF(OR($E553="G",$E553="H"),0,IF($E553="T",1,MIN(1,MAX(0,($O553-Inputs!$B$8)/MAX($P553-Inputs!$B$8,0.01))))))</f>
        <v/>
      </c>
    </row>
    <row r="554" customFormat="false" ht="15" hidden="false" customHeight="false" outlineLevel="0" collapsed="false">
      <c r="I554" s="7" t="str">
        <f aca="false">IF($C554="","",IF($C554="G","PUTT",IF(AND($C554="T",$M554&gt;3),"OTT",IF($D554&lt;=30,"ARG","APP"))))</f>
        <v/>
      </c>
      <c r="J554" s="17" t="str">
        <f aca="false">IF($C554="","",$N554+$Q554*$R554)</f>
        <v/>
      </c>
      <c r="K554" s="17" t="str">
        <f aca="false">IF($C554="","",$O554+$Q554*$S554)</f>
        <v/>
      </c>
      <c r="L554" s="17" t="str">
        <f aca="false">IF($C554="","",$J554-$K554-1-N($G554))</f>
        <v/>
      </c>
      <c r="M554" s="7" t="str">
        <f aca="false">IF($B554="","",INDEX(Course!$B$2:$B$19,MATCH($B554,Course!$A$2:$A$19,0)))</f>
        <v/>
      </c>
      <c r="N554" s="17" t="str">
        <f aca="false">IF($C554="","",IF($C554="H",0,IF($C554="G",INDEX(Baseline!$I$3:$I$102,MIN(MAX(ROUND($D554,0),1),100)),IF($C554="T",IF($M554=3,INDEX(Baseline!$B$3:$B$122,MATCH(MIN(MAX(ROUND(($D554)/5,0)*5,5),600),Baseline!$A$3:$A$122,0))-Inputs!$B$9,INDEX(Course!$N$2:$N$19,MATCH($B554,Course!$A$2:$A$19,0))),INDEX(Baseline!$B$3:$E$122,MATCH(MIN(MAX(ROUND(($D554)/5,0)*5,5),600),Baseline!$A$3:$A$122,0),MATCH($C554,Baseline!$B$2:$E$2,0))))))</f>
        <v/>
      </c>
      <c r="O554" s="17" t="str">
        <f aca="false">IF($C554="","",IF($E554="H",0,IF($E554="G",INDEX(Baseline!$I$3:$I$102,MIN(MAX(ROUND($F554,0),1),100)),IF($E554="T",IF($M554=3,INDEX(Baseline!$B$3:$B$122,MATCH(MIN(MAX(ROUND(($F554)/5,0)*5,5),600),Baseline!$A$3:$A$122,0))-Inputs!$B$9,INDEX(Course!$N$2:$N$19,MATCH($B554,Course!$A$2:$A$19,0))),INDEX(Baseline!$B$3:$E$122,MATCH(MIN(MAX(ROUND(($F554)/5,0)*5,5),600),Baseline!$A$3:$A$122,0),MATCH($E554,Baseline!$B$2:$E$2,0))))))</f>
        <v/>
      </c>
      <c r="P554" s="17" t="str">
        <f aca="false">IF($B554="","",INDEX(Course!$N$2:$N$19,MATCH($B554,Course!$A$2:$A$19,0)))</f>
        <v/>
      </c>
      <c r="Q554" s="17" t="str">
        <f aca="false">IF($B554="","",INDEX(Course!$P$2:$P$19,MATCH($B554,Course!$A$2:$A$19,0)))</f>
        <v/>
      </c>
      <c r="R554" s="17" t="str">
        <f aca="false">IF($C554="","",IF(OR($C554="G",$C554="H"),0,IF($C554="T",1,MIN(1,MAX(0,($N554-Inputs!$B$8)/MAX($P554-Inputs!$B$8,0.01))))))</f>
        <v/>
      </c>
      <c r="S554" s="17" t="str">
        <f aca="false">IF($C554="","",IF(OR($E554="G",$E554="H"),0,IF($E554="T",1,MIN(1,MAX(0,($O554-Inputs!$B$8)/MAX($P554-Inputs!$B$8,0.01))))))</f>
        <v/>
      </c>
    </row>
    <row r="555" customFormat="false" ht="15" hidden="false" customHeight="false" outlineLevel="0" collapsed="false">
      <c r="I555" s="7" t="str">
        <f aca="false">IF($C555="","",IF($C555="G","PUTT",IF(AND($C555="T",$M555&gt;3),"OTT",IF($D555&lt;=30,"ARG","APP"))))</f>
        <v/>
      </c>
      <c r="J555" s="17" t="str">
        <f aca="false">IF($C555="","",$N555+$Q555*$R555)</f>
        <v/>
      </c>
      <c r="K555" s="17" t="str">
        <f aca="false">IF($C555="","",$O555+$Q555*$S555)</f>
        <v/>
      </c>
      <c r="L555" s="17" t="str">
        <f aca="false">IF($C555="","",$J555-$K555-1-N($G555))</f>
        <v/>
      </c>
      <c r="M555" s="7" t="str">
        <f aca="false">IF($B555="","",INDEX(Course!$B$2:$B$19,MATCH($B555,Course!$A$2:$A$19,0)))</f>
        <v/>
      </c>
      <c r="N555" s="17" t="str">
        <f aca="false">IF($C555="","",IF($C555="H",0,IF($C555="G",INDEX(Baseline!$I$3:$I$102,MIN(MAX(ROUND($D555,0),1),100)),IF($C555="T",IF($M555=3,INDEX(Baseline!$B$3:$B$122,MATCH(MIN(MAX(ROUND(($D555)/5,0)*5,5),600),Baseline!$A$3:$A$122,0))-Inputs!$B$9,INDEX(Course!$N$2:$N$19,MATCH($B555,Course!$A$2:$A$19,0))),INDEX(Baseline!$B$3:$E$122,MATCH(MIN(MAX(ROUND(($D555)/5,0)*5,5),600),Baseline!$A$3:$A$122,0),MATCH($C555,Baseline!$B$2:$E$2,0))))))</f>
        <v/>
      </c>
      <c r="O555" s="17" t="str">
        <f aca="false">IF($C555="","",IF($E555="H",0,IF($E555="G",INDEX(Baseline!$I$3:$I$102,MIN(MAX(ROUND($F555,0),1),100)),IF($E555="T",IF($M555=3,INDEX(Baseline!$B$3:$B$122,MATCH(MIN(MAX(ROUND(($F555)/5,0)*5,5),600),Baseline!$A$3:$A$122,0))-Inputs!$B$9,INDEX(Course!$N$2:$N$19,MATCH($B555,Course!$A$2:$A$19,0))),INDEX(Baseline!$B$3:$E$122,MATCH(MIN(MAX(ROUND(($F555)/5,0)*5,5),600),Baseline!$A$3:$A$122,0),MATCH($E555,Baseline!$B$2:$E$2,0))))))</f>
        <v/>
      </c>
      <c r="P555" s="17" t="str">
        <f aca="false">IF($B555="","",INDEX(Course!$N$2:$N$19,MATCH($B555,Course!$A$2:$A$19,0)))</f>
        <v/>
      </c>
      <c r="Q555" s="17" t="str">
        <f aca="false">IF($B555="","",INDEX(Course!$P$2:$P$19,MATCH($B555,Course!$A$2:$A$19,0)))</f>
        <v/>
      </c>
      <c r="R555" s="17" t="str">
        <f aca="false">IF($C555="","",IF(OR($C555="G",$C555="H"),0,IF($C555="T",1,MIN(1,MAX(0,($N555-Inputs!$B$8)/MAX($P555-Inputs!$B$8,0.01))))))</f>
        <v/>
      </c>
      <c r="S555" s="17" t="str">
        <f aca="false">IF($C555="","",IF(OR($E555="G",$E555="H"),0,IF($E555="T",1,MIN(1,MAX(0,($O555-Inputs!$B$8)/MAX($P555-Inputs!$B$8,0.01))))))</f>
        <v/>
      </c>
    </row>
    <row r="556" customFormat="false" ht="15" hidden="false" customHeight="false" outlineLevel="0" collapsed="false">
      <c r="I556" s="7" t="str">
        <f aca="false">IF($C556="","",IF($C556="G","PUTT",IF(AND($C556="T",$M556&gt;3),"OTT",IF($D556&lt;=30,"ARG","APP"))))</f>
        <v/>
      </c>
      <c r="J556" s="17" t="str">
        <f aca="false">IF($C556="","",$N556+$Q556*$R556)</f>
        <v/>
      </c>
      <c r="K556" s="17" t="str">
        <f aca="false">IF($C556="","",$O556+$Q556*$S556)</f>
        <v/>
      </c>
      <c r="L556" s="17" t="str">
        <f aca="false">IF($C556="","",$J556-$K556-1-N($G556))</f>
        <v/>
      </c>
      <c r="M556" s="7" t="str">
        <f aca="false">IF($B556="","",INDEX(Course!$B$2:$B$19,MATCH($B556,Course!$A$2:$A$19,0)))</f>
        <v/>
      </c>
      <c r="N556" s="17" t="str">
        <f aca="false">IF($C556="","",IF($C556="H",0,IF($C556="G",INDEX(Baseline!$I$3:$I$102,MIN(MAX(ROUND($D556,0),1),100)),IF($C556="T",IF($M556=3,INDEX(Baseline!$B$3:$B$122,MATCH(MIN(MAX(ROUND(($D556)/5,0)*5,5),600),Baseline!$A$3:$A$122,0))-Inputs!$B$9,INDEX(Course!$N$2:$N$19,MATCH($B556,Course!$A$2:$A$19,0))),INDEX(Baseline!$B$3:$E$122,MATCH(MIN(MAX(ROUND(($D556)/5,0)*5,5),600),Baseline!$A$3:$A$122,0),MATCH($C556,Baseline!$B$2:$E$2,0))))))</f>
        <v/>
      </c>
      <c r="O556" s="17" t="str">
        <f aca="false">IF($C556="","",IF($E556="H",0,IF($E556="G",INDEX(Baseline!$I$3:$I$102,MIN(MAX(ROUND($F556,0),1),100)),IF($E556="T",IF($M556=3,INDEX(Baseline!$B$3:$B$122,MATCH(MIN(MAX(ROUND(($F556)/5,0)*5,5),600),Baseline!$A$3:$A$122,0))-Inputs!$B$9,INDEX(Course!$N$2:$N$19,MATCH($B556,Course!$A$2:$A$19,0))),INDEX(Baseline!$B$3:$E$122,MATCH(MIN(MAX(ROUND(($F556)/5,0)*5,5),600),Baseline!$A$3:$A$122,0),MATCH($E556,Baseline!$B$2:$E$2,0))))))</f>
        <v/>
      </c>
      <c r="P556" s="17" t="str">
        <f aca="false">IF($B556="","",INDEX(Course!$N$2:$N$19,MATCH($B556,Course!$A$2:$A$19,0)))</f>
        <v/>
      </c>
      <c r="Q556" s="17" t="str">
        <f aca="false">IF($B556="","",INDEX(Course!$P$2:$P$19,MATCH($B556,Course!$A$2:$A$19,0)))</f>
        <v/>
      </c>
      <c r="R556" s="17" t="str">
        <f aca="false">IF($C556="","",IF(OR($C556="G",$C556="H"),0,IF($C556="T",1,MIN(1,MAX(0,($N556-Inputs!$B$8)/MAX($P556-Inputs!$B$8,0.01))))))</f>
        <v/>
      </c>
      <c r="S556" s="17" t="str">
        <f aca="false">IF($C556="","",IF(OR($E556="G",$E556="H"),0,IF($E556="T",1,MIN(1,MAX(0,($O556-Inputs!$B$8)/MAX($P556-Inputs!$B$8,0.01))))))</f>
        <v/>
      </c>
    </row>
    <row r="557" customFormat="false" ht="15" hidden="false" customHeight="false" outlineLevel="0" collapsed="false">
      <c r="I557" s="7" t="str">
        <f aca="false">IF($C557="","",IF($C557="G","PUTT",IF(AND($C557="T",$M557&gt;3),"OTT",IF($D557&lt;=30,"ARG","APP"))))</f>
        <v/>
      </c>
      <c r="J557" s="17" t="str">
        <f aca="false">IF($C557="","",$N557+$Q557*$R557)</f>
        <v/>
      </c>
      <c r="K557" s="17" t="str">
        <f aca="false">IF($C557="","",$O557+$Q557*$S557)</f>
        <v/>
      </c>
      <c r="L557" s="17" t="str">
        <f aca="false">IF($C557="","",$J557-$K557-1-N($G557))</f>
        <v/>
      </c>
      <c r="M557" s="7" t="str">
        <f aca="false">IF($B557="","",INDEX(Course!$B$2:$B$19,MATCH($B557,Course!$A$2:$A$19,0)))</f>
        <v/>
      </c>
      <c r="N557" s="17" t="str">
        <f aca="false">IF($C557="","",IF($C557="H",0,IF($C557="G",INDEX(Baseline!$I$3:$I$102,MIN(MAX(ROUND($D557,0),1),100)),IF($C557="T",IF($M557=3,INDEX(Baseline!$B$3:$B$122,MATCH(MIN(MAX(ROUND(($D557)/5,0)*5,5),600),Baseline!$A$3:$A$122,0))-Inputs!$B$9,INDEX(Course!$N$2:$N$19,MATCH($B557,Course!$A$2:$A$19,0))),INDEX(Baseline!$B$3:$E$122,MATCH(MIN(MAX(ROUND(($D557)/5,0)*5,5),600),Baseline!$A$3:$A$122,0),MATCH($C557,Baseline!$B$2:$E$2,0))))))</f>
        <v/>
      </c>
      <c r="O557" s="17" t="str">
        <f aca="false">IF($C557="","",IF($E557="H",0,IF($E557="G",INDEX(Baseline!$I$3:$I$102,MIN(MAX(ROUND($F557,0),1),100)),IF($E557="T",IF($M557=3,INDEX(Baseline!$B$3:$B$122,MATCH(MIN(MAX(ROUND(($F557)/5,0)*5,5),600),Baseline!$A$3:$A$122,0))-Inputs!$B$9,INDEX(Course!$N$2:$N$19,MATCH($B557,Course!$A$2:$A$19,0))),INDEX(Baseline!$B$3:$E$122,MATCH(MIN(MAX(ROUND(($F557)/5,0)*5,5),600),Baseline!$A$3:$A$122,0),MATCH($E557,Baseline!$B$2:$E$2,0))))))</f>
        <v/>
      </c>
      <c r="P557" s="17" t="str">
        <f aca="false">IF($B557="","",INDEX(Course!$N$2:$N$19,MATCH($B557,Course!$A$2:$A$19,0)))</f>
        <v/>
      </c>
      <c r="Q557" s="17" t="str">
        <f aca="false">IF($B557="","",INDEX(Course!$P$2:$P$19,MATCH($B557,Course!$A$2:$A$19,0)))</f>
        <v/>
      </c>
      <c r="R557" s="17" t="str">
        <f aca="false">IF($C557="","",IF(OR($C557="G",$C557="H"),0,IF($C557="T",1,MIN(1,MAX(0,($N557-Inputs!$B$8)/MAX($P557-Inputs!$B$8,0.01))))))</f>
        <v/>
      </c>
      <c r="S557" s="17" t="str">
        <f aca="false">IF($C557="","",IF(OR($E557="G",$E557="H"),0,IF($E557="T",1,MIN(1,MAX(0,($O557-Inputs!$B$8)/MAX($P557-Inputs!$B$8,0.01))))))</f>
        <v/>
      </c>
    </row>
    <row r="558" customFormat="false" ht="15" hidden="false" customHeight="false" outlineLevel="0" collapsed="false">
      <c r="I558" s="7" t="str">
        <f aca="false">IF($C558="","",IF($C558="G","PUTT",IF(AND($C558="T",$M558&gt;3),"OTT",IF($D558&lt;=30,"ARG","APP"))))</f>
        <v/>
      </c>
      <c r="J558" s="17" t="str">
        <f aca="false">IF($C558="","",$N558+$Q558*$R558)</f>
        <v/>
      </c>
      <c r="K558" s="17" t="str">
        <f aca="false">IF($C558="","",$O558+$Q558*$S558)</f>
        <v/>
      </c>
      <c r="L558" s="17" t="str">
        <f aca="false">IF($C558="","",$J558-$K558-1-N($G558))</f>
        <v/>
      </c>
      <c r="M558" s="7" t="str">
        <f aca="false">IF($B558="","",INDEX(Course!$B$2:$B$19,MATCH($B558,Course!$A$2:$A$19,0)))</f>
        <v/>
      </c>
      <c r="N558" s="17" t="str">
        <f aca="false">IF($C558="","",IF($C558="H",0,IF($C558="G",INDEX(Baseline!$I$3:$I$102,MIN(MAX(ROUND($D558,0),1),100)),IF($C558="T",IF($M558=3,INDEX(Baseline!$B$3:$B$122,MATCH(MIN(MAX(ROUND(($D558)/5,0)*5,5),600),Baseline!$A$3:$A$122,0))-Inputs!$B$9,INDEX(Course!$N$2:$N$19,MATCH($B558,Course!$A$2:$A$19,0))),INDEX(Baseline!$B$3:$E$122,MATCH(MIN(MAX(ROUND(($D558)/5,0)*5,5),600),Baseline!$A$3:$A$122,0),MATCH($C558,Baseline!$B$2:$E$2,0))))))</f>
        <v/>
      </c>
      <c r="O558" s="17" t="str">
        <f aca="false">IF($C558="","",IF($E558="H",0,IF($E558="G",INDEX(Baseline!$I$3:$I$102,MIN(MAX(ROUND($F558,0),1),100)),IF($E558="T",IF($M558=3,INDEX(Baseline!$B$3:$B$122,MATCH(MIN(MAX(ROUND(($F558)/5,0)*5,5),600),Baseline!$A$3:$A$122,0))-Inputs!$B$9,INDEX(Course!$N$2:$N$19,MATCH($B558,Course!$A$2:$A$19,0))),INDEX(Baseline!$B$3:$E$122,MATCH(MIN(MAX(ROUND(($F558)/5,0)*5,5),600),Baseline!$A$3:$A$122,0),MATCH($E558,Baseline!$B$2:$E$2,0))))))</f>
        <v/>
      </c>
      <c r="P558" s="17" t="str">
        <f aca="false">IF($B558="","",INDEX(Course!$N$2:$N$19,MATCH($B558,Course!$A$2:$A$19,0)))</f>
        <v/>
      </c>
      <c r="Q558" s="17" t="str">
        <f aca="false">IF($B558="","",INDEX(Course!$P$2:$P$19,MATCH($B558,Course!$A$2:$A$19,0)))</f>
        <v/>
      </c>
      <c r="R558" s="17" t="str">
        <f aca="false">IF($C558="","",IF(OR($C558="G",$C558="H"),0,IF($C558="T",1,MIN(1,MAX(0,($N558-Inputs!$B$8)/MAX($P558-Inputs!$B$8,0.01))))))</f>
        <v/>
      </c>
      <c r="S558" s="17" t="str">
        <f aca="false">IF($C558="","",IF(OR($E558="G",$E558="H"),0,IF($E558="T",1,MIN(1,MAX(0,($O558-Inputs!$B$8)/MAX($P558-Inputs!$B$8,0.01))))))</f>
        <v/>
      </c>
    </row>
    <row r="559" customFormat="false" ht="15" hidden="false" customHeight="false" outlineLevel="0" collapsed="false">
      <c r="I559" s="7" t="str">
        <f aca="false">IF($C559="","",IF($C559="G","PUTT",IF(AND($C559="T",$M559&gt;3),"OTT",IF($D559&lt;=30,"ARG","APP"))))</f>
        <v/>
      </c>
      <c r="J559" s="17" t="str">
        <f aca="false">IF($C559="","",$N559+$Q559*$R559)</f>
        <v/>
      </c>
      <c r="K559" s="17" t="str">
        <f aca="false">IF($C559="","",$O559+$Q559*$S559)</f>
        <v/>
      </c>
      <c r="L559" s="17" t="str">
        <f aca="false">IF($C559="","",$J559-$K559-1-N($G559))</f>
        <v/>
      </c>
      <c r="M559" s="7" t="str">
        <f aca="false">IF($B559="","",INDEX(Course!$B$2:$B$19,MATCH($B559,Course!$A$2:$A$19,0)))</f>
        <v/>
      </c>
      <c r="N559" s="17" t="str">
        <f aca="false">IF($C559="","",IF($C559="H",0,IF($C559="G",INDEX(Baseline!$I$3:$I$102,MIN(MAX(ROUND($D559,0),1),100)),IF($C559="T",IF($M559=3,INDEX(Baseline!$B$3:$B$122,MATCH(MIN(MAX(ROUND(($D559)/5,0)*5,5),600),Baseline!$A$3:$A$122,0))-Inputs!$B$9,INDEX(Course!$N$2:$N$19,MATCH($B559,Course!$A$2:$A$19,0))),INDEX(Baseline!$B$3:$E$122,MATCH(MIN(MAX(ROUND(($D559)/5,0)*5,5),600),Baseline!$A$3:$A$122,0),MATCH($C559,Baseline!$B$2:$E$2,0))))))</f>
        <v/>
      </c>
      <c r="O559" s="17" t="str">
        <f aca="false">IF($C559="","",IF($E559="H",0,IF($E559="G",INDEX(Baseline!$I$3:$I$102,MIN(MAX(ROUND($F559,0),1),100)),IF($E559="T",IF($M559=3,INDEX(Baseline!$B$3:$B$122,MATCH(MIN(MAX(ROUND(($F559)/5,0)*5,5),600),Baseline!$A$3:$A$122,0))-Inputs!$B$9,INDEX(Course!$N$2:$N$19,MATCH($B559,Course!$A$2:$A$19,0))),INDEX(Baseline!$B$3:$E$122,MATCH(MIN(MAX(ROUND(($F559)/5,0)*5,5),600),Baseline!$A$3:$A$122,0),MATCH($E559,Baseline!$B$2:$E$2,0))))))</f>
        <v/>
      </c>
      <c r="P559" s="17" t="str">
        <f aca="false">IF($B559="","",INDEX(Course!$N$2:$N$19,MATCH($B559,Course!$A$2:$A$19,0)))</f>
        <v/>
      </c>
      <c r="Q559" s="17" t="str">
        <f aca="false">IF($B559="","",INDEX(Course!$P$2:$P$19,MATCH($B559,Course!$A$2:$A$19,0)))</f>
        <v/>
      </c>
      <c r="R559" s="17" t="str">
        <f aca="false">IF($C559="","",IF(OR($C559="G",$C559="H"),0,IF($C559="T",1,MIN(1,MAX(0,($N559-Inputs!$B$8)/MAX($P559-Inputs!$B$8,0.01))))))</f>
        <v/>
      </c>
      <c r="S559" s="17" t="str">
        <f aca="false">IF($C559="","",IF(OR($E559="G",$E559="H"),0,IF($E559="T",1,MIN(1,MAX(0,($O559-Inputs!$B$8)/MAX($P559-Inputs!$B$8,0.01))))))</f>
        <v/>
      </c>
    </row>
    <row r="560" customFormat="false" ht="15" hidden="false" customHeight="false" outlineLevel="0" collapsed="false">
      <c r="I560" s="7" t="str">
        <f aca="false">IF($C560="","",IF($C560="G","PUTT",IF(AND($C560="T",$M560&gt;3),"OTT",IF($D560&lt;=30,"ARG","APP"))))</f>
        <v/>
      </c>
      <c r="J560" s="17" t="str">
        <f aca="false">IF($C560="","",$N560+$Q560*$R560)</f>
        <v/>
      </c>
      <c r="K560" s="17" t="str">
        <f aca="false">IF($C560="","",$O560+$Q560*$S560)</f>
        <v/>
      </c>
      <c r="L560" s="17" t="str">
        <f aca="false">IF($C560="","",$J560-$K560-1-N($G560))</f>
        <v/>
      </c>
      <c r="M560" s="7" t="str">
        <f aca="false">IF($B560="","",INDEX(Course!$B$2:$B$19,MATCH($B560,Course!$A$2:$A$19,0)))</f>
        <v/>
      </c>
      <c r="N560" s="17" t="str">
        <f aca="false">IF($C560="","",IF($C560="H",0,IF($C560="G",INDEX(Baseline!$I$3:$I$102,MIN(MAX(ROUND($D560,0),1),100)),IF($C560="T",IF($M560=3,INDEX(Baseline!$B$3:$B$122,MATCH(MIN(MAX(ROUND(($D560)/5,0)*5,5),600),Baseline!$A$3:$A$122,0))-Inputs!$B$9,INDEX(Course!$N$2:$N$19,MATCH($B560,Course!$A$2:$A$19,0))),INDEX(Baseline!$B$3:$E$122,MATCH(MIN(MAX(ROUND(($D560)/5,0)*5,5),600),Baseline!$A$3:$A$122,0),MATCH($C560,Baseline!$B$2:$E$2,0))))))</f>
        <v/>
      </c>
      <c r="O560" s="17" t="str">
        <f aca="false">IF($C560="","",IF($E560="H",0,IF($E560="G",INDEX(Baseline!$I$3:$I$102,MIN(MAX(ROUND($F560,0),1),100)),IF($E560="T",IF($M560=3,INDEX(Baseline!$B$3:$B$122,MATCH(MIN(MAX(ROUND(($F560)/5,0)*5,5),600),Baseline!$A$3:$A$122,0))-Inputs!$B$9,INDEX(Course!$N$2:$N$19,MATCH($B560,Course!$A$2:$A$19,0))),INDEX(Baseline!$B$3:$E$122,MATCH(MIN(MAX(ROUND(($F560)/5,0)*5,5),600),Baseline!$A$3:$A$122,0),MATCH($E560,Baseline!$B$2:$E$2,0))))))</f>
        <v/>
      </c>
      <c r="P560" s="17" t="str">
        <f aca="false">IF($B560="","",INDEX(Course!$N$2:$N$19,MATCH($B560,Course!$A$2:$A$19,0)))</f>
        <v/>
      </c>
      <c r="Q560" s="17" t="str">
        <f aca="false">IF($B560="","",INDEX(Course!$P$2:$P$19,MATCH($B560,Course!$A$2:$A$19,0)))</f>
        <v/>
      </c>
      <c r="R560" s="17" t="str">
        <f aca="false">IF($C560="","",IF(OR($C560="G",$C560="H"),0,IF($C560="T",1,MIN(1,MAX(0,($N560-Inputs!$B$8)/MAX($P560-Inputs!$B$8,0.01))))))</f>
        <v/>
      </c>
      <c r="S560" s="17" t="str">
        <f aca="false">IF($C560="","",IF(OR($E560="G",$E560="H"),0,IF($E560="T",1,MIN(1,MAX(0,($O560-Inputs!$B$8)/MAX($P560-Inputs!$B$8,0.01))))))</f>
        <v/>
      </c>
    </row>
    <row r="561" customFormat="false" ht="15" hidden="false" customHeight="false" outlineLevel="0" collapsed="false">
      <c r="I561" s="7" t="str">
        <f aca="false">IF($C561="","",IF($C561="G","PUTT",IF(AND($C561="T",$M561&gt;3),"OTT",IF($D561&lt;=30,"ARG","APP"))))</f>
        <v/>
      </c>
      <c r="J561" s="17" t="str">
        <f aca="false">IF($C561="","",$N561+$Q561*$R561)</f>
        <v/>
      </c>
      <c r="K561" s="17" t="str">
        <f aca="false">IF($C561="","",$O561+$Q561*$S561)</f>
        <v/>
      </c>
      <c r="L561" s="17" t="str">
        <f aca="false">IF($C561="","",$J561-$K561-1-N($G561))</f>
        <v/>
      </c>
      <c r="M561" s="7" t="str">
        <f aca="false">IF($B561="","",INDEX(Course!$B$2:$B$19,MATCH($B561,Course!$A$2:$A$19,0)))</f>
        <v/>
      </c>
      <c r="N561" s="17" t="str">
        <f aca="false">IF($C561="","",IF($C561="H",0,IF($C561="G",INDEX(Baseline!$I$3:$I$102,MIN(MAX(ROUND($D561,0),1),100)),IF($C561="T",IF($M561=3,INDEX(Baseline!$B$3:$B$122,MATCH(MIN(MAX(ROUND(($D561)/5,0)*5,5),600),Baseline!$A$3:$A$122,0))-Inputs!$B$9,INDEX(Course!$N$2:$N$19,MATCH($B561,Course!$A$2:$A$19,0))),INDEX(Baseline!$B$3:$E$122,MATCH(MIN(MAX(ROUND(($D561)/5,0)*5,5),600),Baseline!$A$3:$A$122,0),MATCH($C561,Baseline!$B$2:$E$2,0))))))</f>
        <v/>
      </c>
      <c r="O561" s="17" t="str">
        <f aca="false">IF($C561="","",IF($E561="H",0,IF($E561="G",INDEX(Baseline!$I$3:$I$102,MIN(MAX(ROUND($F561,0),1),100)),IF($E561="T",IF($M561=3,INDEX(Baseline!$B$3:$B$122,MATCH(MIN(MAX(ROUND(($F561)/5,0)*5,5),600),Baseline!$A$3:$A$122,0))-Inputs!$B$9,INDEX(Course!$N$2:$N$19,MATCH($B561,Course!$A$2:$A$19,0))),INDEX(Baseline!$B$3:$E$122,MATCH(MIN(MAX(ROUND(($F561)/5,0)*5,5),600),Baseline!$A$3:$A$122,0),MATCH($E561,Baseline!$B$2:$E$2,0))))))</f>
        <v/>
      </c>
      <c r="P561" s="17" t="str">
        <f aca="false">IF($B561="","",INDEX(Course!$N$2:$N$19,MATCH($B561,Course!$A$2:$A$19,0)))</f>
        <v/>
      </c>
      <c r="Q561" s="17" t="str">
        <f aca="false">IF($B561="","",INDEX(Course!$P$2:$P$19,MATCH($B561,Course!$A$2:$A$19,0)))</f>
        <v/>
      </c>
      <c r="R561" s="17" t="str">
        <f aca="false">IF($C561="","",IF(OR($C561="G",$C561="H"),0,IF($C561="T",1,MIN(1,MAX(0,($N561-Inputs!$B$8)/MAX($P561-Inputs!$B$8,0.01))))))</f>
        <v/>
      </c>
      <c r="S561" s="17" t="str">
        <f aca="false">IF($C561="","",IF(OR($E561="G",$E561="H"),0,IF($E561="T",1,MIN(1,MAX(0,($O561-Inputs!$B$8)/MAX($P561-Inputs!$B$8,0.01))))))</f>
        <v/>
      </c>
    </row>
    <row r="562" customFormat="false" ht="15" hidden="false" customHeight="false" outlineLevel="0" collapsed="false">
      <c r="I562" s="7" t="str">
        <f aca="false">IF($C562="","",IF($C562="G","PUTT",IF(AND($C562="T",$M562&gt;3),"OTT",IF($D562&lt;=30,"ARG","APP"))))</f>
        <v/>
      </c>
      <c r="J562" s="17" t="str">
        <f aca="false">IF($C562="","",$N562+$Q562*$R562)</f>
        <v/>
      </c>
      <c r="K562" s="17" t="str">
        <f aca="false">IF($C562="","",$O562+$Q562*$S562)</f>
        <v/>
      </c>
      <c r="L562" s="17" t="str">
        <f aca="false">IF($C562="","",$J562-$K562-1-N($G562))</f>
        <v/>
      </c>
      <c r="M562" s="7" t="str">
        <f aca="false">IF($B562="","",INDEX(Course!$B$2:$B$19,MATCH($B562,Course!$A$2:$A$19,0)))</f>
        <v/>
      </c>
      <c r="N562" s="17" t="str">
        <f aca="false">IF($C562="","",IF($C562="H",0,IF($C562="G",INDEX(Baseline!$I$3:$I$102,MIN(MAX(ROUND($D562,0),1),100)),IF($C562="T",IF($M562=3,INDEX(Baseline!$B$3:$B$122,MATCH(MIN(MAX(ROUND(($D562)/5,0)*5,5),600),Baseline!$A$3:$A$122,0))-Inputs!$B$9,INDEX(Course!$N$2:$N$19,MATCH($B562,Course!$A$2:$A$19,0))),INDEX(Baseline!$B$3:$E$122,MATCH(MIN(MAX(ROUND(($D562)/5,0)*5,5),600),Baseline!$A$3:$A$122,0),MATCH($C562,Baseline!$B$2:$E$2,0))))))</f>
        <v/>
      </c>
      <c r="O562" s="17" t="str">
        <f aca="false">IF($C562="","",IF($E562="H",0,IF($E562="G",INDEX(Baseline!$I$3:$I$102,MIN(MAX(ROUND($F562,0),1),100)),IF($E562="T",IF($M562=3,INDEX(Baseline!$B$3:$B$122,MATCH(MIN(MAX(ROUND(($F562)/5,0)*5,5),600),Baseline!$A$3:$A$122,0))-Inputs!$B$9,INDEX(Course!$N$2:$N$19,MATCH($B562,Course!$A$2:$A$19,0))),INDEX(Baseline!$B$3:$E$122,MATCH(MIN(MAX(ROUND(($F562)/5,0)*5,5),600),Baseline!$A$3:$A$122,0),MATCH($E562,Baseline!$B$2:$E$2,0))))))</f>
        <v/>
      </c>
      <c r="P562" s="17" t="str">
        <f aca="false">IF($B562="","",INDEX(Course!$N$2:$N$19,MATCH($B562,Course!$A$2:$A$19,0)))</f>
        <v/>
      </c>
      <c r="Q562" s="17" t="str">
        <f aca="false">IF($B562="","",INDEX(Course!$P$2:$P$19,MATCH($B562,Course!$A$2:$A$19,0)))</f>
        <v/>
      </c>
      <c r="R562" s="17" t="str">
        <f aca="false">IF($C562="","",IF(OR($C562="G",$C562="H"),0,IF($C562="T",1,MIN(1,MAX(0,($N562-Inputs!$B$8)/MAX($P562-Inputs!$B$8,0.01))))))</f>
        <v/>
      </c>
      <c r="S562" s="17" t="str">
        <f aca="false">IF($C562="","",IF(OR($E562="G",$E562="H"),0,IF($E562="T",1,MIN(1,MAX(0,($O562-Inputs!$B$8)/MAX($P562-Inputs!$B$8,0.01))))))</f>
        <v/>
      </c>
    </row>
    <row r="563" customFormat="false" ht="15" hidden="false" customHeight="false" outlineLevel="0" collapsed="false">
      <c r="I563" s="7" t="str">
        <f aca="false">IF($C563="","",IF($C563="G","PUTT",IF(AND($C563="T",$M563&gt;3),"OTT",IF($D563&lt;=30,"ARG","APP"))))</f>
        <v/>
      </c>
      <c r="J563" s="17" t="str">
        <f aca="false">IF($C563="","",$N563+$Q563*$R563)</f>
        <v/>
      </c>
      <c r="K563" s="17" t="str">
        <f aca="false">IF($C563="","",$O563+$Q563*$S563)</f>
        <v/>
      </c>
      <c r="L563" s="17" t="str">
        <f aca="false">IF($C563="","",$J563-$K563-1-N($G563))</f>
        <v/>
      </c>
      <c r="M563" s="7" t="str">
        <f aca="false">IF($B563="","",INDEX(Course!$B$2:$B$19,MATCH($B563,Course!$A$2:$A$19,0)))</f>
        <v/>
      </c>
      <c r="N563" s="17" t="str">
        <f aca="false">IF($C563="","",IF($C563="H",0,IF($C563="G",INDEX(Baseline!$I$3:$I$102,MIN(MAX(ROUND($D563,0),1),100)),IF($C563="T",IF($M563=3,INDEX(Baseline!$B$3:$B$122,MATCH(MIN(MAX(ROUND(($D563)/5,0)*5,5),600),Baseline!$A$3:$A$122,0))-Inputs!$B$9,INDEX(Course!$N$2:$N$19,MATCH($B563,Course!$A$2:$A$19,0))),INDEX(Baseline!$B$3:$E$122,MATCH(MIN(MAX(ROUND(($D563)/5,0)*5,5),600),Baseline!$A$3:$A$122,0),MATCH($C563,Baseline!$B$2:$E$2,0))))))</f>
        <v/>
      </c>
      <c r="O563" s="17" t="str">
        <f aca="false">IF($C563="","",IF($E563="H",0,IF($E563="G",INDEX(Baseline!$I$3:$I$102,MIN(MAX(ROUND($F563,0),1),100)),IF($E563="T",IF($M563=3,INDEX(Baseline!$B$3:$B$122,MATCH(MIN(MAX(ROUND(($F563)/5,0)*5,5),600),Baseline!$A$3:$A$122,0))-Inputs!$B$9,INDEX(Course!$N$2:$N$19,MATCH($B563,Course!$A$2:$A$19,0))),INDEX(Baseline!$B$3:$E$122,MATCH(MIN(MAX(ROUND(($F563)/5,0)*5,5),600),Baseline!$A$3:$A$122,0),MATCH($E563,Baseline!$B$2:$E$2,0))))))</f>
        <v/>
      </c>
      <c r="P563" s="17" t="str">
        <f aca="false">IF($B563="","",INDEX(Course!$N$2:$N$19,MATCH($B563,Course!$A$2:$A$19,0)))</f>
        <v/>
      </c>
      <c r="Q563" s="17" t="str">
        <f aca="false">IF($B563="","",INDEX(Course!$P$2:$P$19,MATCH($B563,Course!$A$2:$A$19,0)))</f>
        <v/>
      </c>
      <c r="R563" s="17" t="str">
        <f aca="false">IF($C563="","",IF(OR($C563="G",$C563="H"),0,IF($C563="T",1,MIN(1,MAX(0,($N563-Inputs!$B$8)/MAX($P563-Inputs!$B$8,0.01))))))</f>
        <v/>
      </c>
      <c r="S563" s="17" t="str">
        <f aca="false">IF($C563="","",IF(OR($E563="G",$E563="H"),0,IF($E563="T",1,MIN(1,MAX(0,($O563-Inputs!$B$8)/MAX($P563-Inputs!$B$8,0.01))))))</f>
        <v/>
      </c>
    </row>
    <row r="564" customFormat="false" ht="15" hidden="false" customHeight="false" outlineLevel="0" collapsed="false">
      <c r="I564" s="7" t="str">
        <f aca="false">IF($C564="","",IF($C564="G","PUTT",IF(AND($C564="T",$M564&gt;3),"OTT",IF($D564&lt;=30,"ARG","APP"))))</f>
        <v/>
      </c>
      <c r="J564" s="17" t="str">
        <f aca="false">IF($C564="","",$N564+$Q564*$R564)</f>
        <v/>
      </c>
      <c r="K564" s="17" t="str">
        <f aca="false">IF($C564="","",$O564+$Q564*$S564)</f>
        <v/>
      </c>
      <c r="L564" s="17" t="str">
        <f aca="false">IF($C564="","",$J564-$K564-1-N($G564))</f>
        <v/>
      </c>
      <c r="M564" s="7" t="str">
        <f aca="false">IF($B564="","",INDEX(Course!$B$2:$B$19,MATCH($B564,Course!$A$2:$A$19,0)))</f>
        <v/>
      </c>
      <c r="N564" s="17" t="str">
        <f aca="false">IF($C564="","",IF($C564="H",0,IF($C564="G",INDEX(Baseline!$I$3:$I$102,MIN(MAX(ROUND($D564,0),1),100)),IF($C564="T",IF($M564=3,INDEX(Baseline!$B$3:$B$122,MATCH(MIN(MAX(ROUND(($D564)/5,0)*5,5),600),Baseline!$A$3:$A$122,0))-Inputs!$B$9,INDEX(Course!$N$2:$N$19,MATCH($B564,Course!$A$2:$A$19,0))),INDEX(Baseline!$B$3:$E$122,MATCH(MIN(MAX(ROUND(($D564)/5,0)*5,5),600),Baseline!$A$3:$A$122,0),MATCH($C564,Baseline!$B$2:$E$2,0))))))</f>
        <v/>
      </c>
      <c r="O564" s="17" t="str">
        <f aca="false">IF($C564="","",IF($E564="H",0,IF($E564="G",INDEX(Baseline!$I$3:$I$102,MIN(MAX(ROUND($F564,0),1),100)),IF($E564="T",IF($M564=3,INDEX(Baseline!$B$3:$B$122,MATCH(MIN(MAX(ROUND(($F564)/5,0)*5,5),600),Baseline!$A$3:$A$122,0))-Inputs!$B$9,INDEX(Course!$N$2:$N$19,MATCH($B564,Course!$A$2:$A$19,0))),INDEX(Baseline!$B$3:$E$122,MATCH(MIN(MAX(ROUND(($F564)/5,0)*5,5),600),Baseline!$A$3:$A$122,0),MATCH($E564,Baseline!$B$2:$E$2,0))))))</f>
        <v/>
      </c>
      <c r="P564" s="17" t="str">
        <f aca="false">IF($B564="","",INDEX(Course!$N$2:$N$19,MATCH($B564,Course!$A$2:$A$19,0)))</f>
        <v/>
      </c>
      <c r="Q564" s="17" t="str">
        <f aca="false">IF($B564="","",INDEX(Course!$P$2:$P$19,MATCH($B564,Course!$A$2:$A$19,0)))</f>
        <v/>
      </c>
      <c r="R564" s="17" t="str">
        <f aca="false">IF($C564="","",IF(OR($C564="G",$C564="H"),0,IF($C564="T",1,MIN(1,MAX(0,($N564-Inputs!$B$8)/MAX($P564-Inputs!$B$8,0.01))))))</f>
        <v/>
      </c>
      <c r="S564" s="17" t="str">
        <f aca="false">IF($C564="","",IF(OR($E564="G",$E564="H"),0,IF($E564="T",1,MIN(1,MAX(0,($O564-Inputs!$B$8)/MAX($P564-Inputs!$B$8,0.01))))))</f>
        <v/>
      </c>
    </row>
    <row r="565" customFormat="false" ht="15" hidden="false" customHeight="false" outlineLevel="0" collapsed="false">
      <c r="I565" s="7" t="str">
        <f aca="false">IF($C565="","",IF($C565="G","PUTT",IF(AND($C565="T",$M565&gt;3),"OTT",IF($D565&lt;=30,"ARG","APP"))))</f>
        <v/>
      </c>
      <c r="J565" s="17" t="str">
        <f aca="false">IF($C565="","",$N565+$Q565*$R565)</f>
        <v/>
      </c>
      <c r="K565" s="17" t="str">
        <f aca="false">IF($C565="","",$O565+$Q565*$S565)</f>
        <v/>
      </c>
      <c r="L565" s="17" t="str">
        <f aca="false">IF($C565="","",$J565-$K565-1-N($G565))</f>
        <v/>
      </c>
      <c r="M565" s="7" t="str">
        <f aca="false">IF($B565="","",INDEX(Course!$B$2:$B$19,MATCH($B565,Course!$A$2:$A$19,0)))</f>
        <v/>
      </c>
      <c r="N565" s="17" t="str">
        <f aca="false">IF($C565="","",IF($C565="H",0,IF($C565="G",INDEX(Baseline!$I$3:$I$102,MIN(MAX(ROUND($D565,0),1),100)),IF($C565="T",IF($M565=3,INDEX(Baseline!$B$3:$B$122,MATCH(MIN(MAX(ROUND(($D565)/5,0)*5,5),600),Baseline!$A$3:$A$122,0))-Inputs!$B$9,INDEX(Course!$N$2:$N$19,MATCH($B565,Course!$A$2:$A$19,0))),INDEX(Baseline!$B$3:$E$122,MATCH(MIN(MAX(ROUND(($D565)/5,0)*5,5),600),Baseline!$A$3:$A$122,0),MATCH($C565,Baseline!$B$2:$E$2,0))))))</f>
        <v/>
      </c>
      <c r="O565" s="17" t="str">
        <f aca="false">IF($C565="","",IF($E565="H",0,IF($E565="G",INDEX(Baseline!$I$3:$I$102,MIN(MAX(ROUND($F565,0),1),100)),IF($E565="T",IF($M565=3,INDEX(Baseline!$B$3:$B$122,MATCH(MIN(MAX(ROUND(($F565)/5,0)*5,5),600),Baseline!$A$3:$A$122,0))-Inputs!$B$9,INDEX(Course!$N$2:$N$19,MATCH($B565,Course!$A$2:$A$19,0))),INDEX(Baseline!$B$3:$E$122,MATCH(MIN(MAX(ROUND(($F565)/5,0)*5,5),600),Baseline!$A$3:$A$122,0),MATCH($E565,Baseline!$B$2:$E$2,0))))))</f>
        <v/>
      </c>
      <c r="P565" s="17" t="str">
        <f aca="false">IF($B565="","",INDEX(Course!$N$2:$N$19,MATCH($B565,Course!$A$2:$A$19,0)))</f>
        <v/>
      </c>
      <c r="Q565" s="17" t="str">
        <f aca="false">IF($B565="","",INDEX(Course!$P$2:$P$19,MATCH($B565,Course!$A$2:$A$19,0)))</f>
        <v/>
      </c>
      <c r="R565" s="17" t="str">
        <f aca="false">IF($C565="","",IF(OR($C565="G",$C565="H"),0,IF($C565="T",1,MIN(1,MAX(0,($N565-Inputs!$B$8)/MAX($P565-Inputs!$B$8,0.01))))))</f>
        <v/>
      </c>
      <c r="S565" s="17" t="str">
        <f aca="false">IF($C565="","",IF(OR($E565="G",$E565="H"),0,IF($E565="T",1,MIN(1,MAX(0,($O565-Inputs!$B$8)/MAX($P565-Inputs!$B$8,0.01))))))</f>
        <v/>
      </c>
    </row>
    <row r="566" customFormat="false" ht="15" hidden="false" customHeight="false" outlineLevel="0" collapsed="false">
      <c r="I566" s="7" t="str">
        <f aca="false">IF($C566="","",IF($C566="G","PUTT",IF(AND($C566="T",$M566&gt;3),"OTT",IF($D566&lt;=30,"ARG","APP"))))</f>
        <v/>
      </c>
      <c r="J566" s="17" t="str">
        <f aca="false">IF($C566="","",$N566+$Q566*$R566)</f>
        <v/>
      </c>
      <c r="K566" s="17" t="str">
        <f aca="false">IF($C566="","",$O566+$Q566*$S566)</f>
        <v/>
      </c>
      <c r="L566" s="17" t="str">
        <f aca="false">IF($C566="","",$J566-$K566-1-N($G566))</f>
        <v/>
      </c>
      <c r="M566" s="7" t="str">
        <f aca="false">IF($B566="","",INDEX(Course!$B$2:$B$19,MATCH($B566,Course!$A$2:$A$19,0)))</f>
        <v/>
      </c>
      <c r="N566" s="17" t="str">
        <f aca="false">IF($C566="","",IF($C566="H",0,IF($C566="G",INDEX(Baseline!$I$3:$I$102,MIN(MAX(ROUND($D566,0),1),100)),IF($C566="T",IF($M566=3,INDEX(Baseline!$B$3:$B$122,MATCH(MIN(MAX(ROUND(($D566)/5,0)*5,5),600),Baseline!$A$3:$A$122,0))-Inputs!$B$9,INDEX(Course!$N$2:$N$19,MATCH($B566,Course!$A$2:$A$19,0))),INDEX(Baseline!$B$3:$E$122,MATCH(MIN(MAX(ROUND(($D566)/5,0)*5,5),600),Baseline!$A$3:$A$122,0),MATCH($C566,Baseline!$B$2:$E$2,0))))))</f>
        <v/>
      </c>
      <c r="O566" s="17" t="str">
        <f aca="false">IF($C566="","",IF($E566="H",0,IF($E566="G",INDEX(Baseline!$I$3:$I$102,MIN(MAX(ROUND($F566,0),1),100)),IF($E566="T",IF($M566=3,INDEX(Baseline!$B$3:$B$122,MATCH(MIN(MAX(ROUND(($F566)/5,0)*5,5),600),Baseline!$A$3:$A$122,0))-Inputs!$B$9,INDEX(Course!$N$2:$N$19,MATCH($B566,Course!$A$2:$A$19,0))),INDEX(Baseline!$B$3:$E$122,MATCH(MIN(MAX(ROUND(($F566)/5,0)*5,5),600),Baseline!$A$3:$A$122,0),MATCH($E566,Baseline!$B$2:$E$2,0))))))</f>
        <v/>
      </c>
      <c r="P566" s="17" t="str">
        <f aca="false">IF($B566="","",INDEX(Course!$N$2:$N$19,MATCH($B566,Course!$A$2:$A$19,0)))</f>
        <v/>
      </c>
      <c r="Q566" s="17" t="str">
        <f aca="false">IF($B566="","",INDEX(Course!$P$2:$P$19,MATCH($B566,Course!$A$2:$A$19,0)))</f>
        <v/>
      </c>
      <c r="R566" s="17" t="str">
        <f aca="false">IF($C566="","",IF(OR($C566="G",$C566="H"),0,IF($C566="T",1,MIN(1,MAX(0,($N566-Inputs!$B$8)/MAX($P566-Inputs!$B$8,0.01))))))</f>
        <v/>
      </c>
      <c r="S566" s="17" t="str">
        <f aca="false">IF($C566="","",IF(OR($E566="G",$E566="H"),0,IF($E566="T",1,MIN(1,MAX(0,($O566-Inputs!$B$8)/MAX($P566-Inputs!$B$8,0.01))))))</f>
        <v/>
      </c>
    </row>
    <row r="567" customFormat="false" ht="15" hidden="false" customHeight="false" outlineLevel="0" collapsed="false">
      <c r="I567" s="7" t="str">
        <f aca="false">IF($C567="","",IF($C567="G","PUTT",IF(AND($C567="T",$M567&gt;3),"OTT",IF($D567&lt;=30,"ARG","APP"))))</f>
        <v/>
      </c>
      <c r="J567" s="17" t="str">
        <f aca="false">IF($C567="","",$N567+$Q567*$R567)</f>
        <v/>
      </c>
      <c r="K567" s="17" t="str">
        <f aca="false">IF($C567="","",$O567+$Q567*$S567)</f>
        <v/>
      </c>
      <c r="L567" s="17" t="str">
        <f aca="false">IF($C567="","",$J567-$K567-1-N($G567))</f>
        <v/>
      </c>
      <c r="M567" s="7" t="str">
        <f aca="false">IF($B567="","",INDEX(Course!$B$2:$B$19,MATCH($B567,Course!$A$2:$A$19,0)))</f>
        <v/>
      </c>
      <c r="N567" s="17" t="str">
        <f aca="false">IF($C567="","",IF($C567="H",0,IF($C567="G",INDEX(Baseline!$I$3:$I$102,MIN(MAX(ROUND($D567,0),1),100)),IF($C567="T",IF($M567=3,INDEX(Baseline!$B$3:$B$122,MATCH(MIN(MAX(ROUND(($D567)/5,0)*5,5),600),Baseline!$A$3:$A$122,0))-Inputs!$B$9,INDEX(Course!$N$2:$N$19,MATCH($B567,Course!$A$2:$A$19,0))),INDEX(Baseline!$B$3:$E$122,MATCH(MIN(MAX(ROUND(($D567)/5,0)*5,5),600),Baseline!$A$3:$A$122,0),MATCH($C567,Baseline!$B$2:$E$2,0))))))</f>
        <v/>
      </c>
      <c r="O567" s="17" t="str">
        <f aca="false">IF($C567="","",IF($E567="H",0,IF($E567="G",INDEX(Baseline!$I$3:$I$102,MIN(MAX(ROUND($F567,0),1),100)),IF($E567="T",IF($M567=3,INDEX(Baseline!$B$3:$B$122,MATCH(MIN(MAX(ROUND(($F567)/5,0)*5,5),600),Baseline!$A$3:$A$122,0))-Inputs!$B$9,INDEX(Course!$N$2:$N$19,MATCH($B567,Course!$A$2:$A$19,0))),INDEX(Baseline!$B$3:$E$122,MATCH(MIN(MAX(ROUND(($F567)/5,0)*5,5),600),Baseline!$A$3:$A$122,0),MATCH($E567,Baseline!$B$2:$E$2,0))))))</f>
        <v/>
      </c>
      <c r="P567" s="17" t="str">
        <f aca="false">IF($B567="","",INDEX(Course!$N$2:$N$19,MATCH($B567,Course!$A$2:$A$19,0)))</f>
        <v/>
      </c>
      <c r="Q567" s="17" t="str">
        <f aca="false">IF($B567="","",INDEX(Course!$P$2:$P$19,MATCH($B567,Course!$A$2:$A$19,0)))</f>
        <v/>
      </c>
      <c r="R567" s="17" t="str">
        <f aca="false">IF($C567="","",IF(OR($C567="G",$C567="H"),0,IF($C567="T",1,MIN(1,MAX(0,($N567-Inputs!$B$8)/MAX($P567-Inputs!$B$8,0.01))))))</f>
        <v/>
      </c>
      <c r="S567" s="17" t="str">
        <f aca="false">IF($C567="","",IF(OR($E567="G",$E567="H"),0,IF($E567="T",1,MIN(1,MAX(0,($O567-Inputs!$B$8)/MAX($P567-Inputs!$B$8,0.01))))))</f>
        <v/>
      </c>
    </row>
    <row r="568" customFormat="false" ht="15" hidden="false" customHeight="false" outlineLevel="0" collapsed="false">
      <c r="I568" s="7" t="str">
        <f aca="false">IF($C568="","",IF($C568="G","PUTT",IF(AND($C568="T",$M568&gt;3),"OTT",IF($D568&lt;=30,"ARG","APP"))))</f>
        <v/>
      </c>
      <c r="J568" s="17" t="str">
        <f aca="false">IF($C568="","",$N568+$Q568*$R568)</f>
        <v/>
      </c>
      <c r="K568" s="17" t="str">
        <f aca="false">IF($C568="","",$O568+$Q568*$S568)</f>
        <v/>
      </c>
      <c r="L568" s="17" t="str">
        <f aca="false">IF($C568="","",$J568-$K568-1-N($G568))</f>
        <v/>
      </c>
      <c r="M568" s="7" t="str">
        <f aca="false">IF($B568="","",INDEX(Course!$B$2:$B$19,MATCH($B568,Course!$A$2:$A$19,0)))</f>
        <v/>
      </c>
      <c r="N568" s="17" t="str">
        <f aca="false">IF($C568="","",IF($C568="H",0,IF($C568="G",INDEX(Baseline!$I$3:$I$102,MIN(MAX(ROUND($D568,0),1),100)),IF($C568="T",IF($M568=3,INDEX(Baseline!$B$3:$B$122,MATCH(MIN(MAX(ROUND(($D568)/5,0)*5,5),600),Baseline!$A$3:$A$122,0))-Inputs!$B$9,INDEX(Course!$N$2:$N$19,MATCH($B568,Course!$A$2:$A$19,0))),INDEX(Baseline!$B$3:$E$122,MATCH(MIN(MAX(ROUND(($D568)/5,0)*5,5),600),Baseline!$A$3:$A$122,0),MATCH($C568,Baseline!$B$2:$E$2,0))))))</f>
        <v/>
      </c>
      <c r="O568" s="17" t="str">
        <f aca="false">IF($C568="","",IF($E568="H",0,IF($E568="G",INDEX(Baseline!$I$3:$I$102,MIN(MAX(ROUND($F568,0),1),100)),IF($E568="T",IF($M568=3,INDEX(Baseline!$B$3:$B$122,MATCH(MIN(MAX(ROUND(($F568)/5,0)*5,5),600),Baseline!$A$3:$A$122,0))-Inputs!$B$9,INDEX(Course!$N$2:$N$19,MATCH($B568,Course!$A$2:$A$19,0))),INDEX(Baseline!$B$3:$E$122,MATCH(MIN(MAX(ROUND(($F568)/5,0)*5,5),600),Baseline!$A$3:$A$122,0),MATCH($E568,Baseline!$B$2:$E$2,0))))))</f>
        <v/>
      </c>
      <c r="P568" s="17" t="str">
        <f aca="false">IF($B568="","",INDEX(Course!$N$2:$N$19,MATCH($B568,Course!$A$2:$A$19,0)))</f>
        <v/>
      </c>
      <c r="Q568" s="17" t="str">
        <f aca="false">IF($B568="","",INDEX(Course!$P$2:$P$19,MATCH($B568,Course!$A$2:$A$19,0)))</f>
        <v/>
      </c>
      <c r="R568" s="17" t="str">
        <f aca="false">IF($C568="","",IF(OR($C568="G",$C568="H"),0,IF($C568="T",1,MIN(1,MAX(0,($N568-Inputs!$B$8)/MAX($P568-Inputs!$B$8,0.01))))))</f>
        <v/>
      </c>
      <c r="S568" s="17" t="str">
        <f aca="false">IF($C568="","",IF(OR($E568="G",$E568="H"),0,IF($E568="T",1,MIN(1,MAX(0,($O568-Inputs!$B$8)/MAX($P568-Inputs!$B$8,0.01))))))</f>
        <v/>
      </c>
    </row>
    <row r="569" customFormat="false" ht="15" hidden="false" customHeight="false" outlineLevel="0" collapsed="false">
      <c r="I569" s="7" t="str">
        <f aca="false">IF($C569="","",IF($C569="G","PUTT",IF(AND($C569="T",$M569&gt;3),"OTT",IF($D569&lt;=30,"ARG","APP"))))</f>
        <v/>
      </c>
      <c r="J569" s="17" t="str">
        <f aca="false">IF($C569="","",$N569+$Q569*$R569)</f>
        <v/>
      </c>
      <c r="K569" s="17" t="str">
        <f aca="false">IF($C569="","",$O569+$Q569*$S569)</f>
        <v/>
      </c>
      <c r="L569" s="17" t="str">
        <f aca="false">IF($C569="","",$J569-$K569-1-N($G569))</f>
        <v/>
      </c>
      <c r="M569" s="7" t="str">
        <f aca="false">IF($B569="","",INDEX(Course!$B$2:$B$19,MATCH($B569,Course!$A$2:$A$19,0)))</f>
        <v/>
      </c>
      <c r="N569" s="17" t="str">
        <f aca="false">IF($C569="","",IF($C569="H",0,IF($C569="G",INDEX(Baseline!$I$3:$I$102,MIN(MAX(ROUND($D569,0),1),100)),IF($C569="T",IF($M569=3,INDEX(Baseline!$B$3:$B$122,MATCH(MIN(MAX(ROUND(($D569)/5,0)*5,5),600),Baseline!$A$3:$A$122,0))-Inputs!$B$9,INDEX(Course!$N$2:$N$19,MATCH($B569,Course!$A$2:$A$19,0))),INDEX(Baseline!$B$3:$E$122,MATCH(MIN(MAX(ROUND(($D569)/5,0)*5,5),600),Baseline!$A$3:$A$122,0),MATCH($C569,Baseline!$B$2:$E$2,0))))))</f>
        <v/>
      </c>
      <c r="O569" s="17" t="str">
        <f aca="false">IF($C569="","",IF($E569="H",0,IF($E569="G",INDEX(Baseline!$I$3:$I$102,MIN(MAX(ROUND($F569,0),1),100)),IF($E569="T",IF($M569=3,INDEX(Baseline!$B$3:$B$122,MATCH(MIN(MAX(ROUND(($F569)/5,0)*5,5),600),Baseline!$A$3:$A$122,0))-Inputs!$B$9,INDEX(Course!$N$2:$N$19,MATCH($B569,Course!$A$2:$A$19,0))),INDEX(Baseline!$B$3:$E$122,MATCH(MIN(MAX(ROUND(($F569)/5,0)*5,5),600),Baseline!$A$3:$A$122,0),MATCH($E569,Baseline!$B$2:$E$2,0))))))</f>
        <v/>
      </c>
      <c r="P569" s="17" t="str">
        <f aca="false">IF($B569="","",INDEX(Course!$N$2:$N$19,MATCH($B569,Course!$A$2:$A$19,0)))</f>
        <v/>
      </c>
      <c r="Q569" s="17" t="str">
        <f aca="false">IF($B569="","",INDEX(Course!$P$2:$P$19,MATCH($B569,Course!$A$2:$A$19,0)))</f>
        <v/>
      </c>
      <c r="R569" s="17" t="str">
        <f aca="false">IF($C569="","",IF(OR($C569="G",$C569="H"),0,IF($C569="T",1,MIN(1,MAX(0,($N569-Inputs!$B$8)/MAX($P569-Inputs!$B$8,0.01))))))</f>
        <v/>
      </c>
      <c r="S569" s="17" t="str">
        <f aca="false">IF($C569="","",IF(OR($E569="G",$E569="H"),0,IF($E569="T",1,MIN(1,MAX(0,($O569-Inputs!$B$8)/MAX($P569-Inputs!$B$8,0.01))))))</f>
        <v/>
      </c>
    </row>
    <row r="570" customFormat="false" ht="15" hidden="false" customHeight="false" outlineLevel="0" collapsed="false">
      <c r="I570" s="7" t="str">
        <f aca="false">IF($C570="","",IF($C570="G","PUTT",IF(AND($C570="T",$M570&gt;3),"OTT",IF($D570&lt;=30,"ARG","APP"))))</f>
        <v/>
      </c>
      <c r="J570" s="17" t="str">
        <f aca="false">IF($C570="","",$N570+$Q570*$R570)</f>
        <v/>
      </c>
      <c r="K570" s="17" t="str">
        <f aca="false">IF($C570="","",$O570+$Q570*$S570)</f>
        <v/>
      </c>
      <c r="L570" s="17" t="str">
        <f aca="false">IF($C570="","",$J570-$K570-1-N($G570))</f>
        <v/>
      </c>
      <c r="M570" s="7" t="str">
        <f aca="false">IF($B570="","",INDEX(Course!$B$2:$B$19,MATCH($B570,Course!$A$2:$A$19,0)))</f>
        <v/>
      </c>
      <c r="N570" s="17" t="str">
        <f aca="false">IF($C570="","",IF($C570="H",0,IF($C570="G",INDEX(Baseline!$I$3:$I$102,MIN(MAX(ROUND($D570,0),1),100)),IF($C570="T",IF($M570=3,INDEX(Baseline!$B$3:$B$122,MATCH(MIN(MAX(ROUND(($D570)/5,0)*5,5),600),Baseline!$A$3:$A$122,0))-Inputs!$B$9,INDEX(Course!$N$2:$N$19,MATCH($B570,Course!$A$2:$A$19,0))),INDEX(Baseline!$B$3:$E$122,MATCH(MIN(MAX(ROUND(($D570)/5,0)*5,5),600),Baseline!$A$3:$A$122,0),MATCH($C570,Baseline!$B$2:$E$2,0))))))</f>
        <v/>
      </c>
      <c r="O570" s="17" t="str">
        <f aca="false">IF($C570="","",IF($E570="H",0,IF($E570="G",INDEX(Baseline!$I$3:$I$102,MIN(MAX(ROUND($F570,0),1),100)),IF($E570="T",IF($M570=3,INDEX(Baseline!$B$3:$B$122,MATCH(MIN(MAX(ROUND(($F570)/5,0)*5,5),600),Baseline!$A$3:$A$122,0))-Inputs!$B$9,INDEX(Course!$N$2:$N$19,MATCH($B570,Course!$A$2:$A$19,0))),INDEX(Baseline!$B$3:$E$122,MATCH(MIN(MAX(ROUND(($F570)/5,0)*5,5),600),Baseline!$A$3:$A$122,0),MATCH($E570,Baseline!$B$2:$E$2,0))))))</f>
        <v/>
      </c>
      <c r="P570" s="17" t="str">
        <f aca="false">IF($B570="","",INDEX(Course!$N$2:$N$19,MATCH($B570,Course!$A$2:$A$19,0)))</f>
        <v/>
      </c>
      <c r="Q570" s="17" t="str">
        <f aca="false">IF($B570="","",INDEX(Course!$P$2:$P$19,MATCH($B570,Course!$A$2:$A$19,0)))</f>
        <v/>
      </c>
      <c r="R570" s="17" t="str">
        <f aca="false">IF($C570="","",IF(OR($C570="G",$C570="H"),0,IF($C570="T",1,MIN(1,MAX(0,($N570-Inputs!$B$8)/MAX($P570-Inputs!$B$8,0.01))))))</f>
        <v/>
      </c>
      <c r="S570" s="17" t="str">
        <f aca="false">IF($C570="","",IF(OR($E570="G",$E570="H"),0,IF($E570="T",1,MIN(1,MAX(0,($O570-Inputs!$B$8)/MAX($P570-Inputs!$B$8,0.01))))))</f>
        <v/>
      </c>
    </row>
    <row r="571" customFormat="false" ht="15" hidden="false" customHeight="false" outlineLevel="0" collapsed="false">
      <c r="I571" s="7" t="str">
        <f aca="false">IF($C571="","",IF($C571="G","PUTT",IF(AND($C571="T",$M571&gt;3),"OTT",IF($D571&lt;=30,"ARG","APP"))))</f>
        <v/>
      </c>
      <c r="J571" s="17" t="str">
        <f aca="false">IF($C571="","",$N571+$Q571*$R571)</f>
        <v/>
      </c>
      <c r="K571" s="17" t="str">
        <f aca="false">IF($C571="","",$O571+$Q571*$S571)</f>
        <v/>
      </c>
      <c r="L571" s="17" t="str">
        <f aca="false">IF($C571="","",$J571-$K571-1-N($G571))</f>
        <v/>
      </c>
      <c r="M571" s="7" t="str">
        <f aca="false">IF($B571="","",INDEX(Course!$B$2:$B$19,MATCH($B571,Course!$A$2:$A$19,0)))</f>
        <v/>
      </c>
      <c r="N571" s="17" t="str">
        <f aca="false">IF($C571="","",IF($C571="H",0,IF($C571="G",INDEX(Baseline!$I$3:$I$102,MIN(MAX(ROUND($D571,0),1),100)),IF($C571="T",IF($M571=3,INDEX(Baseline!$B$3:$B$122,MATCH(MIN(MAX(ROUND(($D571)/5,0)*5,5),600),Baseline!$A$3:$A$122,0))-Inputs!$B$9,INDEX(Course!$N$2:$N$19,MATCH($B571,Course!$A$2:$A$19,0))),INDEX(Baseline!$B$3:$E$122,MATCH(MIN(MAX(ROUND(($D571)/5,0)*5,5),600),Baseline!$A$3:$A$122,0),MATCH($C571,Baseline!$B$2:$E$2,0))))))</f>
        <v/>
      </c>
      <c r="O571" s="17" t="str">
        <f aca="false">IF($C571="","",IF($E571="H",0,IF($E571="G",INDEX(Baseline!$I$3:$I$102,MIN(MAX(ROUND($F571,0),1),100)),IF($E571="T",IF($M571=3,INDEX(Baseline!$B$3:$B$122,MATCH(MIN(MAX(ROUND(($F571)/5,0)*5,5),600),Baseline!$A$3:$A$122,0))-Inputs!$B$9,INDEX(Course!$N$2:$N$19,MATCH($B571,Course!$A$2:$A$19,0))),INDEX(Baseline!$B$3:$E$122,MATCH(MIN(MAX(ROUND(($F571)/5,0)*5,5),600),Baseline!$A$3:$A$122,0),MATCH($E571,Baseline!$B$2:$E$2,0))))))</f>
        <v/>
      </c>
      <c r="P571" s="17" t="str">
        <f aca="false">IF($B571="","",INDEX(Course!$N$2:$N$19,MATCH($B571,Course!$A$2:$A$19,0)))</f>
        <v/>
      </c>
      <c r="Q571" s="17" t="str">
        <f aca="false">IF($B571="","",INDEX(Course!$P$2:$P$19,MATCH($B571,Course!$A$2:$A$19,0)))</f>
        <v/>
      </c>
      <c r="R571" s="17" t="str">
        <f aca="false">IF($C571="","",IF(OR($C571="G",$C571="H"),0,IF($C571="T",1,MIN(1,MAX(0,($N571-Inputs!$B$8)/MAX($P571-Inputs!$B$8,0.01))))))</f>
        <v/>
      </c>
      <c r="S571" s="17" t="str">
        <f aca="false">IF($C571="","",IF(OR($E571="G",$E571="H"),0,IF($E571="T",1,MIN(1,MAX(0,($O571-Inputs!$B$8)/MAX($P571-Inputs!$B$8,0.01))))))</f>
        <v/>
      </c>
    </row>
    <row r="572" customFormat="false" ht="15" hidden="false" customHeight="false" outlineLevel="0" collapsed="false">
      <c r="I572" s="7" t="str">
        <f aca="false">IF($C572="","",IF($C572="G","PUTT",IF(AND($C572="T",$M572&gt;3),"OTT",IF($D572&lt;=30,"ARG","APP"))))</f>
        <v/>
      </c>
      <c r="J572" s="17" t="str">
        <f aca="false">IF($C572="","",$N572+$Q572*$R572)</f>
        <v/>
      </c>
      <c r="K572" s="17" t="str">
        <f aca="false">IF($C572="","",$O572+$Q572*$S572)</f>
        <v/>
      </c>
      <c r="L572" s="17" t="str">
        <f aca="false">IF($C572="","",$J572-$K572-1-N($G572))</f>
        <v/>
      </c>
      <c r="M572" s="7" t="str">
        <f aca="false">IF($B572="","",INDEX(Course!$B$2:$B$19,MATCH($B572,Course!$A$2:$A$19,0)))</f>
        <v/>
      </c>
      <c r="N572" s="17" t="str">
        <f aca="false">IF($C572="","",IF($C572="H",0,IF($C572="G",INDEX(Baseline!$I$3:$I$102,MIN(MAX(ROUND($D572,0),1),100)),IF($C572="T",IF($M572=3,INDEX(Baseline!$B$3:$B$122,MATCH(MIN(MAX(ROUND(($D572)/5,0)*5,5),600),Baseline!$A$3:$A$122,0))-Inputs!$B$9,INDEX(Course!$N$2:$N$19,MATCH($B572,Course!$A$2:$A$19,0))),INDEX(Baseline!$B$3:$E$122,MATCH(MIN(MAX(ROUND(($D572)/5,0)*5,5),600),Baseline!$A$3:$A$122,0),MATCH($C572,Baseline!$B$2:$E$2,0))))))</f>
        <v/>
      </c>
      <c r="O572" s="17" t="str">
        <f aca="false">IF($C572="","",IF($E572="H",0,IF($E572="G",INDEX(Baseline!$I$3:$I$102,MIN(MAX(ROUND($F572,0),1),100)),IF($E572="T",IF($M572=3,INDEX(Baseline!$B$3:$B$122,MATCH(MIN(MAX(ROUND(($F572)/5,0)*5,5),600),Baseline!$A$3:$A$122,0))-Inputs!$B$9,INDEX(Course!$N$2:$N$19,MATCH($B572,Course!$A$2:$A$19,0))),INDEX(Baseline!$B$3:$E$122,MATCH(MIN(MAX(ROUND(($F572)/5,0)*5,5),600),Baseline!$A$3:$A$122,0),MATCH($E572,Baseline!$B$2:$E$2,0))))))</f>
        <v/>
      </c>
      <c r="P572" s="17" t="str">
        <f aca="false">IF($B572="","",INDEX(Course!$N$2:$N$19,MATCH($B572,Course!$A$2:$A$19,0)))</f>
        <v/>
      </c>
      <c r="Q572" s="17" t="str">
        <f aca="false">IF($B572="","",INDEX(Course!$P$2:$P$19,MATCH($B572,Course!$A$2:$A$19,0)))</f>
        <v/>
      </c>
      <c r="R572" s="17" t="str">
        <f aca="false">IF($C572="","",IF(OR($C572="G",$C572="H"),0,IF($C572="T",1,MIN(1,MAX(0,($N572-Inputs!$B$8)/MAX($P572-Inputs!$B$8,0.01))))))</f>
        <v/>
      </c>
      <c r="S572" s="17" t="str">
        <f aca="false">IF($C572="","",IF(OR($E572="G",$E572="H"),0,IF($E572="T",1,MIN(1,MAX(0,($O572-Inputs!$B$8)/MAX($P572-Inputs!$B$8,0.01))))))</f>
        <v/>
      </c>
    </row>
    <row r="573" customFormat="false" ht="15" hidden="false" customHeight="false" outlineLevel="0" collapsed="false">
      <c r="I573" s="7" t="str">
        <f aca="false">IF($C573="","",IF($C573="G","PUTT",IF(AND($C573="T",$M573&gt;3),"OTT",IF($D573&lt;=30,"ARG","APP"))))</f>
        <v/>
      </c>
      <c r="J573" s="17" t="str">
        <f aca="false">IF($C573="","",$N573+$Q573*$R573)</f>
        <v/>
      </c>
      <c r="K573" s="17" t="str">
        <f aca="false">IF($C573="","",$O573+$Q573*$S573)</f>
        <v/>
      </c>
      <c r="L573" s="17" t="str">
        <f aca="false">IF($C573="","",$J573-$K573-1-N($G573))</f>
        <v/>
      </c>
      <c r="M573" s="7" t="str">
        <f aca="false">IF($B573="","",INDEX(Course!$B$2:$B$19,MATCH($B573,Course!$A$2:$A$19,0)))</f>
        <v/>
      </c>
      <c r="N573" s="17" t="str">
        <f aca="false">IF($C573="","",IF($C573="H",0,IF($C573="G",INDEX(Baseline!$I$3:$I$102,MIN(MAX(ROUND($D573,0),1),100)),IF($C573="T",IF($M573=3,INDEX(Baseline!$B$3:$B$122,MATCH(MIN(MAX(ROUND(($D573)/5,0)*5,5),600),Baseline!$A$3:$A$122,0))-Inputs!$B$9,INDEX(Course!$N$2:$N$19,MATCH($B573,Course!$A$2:$A$19,0))),INDEX(Baseline!$B$3:$E$122,MATCH(MIN(MAX(ROUND(($D573)/5,0)*5,5),600),Baseline!$A$3:$A$122,0),MATCH($C573,Baseline!$B$2:$E$2,0))))))</f>
        <v/>
      </c>
      <c r="O573" s="17" t="str">
        <f aca="false">IF($C573="","",IF($E573="H",0,IF($E573="G",INDEX(Baseline!$I$3:$I$102,MIN(MAX(ROUND($F573,0),1),100)),IF($E573="T",IF($M573=3,INDEX(Baseline!$B$3:$B$122,MATCH(MIN(MAX(ROUND(($F573)/5,0)*5,5),600),Baseline!$A$3:$A$122,0))-Inputs!$B$9,INDEX(Course!$N$2:$N$19,MATCH($B573,Course!$A$2:$A$19,0))),INDEX(Baseline!$B$3:$E$122,MATCH(MIN(MAX(ROUND(($F573)/5,0)*5,5),600),Baseline!$A$3:$A$122,0),MATCH($E573,Baseline!$B$2:$E$2,0))))))</f>
        <v/>
      </c>
      <c r="P573" s="17" t="str">
        <f aca="false">IF($B573="","",INDEX(Course!$N$2:$N$19,MATCH($B573,Course!$A$2:$A$19,0)))</f>
        <v/>
      </c>
      <c r="Q573" s="17" t="str">
        <f aca="false">IF($B573="","",INDEX(Course!$P$2:$P$19,MATCH($B573,Course!$A$2:$A$19,0)))</f>
        <v/>
      </c>
      <c r="R573" s="17" t="str">
        <f aca="false">IF($C573="","",IF(OR($C573="G",$C573="H"),0,IF($C573="T",1,MIN(1,MAX(0,($N573-Inputs!$B$8)/MAX($P573-Inputs!$B$8,0.01))))))</f>
        <v/>
      </c>
      <c r="S573" s="17" t="str">
        <f aca="false">IF($C573="","",IF(OR($E573="G",$E573="H"),0,IF($E573="T",1,MIN(1,MAX(0,($O573-Inputs!$B$8)/MAX($P573-Inputs!$B$8,0.01))))))</f>
        <v/>
      </c>
    </row>
    <row r="574" customFormat="false" ht="15" hidden="false" customHeight="false" outlineLevel="0" collapsed="false">
      <c r="I574" s="7" t="str">
        <f aca="false">IF($C574="","",IF($C574="G","PUTT",IF(AND($C574="T",$M574&gt;3),"OTT",IF($D574&lt;=30,"ARG","APP"))))</f>
        <v/>
      </c>
      <c r="J574" s="17" t="str">
        <f aca="false">IF($C574="","",$N574+$Q574*$R574)</f>
        <v/>
      </c>
      <c r="K574" s="17" t="str">
        <f aca="false">IF($C574="","",$O574+$Q574*$S574)</f>
        <v/>
      </c>
      <c r="L574" s="17" t="str">
        <f aca="false">IF($C574="","",$J574-$K574-1-N($G574))</f>
        <v/>
      </c>
      <c r="M574" s="7" t="str">
        <f aca="false">IF($B574="","",INDEX(Course!$B$2:$B$19,MATCH($B574,Course!$A$2:$A$19,0)))</f>
        <v/>
      </c>
      <c r="N574" s="17" t="str">
        <f aca="false">IF($C574="","",IF($C574="H",0,IF($C574="G",INDEX(Baseline!$I$3:$I$102,MIN(MAX(ROUND($D574,0),1),100)),IF($C574="T",IF($M574=3,INDEX(Baseline!$B$3:$B$122,MATCH(MIN(MAX(ROUND(($D574)/5,0)*5,5),600),Baseline!$A$3:$A$122,0))-Inputs!$B$9,INDEX(Course!$N$2:$N$19,MATCH($B574,Course!$A$2:$A$19,0))),INDEX(Baseline!$B$3:$E$122,MATCH(MIN(MAX(ROUND(($D574)/5,0)*5,5),600),Baseline!$A$3:$A$122,0),MATCH($C574,Baseline!$B$2:$E$2,0))))))</f>
        <v/>
      </c>
      <c r="O574" s="17" t="str">
        <f aca="false">IF($C574="","",IF($E574="H",0,IF($E574="G",INDEX(Baseline!$I$3:$I$102,MIN(MAX(ROUND($F574,0),1),100)),IF($E574="T",IF($M574=3,INDEX(Baseline!$B$3:$B$122,MATCH(MIN(MAX(ROUND(($F574)/5,0)*5,5),600),Baseline!$A$3:$A$122,0))-Inputs!$B$9,INDEX(Course!$N$2:$N$19,MATCH($B574,Course!$A$2:$A$19,0))),INDEX(Baseline!$B$3:$E$122,MATCH(MIN(MAX(ROUND(($F574)/5,0)*5,5),600),Baseline!$A$3:$A$122,0),MATCH($E574,Baseline!$B$2:$E$2,0))))))</f>
        <v/>
      </c>
      <c r="P574" s="17" t="str">
        <f aca="false">IF($B574="","",INDEX(Course!$N$2:$N$19,MATCH($B574,Course!$A$2:$A$19,0)))</f>
        <v/>
      </c>
      <c r="Q574" s="17" t="str">
        <f aca="false">IF($B574="","",INDEX(Course!$P$2:$P$19,MATCH($B574,Course!$A$2:$A$19,0)))</f>
        <v/>
      </c>
      <c r="R574" s="17" t="str">
        <f aca="false">IF($C574="","",IF(OR($C574="G",$C574="H"),0,IF($C574="T",1,MIN(1,MAX(0,($N574-Inputs!$B$8)/MAX($P574-Inputs!$B$8,0.01))))))</f>
        <v/>
      </c>
      <c r="S574" s="17" t="str">
        <f aca="false">IF($C574="","",IF(OR($E574="G",$E574="H"),0,IF($E574="T",1,MIN(1,MAX(0,($O574-Inputs!$B$8)/MAX($P574-Inputs!$B$8,0.01))))))</f>
        <v/>
      </c>
    </row>
    <row r="575" customFormat="false" ht="15" hidden="false" customHeight="false" outlineLevel="0" collapsed="false">
      <c r="I575" s="7" t="str">
        <f aca="false">IF($C575="","",IF($C575="G","PUTT",IF(AND($C575="T",$M575&gt;3),"OTT",IF($D575&lt;=30,"ARG","APP"))))</f>
        <v/>
      </c>
      <c r="J575" s="17" t="str">
        <f aca="false">IF($C575="","",$N575+$Q575*$R575)</f>
        <v/>
      </c>
      <c r="K575" s="17" t="str">
        <f aca="false">IF($C575="","",$O575+$Q575*$S575)</f>
        <v/>
      </c>
      <c r="L575" s="17" t="str">
        <f aca="false">IF($C575="","",$J575-$K575-1-N($G575))</f>
        <v/>
      </c>
      <c r="M575" s="7" t="str">
        <f aca="false">IF($B575="","",INDEX(Course!$B$2:$B$19,MATCH($B575,Course!$A$2:$A$19,0)))</f>
        <v/>
      </c>
      <c r="N575" s="17" t="str">
        <f aca="false">IF($C575="","",IF($C575="H",0,IF($C575="G",INDEX(Baseline!$I$3:$I$102,MIN(MAX(ROUND($D575,0),1),100)),IF($C575="T",IF($M575=3,INDEX(Baseline!$B$3:$B$122,MATCH(MIN(MAX(ROUND(($D575)/5,0)*5,5),600),Baseline!$A$3:$A$122,0))-Inputs!$B$9,INDEX(Course!$N$2:$N$19,MATCH($B575,Course!$A$2:$A$19,0))),INDEX(Baseline!$B$3:$E$122,MATCH(MIN(MAX(ROUND(($D575)/5,0)*5,5),600),Baseline!$A$3:$A$122,0),MATCH($C575,Baseline!$B$2:$E$2,0))))))</f>
        <v/>
      </c>
      <c r="O575" s="17" t="str">
        <f aca="false">IF($C575="","",IF($E575="H",0,IF($E575="G",INDEX(Baseline!$I$3:$I$102,MIN(MAX(ROUND($F575,0),1),100)),IF($E575="T",IF($M575=3,INDEX(Baseline!$B$3:$B$122,MATCH(MIN(MAX(ROUND(($F575)/5,0)*5,5),600),Baseline!$A$3:$A$122,0))-Inputs!$B$9,INDEX(Course!$N$2:$N$19,MATCH($B575,Course!$A$2:$A$19,0))),INDEX(Baseline!$B$3:$E$122,MATCH(MIN(MAX(ROUND(($F575)/5,0)*5,5),600),Baseline!$A$3:$A$122,0),MATCH($E575,Baseline!$B$2:$E$2,0))))))</f>
        <v/>
      </c>
      <c r="P575" s="17" t="str">
        <f aca="false">IF($B575="","",INDEX(Course!$N$2:$N$19,MATCH($B575,Course!$A$2:$A$19,0)))</f>
        <v/>
      </c>
      <c r="Q575" s="17" t="str">
        <f aca="false">IF($B575="","",INDEX(Course!$P$2:$P$19,MATCH($B575,Course!$A$2:$A$19,0)))</f>
        <v/>
      </c>
      <c r="R575" s="17" t="str">
        <f aca="false">IF($C575="","",IF(OR($C575="G",$C575="H"),0,IF($C575="T",1,MIN(1,MAX(0,($N575-Inputs!$B$8)/MAX($P575-Inputs!$B$8,0.01))))))</f>
        <v/>
      </c>
      <c r="S575" s="17" t="str">
        <f aca="false">IF($C575="","",IF(OR($E575="G",$E575="H"),0,IF($E575="T",1,MIN(1,MAX(0,($O575-Inputs!$B$8)/MAX($P575-Inputs!$B$8,0.01))))))</f>
        <v/>
      </c>
    </row>
    <row r="576" customFormat="false" ht="15" hidden="false" customHeight="false" outlineLevel="0" collapsed="false">
      <c r="I576" s="7" t="str">
        <f aca="false">IF($C576="","",IF($C576="G","PUTT",IF(AND($C576="T",$M576&gt;3),"OTT",IF($D576&lt;=30,"ARG","APP"))))</f>
        <v/>
      </c>
      <c r="J576" s="17" t="str">
        <f aca="false">IF($C576="","",$N576+$Q576*$R576)</f>
        <v/>
      </c>
      <c r="K576" s="17" t="str">
        <f aca="false">IF($C576="","",$O576+$Q576*$S576)</f>
        <v/>
      </c>
      <c r="L576" s="17" t="str">
        <f aca="false">IF($C576="","",$J576-$K576-1-N($G576))</f>
        <v/>
      </c>
      <c r="M576" s="7" t="str">
        <f aca="false">IF($B576="","",INDEX(Course!$B$2:$B$19,MATCH($B576,Course!$A$2:$A$19,0)))</f>
        <v/>
      </c>
      <c r="N576" s="17" t="str">
        <f aca="false">IF($C576="","",IF($C576="H",0,IF($C576="G",INDEX(Baseline!$I$3:$I$102,MIN(MAX(ROUND($D576,0),1),100)),IF($C576="T",IF($M576=3,INDEX(Baseline!$B$3:$B$122,MATCH(MIN(MAX(ROUND(($D576)/5,0)*5,5),600),Baseline!$A$3:$A$122,0))-Inputs!$B$9,INDEX(Course!$N$2:$N$19,MATCH($B576,Course!$A$2:$A$19,0))),INDEX(Baseline!$B$3:$E$122,MATCH(MIN(MAX(ROUND(($D576)/5,0)*5,5),600),Baseline!$A$3:$A$122,0),MATCH($C576,Baseline!$B$2:$E$2,0))))))</f>
        <v/>
      </c>
      <c r="O576" s="17" t="str">
        <f aca="false">IF($C576="","",IF($E576="H",0,IF($E576="G",INDEX(Baseline!$I$3:$I$102,MIN(MAX(ROUND($F576,0),1),100)),IF($E576="T",IF($M576=3,INDEX(Baseline!$B$3:$B$122,MATCH(MIN(MAX(ROUND(($F576)/5,0)*5,5),600),Baseline!$A$3:$A$122,0))-Inputs!$B$9,INDEX(Course!$N$2:$N$19,MATCH($B576,Course!$A$2:$A$19,0))),INDEX(Baseline!$B$3:$E$122,MATCH(MIN(MAX(ROUND(($F576)/5,0)*5,5),600),Baseline!$A$3:$A$122,0),MATCH($E576,Baseline!$B$2:$E$2,0))))))</f>
        <v/>
      </c>
      <c r="P576" s="17" t="str">
        <f aca="false">IF($B576="","",INDEX(Course!$N$2:$N$19,MATCH($B576,Course!$A$2:$A$19,0)))</f>
        <v/>
      </c>
      <c r="Q576" s="17" t="str">
        <f aca="false">IF($B576="","",INDEX(Course!$P$2:$P$19,MATCH($B576,Course!$A$2:$A$19,0)))</f>
        <v/>
      </c>
      <c r="R576" s="17" t="str">
        <f aca="false">IF($C576="","",IF(OR($C576="G",$C576="H"),0,IF($C576="T",1,MIN(1,MAX(0,($N576-Inputs!$B$8)/MAX($P576-Inputs!$B$8,0.01))))))</f>
        <v/>
      </c>
      <c r="S576" s="17" t="str">
        <f aca="false">IF($C576="","",IF(OR($E576="G",$E576="H"),0,IF($E576="T",1,MIN(1,MAX(0,($O576-Inputs!$B$8)/MAX($P576-Inputs!$B$8,0.01))))))</f>
        <v/>
      </c>
    </row>
    <row r="577" customFormat="false" ht="15" hidden="false" customHeight="false" outlineLevel="0" collapsed="false">
      <c r="I577" s="7" t="str">
        <f aca="false">IF($C577="","",IF($C577="G","PUTT",IF(AND($C577="T",$M577&gt;3),"OTT",IF($D577&lt;=30,"ARG","APP"))))</f>
        <v/>
      </c>
      <c r="J577" s="17" t="str">
        <f aca="false">IF($C577="","",$N577+$Q577*$R577)</f>
        <v/>
      </c>
      <c r="K577" s="17" t="str">
        <f aca="false">IF($C577="","",$O577+$Q577*$S577)</f>
        <v/>
      </c>
      <c r="L577" s="17" t="str">
        <f aca="false">IF($C577="","",$J577-$K577-1-N($G577))</f>
        <v/>
      </c>
      <c r="M577" s="7" t="str">
        <f aca="false">IF($B577="","",INDEX(Course!$B$2:$B$19,MATCH($B577,Course!$A$2:$A$19,0)))</f>
        <v/>
      </c>
      <c r="N577" s="17" t="str">
        <f aca="false">IF($C577="","",IF($C577="H",0,IF($C577="G",INDEX(Baseline!$I$3:$I$102,MIN(MAX(ROUND($D577,0),1),100)),IF($C577="T",IF($M577=3,INDEX(Baseline!$B$3:$B$122,MATCH(MIN(MAX(ROUND(($D577)/5,0)*5,5),600),Baseline!$A$3:$A$122,0))-Inputs!$B$9,INDEX(Course!$N$2:$N$19,MATCH($B577,Course!$A$2:$A$19,0))),INDEX(Baseline!$B$3:$E$122,MATCH(MIN(MAX(ROUND(($D577)/5,0)*5,5),600),Baseline!$A$3:$A$122,0),MATCH($C577,Baseline!$B$2:$E$2,0))))))</f>
        <v/>
      </c>
      <c r="O577" s="17" t="str">
        <f aca="false">IF($C577="","",IF($E577="H",0,IF($E577="G",INDEX(Baseline!$I$3:$I$102,MIN(MAX(ROUND($F577,0),1),100)),IF($E577="T",IF($M577=3,INDEX(Baseline!$B$3:$B$122,MATCH(MIN(MAX(ROUND(($F577)/5,0)*5,5),600),Baseline!$A$3:$A$122,0))-Inputs!$B$9,INDEX(Course!$N$2:$N$19,MATCH($B577,Course!$A$2:$A$19,0))),INDEX(Baseline!$B$3:$E$122,MATCH(MIN(MAX(ROUND(($F577)/5,0)*5,5),600),Baseline!$A$3:$A$122,0),MATCH($E577,Baseline!$B$2:$E$2,0))))))</f>
        <v/>
      </c>
      <c r="P577" s="17" t="str">
        <f aca="false">IF($B577="","",INDEX(Course!$N$2:$N$19,MATCH($B577,Course!$A$2:$A$19,0)))</f>
        <v/>
      </c>
      <c r="Q577" s="17" t="str">
        <f aca="false">IF($B577="","",INDEX(Course!$P$2:$P$19,MATCH($B577,Course!$A$2:$A$19,0)))</f>
        <v/>
      </c>
      <c r="R577" s="17" t="str">
        <f aca="false">IF($C577="","",IF(OR($C577="G",$C577="H"),0,IF($C577="T",1,MIN(1,MAX(0,($N577-Inputs!$B$8)/MAX($P577-Inputs!$B$8,0.01))))))</f>
        <v/>
      </c>
      <c r="S577" s="17" t="str">
        <f aca="false">IF($C577="","",IF(OR($E577="G",$E577="H"),0,IF($E577="T",1,MIN(1,MAX(0,($O577-Inputs!$B$8)/MAX($P577-Inputs!$B$8,0.01))))))</f>
        <v/>
      </c>
    </row>
    <row r="578" customFormat="false" ht="15" hidden="false" customHeight="false" outlineLevel="0" collapsed="false">
      <c r="I578" s="7" t="str">
        <f aca="false">IF($C578="","",IF($C578="G","PUTT",IF(AND($C578="T",$M578&gt;3),"OTT",IF($D578&lt;=30,"ARG","APP"))))</f>
        <v/>
      </c>
      <c r="J578" s="17" t="str">
        <f aca="false">IF($C578="","",$N578+$Q578*$R578)</f>
        <v/>
      </c>
      <c r="K578" s="17" t="str">
        <f aca="false">IF($C578="","",$O578+$Q578*$S578)</f>
        <v/>
      </c>
      <c r="L578" s="17" t="str">
        <f aca="false">IF($C578="","",$J578-$K578-1-N($G578))</f>
        <v/>
      </c>
      <c r="M578" s="7" t="str">
        <f aca="false">IF($B578="","",INDEX(Course!$B$2:$B$19,MATCH($B578,Course!$A$2:$A$19,0)))</f>
        <v/>
      </c>
      <c r="N578" s="17" t="str">
        <f aca="false">IF($C578="","",IF($C578="H",0,IF($C578="G",INDEX(Baseline!$I$3:$I$102,MIN(MAX(ROUND($D578,0),1),100)),IF($C578="T",IF($M578=3,INDEX(Baseline!$B$3:$B$122,MATCH(MIN(MAX(ROUND(($D578)/5,0)*5,5),600),Baseline!$A$3:$A$122,0))-Inputs!$B$9,INDEX(Course!$N$2:$N$19,MATCH($B578,Course!$A$2:$A$19,0))),INDEX(Baseline!$B$3:$E$122,MATCH(MIN(MAX(ROUND(($D578)/5,0)*5,5),600),Baseline!$A$3:$A$122,0),MATCH($C578,Baseline!$B$2:$E$2,0))))))</f>
        <v/>
      </c>
      <c r="O578" s="17" t="str">
        <f aca="false">IF($C578="","",IF($E578="H",0,IF($E578="G",INDEX(Baseline!$I$3:$I$102,MIN(MAX(ROUND($F578,0),1),100)),IF($E578="T",IF($M578=3,INDEX(Baseline!$B$3:$B$122,MATCH(MIN(MAX(ROUND(($F578)/5,0)*5,5),600),Baseline!$A$3:$A$122,0))-Inputs!$B$9,INDEX(Course!$N$2:$N$19,MATCH($B578,Course!$A$2:$A$19,0))),INDEX(Baseline!$B$3:$E$122,MATCH(MIN(MAX(ROUND(($F578)/5,0)*5,5),600),Baseline!$A$3:$A$122,0),MATCH($E578,Baseline!$B$2:$E$2,0))))))</f>
        <v/>
      </c>
      <c r="P578" s="17" t="str">
        <f aca="false">IF($B578="","",INDEX(Course!$N$2:$N$19,MATCH($B578,Course!$A$2:$A$19,0)))</f>
        <v/>
      </c>
      <c r="Q578" s="17" t="str">
        <f aca="false">IF($B578="","",INDEX(Course!$P$2:$P$19,MATCH($B578,Course!$A$2:$A$19,0)))</f>
        <v/>
      </c>
      <c r="R578" s="17" t="str">
        <f aca="false">IF($C578="","",IF(OR($C578="G",$C578="H"),0,IF($C578="T",1,MIN(1,MAX(0,($N578-Inputs!$B$8)/MAX($P578-Inputs!$B$8,0.01))))))</f>
        <v/>
      </c>
      <c r="S578" s="17" t="str">
        <f aca="false">IF($C578="","",IF(OR($E578="G",$E578="H"),0,IF($E578="T",1,MIN(1,MAX(0,($O578-Inputs!$B$8)/MAX($P578-Inputs!$B$8,0.01))))))</f>
        <v/>
      </c>
    </row>
    <row r="579" customFormat="false" ht="15" hidden="false" customHeight="false" outlineLevel="0" collapsed="false">
      <c r="I579" s="7" t="str">
        <f aca="false">IF($C579="","",IF($C579="G","PUTT",IF(AND($C579="T",$M579&gt;3),"OTT",IF($D579&lt;=30,"ARG","APP"))))</f>
        <v/>
      </c>
      <c r="J579" s="17" t="str">
        <f aca="false">IF($C579="","",$N579+$Q579*$R579)</f>
        <v/>
      </c>
      <c r="K579" s="17" t="str">
        <f aca="false">IF($C579="","",$O579+$Q579*$S579)</f>
        <v/>
      </c>
      <c r="L579" s="17" t="str">
        <f aca="false">IF($C579="","",$J579-$K579-1-N($G579))</f>
        <v/>
      </c>
      <c r="M579" s="7" t="str">
        <f aca="false">IF($B579="","",INDEX(Course!$B$2:$B$19,MATCH($B579,Course!$A$2:$A$19,0)))</f>
        <v/>
      </c>
      <c r="N579" s="17" t="str">
        <f aca="false">IF($C579="","",IF($C579="H",0,IF($C579="G",INDEX(Baseline!$I$3:$I$102,MIN(MAX(ROUND($D579,0),1),100)),IF($C579="T",IF($M579=3,INDEX(Baseline!$B$3:$B$122,MATCH(MIN(MAX(ROUND(($D579)/5,0)*5,5),600),Baseline!$A$3:$A$122,0))-Inputs!$B$9,INDEX(Course!$N$2:$N$19,MATCH($B579,Course!$A$2:$A$19,0))),INDEX(Baseline!$B$3:$E$122,MATCH(MIN(MAX(ROUND(($D579)/5,0)*5,5),600),Baseline!$A$3:$A$122,0),MATCH($C579,Baseline!$B$2:$E$2,0))))))</f>
        <v/>
      </c>
      <c r="O579" s="17" t="str">
        <f aca="false">IF($C579="","",IF($E579="H",0,IF($E579="G",INDEX(Baseline!$I$3:$I$102,MIN(MAX(ROUND($F579,0),1),100)),IF($E579="T",IF($M579=3,INDEX(Baseline!$B$3:$B$122,MATCH(MIN(MAX(ROUND(($F579)/5,0)*5,5),600),Baseline!$A$3:$A$122,0))-Inputs!$B$9,INDEX(Course!$N$2:$N$19,MATCH($B579,Course!$A$2:$A$19,0))),INDEX(Baseline!$B$3:$E$122,MATCH(MIN(MAX(ROUND(($F579)/5,0)*5,5),600),Baseline!$A$3:$A$122,0),MATCH($E579,Baseline!$B$2:$E$2,0))))))</f>
        <v/>
      </c>
      <c r="P579" s="17" t="str">
        <f aca="false">IF($B579="","",INDEX(Course!$N$2:$N$19,MATCH($B579,Course!$A$2:$A$19,0)))</f>
        <v/>
      </c>
      <c r="Q579" s="17" t="str">
        <f aca="false">IF($B579="","",INDEX(Course!$P$2:$P$19,MATCH($B579,Course!$A$2:$A$19,0)))</f>
        <v/>
      </c>
      <c r="R579" s="17" t="str">
        <f aca="false">IF($C579="","",IF(OR($C579="G",$C579="H"),0,IF($C579="T",1,MIN(1,MAX(0,($N579-Inputs!$B$8)/MAX($P579-Inputs!$B$8,0.01))))))</f>
        <v/>
      </c>
      <c r="S579" s="17" t="str">
        <f aca="false">IF($C579="","",IF(OR($E579="G",$E579="H"),0,IF($E579="T",1,MIN(1,MAX(0,($O579-Inputs!$B$8)/MAX($P579-Inputs!$B$8,0.01))))))</f>
        <v/>
      </c>
    </row>
    <row r="580" customFormat="false" ht="15" hidden="false" customHeight="false" outlineLevel="0" collapsed="false">
      <c r="I580" s="7" t="str">
        <f aca="false">IF($C580="","",IF($C580="G","PUTT",IF(AND($C580="T",$M580&gt;3),"OTT",IF($D580&lt;=30,"ARG","APP"))))</f>
        <v/>
      </c>
      <c r="J580" s="17" t="str">
        <f aca="false">IF($C580="","",$N580+$Q580*$R580)</f>
        <v/>
      </c>
      <c r="K580" s="17" t="str">
        <f aca="false">IF($C580="","",$O580+$Q580*$S580)</f>
        <v/>
      </c>
      <c r="L580" s="17" t="str">
        <f aca="false">IF($C580="","",$J580-$K580-1-N($G580))</f>
        <v/>
      </c>
      <c r="M580" s="7" t="str">
        <f aca="false">IF($B580="","",INDEX(Course!$B$2:$B$19,MATCH($B580,Course!$A$2:$A$19,0)))</f>
        <v/>
      </c>
      <c r="N580" s="17" t="str">
        <f aca="false">IF($C580="","",IF($C580="H",0,IF($C580="G",INDEX(Baseline!$I$3:$I$102,MIN(MAX(ROUND($D580,0),1),100)),IF($C580="T",IF($M580=3,INDEX(Baseline!$B$3:$B$122,MATCH(MIN(MAX(ROUND(($D580)/5,0)*5,5),600),Baseline!$A$3:$A$122,0))-Inputs!$B$9,INDEX(Course!$N$2:$N$19,MATCH($B580,Course!$A$2:$A$19,0))),INDEX(Baseline!$B$3:$E$122,MATCH(MIN(MAX(ROUND(($D580)/5,0)*5,5),600),Baseline!$A$3:$A$122,0),MATCH($C580,Baseline!$B$2:$E$2,0))))))</f>
        <v/>
      </c>
      <c r="O580" s="17" t="str">
        <f aca="false">IF($C580="","",IF($E580="H",0,IF($E580="G",INDEX(Baseline!$I$3:$I$102,MIN(MAX(ROUND($F580,0),1),100)),IF($E580="T",IF($M580=3,INDEX(Baseline!$B$3:$B$122,MATCH(MIN(MAX(ROUND(($F580)/5,0)*5,5),600),Baseline!$A$3:$A$122,0))-Inputs!$B$9,INDEX(Course!$N$2:$N$19,MATCH($B580,Course!$A$2:$A$19,0))),INDEX(Baseline!$B$3:$E$122,MATCH(MIN(MAX(ROUND(($F580)/5,0)*5,5),600),Baseline!$A$3:$A$122,0),MATCH($E580,Baseline!$B$2:$E$2,0))))))</f>
        <v/>
      </c>
      <c r="P580" s="17" t="str">
        <f aca="false">IF($B580="","",INDEX(Course!$N$2:$N$19,MATCH($B580,Course!$A$2:$A$19,0)))</f>
        <v/>
      </c>
      <c r="Q580" s="17" t="str">
        <f aca="false">IF($B580="","",INDEX(Course!$P$2:$P$19,MATCH($B580,Course!$A$2:$A$19,0)))</f>
        <v/>
      </c>
      <c r="R580" s="17" t="str">
        <f aca="false">IF($C580="","",IF(OR($C580="G",$C580="H"),0,IF($C580="T",1,MIN(1,MAX(0,($N580-Inputs!$B$8)/MAX($P580-Inputs!$B$8,0.01))))))</f>
        <v/>
      </c>
      <c r="S580" s="17" t="str">
        <f aca="false">IF($C580="","",IF(OR($E580="G",$E580="H"),0,IF($E580="T",1,MIN(1,MAX(0,($O580-Inputs!$B$8)/MAX($P580-Inputs!$B$8,0.01))))))</f>
        <v/>
      </c>
    </row>
    <row r="581" customFormat="false" ht="15" hidden="false" customHeight="false" outlineLevel="0" collapsed="false">
      <c r="I581" s="7" t="str">
        <f aca="false">IF($C581="","",IF($C581="G","PUTT",IF(AND($C581="T",$M581&gt;3),"OTT",IF($D581&lt;=30,"ARG","APP"))))</f>
        <v/>
      </c>
      <c r="J581" s="17" t="str">
        <f aca="false">IF($C581="","",$N581+$Q581*$R581)</f>
        <v/>
      </c>
      <c r="K581" s="17" t="str">
        <f aca="false">IF($C581="","",$O581+$Q581*$S581)</f>
        <v/>
      </c>
      <c r="L581" s="17" t="str">
        <f aca="false">IF($C581="","",$J581-$K581-1-N($G581))</f>
        <v/>
      </c>
      <c r="M581" s="7" t="str">
        <f aca="false">IF($B581="","",INDEX(Course!$B$2:$B$19,MATCH($B581,Course!$A$2:$A$19,0)))</f>
        <v/>
      </c>
      <c r="N581" s="17" t="str">
        <f aca="false">IF($C581="","",IF($C581="H",0,IF($C581="G",INDEX(Baseline!$I$3:$I$102,MIN(MAX(ROUND($D581,0),1),100)),IF($C581="T",IF($M581=3,INDEX(Baseline!$B$3:$B$122,MATCH(MIN(MAX(ROUND(($D581)/5,0)*5,5),600),Baseline!$A$3:$A$122,0))-Inputs!$B$9,INDEX(Course!$N$2:$N$19,MATCH($B581,Course!$A$2:$A$19,0))),INDEX(Baseline!$B$3:$E$122,MATCH(MIN(MAX(ROUND(($D581)/5,0)*5,5),600),Baseline!$A$3:$A$122,0),MATCH($C581,Baseline!$B$2:$E$2,0))))))</f>
        <v/>
      </c>
      <c r="O581" s="17" t="str">
        <f aca="false">IF($C581="","",IF($E581="H",0,IF($E581="G",INDEX(Baseline!$I$3:$I$102,MIN(MAX(ROUND($F581,0),1),100)),IF($E581="T",IF($M581=3,INDEX(Baseline!$B$3:$B$122,MATCH(MIN(MAX(ROUND(($F581)/5,0)*5,5),600),Baseline!$A$3:$A$122,0))-Inputs!$B$9,INDEX(Course!$N$2:$N$19,MATCH($B581,Course!$A$2:$A$19,0))),INDEX(Baseline!$B$3:$E$122,MATCH(MIN(MAX(ROUND(($F581)/5,0)*5,5),600),Baseline!$A$3:$A$122,0),MATCH($E581,Baseline!$B$2:$E$2,0))))))</f>
        <v/>
      </c>
      <c r="P581" s="17" t="str">
        <f aca="false">IF($B581="","",INDEX(Course!$N$2:$N$19,MATCH($B581,Course!$A$2:$A$19,0)))</f>
        <v/>
      </c>
      <c r="Q581" s="17" t="str">
        <f aca="false">IF($B581="","",INDEX(Course!$P$2:$P$19,MATCH($B581,Course!$A$2:$A$19,0)))</f>
        <v/>
      </c>
      <c r="R581" s="17" t="str">
        <f aca="false">IF($C581="","",IF(OR($C581="G",$C581="H"),0,IF($C581="T",1,MIN(1,MAX(0,($N581-Inputs!$B$8)/MAX($P581-Inputs!$B$8,0.01))))))</f>
        <v/>
      </c>
      <c r="S581" s="17" t="str">
        <f aca="false">IF($C581="","",IF(OR($E581="G",$E581="H"),0,IF($E581="T",1,MIN(1,MAX(0,($O581-Inputs!$B$8)/MAX($P581-Inputs!$B$8,0.01))))))</f>
        <v/>
      </c>
    </row>
    <row r="582" customFormat="false" ht="15" hidden="false" customHeight="false" outlineLevel="0" collapsed="false">
      <c r="I582" s="7" t="str">
        <f aca="false">IF($C582="","",IF($C582="G","PUTT",IF(AND($C582="T",$M582&gt;3),"OTT",IF($D582&lt;=30,"ARG","APP"))))</f>
        <v/>
      </c>
      <c r="J582" s="17" t="str">
        <f aca="false">IF($C582="","",$N582+$Q582*$R582)</f>
        <v/>
      </c>
      <c r="K582" s="17" t="str">
        <f aca="false">IF($C582="","",$O582+$Q582*$S582)</f>
        <v/>
      </c>
      <c r="L582" s="17" t="str">
        <f aca="false">IF($C582="","",$J582-$K582-1-N($G582))</f>
        <v/>
      </c>
      <c r="M582" s="7" t="str">
        <f aca="false">IF($B582="","",INDEX(Course!$B$2:$B$19,MATCH($B582,Course!$A$2:$A$19,0)))</f>
        <v/>
      </c>
      <c r="N582" s="17" t="str">
        <f aca="false">IF($C582="","",IF($C582="H",0,IF($C582="G",INDEX(Baseline!$I$3:$I$102,MIN(MAX(ROUND($D582,0),1),100)),IF($C582="T",IF($M582=3,INDEX(Baseline!$B$3:$B$122,MATCH(MIN(MAX(ROUND(($D582)/5,0)*5,5),600),Baseline!$A$3:$A$122,0))-Inputs!$B$9,INDEX(Course!$N$2:$N$19,MATCH($B582,Course!$A$2:$A$19,0))),INDEX(Baseline!$B$3:$E$122,MATCH(MIN(MAX(ROUND(($D582)/5,0)*5,5),600),Baseline!$A$3:$A$122,0),MATCH($C582,Baseline!$B$2:$E$2,0))))))</f>
        <v/>
      </c>
      <c r="O582" s="17" t="str">
        <f aca="false">IF($C582="","",IF($E582="H",0,IF($E582="G",INDEX(Baseline!$I$3:$I$102,MIN(MAX(ROUND($F582,0),1),100)),IF($E582="T",IF($M582=3,INDEX(Baseline!$B$3:$B$122,MATCH(MIN(MAX(ROUND(($F582)/5,0)*5,5),600),Baseline!$A$3:$A$122,0))-Inputs!$B$9,INDEX(Course!$N$2:$N$19,MATCH($B582,Course!$A$2:$A$19,0))),INDEX(Baseline!$B$3:$E$122,MATCH(MIN(MAX(ROUND(($F582)/5,0)*5,5),600),Baseline!$A$3:$A$122,0),MATCH($E582,Baseline!$B$2:$E$2,0))))))</f>
        <v/>
      </c>
      <c r="P582" s="17" t="str">
        <f aca="false">IF($B582="","",INDEX(Course!$N$2:$N$19,MATCH($B582,Course!$A$2:$A$19,0)))</f>
        <v/>
      </c>
      <c r="Q582" s="17" t="str">
        <f aca="false">IF($B582="","",INDEX(Course!$P$2:$P$19,MATCH($B582,Course!$A$2:$A$19,0)))</f>
        <v/>
      </c>
      <c r="R582" s="17" t="str">
        <f aca="false">IF($C582="","",IF(OR($C582="G",$C582="H"),0,IF($C582="T",1,MIN(1,MAX(0,($N582-Inputs!$B$8)/MAX($P582-Inputs!$B$8,0.01))))))</f>
        <v/>
      </c>
      <c r="S582" s="17" t="str">
        <f aca="false">IF($C582="","",IF(OR($E582="G",$E582="H"),0,IF($E582="T",1,MIN(1,MAX(0,($O582-Inputs!$B$8)/MAX($P582-Inputs!$B$8,0.01))))))</f>
        <v/>
      </c>
    </row>
    <row r="583" customFormat="false" ht="15" hidden="false" customHeight="false" outlineLevel="0" collapsed="false">
      <c r="I583" s="7" t="str">
        <f aca="false">IF($C583="","",IF($C583="G","PUTT",IF(AND($C583="T",$M583&gt;3),"OTT",IF($D583&lt;=30,"ARG","APP"))))</f>
        <v/>
      </c>
      <c r="J583" s="17" t="str">
        <f aca="false">IF($C583="","",$N583+$Q583*$R583)</f>
        <v/>
      </c>
      <c r="K583" s="17" t="str">
        <f aca="false">IF($C583="","",$O583+$Q583*$S583)</f>
        <v/>
      </c>
      <c r="L583" s="17" t="str">
        <f aca="false">IF($C583="","",$J583-$K583-1-N($G583))</f>
        <v/>
      </c>
      <c r="M583" s="7" t="str">
        <f aca="false">IF($B583="","",INDEX(Course!$B$2:$B$19,MATCH($B583,Course!$A$2:$A$19,0)))</f>
        <v/>
      </c>
      <c r="N583" s="17" t="str">
        <f aca="false">IF($C583="","",IF($C583="H",0,IF($C583="G",INDEX(Baseline!$I$3:$I$102,MIN(MAX(ROUND($D583,0),1),100)),IF($C583="T",IF($M583=3,INDEX(Baseline!$B$3:$B$122,MATCH(MIN(MAX(ROUND(($D583)/5,0)*5,5),600),Baseline!$A$3:$A$122,0))-Inputs!$B$9,INDEX(Course!$N$2:$N$19,MATCH($B583,Course!$A$2:$A$19,0))),INDEX(Baseline!$B$3:$E$122,MATCH(MIN(MAX(ROUND(($D583)/5,0)*5,5),600),Baseline!$A$3:$A$122,0),MATCH($C583,Baseline!$B$2:$E$2,0))))))</f>
        <v/>
      </c>
      <c r="O583" s="17" t="str">
        <f aca="false">IF($C583="","",IF($E583="H",0,IF($E583="G",INDEX(Baseline!$I$3:$I$102,MIN(MAX(ROUND($F583,0),1),100)),IF($E583="T",IF($M583=3,INDEX(Baseline!$B$3:$B$122,MATCH(MIN(MAX(ROUND(($F583)/5,0)*5,5),600),Baseline!$A$3:$A$122,0))-Inputs!$B$9,INDEX(Course!$N$2:$N$19,MATCH($B583,Course!$A$2:$A$19,0))),INDEX(Baseline!$B$3:$E$122,MATCH(MIN(MAX(ROUND(($F583)/5,0)*5,5),600),Baseline!$A$3:$A$122,0),MATCH($E583,Baseline!$B$2:$E$2,0))))))</f>
        <v/>
      </c>
      <c r="P583" s="17" t="str">
        <f aca="false">IF($B583="","",INDEX(Course!$N$2:$N$19,MATCH($B583,Course!$A$2:$A$19,0)))</f>
        <v/>
      </c>
      <c r="Q583" s="17" t="str">
        <f aca="false">IF($B583="","",INDEX(Course!$P$2:$P$19,MATCH($B583,Course!$A$2:$A$19,0)))</f>
        <v/>
      </c>
      <c r="R583" s="17" t="str">
        <f aca="false">IF($C583="","",IF(OR($C583="G",$C583="H"),0,IF($C583="T",1,MIN(1,MAX(0,($N583-Inputs!$B$8)/MAX($P583-Inputs!$B$8,0.01))))))</f>
        <v/>
      </c>
      <c r="S583" s="17" t="str">
        <f aca="false">IF($C583="","",IF(OR($E583="G",$E583="H"),0,IF($E583="T",1,MIN(1,MAX(0,($O583-Inputs!$B$8)/MAX($P583-Inputs!$B$8,0.01))))))</f>
        <v/>
      </c>
    </row>
    <row r="584" customFormat="false" ht="15" hidden="false" customHeight="false" outlineLevel="0" collapsed="false">
      <c r="I584" s="7" t="str">
        <f aca="false">IF($C584="","",IF($C584="G","PUTT",IF(AND($C584="T",$M584&gt;3),"OTT",IF($D584&lt;=30,"ARG","APP"))))</f>
        <v/>
      </c>
      <c r="J584" s="17" t="str">
        <f aca="false">IF($C584="","",$N584+$Q584*$R584)</f>
        <v/>
      </c>
      <c r="K584" s="17" t="str">
        <f aca="false">IF($C584="","",$O584+$Q584*$S584)</f>
        <v/>
      </c>
      <c r="L584" s="17" t="str">
        <f aca="false">IF($C584="","",$J584-$K584-1-N($G584))</f>
        <v/>
      </c>
      <c r="M584" s="7" t="str">
        <f aca="false">IF($B584="","",INDEX(Course!$B$2:$B$19,MATCH($B584,Course!$A$2:$A$19,0)))</f>
        <v/>
      </c>
      <c r="N584" s="17" t="str">
        <f aca="false">IF($C584="","",IF($C584="H",0,IF($C584="G",INDEX(Baseline!$I$3:$I$102,MIN(MAX(ROUND($D584,0),1),100)),IF($C584="T",IF($M584=3,INDEX(Baseline!$B$3:$B$122,MATCH(MIN(MAX(ROUND(($D584)/5,0)*5,5),600),Baseline!$A$3:$A$122,0))-Inputs!$B$9,INDEX(Course!$N$2:$N$19,MATCH($B584,Course!$A$2:$A$19,0))),INDEX(Baseline!$B$3:$E$122,MATCH(MIN(MAX(ROUND(($D584)/5,0)*5,5),600),Baseline!$A$3:$A$122,0),MATCH($C584,Baseline!$B$2:$E$2,0))))))</f>
        <v/>
      </c>
      <c r="O584" s="17" t="str">
        <f aca="false">IF($C584="","",IF($E584="H",0,IF($E584="G",INDEX(Baseline!$I$3:$I$102,MIN(MAX(ROUND($F584,0),1),100)),IF($E584="T",IF($M584=3,INDEX(Baseline!$B$3:$B$122,MATCH(MIN(MAX(ROUND(($F584)/5,0)*5,5),600),Baseline!$A$3:$A$122,0))-Inputs!$B$9,INDEX(Course!$N$2:$N$19,MATCH($B584,Course!$A$2:$A$19,0))),INDEX(Baseline!$B$3:$E$122,MATCH(MIN(MAX(ROUND(($F584)/5,0)*5,5),600),Baseline!$A$3:$A$122,0),MATCH($E584,Baseline!$B$2:$E$2,0))))))</f>
        <v/>
      </c>
      <c r="P584" s="17" t="str">
        <f aca="false">IF($B584="","",INDEX(Course!$N$2:$N$19,MATCH($B584,Course!$A$2:$A$19,0)))</f>
        <v/>
      </c>
      <c r="Q584" s="17" t="str">
        <f aca="false">IF($B584="","",INDEX(Course!$P$2:$P$19,MATCH($B584,Course!$A$2:$A$19,0)))</f>
        <v/>
      </c>
      <c r="R584" s="17" t="str">
        <f aca="false">IF($C584="","",IF(OR($C584="G",$C584="H"),0,IF($C584="T",1,MIN(1,MAX(0,($N584-Inputs!$B$8)/MAX($P584-Inputs!$B$8,0.01))))))</f>
        <v/>
      </c>
      <c r="S584" s="17" t="str">
        <f aca="false">IF($C584="","",IF(OR($E584="G",$E584="H"),0,IF($E584="T",1,MIN(1,MAX(0,($O584-Inputs!$B$8)/MAX($P584-Inputs!$B$8,0.01))))))</f>
        <v/>
      </c>
    </row>
    <row r="585" customFormat="false" ht="15" hidden="false" customHeight="false" outlineLevel="0" collapsed="false">
      <c r="I585" s="7" t="str">
        <f aca="false">IF($C585="","",IF($C585="G","PUTT",IF(AND($C585="T",$M585&gt;3),"OTT",IF($D585&lt;=30,"ARG","APP"))))</f>
        <v/>
      </c>
      <c r="J585" s="17" t="str">
        <f aca="false">IF($C585="","",$N585+$Q585*$R585)</f>
        <v/>
      </c>
      <c r="K585" s="17" t="str">
        <f aca="false">IF($C585="","",$O585+$Q585*$S585)</f>
        <v/>
      </c>
      <c r="L585" s="17" t="str">
        <f aca="false">IF($C585="","",$J585-$K585-1-N($G585))</f>
        <v/>
      </c>
      <c r="M585" s="7" t="str">
        <f aca="false">IF($B585="","",INDEX(Course!$B$2:$B$19,MATCH($B585,Course!$A$2:$A$19,0)))</f>
        <v/>
      </c>
      <c r="N585" s="17" t="str">
        <f aca="false">IF($C585="","",IF($C585="H",0,IF($C585="G",INDEX(Baseline!$I$3:$I$102,MIN(MAX(ROUND($D585,0),1),100)),IF($C585="T",IF($M585=3,INDEX(Baseline!$B$3:$B$122,MATCH(MIN(MAX(ROUND(($D585)/5,0)*5,5),600),Baseline!$A$3:$A$122,0))-Inputs!$B$9,INDEX(Course!$N$2:$N$19,MATCH($B585,Course!$A$2:$A$19,0))),INDEX(Baseline!$B$3:$E$122,MATCH(MIN(MAX(ROUND(($D585)/5,0)*5,5),600),Baseline!$A$3:$A$122,0),MATCH($C585,Baseline!$B$2:$E$2,0))))))</f>
        <v/>
      </c>
      <c r="O585" s="17" t="str">
        <f aca="false">IF($C585="","",IF($E585="H",0,IF($E585="G",INDEX(Baseline!$I$3:$I$102,MIN(MAX(ROUND($F585,0),1),100)),IF($E585="T",IF($M585=3,INDEX(Baseline!$B$3:$B$122,MATCH(MIN(MAX(ROUND(($F585)/5,0)*5,5),600),Baseline!$A$3:$A$122,0))-Inputs!$B$9,INDEX(Course!$N$2:$N$19,MATCH($B585,Course!$A$2:$A$19,0))),INDEX(Baseline!$B$3:$E$122,MATCH(MIN(MAX(ROUND(($F585)/5,0)*5,5),600),Baseline!$A$3:$A$122,0),MATCH($E585,Baseline!$B$2:$E$2,0))))))</f>
        <v/>
      </c>
      <c r="P585" s="17" t="str">
        <f aca="false">IF($B585="","",INDEX(Course!$N$2:$N$19,MATCH($B585,Course!$A$2:$A$19,0)))</f>
        <v/>
      </c>
      <c r="Q585" s="17" t="str">
        <f aca="false">IF($B585="","",INDEX(Course!$P$2:$P$19,MATCH($B585,Course!$A$2:$A$19,0)))</f>
        <v/>
      </c>
      <c r="R585" s="17" t="str">
        <f aca="false">IF($C585="","",IF(OR($C585="G",$C585="H"),0,IF($C585="T",1,MIN(1,MAX(0,($N585-Inputs!$B$8)/MAX($P585-Inputs!$B$8,0.01))))))</f>
        <v/>
      </c>
      <c r="S585" s="17" t="str">
        <f aca="false">IF($C585="","",IF(OR($E585="G",$E585="H"),0,IF($E585="T",1,MIN(1,MAX(0,($O585-Inputs!$B$8)/MAX($P585-Inputs!$B$8,0.01))))))</f>
        <v/>
      </c>
    </row>
    <row r="586" customFormat="false" ht="15" hidden="false" customHeight="false" outlineLevel="0" collapsed="false">
      <c r="I586" s="7" t="str">
        <f aca="false">IF($C586="","",IF($C586="G","PUTT",IF(AND($C586="T",$M586&gt;3),"OTT",IF($D586&lt;=30,"ARG","APP"))))</f>
        <v/>
      </c>
      <c r="J586" s="17" t="str">
        <f aca="false">IF($C586="","",$N586+$Q586*$R586)</f>
        <v/>
      </c>
      <c r="K586" s="17" t="str">
        <f aca="false">IF($C586="","",$O586+$Q586*$S586)</f>
        <v/>
      </c>
      <c r="L586" s="17" t="str">
        <f aca="false">IF($C586="","",$J586-$K586-1-N($G586))</f>
        <v/>
      </c>
      <c r="M586" s="7" t="str">
        <f aca="false">IF($B586="","",INDEX(Course!$B$2:$B$19,MATCH($B586,Course!$A$2:$A$19,0)))</f>
        <v/>
      </c>
      <c r="N586" s="17" t="str">
        <f aca="false">IF($C586="","",IF($C586="H",0,IF($C586="G",INDEX(Baseline!$I$3:$I$102,MIN(MAX(ROUND($D586,0),1),100)),IF($C586="T",IF($M586=3,INDEX(Baseline!$B$3:$B$122,MATCH(MIN(MAX(ROUND(($D586)/5,0)*5,5),600),Baseline!$A$3:$A$122,0))-Inputs!$B$9,INDEX(Course!$N$2:$N$19,MATCH($B586,Course!$A$2:$A$19,0))),INDEX(Baseline!$B$3:$E$122,MATCH(MIN(MAX(ROUND(($D586)/5,0)*5,5),600),Baseline!$A$3:$A$122,0),MATCH($C586,Baseline!$B$2:$E$2,0))))))</f>
        <v/>
      </c>
      <c r="O586" s="17" t="str">
        <f aca="false">IF($C586="","",IF($E586="H",0,IF($E586="G",INDEX(Baseline!$I$3:$I$102,MIN(MAX(ROUND($F586,0),1),100)),IF($E586="T",IF($M586=3,INDEX(Baseline!$B$3:$B$122,MATCH(MIN(MAX(ROUND(($F586)/5,0)*5,5),600),Baseline!$A$3:$A$122,0))-Inputs!$B$9,INDEX(Course!$N$2:$N$19,MATCH($B586,Course!$A$2:$A$19,0))),INDEX(Baseline!$B$3:$E$122,MATCH(MIN(MAX(ROUND(($F586)/5,0)*5,5),600),Baseline!$A$3:$A$122,0),MATCH($E586,Baseline!$B$2:$E$2,0))))))</f>
        <v/>
      </c>
      <c r="P586" s="17" t="str">
        <f aca="false">IF($B586="","",INDEX(Course!$N$2:$N$19,MATCH($B586,Course!$A$2:$A$19,0)))</f>
        <v/>
      </c>
      <c r="Q586" s="17" t="str">
        <f aca="false">IF($B586="","",INDEX(Course!$P$2:$P$19,MATCH($B586,Course!$A$2:$A$19,0)))</f>
        <v/>
      </c>
      <c r="R586" s="17" t="str">
        <f aca="false">IF($C586="","",IF(OR($C586="G",$C586="H"),0,IF($C586="T",1,MIN(1,MAX(0,($N586-Inputs!$B$8)/MAX($P586-Inputs!$B$8,0.01))))))</f>
        <v/>
      </c>
      <c r="S586" s="17" t="str">
        <f aca="false">IF($C586="","",IF(OR($E586="G",$E586="H"),0,IF($E586="T",1,MIN(1,MAX(0,($O586-Inputs!$B$8)/MAX($P586-Inputs!$B$8,0.01))))))</f>
        <v/>
      </c>
    </row>
    <row r="587" customFormat="false" ht="15" hidden="false" customHeight="false" outlineLevel="0" collapsed="false">
      <c r="I587" s="7" t="str">
        <f aca="false">IF($C587="","",IF($C587="G","PUTT",IF(AND($C587="T",$M587&gt;3),"OTT",IF($D587&lt;=30,"ARG","APP"))))</f>
        <v/>
      </c>
      <c r="J587" s="17" t="str">
        <f aca="false">IF($C587="","",$N587+$Q587*$R587)</f>
        <v/>
      </c>
      <c r="K587" s="17" t="str">
        <f aca="false">IF($C587="","",$O587+$Q587*$S587)</f>
        <v/>
      </c>
      <c r="L587" s="17" t="str">
        <f aca="false">IF($C587="","",$J587-$K587-1-N($G587))</f>
        <v/>
      </c>
      <c r="M587" s="7" t="str">
        <f aca="false">IF($B587="","",INDEX(Course!$B$2:$B$19,MATCH($B587,Course!$A$2:$A$19,0)))</f>
        <v/>
      </c>
      <c r="N587" s="17" t="str">
        <f aca="false">IF($C587="","",IF($C587="H",0,IF($C587="G",INDEX(Baseline!$I$3:$I$102,MIN(MAX(ROUND($D587,0),1),100)),IF($C587="T",IF($M587=3,INDEX(Baseline!$B$3:$B$122,MATCH(MIN(MAX(ROUND(($D587)/5,0)*5,5),600),Baseline!$A$3:$A$122,0))-Inputs!$B$9,INDEX(Course!$N$2:$N$19,MATCH($B587,Course!$A$2:$A$19,0))),INDEX(Baseline!$B$3:$E$122,MATCH(MIN(MAX(ROUND(($D587)/5,0)*5,5),600),Baseline!$A$3:$A$122,0),MATCH($C587,Baseline!$B$2:$E$2,0))))))</f>
        <v/>
      </c>
      <c r="O587" s="17" t="str">
        <f aca="false">IF($C587="","",IF($E587="H",0,IF($E587="G",INDEX(Baseline!$I$3:$I$102,MIN(MAX(ROUND($F587,0),1),100)),IF($E587="T",IF($M587=3,INDEX(Baseline!$B$3:$B$122,MATCH(MIN(MAX(ROUND(($F587)/5,0)*5,5),600),Baseline!$A$3:$A$122,0))-Inputs!$B$9,INDEX(Course!$N$2:$N$19,MATCH($B587,Course!$A$2:$A$19,0))),INDEX(Baseline!$B$3:$E$122,MATCH(MIN(MAX(ROUND(($F587)/5,0)*5,5),600),Baseline!$A$3:$A$122,0),MATCH($E587,Baseline!$B$2:$E$2,0))))))</f>
        <v/>
      </c>
      <c r="P587" s="17" t="str">
        <f aca="false">IF($B587="","",INDEX(Course!$N$2:$N$19,MATCH($B587,Course!$A$2:$A$19,0)))</f>
        <v/>
      </c>
      <c r="Q587" s="17" t="str">
        <f aca="false">IF($B587="","",INDEX(Course!$P$2:$P$19,MATCH($B587,Course!$A$2:$A$19,0)))</f>
        <v/>
      </c>
      <c r="R587" s="17" t="str">
        <f aca="false">IF($C587="","",IF(OR($C587="G",$C587="H"),0,IF($C587="T",1,MIN(1,MAX(0,($N587-Inputs!$B$8)/MAX($P587-Inputs!$B$8,0.01))))))</f>
        <v/>
      </c>
      <c r="S587" s="17" t="str">
        <f aca="false">IF($C587="","",IF(OR($E587="G",$E587="H"),0,IF($E587="T",1,MIN(1,MAX(0,($O587-Inputs!$B$8)/MAX($P587-Inputs!$B$8,0.01))))))</f>
        <v/>
      </c>
    </row>
    <row r="588" customFormat="false" ht="15" hidden="false" customHeight="false" outlineLevel="0" collapsed="false">
      <c r="I588" s="7" t="str">
        <f aca="false">IF($C588="","",IF($C588="G","PUTT",IF(AND($C588="T",$M588&gt;3),"OTT",IF($D588&lt;=30,"ARG","APP"))))</f>
        <v/>
      </c>
      <c r="J588" s="17" t="str">
        <f aca="false">IF($C588="","",$N588+$Q588*$R588)</f>
        <v/>
      </c>
      <c r="K588" s="17" t="str">
        <f aca="false">IF($C588="","",$O588+$Q588*$S588)</f>
        <v/>
      </c>
      <c r="L588" s="17" t="str">
        <f aca="false">IF($C588="","",$J588-$K588-1-N($G588))</f>
        <v/>
      </c>
      <c r="M588" s="7" t="str">
        <f aca="false">IF($B588="","",INDEX(Course!$B$2:$B$19,MATCH($B588,Course!$A$2:$A$19,0)))</f>
        <v/>
      </c>
      <c r="N588" s="17" t="str">
        <f aca="false">IF($C588="","",IF($C588="H",0,IF($C588="G",INDEX(Baseline!$I$3:$I$102,MIN(MAX(ROUND($D588,0),1),100)),IF($C588="T",IF($M588=3,INDEX(Baseline!$B$3:$B$122,MATCH(MIN(MAX(ROUND(($D588)/5,0)*5,5),600),Baseline!$A$3:$A$122,0))-Inputs!$B$9,INDEX(Course!$N$2:$N$19,MATCH($B588,Course!$A$2:$A$19,0))),INDEX(Baseline!$B$3:$E$122,MATCH(MIN(MAX(ROUND(($D588)/5,0)*5,5),600),Baseline!$A$3:$A$122,0),MATCH($C588,Baseline!$B$2:$E$2,0))))))</f>
        <v/>
      </c>
      <c r="O588" s="17" t="str">
        <f aca="false">IF($C588="","",IF($E588="H",0,IF($E588="G",INDEX(Baseline!$I$3:$I$102,MIN(MAX(ROUND($F588,0),1),100)),IF($E588="T",IF($M588=3,INDEX(Baseline!$B$3:$B$122,MATCH(MIN(MAX(ROUND(($F588)/5,0)*5,5),600),Baseline!$A$3:$A$122,0))-Inputs!$B$9,INDEX(Course!$N$2:$N$19,MATCH($B588,Course!$A$2:$A$19,0))),INDEX(Baseline!$B$3:$E$122,MATCH(MIN(MAX(ROUND(($F588)/5,0)*5,5),600),Baseline!$A$3:$A$122,0),MATCH($E588,Baseline!$B$2:$E$2,0))))))</f>
        <v/>
      </c>
      <c r="P588" s="17" t="str">
        <f aca="false">IF($B588="","",INDEX(Course!$N$2:$N$19,MATCH($B588,Course!$A$2:$A$19,0)))</f>
        <v/>
      </c>
      <c r="Q588" s="17" t="str">
        <f aca="false">IF($B588="","",INDEX(Course!$P$2:$P$19,MATCH($B588,Course!$A$2:$A$19,0)))</f>
        <v/>
      </c>
      <c r="R588" s="17" t="str">
        <f aca="false">IF($C588="","",IF(OR($C588="G",$C588="H"),0,IF($C588="T",1,MIN(1,MAX(0,($N588-Inputs!$B$8)/MAX($P588-Inputs!$B$8,0.01))))))</f>
        <v/>
      </c>
      <c r="S588" s="17" t="str">
        <f aca="false">IF($C588="","",IF(OR($E588="G",$E588="H"),0,IF($E588="T",1,MIN(1,MAX(0,($O588-Inputs!$B$8)/MAX($P588-Inputs!$B$8,0.01))))))</f>
        <v/>
      </c>
    </row>
    <row r="589" customFormat="false" ht="15" hidden="false" customHeight="false" outlineLevel="0" collapsed="false">
      <c r="I589" s="7" t="str">
        <f aca="false">IF($C589="","",IF($C589="G","PUTT",IF(AND($C589="T",$M589&gt;3),"OTT",IF($D589&lt;=30,"ARG","APP"))))</f>
        <v/>
      </c>
      <c r="J589" s="17" t="str">
        <f aca="false">IF($C589="","",$N589+$Q589*$R589)</f>
        <v/>
      </c>
      <c r="K589" s="17" t="str">
        <f aca="false">IF($C589="","",$O589+$Q589*$S589)</f>
        <v/>
      </c>
      <c r="L589" s="17" t="str">
        <f aca="false">IF($C589="","",$J589-$K589-1-N($G589))</f>
        <v/>
      </c>
      <c r="M589" s="7" t="str">
        <f aca="false">IF($B589="","",INDEX(Course!$B$2:$B$19,MATCH($B589,Course!$A$2:$A$19,0)))</f>
        <v/>
      </c>
      <c r="N589" s="17" t="str">
        <f aca="false">IF($C589="","",IF($C589="H",0,IF($C589="G",INDEX(Baseline!$I$3:$I$102,MIN(MAX(ROUND($D589,0),1),100)),IF($C589="T",IF($M589=3,INDEX(Baseline!$B$3:$B$122,MATCH(MIN(MAX(ROUND(($D589)/5,0)*5,5),600),Baseline!$A$3:$A$122,0))-Inputs!$B$9,INDEX(Course!$N$2:$N$19,MATCH($B589,Course!$A$2:$A$19,0))),INDEX(Baseline!$B$3:$E$122,MATCH(MIN(MAX(ROUND(($D589)/5,0)*5,5),600),Baseline!$A$3:$A$122,0),MATCH($C589,Baseline!$B$2:$E$2,0))))))</f>
        <v/>
      </c>
      <c r="O589" s="17" t="str">
        <f aca="false">IF($C589="","",IF($E589="H",0,IF($E589="G",INDEX(Baseline!$I$3:$I$102,MIN(MAX(ROUND($F589,0),1),100)),IF($E589="T",IF($M589=3,INDEX(Baseline!$B$3:$B$122,MATCH(MIN(MAX(ROUND(($F589)/5,0)*5,5),600),Baseline!$A$3:$A$122,0))-Inputs!$B$9,INDEX(Course!$N$2:$N$19,MATCH($B589,Course!$A$2:$A$19,0))),INDEX(Baseline!$B$3:$E$122,MATCH(MIN(MAX(ROUND(($F589)/5,0)*5,5),600),Baseline!$A$3:$A$122,0),MATCH($E589,Baseline!$B$2:$E$2,0))))))</f>
        <v/>
      </c>
      <c r="P589" s="17" t="str">
        <f aca="false">IF($B589="","",INDEX(Course!$N$2:$N$19,MATCH($B589,Course!$A$2:$A$19,0)))</f>
        <v/>
      </c>
      <c r="Q589" s="17" t="str">
        <f aca="false">IF($B589="","",INDEX(Course!$P$2:$P$19,MATCH($B589,Course!$A$2:$A$19,0)))</f>
        <v/>
      </c>
      <c r="R589" s="17" t="str">
        <f aca="false">IF($C589="","",IF(OR($C589="G",$C589="H"),0,IF($C589="T",1,MIN(1,MAX(0,($N589-Inputs!$B$8)/MAX($P589-Inputs!$B$8,0.01))))))</f>
        <v/>
      </c>
      <c r="S589" s="17" t="str">
        <f aca="false">IF($C589="","",IF(OR($E589="G",$E589="H"),0,IF($E589="T",1,MIN(1,MAX(0,($O589-Inputs!$B$8)/MAX($P589-Inputs!$B$8,0.01))))))</f>
        <v/>
      </c>
    </row>
    <row r="590" customFormat="false" ht="15" hidden="false" customHeight="false" outlineLevel="0" collapsed="false">
      <c r="I590" s="7" t="str">
        <f aca="false">IF($C590="","",IF($C590="G","PUTT",IF(AND($C590="T",$M590&gt;3),"OTT",IF($D590&lt;=30,"ARG","APP"))))</f>
        <v/>
      </c>
      <c r="J590" s="17" t="str">
        <f aca="false">IF($C590="","",$N590+$Q590*$R590)</f>
        <v/>
      </c>
      <c r="K590" s="17" t="str">
        <f aca="false">IF($C590="","",$O590+$Q590*$S590)</f>
        <v/>
      </c>
      <c r="L590" s="17" t="str">
        <f aca="false">IF($C590="","",$J590-$K590-1-N($G590))</f>
        <v/>
      </c>
      <c r="M590" s="7" t="str">
        <f aca="false">IF($B590="","",INDEX(Course!$B$2:$B$19,MATCH($B590,Course!$A$2:$A$19,0)))</f>
        <v/>
      </c>
      <c r="N590" s="17" t="str">
        <f aca="false">IF($C590="","",IF($C590="H",0,IF($C590="G",INDEX(Baseline!$I$3:$I$102,MIN(MAX(ROUND($D590,0),1),100)),IF($C590="T",IF($M590=3,INDEX(Baseline!$B$3:$B$122,MATCH(MIN(MAX(ROUND(($D590)/5,0)*5,5),600),Baseline!$A$3:$A$122,0))-Inputs!$B$9,INDEX(Course!$N$2:$N$19,MATCH($B590,Course!$A$2:$A$19,0))),INDEX(Baseline!$B$3:$E$122,MATCH(MIN(MAX(ROUND(($D590)/5,0)*5,5),600),Baseline!$A$3:$A$122,0),MATCH($C590,Baseline!$B$2:$E$2,0))))))</f>
        <v/>
      </c>
      <c r="O590" s="17" t="str">
        <f aca="false">IF($C590="","",IF($E590="H",0,IF($E590="G",INDEX(Baseline!$I$3:$I$102,MIN(MAX(ROUND($F590,0),1),100)),IF($E590="T",IF($M590=3,INDEX(Baseline!$B$3:$B$122,MATCH(MIN(MAX(ROUND(($F590)/5,0)*5,5),600),Baseline!$A$3:$A$122,0))-Inputs!$B$9,INDEX(Course!$N$2:$N$19,MATCH($B590,Course!$A$2:$A$19,0))),INDEX(Baseline!$B$3:$E$122,MATCH(MIN(MAX(ROUND(($F590)/5,0)*5,5),600),Baseline!$A$3:$A$122,0),MATCH($E590,Baseline!$B$2:$E$2,0))))))</f>
        <v/>
      </c>
      <c r="P590" s="17" t="str">
        <f aca="false">IF($B590="","",INDEX(Course!$N$2:$N$19,MATCH($B590,Course!$A$2:$A$19,0)))</f>
        <v/>
      </c>
      <c r="Q590" s="17" t="str">
        <f aca="false">IF($B590="","",INDEX(Course!$P$2:$P$19,MATCH($B590,Course!$A$2:$A$19,0)))</f>
        <v/>
      </c>
      <c r="R590" s="17" t="str">
        <f aca="false">IF($C590="","",IF(OR($C590="G",$C590="H"),0,IF($C590="T",1,MIN(1,MAX(0,($N590-Inputs!$B$8)/MAX($P590-Inputs!$B$8,0.01))))))</f>
        <v/>
      </c>
      <c r="S590" s="17" t="str">
        <f aca="false">IF($C590="","",IF(OR($E590="G",$E590="H"),0,IF($E590="T",1,MIN(1,MAX(0,($O590-Inputs!$B$8)/MAX($P590-Inputs!$B$8,0.01))))))</f>
        <v/>
      </c>
    </row>
    <row r="591" customFormat="false" ht="15" hidden="false" customHeight="false" outlineLevel="0" collapsed="false">
      <c r="I591" s="7" t="str">
        <f aca="false">IF($C591="","",IF($C591="G","PUTT",IF(AND($C591="T",$M591&gt;3),"OTT",IF($D591&lt;=30,"ARG","APP"))))</f>
        <v/>
      </c>
      <c r="J591" s="17" t="str">
        <f aca="false">IF($C591="","",$N591+$Q591*$R591)</f>
        <v/>
      </c>
      <c r="K591" s="17" t="str">
        <f aca="false">IF($C591="","",$O591+$Q591*$S591)</f>
        <v/>
      </c>
      <c r="L591" s="17" t="str">
        <f aca="false">IF($C591="","",$J591-$K591-1-N($G591))</f>
        <v/>
      </c>
      <c r="M591" s="7" t="str">
        <f aca="false">IF($B591="","",INDEX(Course!$B$2:$B$19,MATCH($B591,Course!$A$2:$A$19,0)))</f>
        <v/>
      </c>
      <c r="N591" s="17" t="str">
        <f aca="false">IF($C591="","",IF($C591="H",0,IF($C591="G",INDEX(Baseline!$I$3:$I$102,MIN(MAX(ROUND($D591,0),1),100)),IF($C591="T",IF($M591=3,INDEX(Baseline!$B$3:$B$122,MATCH(MIN(MAX(ROUND(($D591)/5,0)*5,5),600),Baseline!$A$3:$A$122,0))-Inputs!$B$9,INDEX(Course!$N$2:$N$19,MATCH($B591,Course!$A$2:$A$19,0))),INDEX(Baseline!$B$3:$E$122,MATCH(MIN(MAX(ROUND(($D591)/5,0)*5,5),600),Baseline!$A$3:$A$122,0),MATCH($C591,Baseline!$B$2:$E$2,0))))))</f>
        <v/>
      </c>
      <c r="O591" s="17" t="str">
        <f aca="false">IF($C591="","",IF($E591="H",0,IF($E591="G",INDEX(Baseline!$I$3:$I$102,MIN(MAX(ROUND($F591,0),1),100)),IF($E591="T",IF($M591=3,INDEX(Baseline!$B$3:$B$122,MATCH(MIN(MAX(ROUND(($F591)/5,0)*5,5),600),Baseline!$A$3:$A$122,0))-Inputs!$B$9,INDEX(Course!$N$2:$N$19,MATCH($B591,Course!$A$2:$A$19,0))),INDEX(Baseline!$B$3:$E$122,MATCH(MIN(MAX(ROUND(($F591)/5,0)*5,5),600),Baseline!$A$3:$A$122,0),MATCH($E591,Baseline!$B$2:$E$2,0))))))</f>
        <v/>
      </c>
      <c r="P591" s="17" t="str">
        <f aca="false">IF($B591="","",INDEX(Course!$N$2:$N$19,MATCH($B591,Course!$A$2:$A$19,0)))</f>
        <v/>
      </c>
      <c r="Q591" s="17" t="str">
        <f aca="false">IF($B591="","",INDEX(Course!$P$2:$P$19,MATCH($B591,Course!$A$2:$A$19,0)))</f>
        <v/>
      </c>
      <c r="R591" s="17" t="str">
        <f aca="false">IF($C591="","",IF(OR($C591="G",$C591="H"),0,IF($C591="T",1,MIN(1,MAX(0,($N591-Inputs!$B$8)/MAX($P591-Inputs!$B$8,0.01))))))</f>
        <v/>
      </c>
      <c r="S591" s="17" t="str">
        <f aca="false">IF($C591="","",IF(OR($E591="G",$E591="H"),0,IF($E591="T",1,MIN(1,MAX(0,($O591-Inputs!$B$8)/MAX($P591-Inputs!$B$8,0.01))))))</f>
        <v/>
      </c>
    </row>
    <row r="592" customFormat="false" ht="15" hidden="false" customHeight="false" outlineLevel="0" collapsed="false">
      <c r="I592" s="7" t="str">
        <f aca="false">IF($C592="","",IF($C592="G","PUTT",IF(AND($C592="T",$M592&gt;3),"OTT",IF($D592&lt;=30,"ARG","APP"))))</f>
        <v/>
      </c>
      <c r="J592" s="17" t="str">
        <f aca="false">IF($C592="","",$N592+$Q592*$R592)</f>
        <v/>
      </c>
      <c r="K592" s="17" t="str">
        <f aca="false">IF($C592="","",$O592+$Q592*$S592)</f>
        <v/>
      </c>
      <c r="L592" s="17" t="str">
        <f aca="false">IF($C592="","",$J592-$K592-1-N($G592))</f>
        <v/>
      </c>
      <c r="M592" s="7" t="str">
        <f aca="false">IF($B592="","",INDEX(Course!$B$2:$B$19,MATCH($B592,Course!$A$2:$A$19,0)))</f>
        <v/>
      </c>
      <c r="N592" s="17" t="str">
        <f aca="false">IF($C592="","",IF($C592="H",0,IF($C592="G",INDEX(Baseline!$I$3:$I$102,MIN(MAX(ROUND($D592,0),1),100)),IF($C592="T",IF($M592=3,INDEX(Baseline!$B$3:$B$122,MATCH(MIN(MAX(ROUND(($D592)/5,0)*5,5),600),Baseline!$A$3:$A$122,0))-Inputs!$B$9,INDEX(Course!$N$2:$N$19,MATCH($B592,Course!$A$2:$A$19,0))),INDEX(Baseline!$B$3:$E$122,MATCH(MIN(MAX(ROUND(($D592)/5,0)*5,5),600),Baseline!$A$3:$A$122,0),MATCH($C592,Baseline!$B$2:$E$2,0))))))</f>
        <v/>
      </c>
      <c r="O592" s="17" t="str">
        <f aca="false">IF($C592="","",IF($E592="H",0,IF($E592="G",INDEX(Baseline!$I$3:$I$102,MIN(MAX(ROUND($F592,0),1),100)),IF($E592="T",IF($M592=3,INDEX(Baseline!$B$3:$B$122,MATCH(MIN(MAX(ROUND(($F592)/5,0)*5,5),600),Baseline!$A$3:$A$122,0))-Inputs!$B$9,INDEX(Course!$N$2:$N$19,MATCH($B592,Course!$A$2:$A$19,0))),INDEX(Baseline!$B$3:$E$122,MATCH(MIN(MAX(ROUND(($F592)/5,0)*5,5),600),Baseline!$A$3:$A$122,0),MATCH($E592,Baseline!$B$2:$E$2,0))))))</f>
        <v/>
      </c>
      <c r="P592" s="17" t="str">
        <f aca="false">IF($B592="","",INDEX(Course!$N$2:$N$19,MATCH($B592,Course!$A$2:$A$19,0)))</f>
        <v/>
      </c>
      <c r="Q592" s="17" t="str">
        <f aca="false">IF($B592="","",INDEX(Course!$P$2:$P$19,MATCH($B592,Course!$A$2:$A$19,0)))</f>
        <v/>
      </c>
      <c r="R592" s="17" t="str">
        <f aca="false">IF($C592="","",IF(OR($C592="G",$C592="H"),0,IF($C592="T",1,MIN(1,MAX(0,($N592-Inputs!$B$8)/MAX($P592-Inputs!$B$8,0.01))))))</f>
        <v/>
      </c>
      <c r="S592" s="17" t="str">
        <f aca="false">IF($C592="","",IF(OR($E592="G",$E592="H"),0,IF($E592="T",1,MIN(1,MAX(0,($O592-Inputs!$B$8)/MAX($P592-Inputs!$B$8,0.01))))))</f>
        <v/>
      </c>
    </row>
    <row r="593" customFormat="false" ht="15" hidden="false" customHeight="false" outlineLevel="0" collapsed="false">
      <c r="I593" s="7" t="str">
        <f aca="false">IF($C593="","",IF($C593="G","PUTT",IF(AND($C593="T",$M593&gt;3),"OTT",IF($D593&lt;=30,"ARG","APP"))))</f>
        <v/>
      </c>
      <c r="J593" s="17" t="str">
        <f aca="false">IF($C593="","",$N593+$Q593*$R593)</f>
        <v/>
      </c>
      <c r="K593" s="17" t="str">
        <f aca="false">IF($C593="","",$O593+$Q593*$S593)</f>
        <v/>
      </c>
      <c r="L593" s="17" t="str">
        <f aca="false">IF($C593="","",$J593-$K593-1-N($G593))</f>
        <v/>
      </c>
      <c r="M593" s="7" t="str">
        <f aca="false">IF($B593="","",INDEX(Course!$B$2:$B$19,MATCH($B593,Course!$A$2:$A$19,0)))</f>
        <v/>
      </c>
      <c r="N593" s="17" t="str">
        <f aca="false">IF($C593="","",IF($C593="H",0,IF($C593="G",INDEX(Baseline!$I$3:$I$102,MIN(MAX(ROUND($D593,0),1),100)),IF($C593="T",IF($M593=3,INDEX(Baseline!$B$3:$B$122,MATCH(MIN(MAX(ROUND(($D593)/5,0)*5,5),600),Baseline!$A$3:$A$122,0))-Inputs!$B$9,INDEX(Course!$N$2:$N$19,MATCH($B593,Course!$A$2:$A$19,0))),INDEX(Baseline!$B$3:$E$122,MATCH(MIN(MAX(ROUND(($D593)/5,0)*5,5),600),Baseline!$A$3:$A$122,0),MATCH($C593,Baseline!$B$2:$E$2,0))))))</f>
        <v/>
      </c>
      <c r="O593" s="17" t="str">
        <f aca="false">IF($C593="","",IF($E593="H",0,IF($E593="G",INDEX(Baseline!$I$3:$I$102,MIN(MAX(ROUND($F593,0),1),100)),IF($E593="T",IF($M593=3,INDEX(Baseline!$B$3:$B$122,MATCH(MIN(MAX(ROUND(($F593)/5,0)*5,5),600),Baseline!$A$3:$A$122,0))-Inputs!$B$9,INDEX(Course!$N$2:$N$19,MATCH($B593,Course!$A$2:$A$19,0))),INDEX(Baseline!$B$3:$E$122,MATCH(MIN(MAX(ROUND(($F593)/5,0)*5,5),600),Baseline!$A$3:$A$122,0),MATCH($E593,Baseline!$B$2:$E$2,0))))))</f>
        <v/>
      </c>
      <c r="P593" s="17" t="str">
        <f aca="false">IF($B593="","",INDEX(Course!$N$2:$N$19,MATCH($B593,Course!$A$2:$A$19,0)))</f>
        <v/>
      </c>
      <c r="Q593" s="17" t="str">
        <f aca="false">IF($B593="","",INDEX(Course!$P$2:$P$19,MATCH($B593,Course!$A$2:$A$19,0)))</f>
        <v/>
      </c>
      <c r="R593" s="17" t="str">
        <f aca="false">IF($C593="","",IF(OR($C593="G",$C593="H"),0,IF($C593="T",1,MIN(1,MAX(0,($N593-Inputs!$B$8)/MAX($P593-Inputs!$B$8,0.01))))))</f>
        <v/>
      </c>
      <c r="S593" s="17" t="str">
        <f aca="false">IF($C593="","",IF(OR($E593="G",$E593="H"),0,IF($E593="T",1,MIN(1,MAX(0,($O593-Inputs!$B$8)/MAX($P593-Inputs!$B$8,0.01))))))</f>
        <v/>
      </c>
    </row>
    <row r="594" customFormat="false" ht="15" hidden="false" customHeight="false" outlineLevel="0" collapsed="false">
      <c r="I594" s="7" t="str">
        <f aca="false">IF($C594="","",IF($C594="G","PUTT",IF(AND($C594="T",$M594&gt;3),"OTT",IF($D594&lt;=30,"ARG","APP"))))</f>
        <v/>
      </c>
      <c r="J594" s="17" t="str">
        <f aca="false">IF($C594="","",$N594+$Q594*$R594)</f>
        <v/>
      </c>
      <c r="K594" s="17" t="str">
        <f aca="false">IF($C594="","",$O594+$Q594*$S594)</f>
        <v/>
      </c>
      <c r="L594" s="17" t="str">
        <f aca="false">IF($C594="","",$J594-$K594-1-N($G594))</f>
        <v/>
      </c>
      <c r="M594" s="7" t="str">
        <f aca="false">IF($B594="","",INDEX(Course!$B$2:$B$19,MATCH($B594,Course!$A$2:$A$19,0)))</f>
        <v/>
      </c>
      <c r="N594" s="17" t="str">
        <f aca="false">IF($C594="","",IF($C594="H",0,IF($C594="G",INDEX(Baseline!$I$3:$I$102,MIN(MAX(ROUND($D594,0),1),100)),IF($C594="T",IF($M594=3,INDEX(Baseline!$B$3:$B$122,MATCH(MIN(MAX(ROUND(($D594)/5,0)*5,5),600),Baseline!$A$3:$A$122,0))-Inputs!$B$9,INDEX(Course!$N$2:$N$19,MATCH($B594,Course!$A$2:$A$19,0))),INDEX(Baseline!$B$3:$E$122,MATCH(MIN(MAX(ROUND(($D594)/5,0)*5,5),600),Baseline!$A$3:$A$122,0),MATCH($C594,Baseline!$B$2:$E$2,0))))))</f>
        <v/>
      </c>
      <c r="O594" s="17" t="str">
        <f aca="false">IF($C594="","",IF($E594="H",0,IF($E594="G",INDEX(Baseline!$I$3:$I$102,MIN(MAX(ROUND($F594,0),1),100)),IF($E594="T",IF($M594=3,INDEX(Baseline!$B$3:$B$122,MATCH(MIN(MAX(ROUND(($F594)/5,0)*5,5),600),Baseline!$A$3:$A$122,0))-Inputs!$B$9,INDEX(Course!$N$2:$N$19,MATCH($B594,Course!$A$2:$A$19,0))),INDEX(Baseline!$B$3:$E$122,MATCH(MIN(MAX(ROUND(($F594)/5,0)*5,5),600),Baseline!$A$3:$A$122,0),MATCH($E594,Baseline!$B$2:$E$2,0))))))</f>
        <v/>
      </c>
      <c r="P594" s="17" t="str">
        <f aca="false">IF($B594="","",INDEX(Course!$N$2:$N$19,MATCH($B594,Course!$A$2:$A$19,0)))</f>
        <v/>
      </c>
      <c r="Q594" s="17" t="str">
        <f aca="false">IF($B594="","",INDEX(Course!$P$2:$P$19,MATCH($B594,Course!$A$2:$A$19,0)))</f>
        <v/>
      </c>
      <c r="R594" s="17" t="str">
        <f aca="false">IF($C594="","",IF(OR($C594="G",$C594="H"),0,IF($C594="T",1,MIN(1,MAX(0,($N594-Inputs!$B$8)/MAX($P594-Inputs!$B$8,0.01))))))</f>
        <v/>
      </c>
      <c r="S594" s="17" t="str">
        <f aca="false">IF($C594="","",IF(OR($E594="G",$E594="H"),0,IF($E594="T",1,MIN(1,MAX(0,($O594-Inputs!$B$8)/MAX($P594-Inputs!$B$8,0.01))))))</f>
        <v/>
      </c>
    </row>
    <row r="595" customFormat="false" ht="15" hidden="false" customHeight="false" outlineLevel="0" collapsed="false">
      <c r="I595" s="7" t="str">
        <f aca="false">IF($C595="","",IF($C595="G","PUTT",IF(AND($C595="T",$M595&gt;3),"OTT",IF($D595&lt;=30,"ARG","APP"))))</f>
        <v/>
      </c>
      <c r="J595" s="17" t="str">
        <f aca="false">IF($C595="","",$N595+$Q595*$R595)</f>
        <v/>
      </c>
      <c r="K595" s="17" t="str">
        <f aca="false">IF($C595="","",$O595+$Q595*$S595)</f>
        <v/>
      </c>
      <c r="L595" s="17" t="str">
        <f aca="false">IF($C595="","",$J595-$K595-1-N($G595))</f>
        <v/>
      </c>
      <c r="M595" s="7" t="str">
        <f aca="false">IF($B595="","",INDEX(Course!$B$2:$B$19,MATCH($B595,Course!$A$2:$A$19,0)))</f>
        <v/>
      </c>
      <c r="N595" s="17" t="str">
        <f aca="false">IF($C595="","",IF($C595="H",0,IF($C595="G",INDEX(Baseline!$I$3:$I$102,MIN(MAX(ROUND($D595,0),1),100)),IF($C595="T",IF($M595=3,INDEX(Baseline!$B$3:$B$122,MATCH(MIN(MAX(ROUND(($D595)/5,0)*5,5),600),Baseline!$A$3:$A$122,0))-Inputs!$B$9,INDEX(Course!$N$2:$N$19,MATCH($B595,Course!$A$2:$A$19,0))),INDEX(Baseline!$B$3:$E$122,MATCH(MIN(MAX(ROUND(($D595)/5,0)*5,5),600),Baseline!$A$3:$A$122,0),MATCH($C595,Baseline!$B$2:$E$2,0))))))</f>
        <v/>
      </c>
      <c r="O595" s="17" t="str">
        <f aca="false">IF($C595="","",IF($E595="H",0,IF($E595="G",INDEX(Baseline!$I$3:$I$102,MIN(MAX(ROUND($F595,0),1),100)),IF($E595="T",IF($M595=3,INDEX(Baseline!$B$3:$B$122,MATCH(MIN(MAX(ROUND(($F595)/5,0)*5,5),600),Baseline!$A$3:$A$122,0))-Inputs!$B$9,INDEX(Course!$N$2:$N$19,MATCH($B595,Course!$A$2:$A$19,0))),INDEX(Baseline!$B$3:$E$122,MATCH(MIN(MAX(ROUND(($F595)/5,0)*5,5),600),Baseline!$A$3:$A$122,0),MATCH($E595,Baseline!$B$2:$E$2,0))))))</f>
        <v/>
      </c>
      <c r="P595" s="17" t="str">
        <f aca="false">IF($B595="","",INDEX(Course!$N$2:$N$19,MATCH($B595,Course!$A$2:$A$19,0)))</f>
        <v/>
      </c>
      <c r="Q595" s="17" t="str">
        <f aca="false">IF($B595="","",INDEX(Course!$P$2:$P$19,MATCH($B595,Course!$A$2:$A$19,0)))</f>
        <v/>
      </c>
      <c r="R595" s="17" t="str">
        <f aca="false">IF($C595="","",IF(OR($C595="G",$C595="H"),0,IF($C595="T",1,MIN(1,MAX(0,($N595-Inputs!$B$8)/MAX($P595-Inputs!$B$8,0.01))))))</f>
        <v/>
      </c>
      <c r="S595" s="17" t="str">
        <f aca="false">IF($C595="","",IF(OR($E595="G",$E595="H"),0,IF($E595="T",1,MIN(1,MAX(0,($O595-Inputs!$B$8)/MAX($P595-Inputs!$B$8,0.01))))))</f>
        <v/>
      </c>
    </row>
    <row r="596" customFormat="false" ht="15" hidden="false" customHeight="false" outlineLevel="0" collapsed="false">
      <c r="I596" s="7" t="str">
        <f aca="false">IF($C596="","",IF($C596="G","PUTT",IF(AND($C596="T",$M596&gt;3),"OTT",IF($D596&lt;=30,"ARG","APP"))))</f>
        <v/>
      </c>
      <c r="J596" s="17" t="str">
        <f aca="false">IF($C596="","",$N596+$Q596*$R596)</f>
        <v/>
      </c>
      <c r="K596" s="17" t="str">
        <f aca="false">IF($C596="","",$O596+$Q596*$S596)</f>
        <v/>
      </c>
      <c r="L596" s="17" t="str">
        <f aca="false">IF($C596="","",$J596-$K596-1-N($G596))</f>
        <v/>
      </c>
      <c r="M596" s="7" t="str">
        <f aca="false">IF($B596="","",INDEX(Course!$B$2:$B$19,MATCH($B596,Course!$A$2:$A$19,0)))</f>
        <v/>
      </c>
      <c r="N596" s="17" t="str">
        <f aca="false">IF($C596="","",IF($C596="H",0,IF($C596="G",INDEX(Baseline!$I$3:$I$102,MIN(MAX(ROUND($D596,0),1),100)),IF($C596="T",IF($M596=3,INDEX(Baseline!$B$3:$B$122,MATCH(MIN(MAX(ROUND(($D596)/5,0)*5,5),600),Baseline!$A$3:$A$122,0))-Inputs!$B$9,INDEX(Course!$N$2:$N$19,MATCH($B596,Course!$A$2:$A$19,0))),INDEX(Baseline!$B$3:$E$122,MATCH(MIN(MAX(ROUND(($D596)/5,0)*5,5),600),Baseline!$A$3:$A$122,0),MATCH($C596,Baseline!$B$2:$E$2,0))))))</f>
        <v/>
      </c>
      <c r="O596" s="17" t="str">
        <f aca="false">IF($C596="","",IF($E596="H",0,IF($E596="G",INDEX(Baseline!$I$3:$I$102,MIN(MAX(ROUND($F596,0),1),100)),IF($E596="T",IF($M596=3,INDEX(Baseline!$B$3:$B$122,MATCH(MIN(MAX(ROUND(($F596)/5,0)*5,5),600),Baseline!$A$3:$A$122,0))-Inputs!$B$9,INDEX(Course!$N$2:$N$19,MATCH($B596,Course!$A$2:$A$19,0))),INDEX(Baseline!$B$3:$E$122,MATCH(MIN(MAX(ROUND(($F596)/5,0)*5,5),600),Baseline!$A$3:$A$122,0),MATCH($E596,Baseline!$B$2:$E$2,0))))))</f>
        <v/>
      </c>
      <c r="P596" s="17" t="str">
        <f aca="false">IF($B596="","",INDEX(Course!$N$2:$N$19,MATCH($B596,Course!$A$2:$A$19,0)))</f>
        <v/>
      </c>
      <c r="Q596" s="17" t="str">
        <f aca="false">IF($B596="","",INDEX(Course!$P$2:$P$19,MATCH($B596,Course!$A$2:$A$19,0)))</f>
        <v/>
      </c>
      <c r="R596" s="17" t="str">
        <f aca="false">IF($C596="","",IF(OR($C596="G",$C596="H"),0,IF($C596="T",1,MIN(1,MAX(0,($N596-Inputs!$B$8)/MAX($P596-Inputs!$B$8,0.01))))))</f>
        <v/>
      </c>
      <c r="S596" s="17" t="str">
        <f aca="false">IF($C596="","",IF(OR($E596="G",$E596="H"),0,IF($E596="T",1,MIN(1,MAX(0,($O596-Inputs!$B$8)/MAX($P596-Inputs!$B$8,0.01))))))</f>
        <v/>
      </c>
    </row>
    <row r="597" customFormat="false" ht="15" hidden="false" customHeight="false" outlineLevel="0" collapsed="false">
      <c r="I597" s="7" t="str">
        <f aca="false">IF($C597="","",IF($C597="G","PUTT",IF(AND($C597="T",$M597&gt;3),"OTT",IF($D597&lt;=30,"ARG","APP"))))</f>
        <v/>
      </c>
      <c r="J597" s="17" t="str">
        <f aca="false">IF($C597="","",$N597+$Q597*$R597)</f>
        <v/>
      </c>
      <c r="K597" s="17" t="str">
        <f aca="false">IF($C597="","",$O597+$Q597*$S597)</f>
        <v/>
      </c>
      <c r="L597" s="17" t="str">
        <f aca="false">IF($C597="","",$J597-$K597-1-N($G597))</f>
        <v/>
      </c>
      <c r="M597" s="7" t="str">
        <f aca="false">IF($B597="","",INDEX(Course!$B$2:$B$19,MATCH($B597,Course!$A$2:$A$19,0)))</f>
        <v/>
      </c>
      <c r="N597" s="17" t="str">
        <f aca="false">IF($C597="","",IF($C597="H",0,IF($C597="G",INDEX(Baseline!$I$3:$I$102,MIN(MAX(ROUND($D597,0),1),100)),IF($C597="T",IF($M597=3,INDEX(Baseline!$B$3:$B$122,MATCH(MIN(MAX(ROUND(($D597)/5,0)*5,5),600),Baseline!$A$3:$A$122,0))-Inputs!$B$9,INDEX(Course!$N$2:$N$19,MATCH($B597,Course!$A$2:$A$19,0))),INDEX(Baseline!$B$3:$E$122,MATCH(MIN(MAX(ROUND(($D597)/5,0)*5,5),600),Baseline!$A$3:$A$122,0),MATCH($C597,Baseline!$B$2:$E$2,0))))))</f>
        <v/>
      </c>
      <c r="O597" s="17" t="str">
        <f aca="false">IF($C597="","",IF($E597="H",0,IF($E597="G",INDEX(Baseline!$I$3:$I$102,MIN(MAX(ROUND($F597,0),1),100)),IF($E597="T",IF($M597=3,INDEX(Baseline!$B$3:$B$122,MATCH(MIN(MAX(ROUND(($F597)/5,0)*5,5),600),Baseline!$A$3:$A$122,0))-Inputs!$B$9,INDEX(Course!$N$2:$N$19,MATCH($B597,Course!$A$2:$A$19,0))),INDEX(Baseline!$B$3:$E$122,MATCH(MIN(MAX(ROUND(($F597)/5,0)*5,5),600),Baseline!$A$3:$A$122,0),MATCH($E597,Baseline!$B$2:$E$2,0))))))</f>
        <v/>
      </c>
      <c r="P597" s="17" t="str">
        <f aca="false">IF($B597="","",INDEX(Course!$N$2:$N$19,MATCH($B597,Course!$A$2:$A$19,0)))</f>
        <v/>
      </c>
      <c r="Q597" s="17" t="str">
        <f aca="false">IF($B597="","",INDEX(Course!$P$2:$P$19,MATCH($B597,Course!$A$2:$A$19,0)))</f>
        <v/>
      </c>
      <c r="R597" s="17" t="str">
        <f aca="false">IF($C597="","",IF(OR($C597="G",$C597="H"),0,IF($C597="T",1,MIN(1,MAX(0,($N597-Inputs!$B$8)/MAX($P597-Inputs!$B$8,0.01))))))</f>
        <v/>
      </c>
      <c r="S597" s="17" t="str">
        <f aca="false">IF($C597="","",IF(OR($E597="G",$E597="H"),0,IF($E597="T",1,MIN(1,MAX(0,($O597-Inputs!$B$8)/MAX($P597-Inputs!$B$8,0.01))))))</f>
        <v/>
      </c>
    </row>
    <row r="598" customFormat="false" ht="15" hidden="false" customHeight="false" outlineLevel="0" collapsed="false">
      <c r="I598" s="7" t="str">
        <f aca="false">IF($C598="","",IF($C598="G","PUTT",IF(AND($C598="T",$M598&gt;3),"OTT",IF($D598&lt;=30,"ARG","APP"))))</f>
        <v/>
      </c>
      <c r="J598" s="17" t="str">
        <f aca="false">IF($C598="","",$N598+$Q598*$R598)</f>
        <v/>
      </c>
      <c r="K598" s="17" t="str">
        <f aca="false">IF($C598="","",$O598+$Q598*$S598)</f>
        <v/>
      </c>
      <c r="L598" s="17" t="str">
        <f aca="false">IF($C598="","",$J598-$K598-1-N($G598))</f>
        <v/>
      </c>
      <c r="M598" s="7" t="str">
        <f aca="false">IF($B598="","",INDEX(Course!$B$2:$B$19,MATCH($B598,Course!$A$2:$A$19,0)))</f>
        <v/>
      </c>
      <c r="N598" s="17" t="str">
        <f aca="false">IF($C598="","",IF($C598="H",0,IF($C598="G",INDEX(Baseline!$I$3:$I$102,MIN(MAX(ROUND($D598,0),1),100)),IF($C598="T",IF($M598=3,INDEX(Baseline!$B$3:$B$122,MATCH(MIN(MAX(ROUND(($D598)/5,0)*5,5),600),Baseline!$A$3:$A$122,0))-Inputs!$B$9,INDEX(Course!$N$2:$N$19,MATCH($B598,Course!$A$2:$A$19,0))),INDEX(Baseline!$B$3:$E$122,MATCH(MIN(MAX(ROUND(($D598)/5,0)*5,5),600),Baseline!$A$3:$A$122,0),MATCH($C598,Baseline!$B$2:$E$2,0))))))</f>
        <v/>
      </c>
      <c r="O598" s="17" t="str">
        <f aca="false">IF($C598="","",IF($E598="H",0,IF($E598="G",INDEX(Baseline!$I$3:$I$102,MIN(MAX(ROUND($F598,0),1),100)),IF($E598="T",IF($M598=3,INDEX(Baseline!$B$3:$B$122,MATCH(MIN(MAX(ROUND(($F598)/5,0)*5,5),600),Baseline!$A$3:$A$122,0))-Inputs!$B$9,INDEX(Course!$N$2:$N$19,MATCH($B598,Course!$A$2:$A$19,0))),INDEX(Baseline!$B$3:$E$122,MATCH(MIN(MAX(ROUND(($F598)/5,0)*5,5),600),Baseline!$A$3:$A$122,0),MATCH($E598,Baseline!$B$2:$E$2,0))))))</f>
        <v/>
      </c>
      <c r="P598" s="17" t="str">
        <f aca="false">IF($B598="","",INDEX(Course!$N$2:$N$19,MATCH($B598,Course!$A$2:$A$19,0)))</f>
        <v/>
      </c>
      <c r="Q598" s="17" t="str">
        <f aca="false">IF($B598="","",INDEX(Course!$P$2:$P$19,MATCH($B598,Course!$A$2:$A$19,0)))</f>
        <v/>
      </c>
      <c r="R598" s="17" t="str">
        <f aca="false">IF($C598="","",IF(OR($C598="G",$C598="H"),0,IF($C598="T",1,MIN(1,MAX(0,($N598-Inputs!$B$8)/MAX($P598-Inputs!$B$8,0.01))))))</f>
        <v/>
      </c>
      <c r="S598" s="17" t="str">
        <f aca="false">IF($C598="","",IF(OR($E598="G",$E598="H"),0,IF($E598="T",1,MIN(1,MAX(0,($O598-Inputs!$B$8)/MAX($P598-Inputs!$B$8,0.01))))))</f>
        <v/>
      </c>
    </row>
    <row r="599" customFormat="false" ht="15" hidden="false" customHeight="false" outlineLevel="0" collapsed="false">
      <c r="I599" s="7" t="str">
        <f aca="false">IF($C599="","",IF($C599="G","PUTT",IF(AND($C599="T",$M599&gt;3),"OTT",IF($D599&lt;=30,"ARG","APP"))))</f>
        <v/>
      </c>
      <c r="J599" s="17" t="str">
        <f aca="false">IF($C599="","",$N599+$Q599*$R599)</f>
        <v/>
      </c>
      <c r="K599" s="17" t="str">
        <f aca="false">IF($C599="","",$O599+$Q599*$S599)</f>
        <v/>
      </c>
      <c r="L599" s="17" t="str">
        <f aca="false">IF($C599="","",$J599-$K599-1-N($G599))</f>
        <v/>
      </c>
      <c r="M599" s="7" t="str">
        <f aca="false">IF($B599="","",INDEX(Course!$B$2:$B$19,MATCH($B599,Course!$A$2:$A$19,0)))</f>
        <v/>
      </c>
      <c r="N599" s="17" t="str">
        <f aca="false">IF($C599="","",IF($C599="H",0,IF($C599="G",INDEX(Baseline!$I$3:$I$102,MIN(MAX(ROUND($D599,0),1),100)),IF($C599="T",IF($M599=3,INDEX(Baseline!$B$3:$B$122,MATCH(MIN(MAX(ROUND(($D599)/5,0)*5,5),600),Baseline!$A$3:$A$122,0))-Inputs!$B$9,INDEX(Course!$N$2:$N$19,MATCH($B599,Course!$A$2:$A$19,0))),INDEX(Baseline!$B$3:$E$122,MATCH(MIN(MAX(ROUND(($D599)/5,0)*5,5),600),Baseline!$A$3:$A$122,0),MATCH($C599,Baseline!$B$2:$E$2,0))))))</f>
        <v/>
      </c>
      <c r="O599" s="17" t="str">
        <f aca="false">IF($C599="","",IF($E599="H",0,IF($E599="G",INDEX(Baseline!$I$3:$I$102,MIN(MAX(ROUND($F599,0),1),100)),IF($E599="T",IF($M599=3,INDEX(Baseline!$B$3:$B$122,MATCH(MIN(MAX(ROUND(($F599)/5,0)*5,5),600),Baseline!$A$3:$A$122,0))-Inputs!$B$9,INDEX(Course!$N$2:$N$19,MATCH($B599,Course!$A$2:$A$19,0))),INDEX(Baseline!$B$3:$E$122,MATCH(MIN(MAX(ROUND(($F599)/5,0)*5,5),600),Baseline!$A$3:$A$122,0),MATCH($E599,Baseline!$B$2:$E$2,0))))))</f>
        <v/>
      </c>
      <c r="P599" s="17" t="str">
        <f aca="false">IF($B599="","",INDEX(Course!$N$2:$N$19,MATCH($B599,Course!$A$2:$A$19,0)))</f>
        <v/>
      </c>
      <c r="Q599" s="17" t="str">
        <f aca="false">IF($B599="","",INDEX(Course!$P$2:$P$19,MATCH($B599,Course!$A$2:$A$19,0)))</f>
        <v/>
      </c>
      <c r="R599" s="17" t="str">
        <f aca="false">IF($C599="","",IF(OR($C599="G",$C599="H"),0,IF($C599="T",1,MIN(1,MAX(0,($N599-Inputs!$B$8)/MAX($P599-Inputs!$B$8,0.01))))))</f>
        <v/>
      </c>
      <c r="S599" s="17" t="str">
        <f aca="false">IF($C599="","",IF(OR($E599="G",$E599="H"),0,IF($E599="T",1,MIN(1,MAX(0,($O599-Inputs!$B$8)/MAX($P599-Inputs!$B$8,0.01))))))</f>
        <v/>
      </c>
    </row>
    <row r="600" customFormat="false" ht="15" hidden="false" customHeight="false" outlineLevel="0" collapsed="false">
      <c r="I600" s="7" t="str">
        <f aca="false">IF($C600="","",IF($C600="G","PUTT",IF(AND($C600="T",$M600&gt;3),"OTT",IF($D600&lt;=30,"ARG","APP"))))</f>
        <v/>
      </c>
      <c r="J600" s="17" t="str">
        <f aca="false">IF($C600="","",$N600+$Q600*$R600)</f>
        <v/>
      </c>
      <c r="K600" s="17" t="str">
        <f aca="false">IF($C600="","",$O600+$Q600*$S600)</f>
        <v/>
      </c>
      <c r="L600" s="17" t="str">
        <f aca="false">IF($C600="","",$J600-$K600-1-N($G600))</f>
        <v/>
      </c>
      <c r="M600" s="7" t="str">
        <f aca="false">IF($B600="","",INDEX(Course!$B$2:$B$19,MATCH($B600,Course!$A$2:$A$19,0)))</f>
        <v/>
      </c>
      <c r="N600" s="17" t="str">
        <f aca="false">IF($C600="","",IF($C600="H",0,IF($C600="G",INDEX(Baseline!$I$3:$I$102,MIN(MAX(ROUND($D600,0),1),100)),IF($C600="T",IF($M600=3,INDEX(Baseline!$B$3:$B$122,MATCH(MIN(MAX(ROUND(($D600)/5,0)*5,5),600),Baseline!$A$3:$A$122,0))-Inputs!$B$9,INDEX(Course!$N$2:$N$19,MATCH($B600,Course!$A$2:$A$19,0))),INDEX(Baseline!$B$3:$E$122,MATCH(MIN(MAX(ROUND(($D600)/5,0)*5,5),600),Baseline!$A$3:$A$122,0),MATCH($C600,Baseline!$B$2:$E$2,0))))))</f>
        <v/>
      </c>
      <c r="O600" s="17" t="str">
        <f aca="false">IF($C600="","",IF($E600="H",0,IF($E600="G",INDEX(Baseline!$I$3:$I$102,MIN(MAX(ROUND($F600,0),1),100)),IF($E600="T",IF($M600=3,INDEX(Baseline!$B$3:$B$122,MATCH(MIN(MAX(ROUND(($F600)/5,0)*5,5),600),Baseline!$A$3:$A$122,0))-Inputs!$B$9,INDEX(Course!$N$2:$N$19,MATCH($B600,Course!$A$2:$A$19,0))),INDEX(Baseline!$B$3:$E$122,MATCH(MIN(MAX(ROUND(($F600)/5,0)*5,5),600),Baseline!$A$3:$A$122,0),MATCH($E600,Baseline!$B$2:$E$2,0))))))</f>
        <v/>
      </c>
      <c r="P600" s="17" t="str">
        <f aca="false">IF($B600="","",INDEX(Course!$N$2:$N$19,MATCH($B600,Course!$A$2:$A$19,0)))</f>
        <v/>
      </c>
      <c r="Q600" s="17" t="str">
        <f aca="false">IF($B600="","",INDEX(Course!$P$2:$P$19,MATCH($B600,Course!$A$2:$A$19,0)))</f>
        <v/>
      </c>
      <c r="R600" s="17" t="str">
        <f aca="false">IF($C600="","",IF(OR($C600="G",$C600="H"),0,IF($C600="T",1,MIN(1,MAX(0,($N600-Inputs!$B$8)/MAX($P600-Inputs!$B$8,0.01))))))</f>
        <v/>
      </c>
      <c r="S600" s="17" t="str">
        <f aca="false">IF($C600="","",IF(OR($E600="G",$E600="H"),0,IF($E600="T",1,MIN(1,MAX(0,($O600-Inputs!$B$8)/MAX($P600-Inputs!$B$8,0.01))))))</f>
        <v/>
      </c>
    </row>
    <row r="601" customFormat="false" ht="15" hidden="false" customHeight="false" outlineLevel="0" collapsed="false">
      <c r="I601" s="7" t="str">
        <f aca="false">IF($C601="","",IF($C601="G","PUTT",IF(AND($C601="T",$M601&gt;3),"OTT",IF($D601&lt;=30,"ARG","APP"))))</f>
        <v/>
      </c>
      <c r="J601" s="17" t="str">
        <f aca="false">IF($C601="","",$N601+$Q601*$R601)</f>
        <v/>
      </c>
      <c r="K601" s="17" t="str">
        <f aca="false">IF($C601="","",$O601+$Q601*$S601)</f>
        <v/>
      </c>
      <c r="L601" s="17" t="str">
        <f aca="false">IF($C601="","",$J601-$K601-1-N($G601))</f>
        <v/>
      </c>
      <c r="M601" s="7" t="str">
        <f aca="false">IF($B601="","",INDEX(Course!$B$2:$B$19,MATCH($B601,Course!$A$2:$A$19,0)))</f>
        <v/>
      </c>
      <c r="N601" s="17" t="str">
        <f aca="false">IF($C601="","",IF($C601="H",0,IF($C601="G",INDEX(Baseline!$I$3:$I$102,MIN(MAX(ROUND($D601,0),1),100)),IF($C601="T",IF($M601=3,INDEX(Baseline!$B$3:$B$122,MATCH(MIN(MAX(ROUND(($D601)/5,0)*5,5),600),Baseline!$A$3:$A$122,0))-Inputs!$B$9,INDEX(Course!$N$2:$N$19,MATCH($B601,Course!$A$2:$A$19,0))),INDEX(Baseline!$B$3:$E$122,MATCH(MIN(MAX(ROUND(($D601)/5,0)*5,5),600),Baseline!$A$3:$A$122,0),MATCH($C601,Baseline!$B$2:$E$2,0))))))</f>
        <v/>
      </c>
      <c r="O601" s="17" t="str">
        <f aca="false">IF($C601="","",IF($E601="H",0,IF($E601="G",INDEX(Baseline!$I$3:$I$102,MIN(MAX(ROUND($F601,0),1),100)),IF($E601="T",IF($M601=3,INDEX(Baseline!$B$3:$B$122,MATCH(MIN(MAX(ROUND(($F601)/5,0)*5,5),600),Baseline!$A$3:$A$122,0))-Inputs!$B$9,INDEX(Course!$N$2:$N$19,MATCH($B601,Course!$A$2:$A$19,0))),INDEX(Baseline!$B$3:$E$122,MATCH(MIN(MAX(ROUND(($F601)/5,0)*5,5),600),Baseline!$A$3:$A$122,0),MATCH($E601,Baseline!$B$2:$E$2,0))))))</f>
        <v/>
      </c>
      <c r="P601" s="17" t="str">
        <f aca="false">IF($B601="","",INDEX(Course!$N$2:$N$19,MATCH($B601,Course!$A$2:$A$19,0)))</f>
        <v/>
      </c>
      <c r="Q601" s="17" t="str">
        <f aca="false">IF($B601="","",INDEX(Course!$P$2:$P$19,MATCH($B601,Course!$A$2:$A$19,0)))</f>
        <v/>
      </c>
      <c r="R601" s="17" t="str">
        <f aca="false">IF($C601="","",IF(OR($C601="G",$C601="H"),0,IF($C601="T",1,MIN(1,MAX(0,($N601-Inputs!$B$8)/MAX($P601-Inputs!$B$8,0.01))))))</f>
        <v/>
      </c>
      <c r="S601" s="17" t="str">
        <f aca="false">IF($C601="","",IF(OR($E601="G",$E601="H"),0,IF($E601="T",1,MIN(1,MAX(0,($O601-Inputs!$B$8)/MAX($P601-Inputs!$B$8,0.01))))))</f>
        <v/>
      </c>
    </row>
    <row r="602" customFormat="false" ht="15" hidden="false" customHeight="false" outlineLevel="0" collapsed="false">
      <c r="I602" s="7" t="str">
        <f aca="false">IF($C602="","",IF($C602="G","PUTT",IF(AND($C602="T",$M602&gt;3),"OTT",IF($D602&lt;=30,"ARG","APP"))))</f>
        <v/>
      </c>
      <c r="J602" s="17" t="str">
        <f aca="false">IF($C602="","",$N602+$Q602*$R602)</f>
        <v/>
      </c>
      <c r="K602" s="17" t="str">
        <f aca="false">IF($C602="","",$O602+$Q602*$S602)</f>
        <v/>
      </c>
      <c r="L602" s="17" t="str">
        <f aca="false">IF($C602="","",$J602-$K602-1-N($G602))</f>
        <v/>
      </c>
      <c r="M602" s="7" t="str">
        <f aca="false">IF($B602="","",INDEX(Course!$B$2:$B$19,MATCH($B602,Course!$A$2:$A$19,0)))</f>
        <v/>
      </c>
      <c r="N602" s="17" t="str">
        <f aca="false">IF($C602="","",IF($C602="H",0,IF($C602="G",INDEX(Baseline!$I$3:$I$102,MIN(MAX(ROUND($D602,0),1),100)),IF($C602="T",IF($M602=3,INDEX(Baseline!$B$3:$B$122,MATCH(MIN(MAX(ROUND(($D602)/5,0)*5,5),600),Baseline!$A$3:$A$122,0))-Inputs!$B$9,INDEX(Course!$N$2:$N$19,MATCH($B602,Course!$A$2:$A$19,0))),INDEX(Baseline!$B$3:$E$122,MATCH(MIN(MAX(ROUND(($D602)/5,0)*5,5),600),Baseline!$A$3:$A$122,0),MATCH($C602,Baseline!$B$2:$E$2,0))))))</f>
        <v/>
      </c>
      <c r="O602" s="17" t="str">
        <f aca="false">IF($C602="","",IF($E602="H",0,IF($E602="G",INDEX(Baseline!$I$3:$I$102,MIN(MAX(ROUND($F602,0),1),100)),IF($E602="T",IF($M602=3,INDEX(Baseline!$B$3:$B$122,MATCH(MIN(MAX(ROUND(($F602)/5,0)*5,5),600),Baseline!$A$3:$A$122,0))-Inputs!$B$9,INDEX(Course!$N$2:$N$19,MATCH($B602,Course!$A$2:$A$19,0))),INDEX(Baseline!$B$3:$E$122,MATCH(MIN(MAX(ROUND(($F602)/5,0)*5,5),600),Baseline!$A$3:$A$122,0),MATCH($E602,Baseline!$B$2:$E$2,0))))))</f>
        <v/>
      </c>
      <c r="P602" s="17" t="str">
        <f aca="false">IF($B602="","",INDEX(Course!$N$2:$N$19,MATCH($B602,Course!$A$2:$A$19,0)))</f>
        <v/>
      </c>
      <c r="Q602" s="17" t="str">
        <f aca="false">IF($B602="","",INDEX(Course!$P$2:$P$19,MATCH($B602,Course!$A$2:$A$19,0)))</f>
        <v/>
      </c>
      <c r="R602" s="17" t="str">
        <f aca="false">IF($C602="","",IF(OR($C602="G",$C602="H"),0,IF($C602="T",1,MIN(1,MAX(0,($N602-Inputs!$B$8)/MAX($P602-Inputs!$B$8,0.01))))))</f>
        <v/>
      </c>
      <c r="S602" s="17" t="str">
        <f aca="false">IF($C602="","",IF(OR($E602="G",$E602="H"),0,IF($E602="T",1,MIN(1,MAX(0,($O602-Inputs!$B$8)/MAX($P602-Inputs!$B$8,0.01))))))</f>
        <v/>
      </c>
    </row>
    <row r="603" customFormat="false" ht="15" hidden="false" customHeight="false" outlineLevel="0" collapsed="false">
      <c r="I603" s="7" t="str">
        <f aca="false">IF($C603="","",IF($C603="G","PUTT",IF(AND($C603="T",$M603&gt;3),"OTT",IF($D603&lt;=30,"ARG","APP"))))</f>
        <v/>
      </c>
      <c r="J603" s="17" t="str">
        <f aca="false">IF($C603="","",$N603+$Q603*$R603)</f>
        <v/>
      </c>
      <c r="K603" s="17" t="str">
        <f aca="false">IF($C603="","",$O603+$Q603*$S603)</f>
        <v/>
      </c>
      <c r="L603" s="17" t="str">
        <f aca="false">IF($C603="","",$J603-$K603-1-N($G603))</f>
        <v/>
      </c>
      <c r="M603" s="7" t="str">
        <f aca="false">IF($B603="","",INDEX(Course!$B$2:$B$19,MATCH($B603,Course!$A$2:$A$19,0)))</f>
        <v/>
      </c>
      <c r="N603" s="17" t="str">
        <f aca="false">IF($C603="","",IF($C603="H",0,IF($C603="G",INDEX(Baseline!$I$3:$I$102,MIN(MAX(ROUND($D603,0),1),100)),IF($C603="T",IF($M603=3,INDEX(Baseline!$B$3:$B$122,MATCH(MIN(MAX(ROUND(($D603)/5,0)*5,5),600),Baseline!$A$3:$A$122,0))-Inputs!$B$9,INDEX(Course!$N$2:$N$19,MATCH($B603,Course!$A$2:$A$19,0))),INDEX(Baseline!$B$3:$E$122,MATCH(MIN(MAX(ROUND(($D603)/5,0)*5,5),600),Baseline!$A$3:$A$122,0),MATCH($C603,Baseline!$B$2:$E$2,0))))))</f>
        <v/>
      </c>
      <c r="O603" s="17" t="str">
        <f aca="false">IF($C603="","",IF($E603="H",0,IF($E603="G",INDEX(Baseline!$I$3:$I$102,MIN(MAX(ROUND($F603,0),1),100)),IF($E603="T",IF($M603=3,INDEX(Baseline!$B$3:$B$122,MATCH(MIN(MAX(ROUND(($F603)/5,0)*5,5),600),Baseline!$A$3:$A$122,0))-Inputs!$B$9,INDEX(Course!$N$2:$N$19,MATCH($B603,Course!$A$2:$A$19,0))),INDEX(Baseline!$B$3:$E$122,MATCH(MIN(MAX(ROUND(($F603)/5,0)*5,5),600),Baseline!$A$3:$A$122,0),MATCH($E603,Baseline!$B$2:$E$2,0))))))</f>
        <v/>
      </c>
      <c r="P603" s="17" t="str">
        <f aca="false">IF($B603="","",INDEX(Course!$N$2:$N$19,MATCH($B603,Course!$A$2:$A$19,0)))</f>
        <v/>
      </c>
      <c r="Q603" s="17" t="str">
        <f aca="false">IF($B603="","",INDEX(Course!$P$2:$P$19,MATCH($B603,Course!$A$2:$A$19,0)))</f>
        <v/>
      </c>
      <c r="R603" s="17" t="str">
        <f aca="false">IF($C603="","",IF(OR($C603="G",$C603="H"),0,IF($C603="T",1,MIN(1,MAX(0,($N603-Inputs!$B$8)/MAX($P603-Inputs!$B$8,0.01))))))</f>
        <v/>
      </c>
      <c r="S603" s="17" t="str">
        <f aca="false">IF($C603="","",IF(OR($E603="G",$E603="H"),0,IF($E603="T",1,MIN(1,MAX(0,($O603-Inputs!$B$8)/MAX($P603-Inputs!$B$8,0.01))))))</f>
        <v/>
      </c>
    </row>
    <row r="604" customFormat="false" ht="15" hidden="false" customHeight="false" outlineLevel="0" collapsed="false">
      <c r="I604" s="7" t="str">
        <f aca="false">IF($C604="","",IF($C604="G","PUTT",IF(AND($C604="T",$M604&gt;3),"OTT",IF($D604&lt;=30,"ARG","APP"))))</f>
        <v/>
      </c>
      <c r="J604" s="17" t="str">
        <f aca="false">IF($C604="","",$N604+$Q604*$R604)</f>
        <v/>
      </c>
      <c r="K604" s="17" t="str">
        <f aca="false">IF($C604="","",$O604+$Q604*$S604)</f>
        <v/>
      </c>
      <c r="L604" s="17" t="str">
        <f aca="false">IF($C604="","",$J604-$K604-1-N($G604))</f>
        <v/>
      </c>
      <c r="M604" s="7" t="str">
        <f aca="false">IF($B604="","",INDEX(Course!$B$2:$B$19,MATCH($B604,Course!$A$2:$A$19,0)))</f>
        <v/>
      </c>
      <c r="N604" s="17" t="str">
        <f aca="false">IF($C604="","",IF($C604="H",0,IF($C604="G",INDEX(Baseline!$I$3:$I$102,MIN(MAX(ROUND($D604,0),1),100)),IF($C604="T",IF($M604=3,INDEX(Baseline!$B$3:$B$122,MATCH(MIN(MAX(ROUND(($D604)/5,0)*5,5),600),Baseline!$A$3:$A$122,0))-Inputs!$B$9,INDEX(Course!$N$2:$N$19,MATCH($B604,Course!$A$2:$A$19,0))),INDEX(Baseline!$B$3:$E$122,MATCH(MIN(MAX(ROUND(($D604)/5,0)*5,5),600),Baseline!$A$3:$A$122,0),MATCH($C604,Baseline!$B$2:$E$2,0))))))</f>
        <v/>
      </c>
      <c r="O604" s="17" t="str">
        <f aca="false">IF($C604="","",IF($E604="H",0,IF($E604="G",INDEX(Baseline!$I$3:$I$102,MIN(MAX(ROUND($F604,0),1),100)),IF($E604="T",IF($M604=3,INDEX(Baseline!$B$3:$B$122,MATCH(MIN(MAX(ROUND(($F604)/5,0)*5,5),600),Baseline!$A$3:$A$122,0))-Inputs!$B$9,INDEX(Course!$N$2:$N$19,MATCH($B604,Course!$A$2:$A$19,0))),INDEX(Baseline!$B$3:$E$122,MATCH(MIN(MAX(ROUND(($F604)/5,0)*5,5),600),Baseline!$A$3:$A$122,0),MATCH($E604,Baseline!$B$2:$E$2,0))))))</f>
        <v/>
      </c>
      <c r="P604" s="17" t="str">
        <f aca="false">IF($B604="","",INDEX(Course!$N$2:$N$19,MATCH($B604,Course!$A$2:$A$19,0)))</f>
        <v/>
      </c>
      <c r="Q604" s="17" t="str">
        <f aca="false">IF($B604="","",INDEX(Course!$P$2:$P$19,MATCH($B604,Course!$A$2:$A$19,0)))</f>
        <v/>
      </c>
      <c r="R604" s="17" t="str">
        <f aca="false">IF($C604="","",IF(OR($C604="G",$C604="H"),0,IF($C604="T",1,MIN(1,MAX(0,($N604-Inputs!$B$8)/MAX($P604-Inputs!$B$8,0.01))))))</f>
        <v/>
      </c>
      <c r="S604" s="17" t="str">
        <f aca="false">IF($C604="","",IF(OR($E604="G",$E604="H"),0,IF($E604="T",1,MIN(1,MAX(0,($O604-Inputs!$B$8)/MAX($P604-Inputs!$B$8,0.01))))))</f>
        <v/>
      </c>
    </row>
    <row r="605" customFormat="false" ht="15" hidden="false" customHeight="false" outlineLevel="0" collapsed="false">
      <c r="I605" s="7" t="str">
        <f aca="false">IF($C605="","",IF($C605="G","PUTT",IF(AND($C605="T",$M605&gt;3),"OTT",IF($D605&lt;=30,"ARG","APP"))))</f>
        <v/>
      </c>
      <c r="J605" s="17" t="str">
        <f aca="false">IF($C605="","",$N605+$Q605*$R605)</f>
        <v/>
      </c>
      <c r="K605" s="17" t="str">
        <f aca="false">IF($C605="","",$O605+$Q605*$S605)</f>
        <v/>
      </c>
      <c r="L605" s="17" t="str">
        <f aca="false">IF($C605="","",$J605-$K605-1-N($G605))</f>
        <v/>
      </c>
      <c r="M605" s="7" t="str">
        <f aca="false">IF($B605="","",INDEX(Course!$B$2:$B$19,MATCH($B605,Course!$A$2:$A$19,0)))</f>
        <v/>
      </c>
      <c r="N605" s="17" t="str">
        <f aca="false">IF($C605="","",IF($C605="H",0,IF($C605="G",INDEX(Baseline!$I$3:$I$102,MIN(MAX(ROUND($D605,0),1),100)),IF($C605="T",IF($M605=3,INDEX(Baseline!$B$3:$B$122,MATCH(MIN(MAX(ROUND(($D605)/5,0)*5,5),600),Baseline!$A$3:$A$122,0))-Inputs!$B$9,INDEX(Course!$N$2:$N$19,MATCH($B605,Course!$A$2:$A$19,0))),INDEX(Baseline!$B$3:$E$122,MATCH(MIN(MAX(ROUND(($D605)/5,0)*5,5),600),Baseline!$A$3:$A$122,0),MATCH($C605,Baseline!$B$2:$E$2,0))))))</f>
        <v/>
      </c>
      <c r="O605" s="17" t="str">
        <f aca="false">IF($C605="","",IF($E605="H",0,IF($E605="G",INDEX(Baseline!$I$3:$I$102,MIN(MAX(ROUND($F605,0),1),100)),IF($E605="T",IF($M605=3,INDEX(Baseline!$B$3:$B$122,MATCH(MIN(MAX(ROUND(($F605)/5,0)*5,5),600),Baseline!$A$3:$A$122,0))-Inputs!$B$9,INDEX(Course!$N$2:$N$19,MATCH($B605,Course!$A$2:$A$19,0))),INDEX(Baseline!$B$3:$E$122,MATCH(MIN(MAX(ROUND(($F605)/5,0)*5,5),600),Baseline!$A$3:$A$122,0),MATCH($E605,Baseline!$B$2:$E$2,0))))))</f>
        <v/>
      </c>
      <c r="P605" s="17" t="str">
        <f aca="false">IF($B605="","",INDEX(Course!$N$2:$N$19,MATCH($B605,Course!$A$2:$A$19,0)))</f>
        <v/>
      </c>
      <c r="Q605" s="17" t="str">
        <f aca="false">IF($B605="","",INDEX(Course!$P$2:$P$19,MATCH($B605,Course!$A$2:$A$19,0)))</f>
        <v/>
      </c>
      <c r="R605" s="17" t="str">
        <f aca="false">IF($C605="","",IF(OR($C605="G",$C605="H"),0,IF($C605="T",1,MIN(1,MAX(0,($N605-Inputs!$B$8)/MAX($P605-Inputs!$B$8,0.01))))))</f>
        <v/>
      </c>
      <c r="S605" s="17" t="str">
        <f aca="false">IF($C605="","",IF(OR($E605="G",$E605="H"),0,IF($E605="T",1,MIN(1,MAX(0,($O605-Inputs!$B$8)/MAX($P605-Inputs!$B$8,0.01))))))</f>
        <v/>
      </c>
    </row>
    <row r="606" customFormat="false" ht="15" hidden="false" customHeight="false" outlineLevel="0" collapsed="false">
      <c r="I606" s="7" t="str">
        <f aca="false">IF($C606="","",IF($C606="G","PUTT",IF(AND($C606="T",$M606&gt;3),"OTT",IF($D606&lt;=30,"ARG","APP"))))</f>
        <v/>
      </c>
      <c r="J606" s="17" t="str">
        <f aca="false">IF($C606="","",$N606+$Q606*$R606)</f>
        <v/>
      </c>
      <c r="K606" s="17" t="str">
        <f aca="false">IF($C606="","",$O606+$Q606*$S606)</f>
        <v/>
      </c>
      <c r="L606" s="17" t="str">
        <f aca="false">IF($C606="","",$J606-$K606-1-N($G606))</f>
        <v/>
      </c>
      <c r="M606" s="7" t="str">
        <f aca="false">IF($B606="","",INDEX(Course!$B$2:$B$19,MATCH($B606,Course!$A$2:$A$19,0)))</f>
        <v/>
      </c>
      <c r="N606" s="17" t="str">
        <f aca="false">IF($C606="","",IF($C606="H",0,IF($C606="G",INDEX(Baseline!$I$3:$I$102,MIN(MAX(ROUND($D606,0),1),100)),IF($C606="T",IF($M606=3,INDEX(Baseline!$B$3:$B$122,MATCH(MIN(MAX(ROUND(($D606)/5,0)*5,5),600),Baseline!$A$3:$A$122,0))-Inputs!$B$9,INDEX(Course!$N$2:$N$19,MATCH($B606,Course!$A$2:$A$19,0))),INDEX(Baseline!$B$3:$E$122,MATCH(MIN(MAX(ROUND(($D606)/5,0)*5,5),600),Baseline!$A$3:$A$122,0),MATCH($C606,Baseline!$B$2:$E$2,0))))))</f>
        <v/>
      </c>
      <c r="O606" s="17" t="str">
        <f aca="false">IF($C606="","",IF($E606="H",0,IF($E606="G",INDEX(Baseline!$I$3:$I$102,MIN(MAX(ROUND($F606,0),1),100)),IF($E606="T",IF($M606=3,INDEX(Baseline!$B$3:$B$122,MATCH(MIN(MAX(ROUND(($F606)/5,0)*5,5),600),Baseline!$A$3:$A$122,0))-Inputs!$B$9,INDEX(Course!$N$2:$N$19,MATCH($B606,Course!$A$2:$A$19,0))),INDEX(Baseline!$B$3:$E$122,MATCH(MIN(MAX(ROUND(($F606)/5,0)*5,5),600),Baseline!$A$3:$A$122,0),MATCH($E606,Baseline!$B$2:$E$2,0))))))</f>
        <v/>
      </c>
      <c r="P606" s="17" t="str">
        <f aca="false">IF($B606="","",INDEX(Course!$N$2:$N$19,MATCH($B606,Course!$A$2:$A$19,0)))</f>
        <v/>
      </c>
      <c r="Q606" s="17" t="str">
        <f aca="false">IF($B606="","",INDEX(Course!$P$2:$P$19,MATCH($B606,Course!$A$2:$A$19,0)))</f>
        <v/>
      </c>
      <c r="R606" s="17" t="str">
        <f aca="false">IF($C606="","",IF(OR($C606="G",$C606="H"),0,IF($C606="T",1,MIN(1,MAX(0,($N606-Inputs!$B$8)/MAX($P606-Inputs!$B$8,0.01))))))</f>
        <v/>
      </c>
      <c r="S606" s="17" t="str">
        <f aca="false">IF($C606="","",IF(OR($E606="G",$E606="H"),0,IF($E606="T",1,MIN(1,MAX(0,($O606-Inputs!$B$8)/MAX($P606-Inputs!$B$8,0.01))))))</f>
        <v/>
      </c>
    </row>
    <row r="607" customFormat="false" ht="15" hidden="false" customHeight="false" outlineLevel="0" collapsed="false">
      <c r="I607" s="7" t="str">
        <f aca="false">IF($C607="","",IF($C607="G","PUTT",IF(AND($C607="T",$M607&gt;3),"OTT",IF($D607&lt;=30,"ARG","APP"))))</f>
        <v/>
      </c>
      <c r="J607" s="17" t="str">
        <f aca="false">IF($C607="","",$N607+$Q607*$R607)</f>
        <v/>
      </c>
      <c r="K607" s="17" t="str">
        <f aca="false">IF($C607="","",$O607+$Q607*$S607)</f>
        <v/>
      </c>
      <c r="L607" s="17" t="str">
        <f aca="false">IF($C607="","",$J607-$K607-1-N($G607))</f>
        <v/>
      </c>
      <c r="M607" s="7" t="str">
        <f aca="false">IF($B607="","",INDEX(Course!$B$2:$B$19,MATCH($B607,Course!$A$2:$A$19,0)))</f>
        <v/>
      </c>
      <c r="N607" s="17" t="str">
        <f aca="false">IF($C607="","",IF($C607="H",0,IF($C607="G",INDEX(Baseline!$I$3:$I$102,MIN(MAX(ROUND($D607,0),1),100)),IF($C607="T",IF($M607=3,INDEX(Baseline!$B$3:$B$122,MATCH(MIN(MAX(ROUND(($D607)/5,0)*5,5),600),Baseline!$A$3:$A$122,0))-Inputs!$B$9,INDEX(Course!$N$2:$N$19,MATCH($B607,Course!$A$2:$A$19,0))),INDEX(Baseline!$B$3:$E$122,MATCH(MIN(MAX(ROUND(($D607)/5,0)*5,5),600),Baseline!$A$3:$A$122,0),MATCH($C607,Baseline!$B$2:$E$2,0))))))</f>
        <v/>
      </c>
      <c r="O607" s="17" t="str">
        <f aca="false">IF($C607="","",IF($E607="H",0,IF($E607="G",INDEX(Baseline!$I$3:$I$102,MIN(MAX(ROUND($F607,0),1),100)),IF($E607="T",IF($M607=3,INDEX(Baseline!$B$3:$B$122,MATCH(MIN(MAX(ROUND(($F607)/5,0)*5,5),600),Baseline!$A$3:$A$122,0))-Inputs!$B$9,INDEX(Course!$N$2:$N$19,MATCH($B607,Course!$A$2:$A$19,0))),INDEX(Baseline!$B$3:$E$122,MATCH(MIN(MAX(ROUND(($F607)/5,0)*5,5),600),Baseline!$A$3:$A$122,0),MATCH($E607,Baseline!$B$2:$E$2,0))))))</f>
        <v/>
      </c>
      <c r="P607" s="17" t="str">
        <f aca="false">IF($B607="","",INDEX(Course!$N$2:$N$19,MATCH($B607,Course!$A$2:$A$19,0)))</f>
        <v/>
      </c>
      <c r="Q607" s="17" t="str">
        <f aca="false">IF($B607="","",INDEX(Course!$P$2:$P$19,MATCH($B607,Course!$A$2:$A$19,0)))</f>
        <v/>
      </c>
      <c r="R607" s="17" t="str">
        <f aca="false">IF($C607="","",IF(OR($C607="G",$C607="H"),0,IF($C607="T",1,MIN(1,MAX(0,($N607-Inputs!$B$8)/MAX($P607-Inputs!$B$8,0.01))))))</f>
        <v/>
      </c>
      <c r="S607" s="17" t="str">
        <f aca="false">IF($C607="","",IF(OR($E607="G",$E607="H"),0,IF($E607="T",1,MIN(1,MAX(0,($O607-Inputs!$B$8)/MAX($P607-Inputs!$B$8,0.01))))))</f>
        <v/>
      </c>
    </row>
    <row r="608" customFormat="false" ht="15" hidden="false" customHeight="false" outlineLevel="0" collapsed="false">
      <c r="I608" s="7" t="str">
        <f aca="false">IF($C608="","",IF($C608="G","PUTT",IF(AND($C608="T",$M608&gt;3),"OTT",IF($D608&lt;=30,"ARG","APP"))))</f>
        <v/>
      </c>
      <c r="J608" s="17" t="str">
        <f aca="false">IF($C608="","",$N608+$Q608*$R608)</f>
        <v/>
      </c>
      <c r="K608" s="17" t="str">
        <f aca="false">IF($C608="","",$O608+$Q608*$S608)</f>
        <v/>
      </c>
      <c r="L608" s="17" t="str">
        <f aca="false">IF($C608="","",$J608-$K608-1-N($G608))</f>
        <v/>
      </c>
      <c r="M608" s="7" t="str">
        <f aca="false">IF($B608="","",INDEX(Course!$B$2:$B$19,MATCH($B608,Course!$A$2:$A$19,0)))</f>
        <v/>
      </c>
      <c r="N608" s="17" t="str">
        <f aca="false">IF($C608="","",IF($C608="H",0,IF($C608="G",INDEX(Baseline!$I$3:$I$102,MIN(MAX(ROUND($D608,0),1),100)),IF($C608="T",IF($M608=3,INDEX(Baseline!$B$3:$B$122,MATCH(MIN(MAX(ROUND(($D608)/5,0)*5,5),600),Baseline!$A$3:$A$122,0))-Inputs!$B$9,INDEX(Course!$N$2:$N$19,MATCH($B608,Course!$A$2:$A$19,0))),INDEX(Baseline!$B$3:$E$122,MATCH(MIN(MAX(ROUND(($D608)/5,0)*5,5),600),Baseline!$A$3:$A$122,0),MATCH($C608,Baseline!$B$2:$E$2,0))))))</f>
        <v/>
      </c>
      <c r="O608" s="17" t="str">
        <f aca="false">IF($C608="","",IF($E608="H",0,IF($E608="G",INDEX(Baseline!$I$3:$I$102,MIN(MAX(ROUND($F608,0),1),100)),IF($E608="T",IF($M608=3,INDEX(Baseline!$B$3:$B$122,MATCH(MIN(MAX(ROUND(($F608)/5,0)*5,5),600),Baseline!$A$3:$A$122,0))-Inputs!$B$9,INDEX(Course!$N$2:$N$19,MATCH($B608,Course!$A$2:$A$19,0))),INDEX(Baseline!$B$3:$E$122,MATCH(MIN(MAX(ROUND(($F608)/5,0)*5,5),600),Baseline!$A$3:$A$122,0),MATCH($E608,Baseline!$B$2:$E$2,0))))))</f>
        <v/>
      </c>
      <c r="P608" s="17" t="str">
        <f aca="false">IF($B608="","",INDEX(Course!$N$2:$N$19,MATCH($B608,Course!$A$2:$A$19,0)))</f>
        <v/>
      </c>
      <c r="Q608" s="17" t="str">
        <f aca="false">IF($B608="","",INDEX(Course!$P$2:$P$19,MATCH($B608,Course!$A$2:$A$19,0)))</f>
        <v/>
      </c>
      <c r="R608" s="17" t="str">
        <f aca="false">IF($C608="","",IF(OR($C608="G",$C608="H"),0,IF($C608="T",1,MIN(1,MAX(0,($N608-Inputs!$B$8)/MAX($P608-Inputs!$B$8,0.01))))))</f>
        <v/>
      </c>
      <c r="S608" s="17" t="str">
        <f aca="false">IF($C608="","",IF(OR($E608="G",$E608="H"),0,IF($E608="T",1,MIN(1,MAX(0,($O608-Inputs!$B$8)/MAX($P608-Inputs!$B$8,0.01))))))</f>
        <v/>
      </c>
    </row>
    <row r="609" customFormat="false" ht="15" hidden="false" customHeight="false" outlineLevel="0" collapsed="false">
      <c r="I609" s="7" t="str">
        <f aca="false">IF($C609="","",IF($C609="G","PUTT",IF(AND($C609="T",$M609&gt;3),"OTT",IF($D609&lt;=30,"ARG","APP"))))</f>
        <v/>
      </c>
      <c r="J609" s="17" t="str">
        <f aca="false">IF($C609="","",$N609+$Q609*$R609)</f>
        <v/>
      </c>
      <c r="K609" s="17" t="str">
        <f aca="false">IF($C609="","",$O609+$Q609*$S609)</f>
        <v/>
      </c>
      <c r="L609" s="17" t="str">
        <f aca="false">IF($C609="","",$J609-$K609-1-N($G609))</f>
        <v/>
      </c>
      <c r="M609" s="7" t="str">
        <f aca="false">IF($B609="","",INDEX(Course!$B$2:$B$19,MATCH($B609,Course!$A$2:$A$19,0)))</f>
        <v/>
      </c>
      <c r="N609" s="17" t="str">
        <f aca="false">IF($C609="","",IF($C609="H",0,IF($C609="G",INDEX(Baseline!$I$3:$I$102,MIN(MAX(ROUND($D609,0),1),100)),IF($C609="T",IF($M609=3,INDEX(Baseline!$B$3:$B$122,MATCH(MIN(MAX(ROUND(($D609)/5,0)*5,5),600),Baseline!$A$3:$A$122,0))-Inputs!$B$9,INDEX(Course!$N$2:$N$19,MATCH($B609,Course!$A$2:$A$19,0))),INDEX(Baseline!$B$3:$E$122,MATCH(MIN(MAX(ROUND(($D609)/5,0)*5,5),600),Baseline!$A$3:$A$122,0),MATCH($C609,Baseline!$B$2:$E$2,0))))))</f>
        <v/>
      </c>
      <c r="O609" s="17" t="str">
        <f aca="false">IF($C609="","",IF($E609="H",0,IF($E609="G",INDEX(Baseline!$I$3:$I$102,MIN(MAX(ROUND($F609,0),1),100)),IF($E609="T",IF($M609=3,INDEX(Baseline!$B$3:$B$122,MATCH(MIN(MAX(ROUND(($F609)/5,0)*5,5),600),Baseline!$A$3:$A$122,0))-Inputs!$B$9,INDEX(Course!$N$2:$N$19,MATCH($B609,Course!$A$2:$A$19,0))),INDEX(Baseline!$B$3:$E$122,MATCH(MIN(MAX(ROUND(($F609)/5,0)*5,5),600),Baseline!$A$3:$A$122,0),MATCH($E609,Baseline!$B$2:$E$2,0))))))</f>
        <v/>
      </c>
      <c r="P609" s="17" t="str">
        <f aca="false">IF($B609="","",INDEX(Course!$N$2:$N$19,MATCH($B609,Course!$A$2:$A$19,0)))</f>
        <v/>
      </c>
      <c r="Q609" s="17" t="str">
        <f aca="false">IF($B609="","",INDEX(Course!$P$2:$P$19,MATCH($B609,Course!$A$2:$A$19,0)))</f>
        <v/>
      </c>
      <c r="R609" s="17" t="str">
        <f aca="false">IF($C609="","",IF(OR($C609="G",$C609="H"),0,IF($C609="T",1,MIN(1,MAX(0,($N609-Inputs!$B$8)/MAX($P609-Inputs!$B$8,0.01))))))</f>
        <v/>
      </c>
      <c r="S609" s="17" t="str">
        <f aca="false">IF($C609="","",IF(OR($E609="G",$E609="H"),0,IF($E609="T",1,MIN(1,MAX(0,($O609-Inputs!$B$8)/MAX($P609-Inputs!$B$8,0.01))))))</f>
        <v/>
      </c>
    </row>
    <row r="610" customFormat="false" ht="15" hidden="false" customHeight="false" outlineLevel="0" collapsed="false">
      <c r="I610" s="7" t="str">
        <f aca="false">IF($C610="","",IF($C610="G","PUTT",IF(AND($C610="T",$M610&gt;3),"OTT",IF($D610&lt;=30,"ARG","APP"))))</f>
        <v/>
      </c>
      <c r="J610" s="17" t="str">
        <f aca="false">IF($C610="","",$N610+$Q610*$R610)</f>
        <v/>
      </c>
      <c r="K610" s="17" t="str">
        <f aca="false">IF($C610="","",$O610+$Q610*$S610)</f>
        <v/>
      </c>
      <c r="L610" s="17" t="str">
        <f aca="false">IF($C610="","",$J610-$K610-1-N($G610))</f>
        <v/>
      </c>
      <c r="M610" s="7" t="str">
        <f aca="false">IF($B610="","",INDEX(Course!$B$2:$B$19,MATCH($B610,Course!$A$2:$A$19,0)))</f>
        <v/>
      </c>
      <c r="N610" s="17" t="str">
        <f aca="false">IF($C610="","",IF($C610="H",0,IF($C610="G",INDEX(Baseline!$I$3:$I$102,MIN(MAX(ROUND($D610,0),1),100)),IF($C610="T",IF($M610=3,INDEX(Baseline!$B$3:$B$122,MATCH(MIN(MAX(ROUND(($D610)/5,0)*5,5),600),Baseline!$A$3:$A$122,0))-Inputs!$B$9,INDEX(Course!$N$2:$N$19,MATCH($B610,Course!$A$2:$A$19,0))),INDEX(Baseline!$B$3:$E$122,MATCH(MIN(MAX(ROUND(($D610)/5,0)*5,5),600),Baseline!$A$3:$A$122,0),MATCH($C610,Baseline!$B$2:$E$2,0))))))</f>
        <v/>
      </c>
      <c r="O610" s="17" t="str">
        <f aca="false">IF($C610="","",IF($E610="H",0,IF($E610="G",INDEX(Baseline!$I$3:$I$102,MIN(MAX(ROUND($F610,0),1),100)),IF($E610="T",IF($M610=3,INDEX(Baseline!$B$3:$B$122,MATCH(MIN(MAX(ROUND(($F610)/5,0)*5,5),600),Baseline!$A$3:$A$122,0))-Inputs!$B$9,INDEX(Course!$N$2:$N$19,MATCH($B610,Course!$A$2:$A$19,0))),INDEX(Baseline!$B$3:$E$122,MATCH(MIN(MAX(ROUND(($F610)/5,0)*5,5),600),Baseline!$A$3:$A$122,0),MATCH($E610,Baseline!$B$2:$E$2,0))))))</f>
        <v/>
      </c>
      <c r="P610" s="17" t="str">
        <f aca="false">IF($B610="","",INDEX(Course!$N$2:$N$19,MATCH($B610,Course!$A$2:$A$19,0)))</f>
        <v/>
      </c>
      <c r="Q610" s="17" t="str">
        <f aca="false">IF($B610="","",INDEX(Course!$P$2:$P$19,MATCH($B610,Course!$A$2:$A$19,0)))</f>
        <v/>
      </c>
      <c r="R610" s="17" t="str">
        <f aca="false">IF($C610="","",IF(OR($C610="G",$C610="H"),0,IF($C610="T",1,MIN(1,MAX(0,($N610-Inputs!$B$8)/MAX($P610-Inputs!$B$8,0.01))))))</f>
        <v/>
      </c>
      <c r="S610" s="17" t="str">
        <f aca="false">IF($C610="","",IF(OR($E610="G",$E610="H"),0,IF($E610="T",1,MIN(1,MAX(0,($O610-Inputs!$B$8)/MAX($P610-Inputs!$B$8,0.01))))))</f>
        <v/>
      </c>
    </row>
    <row r="611" customFormat="false" ht="15" hidden="false" customHeight="false" outlineLevel="0" collapsed="false">
      <c r="I611" s="7" t="str">
        <f aca="false">IF($C611="","",IF($C611="G","PUTT",IF(AND($C611="T",$M611&gt;3),"OTT",IF($D611&lt;=30,"ARG","APP"))))</f>
        <v/>
      </c>
      <c r="J611" s="17" t="str">
        <f aca="false">IF($C611="","",$N611+$Q611*$R611)</f>
        <v/>
      </c>
      <c r="K611" s="17" t="str">
        <f aca="false">IF($C611="","",$O611+$Q611*$S611)</f>
        <v/>
      </c>
      <c r="L611" s="17" t="str">
        <f aca="false">IF($C611="","",$J611-$K611-1-N($G611))</f>
        <v/>
      </c>
      <c r="M611" s="7" t="str">
        <f aca="false">IF($B611="","",INDEX(Course!$B$2:$B$19,MATCH($B611,Course!$A$2:$A$19,0)))</f>
        <v/>
      </c>
      <c r="N611" s="17" t="str">
        <f aca="false">IF($C611="","",IF($C611="H",0,IF($C611="G",INDEX(Baseline!$I$3:$I$102,MIN(MAX(ROUND($D611,0),1),100)),IF($C611="T",IF($M611=3,INDEX(Baseline!$B$3:$B$122,MATCH(MIN(MAX(ROUND(($D611)/5,0)*5,5),600),Baseline!$A$3:$A$122,0))-Inputs!$B$9,INDEX(Course!$N$2:$N$19,MATCH($B611,Course!$A$2:$A$19,0))),INDEX(Baseline!$B$3:$E$122,MATCH(MIN(MAX(ROUND(($D611)/5,0)*5,5),600),Baseline!$A$3:$A$122,0),MATCH($C611,Baseline!$B$2:$E$2,0))))))</f>
        <v/>
      </c>
      <c r="O611" s="17" t="str">
        <f aca="false">IF($C611="","",IF($E611="H",0,IF($E611="G",INDEX(Baseline!$I$3:$I$102,MIN(MAX(ROUND($F611,0),1),100)),IF($E611="T",IF($M611=3,INDEX(Baseline!$B$3:$B$122,MATCH(MIN(MAX(ROUND(($F611)/5,0)*5,5),600),Baseline!$A$3:$A$122,0))-Inputs!$B$9,INDEX(Course!$N$2:$N$19,MATCH($B611,Course!$A$2:$A$19,0))),INDEX(Baseline!$B$3:$E$122,MATCH(MIN(MAX(ROUND(($F611)/5,0)*5,5),600),Baseline!$A$3:$A$122,0),MATCH($E611,Baseline!$B$2:$E$2,0))))))</f>
        <v/>
      </c>
      <c r="P611" s="17" t="str">
        <f aca="false">IF($B611="","",INDEX(Course!$N$2:$N$19,MATCH($B611,Course!$A$2:$A$19,0)))</f>
        <v/>
      </c>
      <c r="Q611" s="17" t="str">
        <f aca="false">IF($B611="","",INDEX(Course!$P$2:$P$19,MATCH($B611,Course!$A$2:$A$19,0)))</f>
        <v/>
      </c>
      <c r="R611" s="17" t="str">
        <f aca="false">IF($C611="","",IF(OR($C611="G",$C611="H"),0,IF($C611="T",1,MIN(1,MAX(0,($N611-Inputs!$B$8)/MAX($P611-Inputs!$B$8,0.01))))))</f>
        <v/>
      </c>
      <c r="S611" s="17" t="str">
        <f aca="false">IF($C611="","",IF(OR($E611="G",$E611="H"),0,IF($E611="T",1,MIN(1,MAX(0,($O611-Inputs!$B$8)/MAX($P611-Inputs!$B$8,0.01))))))</f>
        <v/>
      </c>
    </row>
    <row r="612" customFormat="false" ht="15" hidden="false" customHeight="false" outlineLevel="0" collapsed="false">
      <c r="I612" s="7" t="str">
        <f aca="false">IF($C612="","",IF($C612="G","PUTT",IF(AND($C612="T",$M612&gt;3),"OTT",IF($D612&lt;=30,"ARG","APP"))))</f>
        <v/>
      </c>
      <c r="J612" s="17" t="str">
        <f aca="false">IF($C612="","",$N612+$Q612*$R612)</f>
        <v/>
      </c>
      <c r="K612" s="17" t="str">
        <f aca="false">IF($C612="","",$O612+$Q612*$S612)</f>
        <v/>
      </c>
      <c r="L612" s="17" t="str">
        <f aca="false">IF($C612="","",$J612-$K612-1-N($G612))</f>
        <v/>
      </c>
      <c r="M612" s="7" t="str">
        <f aca="false">IF($B612="","",INDEX(Course!$B$2:$B$19,MATCH($B612,Course!$A$2:$A$19,0)))</f>
        <v/>
      </c>
      <c r="N612" s="17" t="str">
        <f aca="false">IF($C612="","",IF($C612="H",0,IF($C612="G",INDEX(Baseline!$I$3:$I$102,MIN(MAX(ROUND($D612,0),1),100)),IF($C612="T",IF($M612=3,INDEX(Baseline!$B$3:$B$122,MATCH(MIN(MAX(ROUND(($D612)/5,0)*5,5),600),Baseline!$A$3:$A$122,0))-Inputs!$B$9,INDEX(Course!$N$2:$N$19,MATCH($B612,Course!$A$2:$A$19,0))),INDEX(Baseline!$B$3:$E$122,MATCH(MIN(MAX(ROUND(($D612)/5,0)*5,5),600),Baseline!$A$3:$A$122,0),MATCH($C612,Baseline!$B$2:$E$2,0))))))</f>
        <v/>
      </c>
      <c r="O612" s="17" t="str">
        <f aca="false">IF($C612="","",IF($E612="H",0,IF($E612="G",INDEX(Baseline!$I$3:$I$102,MIN(MAX(ROUND($F612,0),1),100)),IF($E612="T",IF($M612=3,INDEX(Baseline!$B$3:$B$122,MATCH(MIN(MAX(ROUND(($F612)/5,0)*5,5),600),Baseline!$A$3:$A$122,0))-Inputs!$B$9,INDEX(Course!$N$2:$N$19,MATCH($B612,Course!$A$2:$A$19,0))),INDEX(Baseline!$B$3:$E$122,MATCH(MIN(MAX(ROUND(($F612)/5,0)*5,5),600),Baseline!$A$3:$A$122,0),MATCH($E612,Baseline!$B$2:$E$2,0))))))</f>
        <v/>
      </c>
      <c r="P612" s="17" t="str">
        <f aca="false">IF($B612="","",INDEX(Course!$N$2:$N$19,MATCH($B612,Course!$A$2:$A$19,0)))</f>
        <v/>
      </c>
      <c r="Q612" s="17" t="str">
        <f aca="false">IF($B612="","",INDEX(Course!$P$2:$P$19,MATCH($B612,Course!$A$2:$A$19,0)))</f>
        <v/>
      </c>
      <c r="R612" s="17" t="str">
        <f aca="false">IF($C612="","",IF(OR($C612="G",$C612="H"),0,IF($C612="T",1,MIN(1,MAX(0,($N612-Inputs!$B$8)/MAX($P612-Inputs!$B$8,0.01))))))</f>
        <v/>
      </c>
      <c r="S612" s="17" t="str">
        <f aca="false">IF($C612="","",IF(OR($E612="G",$E612="H"),0,IF($E612="T",1,MIN(1,MAX(0,($O612-Inputs!$B$8)/MAX($P612-Inputs!$B$8,0.01))))))</f>
        <v/>
      </c>
    </row>
    <row r="613" customFormat="false" ht="15" hidden="false" customHeight="false" outlineLevel="0" collapsed="false">
      <c r="I613" s="7" t="str">
        <f aca="false">IF($C613="","",IF($C613="G","PUTT",IF(AND($C613="T",$M613&gt;3),"OTT",IF($D613&lt;=30,"ARG","APP"))))</f>
        <v/>
      </c>
      <c r="J613" s="17" t="str">
        <f aca="false">IF($C613="","",$N613+$Q613*$R613)</f>
        <v/>
      </c>
      <c r="K613" s="17" t="str">
        <f aca="false">IF($C613="","",$O613+$Q613*$S613)</f>
        <v/>
      </c>
      <c r="L613" s="17" t="str">
        <f aca="false">IF($C613="","",$J613-$K613-1-N($G613))</f>
        <v/>
      </c>
      <c r="M613" s="7" t="str">
        <f aca="false">IF($B613="","",INDEX(Course!$B$2:$B$19,MATCH($B613,Course!$A$2:$A$19,0)))</f>
        <v/>
      </c>
      <c r="N613" s="17" t="str">
        <f aca="false">IF($C613="","",IF($C613="H",0,IF($C613="G",INDEX(Baseline!$I$3:$I$102,MIN(MAX(ROUND($D613,0),1),100)),IF($C613="T",IF($M613=3,INDEX(Baseline!$B$3:$B$122,MATCH(MIN(MAX(ROUND(($D613)/5,0)*5,5),600),Baseline!$A$3:$A$122,0))-Inputs!$B$9,INDEX(Course!$N$2:$N$19,MATCH($B613,Course!$A$2:$A$19,0))),INDEX(Baseline!$B$3:$E$122,MATCH(MIN(MAX(ROUND(($D613)/5,0)*5,5),600),Baseline!$A$3:$A$122,0),MATCH($C613,Baseline!$B$2:$E$2,0))))))</f>
        <v/>
      </c>
      <c r="O613" s="17" t="str">
        <f aca="false">IF($C613="","",IF($E613="H",0,IF($E613="G",INDEX(Baseline!$I$3:$I$102,MIN(MAX(ROUND($F613,0),1),100)),IF($E613="T",IF($M613=3,INDEX(Baseline!$B$3:$B$122,MATCH(MIN(MAX(ROUND(($F613)/5,0)*5,5),600),Baseline!$A$3:$A$122,0))-Inputs!$B$9,INDEX(Course!$N$2:$N$19,MATCH($B613,Course!$A$2:$A$19,0))),INDEX(Baseline!$B$3:$E$122,MATCH(MIN(MAX(ROUND(($F613)/5,0)*5,5),600),Baseline!$A$3:$A$122,0),MATCH($E613,Baseline!$B$2:$E$2,0))))))</f>
        <v/>
      </c>
      <c r="P613" s="17" t="str">
        <f aca="false">IF($B613="","",INDEX(Course!$N$2:$N$19,MATCH($B613,Course!$A$2:$A$19,0)))</f>
        <v/>
      </c>
      <c r="Q613" s="17" t="str">
        <f aca="false">IF($B613="","",INDEX(Course!$P$2:$P$19,MATCH($B613,Course!$A$2:$A$19,0)))</f>
        <v/>
      </c>
      <c r="R613" s="17" t="str">
        <f aca="false">IF($C613="","",IF(OR($C613="G",$C613="H"),0,IF($C613="T",1,MIN(1,MAX(0,($N613-Inputs!$B$8)/MAX($P613-Inputs!$B$8,0.01))))))</f>
        <v/>
      </c>
      <c r="S613" s="17" t="str">
        <f aca="false">IF($C613="","",IF(OR($E613="G",$E613="H"),0,IF($E613="T",1,MIN(1,MAX(0,($O613-Inputs!$B$8)/MAX($P613-Inputs!$B$8,0.01))))))</f>
        <v/>
      </c>
    </row>
    <row r="614" customFormat="false" ht="15" hidden="false" customHeight="false" outlineLevel="0" collapsed="false">
      <c r="I614" s="7" t="str">
        <f aca="false">IF($C614="","",IF($C614="G","PUTT",IF(AND($C614="T",$M614&gt;3),"OTT",IF($D614&lt;=30,"ARG","APP"))))</f>
        <v/>
      </c>
      <c r="J614" s="17" t="str">
        <f aca="false">IF($C614="","",$N614+$Q614*$R614)</f>
        <v/>
      </c>
      <c r="K614" s="17" t="str">
        <f aca="false">IF($C614="","",$O614+$Q614*$S614)</f>
        <v/>
      </c>
      <c r="L614" s="17" t="str">
        <f aca="false">IF($C614="","",$J614-$K614-1-N($G614))</f>
        <v/>
      </c>
      <c r="M614" s="7" t="str">
        <f aca="false">IF($B614="","",INDEX(Course!$B$2:$B$19,MATCH($B614,Course!$A$2:$A$19,0)))</f>
        <v/>
      </c>
      <c r="N614" s="17" t="str">
        <f aca="false">IF($C614="","",IF($C614="H",0,IF($C614="G",INDEX(Baseline!$I$3:$I$102,MIN(MAX(ROUND($D614,0),1),100)),IF($C614="T",IF($M614=3,INDEX(Baseline!$B$3:$B$122,MATCH(MIN(MAX(ROUND(($D614)/5,0)*5,5),600),Baseline!$A$3:$A$122,0))-Inputs!$B$9,INDEX(Course!$N$2:$N$19,MATCH($B614,Course!$A$2:$A$19,0))),INDEX(Baseline!$B$3:$E$122,MATCH(MIN(MAX(ROUND(($D614)/5,0)*5,5),600),Baseline!$A$3:$A$122,0),MATCH($C614,Baseline!$B$2:$E$2,0))))))</f>
        <v/>
      </c>
      <c r="O614" s="17" t="str">
        <f aca="false">IF($C614="","",IF($E614="H",0,IF($E614="G",INDEX(Baseline!$I$3:$I$102,MIN(MAX(ROUND($F614,0),1),100)),IF($E614="T",IF($M614=3,INDEX(Baseline!$B$3:$B$122,MATCH(MIN(MAX(ROUND(($F614)/5,0)*5,5),600),Baseline!$A$3:$A$122,0))-Inputs!$B$9,INDEX(Course!$N$2:$N$19,MATCH($B614,Course!$A$2:$A$19,0))),INDEX(Baseline!$B$3:$E$122,MATCH(MIN(MAX(ROUND(($F614)/5,0)*5,5),600),Baseline!$A$3:$A$122,0),MATCH($E614,Baseline!$B$2:$E$2,0))))))</f>
        <v/>
      </c>
      <c r="P614" s="17" t="str">
        <f aca="false">IF($B614="","",INDEX(Course!$N$2:$N$19,MATCH($B614,Course!$A$2:$A$19,0)))</f>
        <v/>
      </c>
      <c r="Q614" s="17" t="str">
        <f aca="false">IF($B614="","",INDEX(Course!$P$2:$P$19,MATCH($B614,Course!$A$2:$A$19,0)))</f>
        <v/>
      </c>
      <c r="R614" s="17" t="str">
        <f aca="false">IF($C614="","",IF(OR($C614="G",$C614="H"),0,IF($C614="T",1,MIN(1,MAX(0,($N614-Inputs!$B$8)/MAX($P614-Inputs!$B$8,0.01))))))</f>
        <v/>
      </c>
      <c r="S614" s="17" t="str">
        <f aca="false">IF($C614="","",IF(OR($E614="G",$E614="H"),0,IF($E614="T",1,MIN(1,MAX(0,($O614-Inputs!$B$8)/MAX($P614-Inputs!$B$8,0.01))))))</f>
        <v/>
      </c>
    </row>
    <row r="615" customFormat="false" ht="15" hidden="false" customHeight="false" outlineLevel="0" collapsed="false">
      <c r="I615" s="7" t="str">
        <f aca="false">IF($C615="","",IF($C615="G","PUTT",IF(AND($C615="T",$M615&gt;3),"OTT",IF($D615&lt;=30,"ARG","APP"))))</f>
        <v/>
      </c>
      <c r="J615" s="17" t="str">
        <f aca="false">IF($C615="","",$N615+$Q615*$R615)</f>
        <v/>
      </c>
      <c r="K615" s="17" t="str">
        <f aca="false">IF($C615="","",$O615+$Q615*$S615)</f>
        <v/>
      </c>
      <c r="L615" s="17" t="str">
        <f aca="false">IF($C615="","",$J615-$K615-1-N($G615))</f>
        <v/>
      </c>
      <c r="M615" s="7" t="str">
        <f aca="false">IF($B615="","",INDEX(Course!$B$2:$B$19,MATCH($B615,Course!$A$2:$A$19,0)))</f>
        <v/>
      </c>
      <c r="N615" s="17" t="str">
        <f aca="false">IF($C615="","",IF($C615="H",0,IF($C615="G",INDEX(Baseline!$I$3:$I$102,MIN(MAX(ROUND($D615,0),1),100)),IF($C615="T",IF($M615=3,INDEX(Baseline!$B$3:$B$122,MATCH(MIN(MAX(ROUND(($D615)/5,0)*5,5),600),Baseline!$A$3:$A$122,0))-Inputs!$B$9,INDEX(Course!$N$2:$N$19,MATCH($B615,Course!$A$2:$A$19,0))),INDEX(Baseline!$B$3:$E$122,MATCH(MIN(MAX(ROUND(($D615)/5,0)*5,5),600),Baseline!$A$3:$A$122,0),MATCH($C615,Baseline!$B$2:$E$2,0))))))</f>
        <v/>
      </c>
      <c r="O615" s="17" t="str">
        <f aca="false">IF($C615="","",IF($E615="H",0,IF($E615="G",INDEX(Baseline!$I$3:$I$102,MIN(MAX(ROUND($F615,0),1),100)),IF($E615="T",IF($M615=3,INDEX(Baseline!$B$3:$B$122,MATCH(MIN(MAX(ROUND(($F615)/5,0)*5,5),600),Baseline!$A$3:$A$122,0))-Inputs!$B$9,INDEX(Course!$N$2:$N$19,MATCH($B615,Course!$A$2:$A$19,0))),INDEX(Baseline!$B$3:$E$122,MATCH(MIN(MAX(ROUND(($F615)/5,0)*5,5),600),Baseline!$A$3:$A$122,0),MATCH($E615,Baseline!$B$2:$E$2,0))))))</f>
        <v/>
      </c>
      <c r="P615" s="17" t="str">
        <f aca="false">IF($B615="","",INDEX(Course!$N$2:$N$19,MATCH($B615,Course!$A$2:$A$19,0)))</f>
        <v/>
      </c>
      <c r="Q615" s="17" t="str">
        <f aca="false">IF($B615="","",INDEX(Course!$P$2:$P$19,MATCH($B615,Course!$A$2:$A$19,0)))</f>
        <v/>
      </c>
      <c r="R615" s="17" t="str">
        <f aca="false">IF($C615="","",IF(OR($C615="G",$C615="H"),0,IF($C615="T",1,MIN(1,MAX(0,($N615-Inputs!$B$8)/MAX($P615-Inputs!$B$8,0.01))))))</f>
        <v/>
      </c>
      <c r="S615" s="17" t="str">
        <f aca="false">IF($C615="","",IF(OR($E615="G",$E615="H"),0,IF($E615="T",1,MIN(1,MAX(0,($O615-Inputs!$B$8)/MAX($P615-Inputs!$B$8,0.01))))))</f>
        <v/>
      </c>
    </row>
    <row r="616" customFormat="false" ht="15" hidden="false" customHeight="false" outlineLevel="0" collapsed="false">
      <c r="I616" s="7" t="str">
        <f aca="false">IF($C616="","",IF($C616="G","PUTT",IF(AND($C616="T",$M616&gt;3),"OTT",IF($D616&lt;=30,"ARG","APP"))))</f>
        <v/>
      </c>
      <c r="J616" s="17" t="str">
        <f aca="false">IF($C616="","",$N616+$Q616*$R616)</f>
        <v/>
      </c>
      <c r="K616" s="17" t="str">
        <f aca="false">IF($C616="","",$O616+$Q616*$S616)</f>
        <v/>
      </c>
      <c r="L616" s="17" t="str">
        <f aca="false">IF($C616="","",$J616-$K616-1-N($G616))</f>
        <v/>
      </c>
      <c r="M616" s="7" t="str">
        <f aca="false">IF($B616="","",INDEX(Course!$B$2:$B$19,MATCH($B616,Course!$A$2:$A$19,0)))</f>
        <v/>
      </c>
      <c r="N616" s="17" t="str">
        <f aca="false">IF($C616="","",IF($C616="H",0,IF($C616="G",INDEX(Baseline!$I$3:$I$102,MIN(MAX(ROUND($D616,0),1),100)),IF($C616="T",IF($M616=3,INDEX(Baseline!$B$3:$B$122,MATCH(MIN(MAX(ROUND(($D616)/5,0)*5,5),600),Baseline!$A$3:$A$122,0))-Inputs!$B$9,INDEX(Course!$N$2:$N$19,MATCH($B616,Course!$A$2:$A$19,0))),INDEX(Baseline!$B$3:$E$122,MATCH(MIN(MAX(ROUND(($D616)/5,0)*5,5),600),Baseline!$A$3:$A$122,0),MATCH($C616,Baseline!$B$2:$E$2,0))))))</f>
        <v/>
      </c>
      <c r="O616" s="17" t="str">
        <f aca="false">IF($C616="","",IF($E616="H",0,IF($E616="G",INDEX(Baseline!$I$3:$I$102,MIN(MAX(ROUND($F616,0),1),100)),IF($E616="T",IF($M616=3,INDEX(Baseline!$B$3:$B$122,MATCH(MIN(MAX(ROUND(($F616)/5,0)*5,5),600),Baseline!$A$3:$A$122,0))-Inputs!$B$9,INDEX(Course!$N$2:$N$19,MATCH($B616,Course!$A$2:$A$19,0))),INDEX(Baseline!$B$3:$E$122,MATCH(MIN(MAX(ROUND(($F616)/5,0)*5,5),600),Baseline!$A$3:$A$122,0),MATCH($E616,Baseline!$B$2:$E$2,0))))))</f>
        <v/>
      </c>
      <c r="P616" s="17" t="str">
        <f aca="false">IF($B616="","",INDEX(Course!$N$2:$N$19,MATCH($B616,Course!$A$2:$A$19,0)))</f>
        <v/>
      </c>
      <c r="Q616" s="17" t="str">
        <f aca="false">IF($B616="","",INDEX(Course!$P$2:$P$19,MATCH($B616,Course!$A$2:$A$19,0)))</f>
        <v/>
      </c>
      <c r="R616" s="17" t="str">
        <f aca="false">IF($C616="","",IF(OR($C616="G",$C616="H"),0,IF($C616="T",1,MIN(1,MAX(0,($N616-Inputs!$B$8)/MAX($P616-Inputs!$B$8,0.01))))))</f>
        <v/>
      </c>
      <c r="S616" s="17" t="str">
        <f aca="false">IF($C616="","",IF(OR($E616="G",$E616="H"),0,IF($E616="T",1,MIN(1,MAX(0,($O616-Inputs!$B$8)/MAX($P616-Inputs!$B$8,0.01))))))</f>
        <v/>
      </c>
    </row>
    <row r="617" customFormat="false" ht="15" hidden="false" customHeight="false" outlineLevel="0" collapsed="false">
      <c r="I617" s="7" t="str">
        <f aca="false">IF($C617="","",IF($C617="G","PUTT",IF(AND($C617="T",$M617&gt;3),"OTT",IF($D617&lt;=30,"ARG","APP"))))</f>
        <v/>
      </c>
      <c r="J617" s="17" t="str">
        <f aca="false">IF($C617="","",$N617+$Q617*$R617)</f>
        <v/>
      </c>
      <c r="K617" s="17" t="str">
        <f aca="false">IF($C617="","",$O617+$Q617*$S617)</f>
        <v/>
      </c>
      <c r="L617" s="17" t="str">
        <f aca="false">IF($C617="","",$J617-$K617-1-N($G617))</f>
        <v/>
      </c>
      <c r="M617" s="7" t="str">
        <f aca="false">IF($B617="","",INDEX(Course!$B$2:$B$19,MATCH($B617,Course!$A$2:$A$19,0)))</f>
        <v/>
      </c>
      <c r="N617" s="17" t="str">
        <f aca="false">IF($C617="","",IF($C617="H",0,IF($C617="G",INDEX(Baseline!$I$3:$I$102,MIN(MAX(ROUND($D617,0),1),100)),IF($C617="T",IF($M617=3,INDEX(Baseline!$B$3:$B$122,MATCH(MIN(MAX(ROUND(($D617)/5,0)*5,5),600),Baseline!$A$3:$A$122,0))-Inputs!$B$9,INDEX(Course!$N$2:$N$19,MATCH($B617,Course!$A$2:$A$19,0))),INDEX(Baseline!$B$3:$E$122,MATCH(MIN(MAX(ROUND(($D617)/5,0)*5,5),600),Baseline!$A$3:$A$122,0),MATCH($C617,Baseline!$B$2:$E$2,0))))))</f>
        <v/>
      </c>
      <c r="O617" s="17" t="str">
        <f aca="false">IF($C617="","",IF($E617="H",0,IF($E617="G",INDEX(Baseline!$I$3:$I$102,MIN(MAX(ROUND($F617,0),1),100)),IF($E617="T",IF($M617=3,INDEX(Baseline!$B$3:$B$122,MATCH(MIN(MAX(ROUND(($F617)/5,0)*5,5),600),Baseline!$A$3:$A$122,0))-Inputs!$B$9,INDEX(Course!$N$2:$N$19,MATCH($B617,Course!$A$2:$A$19,0))),INDEX(Baseline!$B$3:$E$122,MATCH(MIN(MAX(ROUND(($F617)/5,0)*5,5),600),Baseline!$A$3:$A$122,0),MATCH($E617,Baseline!$B$2:$E$2,0))))))</f>
        <v/>
      </c>
      <c r="P617" s="17" t="str">
        <f aca="false">IF($B617="","",INDEX(Course!$N$2:$N$19,MATCH($B617,Course!$A$2:$A$19,0)))</f>
        <v/>
      </c>
      <c r="Q617" s="17" t="str">
        <f aca="false">IF($B617="","",INDEX(Course!$P$2:$P$19,MATCH($B617,Course!$A$2:$A$19,0)))</f>
        <v/>
      </c>
      <c r="R617" s="17" t="str">
        <f aca="false">IF($C617="","",IF(OR($C617="G",$C617="H"),0,IF($C617="T",1,MIN(1,MAX(0,($N617-Inputs!$B$8)/MAX($P617-Inputs!$B$8,0.01))))))</f>
        <v/>
      </c>
      <c r="S617" s="17" t="str">
        <f aca="false">IF($C617="","",IF(OR($E617="G",$E617="H"),0,IF($E617="T",1,MIN(1,MAX(0,($O617-Inputs!$B$8)/MAX($P617-Inputs!$B$8,0.01))))))</f>
        <v/>
      </c>
    </row>
    <row r="618" customFormat="false" ht="15" hidden="false" customHeight="false" outlineLevel="0" collapsed="false">
      <c r="I618" s="7" t="str">
        <f aca="false">IF($C618="","",IF($C618="G","PUTT",IF(AND($C618="T",$M618&gt;3),"OTT",IF($D618&lt;=30,"ARG","APP"))))</f>
        <v/>
      </c>
      <c r="J618" s="17" t="str">
        <f aca="false">IF($C618="","",$N618+$Q618*$R618)</f>
        <v/>
      </c>
      <c r="K618" s="17" t="str">
        <f aca="false">IF($C618="","",$O618+$Q618*$S618)</f>
        <v/>
      </c>
      <c r="L618" s="17" t="str">
        <f aca="false">IF($C618="","",$J618-$K618-1-N($G618))</f>
        <v/>
      </c>
      <c r="M618" s="7" t="str">
        <f aca="false">IF($B618="","",INDEX(Course!$B$2:$B$19,MATCH($B618,Course!$A$2:$A$19,0)))</f>
        <v/>
      </c>
      <c r="N618" s="17" t="str">
        <f aca="false">IF($C618="","",IF($C618="H",0,IF($C618="G",INDEX(Baseline!$I$3:$I$102,MIN(MAX(ROUND($D618,0),1),100)),IF($C618="T",IF($M618=3,INDEX(Baseline!$B$3:$B$122,MATCH(MIN(MAX(ROUND(($D618)/5,0)*5,5),600),Baseline!$A$3:$A$122,0))-Inputs!$B$9,INDEX(Course!$N$2:$N$19,MATCH($B618,Course!$A$2:$A$19,0))),INDEX(Baseline!$B$3:$E$122,MATCH(MIN(MAX(ROUND(($D618)/5,0)*5,5),600),Baseline!$A$3:$A$122,0),MATCH($C618,Baseline!$B$2:$E$2,0))))))</f>
        <v/>
      </c>
      <c r="O618" s="17" t="str">
        <f aca="false">IF($C618="","",IF($E618="H",0,IF($E618="G",INDEX(Baseline!$I$3:$I$102,MIN(MAX(ROUND($F618,0),1),100)),IF($E618="T",IF($M618=3,INDEX(Baseline!$B$3:$B$122,MATCH(MIN(MAX(ROUND(($F618)/5,0)*5,5),600),Baseline!$A$3:$A$122,0))-Inputs!$B$9,INDEX(Course!$N$2:$N$19,MATCH($B618,Course!$A$2:$A$19,0))),INDEX(Baseline!$B$3:$E$122,MATCH(MIN(MAX(ROUND(($F618)/5,0)*5,5),600),Baseline!$A$3:$A$122,0),MATCH($E618,Baseline!$B$2:$E$2,0))))))</f>
        <v/>
      </c>
      <c r="P618" s="17" t="str">
        <f aca="false">IF($B618="","",INDEX(Course!$N$2:$N$19,MATCH($B618,Course!$A$2:$A$19,0)))</f>
        <v/>
      </c>
      <c r="Q618" s="17" t="str">
        <f aca="false">IF($B618="","",INDEX(Course!$P$2:$P$19,MATCH($B618,Course!$A$2:$A$19,0)))</f>
        <v/>
      </c>
      <c r="R618" s="17" t="str">
        <f aca="false">IF($C618="","",IF(OR($C618="G",$C618="H"),0,IF($C618="T",1,MIN(1,MAX(0,($N618-Inputs!$B$8)/MAX($P618-Inputs!$B$8,0.01))))))</f>
        <v/>
      </c>
      <c r="S618" s="17" t="str">
        <f aca="false">IF($C618="","",IF(OR($E618="G",$E618="H"),0,IF($E618="T",1,MIN(1,MAX(0,($O618-Inputs!$B$8)/MAX($P618-Inputs!$B$8,0.01))))))</f>
        <v/>
      </c>
    </row>
    <row r="619" customFormat="false" ht="15" hidden="false" customHeight="false" outlineLevel="0" collapsed="false">
      <c r="I619" s="7" t="str">
        <f aca="false">IF($C619="","",IF($C619="G","PUTT",IF(AND($C619="T",$M619&gt;3),"OTT",IF($D619&lt;=30,"ARG","APP"))))</f>
        <v/>
      </c>
      <c r="J619" s="17" t="str">
        <f aca="false">IF($C619="","",$N619+$Q619*$R619)</f>
        <v/>
      </c>
      <c r="K619" s="17" t="str">
        <f aca="false">IF($C619="","",$O619+$Q619*$S619)</f>
        <v/>
      </c>
      <c r="L619" s="17" t="str">
        <f aca="false">IF($C619="","",$J619-$K619-1-N($G619))</f>
        <v/>
      </c>
      <c r="M619" s="7" t="str">
        <f aca="false">IF($B619="","",INDEX(Course!$B$2:$B$19,MATCH($B619,Course!$A$2:$A$19,0)))</f>
        <v/>
      </c>
      <c r="N619" s="17" t="str">
        <f aca="false">IF($C619="","",IF($C619="H",0,IF($C619="G",INDEX(Baseline!$I$3:$I$102,MIN(MAX(ROUND($D619,0),1),100)),IF($C619="T",IF($M619=3,INDEX(Baseline!$B$3:$B$122,MATCH(MIN(MAX(ROUND(($D619)/5,0)*5,5),600),Baseline!$A$3:$A$122,0))-Inputs!$B$9,INDEX(Course!$N$2:$N$19,MATCH($B619,Course!$A$2:$A$19,0))),INDEX(Baseline!$B$3:$E$122,MATCH(MIN(MAX(ROUND(($D619)/5,0)*5,5),600),Baseline!$A$3:$A$122,0),MATCH($C619,Baseline!$B$2:$E$2,0))))))</f>
        <v/>
      </c>
      <c r="O619" s="17" t="str">
        <f aca="false">IF($C619="","",IF($E619="H",0,IF($E619="G",INDEX(Baseline!$I$3:$I$102,MIN(MAX(ROUND($F619,0),1),100)),IF($E619="T",IF($M619=3,INDEX(Baseline!$B$3:$B$122,MATCH(MIN(MAX(ROUND(($F619)/5,0)*5,5),600),Baseline!$A$3:$A$122,0))-Inputs!$B$9,INDEX(Course!$N$2:$N$19,MATCH($B619,Course!$A$2:$A$19,0))),INDEX(Baseline!$B$3:$E$122,MATCH(MIN(MAX(ROUND(($F619)/5,0)*5,5),600),Baseline!$A$3:$A$122,0),MATCH($E619,Baseline!$B$2:$E$2,0))))))</f>
        <v/>
      </c>
      <c r="P619" s="17" t="str">
        <f aca="false">IF($B619="","",INDEX(Course!$N$2:$N$19,MATCH($B619,Course!$A$2:$A$19,0)))</f>
        <v/>
      </c>
      <c r="Q619" s="17" t="str">
        <f aca="false">IF($B619="","",INDEX(Course!$P$2:$P$19,MATCH($B619,Course!$A$2:$A$19,0)))</f>
        <v/>
      </c>
      <c r="R619" s="17" t="str">
        <f aca="false">IF($C619="","",IF(OR($C619="G",$C619="H"),0,IF($C619="T",1,MIN(1,MAX(0,($N619-Inputs!$B$8)/MAX($P619-Inputs!$B$8,0.01))))))</f>
        <v/>
      </c>
      <c r="S619" s="17" t="str">
        <f aca="false">IF($C619="","",IF(OR($E619="G",$E619="H"),0,IF($E619="T",1,MIN(1,MAX(0,($O619-Inputs!$B$8)/MAX($P619-Inputs!$B$8,0.01))))))</f>
        <v/>
      </c>
    </row>
    <row r="620" customFormat="false" ht="15" hidden="false" customHeight="false" outlineLevel="0" collapsed="false">
      <c r="I620" s="7" t="str">
        <f aca="false">IF($C620="","",IF($C620="G","PUTT",IF(AND($C620="T",$M620&gt;3),"OTT",IF($D620&lt;=30,"ARG","APP"))))</f>
        <v/>
      </c>
      <c r="J620" s="17" t="str">
        <f aca="false">IF($C620="","",$N620+$Q620*$R620)</f>
        <v/>
      </c>
      <c r="K620" s="17" t="str">
        <f aca="false">IF($C620="","",$O620+$Q620*$S620)</f>
        <v/>
      </c>
      <c r="L620" s="17" t="str">
        <f aca="false">IF($C620="","",$J620-$K620-1-N($G620))</f>
        <v/>
      </c>
      <c r="M620" s="7" t="str">
        <f aca="false">IF($B620="","",INDEX(Course!$B$2:$B$19,MATCH($B620,Course!$A$2:$A$19,0)))</f>
        <v/>
      </c>
      <c r="N620" s="17" t="str">
        <f aca="false">IF($C620="","",IF($C620="H",0,IF($C620="G",INDEX(Baseline!$I$3:$I$102,MIN(MAX(ROUND($D620,0),1),100)),IF($C620="T",IF($M620=3,INDEX(Baseline!$B$3:$B$122,MATCH(MIN(MAX(ROUND(($D620)/5,0)*5,5),600),Baseline!$A$3:$A$122,0))-Inputs!$B$9,INDEX(Course!$N$2:$N$19,MATCH($B620,Course!$A$2:$A$19,0))),INDEX(Baseline!$B$3:$E$122,MATCH(MIN(MAX(ROUND(($D620)/5,0)*5,5),600),Baseline!$A$3:$A$122,0),MATCH($C620,Baseline!$B$2:$E$2,0))))))</f>
        <v/>
      </c>
      <c r="O620" s="17" t="str">
        <f aca="false">IF($C620="","",IF($E620="H",0,IF($E620="G",INDEX(Baseline!$I$3:$I$102,MIN(MAX(ROUND($F620,0),1),100)),IF($E620="T",IF($M620=3,INDEX(Baseline!$B$3:$B$122,MATCH(MIN(MAX(ROUND(($F620)/5,0)*5,5),600),Baseline!$A$3:$A$122,0))-Inputs!$B$9,INDEX(Course!$N$2:$N$19,MATCH($B620,Course!$A$2:$A$19,0))),INDEX(Baseline!$B$3:$E$122,MATCH(MIN(MAX(ROUND(($F620)/5,0)*5,5),600),Baseline!$A$3:$A$122,0),MATCH($E620,Baseline!$B$2:$E$2,0))))))</f>
        <v/>
      </c>
      <c r="P620" s="17" t="str">
        <f aca="false">IF($B620="","",INDEX(Course!$N$2:$N$19,MATCH($B620,Course!$A$2:$A$19,0)))</f>
        <v/>
      </c>
      <c r="Q620" s="17" t="str">
        <f aca="false">IF($B620="","",INDEX(Course!$P$2:$P$19,MATCH($B620,Course!$A$2:$A$19,0)))</f>
        <v/>
      </c>
      <c r="R620" s="17" t="str">
        <f aca="false">IF($C620="","",IF(OR($C620="G",$C620="H"),0,IF($C620="T",1,MIN(1,MAX(0,($N620-Inputs!$B$8)/MAX($P620-Inputs!$B$8,0.01))))))</f>
        <v/>
      </c>
      <c r="S620" s="17" t="str">
        <f aca="false">IF($C620="","",IF(OR($E620="G",$E620="H"),0,IF($E620="T",1,MIN(1,MAX(0,($O620-Inputs!$B$8)/MAX($P620-Inputs!$B$8,0.01))))))</f>
        <v/>
      </c>
    </row>
    <row r="621" customFormat="false" ht="15" hidden="false" customHeight="false" outlineLevel="0" collapsed="false">
      <c r="I621" s="7" t="str">
        <f aca="false">IF($C621="","",IF($C621="G","PUTT",IF(AND($C621="T",$M621&gt;3),"OTT",IF($D621&lt;=30,"ARG","APP"))))</f>
        <v/>
      </c>
      <c r="J621" s="17" t="str">
        <f aca="false">IF($C621="","",$N621+$Q621*$R621)</f>
        <v/>
      </c>
      <c r="K621" s="17" t="str">
        <f aca="false">IF($C621="","",$O621+$Q621*$S621)</f>
        <v/>
      </c>
      <c r="L621" s="17" t="str">
        <f aca="false">IF($C621="","",$J621-$K621-1-N($G621))</f>
        <v/>
      </c>
      <c r="M621" s="7" t="str">
        <f aca="false">IF($B621="","",INDEX(Course!$B$2:$B$19,MATCH($B621,Course!$A$2:$A$19,0)))</f>
        <v/>
      </c>
      <c r="N621" s="17" t="str">
        <f aca="false">IF($C621="","",IF($C621="H",0,IF($C621="G",INDEX(Baseline!$I$3:$I$102,MIN(MAX(ROUND($D621,0),1),100)),IF($C621="T",IF($M621=3,INDEX(Baseline!$B$3:$B$122,MATCH(MIN(MAX(ROUND(($D621)/5,0)*5,5),600),Baseline!$A$3:$A$122,0))-Inputs!$B$9,INDEX(Course!$N$2:$N$19,MATCH($B621,Course!$A$2:$A$19,0))),INDEX(Baseline!$B$3:$E$122,MATCH(MIN(MAX(ROUND(($D621)/5,0)*5,5),600),Baseline!$A$3:$A$122,0),MATCH($C621,Baseline!$B$2:$E$2,0))))))</f>
        <v/>
      </c>
      <c r="O621" s="17" t="str">
        <f aca="false">IF($C621="","",IF($E621="H",0,IF($E621="G",INDEX(Baseline!$I$3:$I$102,MIN(MAX(ROUND($F621,0),1),100)),IF($E621="T",IF($M621=3,INDEX(Baseline!$B$3:$B$122,MATCH(MIN(MAX(ROUND(($F621)/5,0)*5,5),600),Baseline!$A$3:$A$122,0))-Inputs!$B$9,INDEX(Course!$N$2:$N$19,MATCH($B621,Course!$A$2:$A$19,0))),INDEX(Baseline!$B$3:$E$122,MATCH(MIN(MAX(ROUND(($F621)/5,0)*5,5),600),Baseline!$A$3:$A$122,0),MATCH($E621,Baseline!$B$2:$E$2,0))))))</f>
        <v/>
      </c>
      <c r="P621" s="17" t="str">
        <f aca="false">IF($B621="","",INDEX(Course!$N$2:$N$19,MATCH($B621,Course!$A$2:$A$19,0)))</f>
        <v/>
      </c>
      <c r="Q621" s="17" t="str">
        <f aca="false">IF($B621="","",INDEX(Course!$P$2:$P$19,MATCH($B621,Course!$A$2:$A$19,0)))</f>
        <v/>
      </c>
      <c r="R621" s="17" t="str">
        <f aca="false">IF($C621="","",IF(OR($C621="G",$C621="H"),0,IF($C621="T",1,MIN(1,MAX(0,($N621-Inputs!$B$8)/MAX($P621-Inputs!$B$8,0.01))))))</f>
        <v/>
      </c>
      <c r="S621" s="17" t="str">
        <f aca="false">IF($C621="","",IF(OR($E621="G",$E621="H"),0,IF($E621="T",1,MIN(1,MAX(0,($O621-Inputs!$B$8)/MAX($P621-Inputs!$B$8,0.01))))))</f>
        <v/>
      </c>
    </row>
    <row r="622" customFormat="false" ht="15" hidden="false" customHeight="false" outlineLevel="0" collapsed="false">
      <c r="I622" s="7" t="str">
        <f aca="false">IF($C622="","",IF($C622="G","PUTT",IF(AND($C622="T",$M622&gt;3),"OTT",IF($D622&lt;=30,"ARG","APP"))))</f>
        <v/>
      </c>
      <c r="J622" s="17" t="str">
        <f aca="false">IF($C622="","",$N622+$Q622*$R622)</f>
        <v/>
      </c>
      <c r="K622" s="17" t="str">
        <f aca="false">IF($C622="","",$O622+$Q622*$S622)</f>
        <v/>
      </c>
      <c r="L622" s="17" t="str">
        <f aca="false">IF($C622="","",$J622-$K622-1-N($G622))</f>
        <v/>
      </c>
      <c r="M622" s="7" t="str">
        <f aca="false">IF($B622="","",INDEX(Course!$B$2:$B$19,MATCH($B622,Course!$A$2:$A$19,0)))</f>
        <v/>
      </c>
      <c r="N622" s="17" t="str">
        <f aca="false">IF($C622="","",IF($C622="H",0,IF($C622="G",INDEX(Baseline!$I$3:$I$102,MIN(MAX(ROUND($D622,0),1),100)),IF($C622="T",IF($M622=3,INDEX(Baseline!$B$3:$B$122,MATCH(MIN(MAX(ROUND(($D622)/5,0)*5,5),600),Baseline!$A$3:$A$122,0))-Inputs!$B$9,INDEX(Course!$N$2:$N$19,MATCH($B622,Course!$A$2:$A$19,0))),INDEX(Baseline!$B$3:$E$122,MATCH(MIN(MAX(ROUND(($D622)/5,0)*5,5),600),Baseline!$A$3:$A$122,0),MATCH($C622,Baseline!$B$2:$E$2,0))))))</f>
        <v/>
      </c>
      <c r="O622" s="17" t="str">
        <f aca="false">IF($C622="","",IF($E622="H",0,IF($E622="G",INDEX(Baseline!$I$3:$I$102,MIN(MAX(ROUND($F622,0),1),100)),IF($E622="T",IF($M622=3,INDEX(Baseline!$B$3:$B$122,MATCH(MIN(MAX(ROUND(($F622)/5,0)*5,5),600),Baseline!$A$3:$A$122,0))-Inputs!$B$9,INDEX(Course!$N$2:$N$19,MATCH($B622,Course!$A$2:$A$19,0))),INDEX(Baseline!$B$3:$E$122,MATCH(MIN(MAX(ROUND(($F622)/5,0)*5,5),600),Baseline!$A$3:$A$122,0),MATCH($E622,Baseline!$B$2:$E$2,0))))))</f>
        <v/>
      </c>
      <c r="P622" s="17" t="str">
        <f aca="false">IF($B622="","",INDEX(Course!$N$2:$N$19,MATCH($B622,Course!$A$2:$A$19,0)))</f>
        <v/>
      </c>
      <c r="Q622" s="17" t="str">
        <f aca="false">IF($B622="","",INDEX(Course!$P$2:$P$19,MATCH($B622,Course!$A$2:$A$19,0)))</f>
        <v/>
      </c>
      <c r="R622" s="17" t="str">
        <f aca="false">IF($C622="","",IF(OR($C622="G",$C622="H"),0,IF($C622="T",1,MIN(1,MAX(0,($N622-Inputs!$B$8)/MAX($P622-Inputs!$B$8,0.01))))))</f>
        <v/>
      </c>
      <c r="S622" s="17" t="str">
        <f aca="false">IF($C622="","",IF(OR($E622="G",$E622="H"),0,IF($E622="T",1,MIN(1,MAX(0,($O622-Inputs!$B$8)/MAX($P622-Inputs!$B$8,0.01))))))</f>
        <v/>
      </c>
    </row>
    <row r="623" customFormat="false" ht="15" hidden="false" customHeight="false" outlineLevel="0" collapsed="false">
      <c r="I623" s="7" t="str">
        <f aca="false">IF($C623="","",IF($C623="G","PUTT",IF(AND($C623="T",$M623&gt;3),"OTT",IF($D623&lt;=30,"ARG","APP"))))</f>
        <v/>
      </c>
      <c r="J623" s="17" t="str">
        <f aca="false">IF($C623="","",$N623+$Q623*$R623)</f>
        <v/>
      </c>
      <c r="K623" s="17" t="str">
        <f aca="false">IF($C623="","",$O623+$Q623*$S623)</f>
        <v/>
      </c>
      <c r="L623" s="17" t="str">
        <f aca="false">IF($C623="","",$J623-$K623-1-N($G623))</f>
        <v/>
      </c>
      <c r="M623" s="7" t="str">
        <f aca="false">IF($B623="","",INDEX(Course!$B$2:$B$19,MATCH($B623,Course!$A$2:$A$19,0)))</f>
        <v/>
      </c>
      <c r="N623" s="17" t="str">
        <f aca="false">IF($C623="","",IF($C623="H",0,IF($C623="G",INDEX(Baseline!$I$3:$I$102,MIN(MAX(ROUND($D623,0),1),100)),IF($C623="T",IF($M623=3,INDEX(Baseline!$B$3:$B$122,MATCH(MIN(MAX(ROUND(($D623)/5,0)*5,5),600),Baseline!$A$3:$A$122,0))-Inputs!$B$9,INDEX(Course!$N$2:$N$19,MATCH($B623,Course!$A$2:$A$19,0))),INDEX(Baseline!$B$3:$E$122,MATCH(MIN(MAX(ROUND(($D623)/5,0)*5,5),600),Baseline!$A$3:$A$122,0),MATCH($C623,Baseline!$B$2:$E$2,0))))))</f>
        <v/>
      </c>
      <c r="O623" s="17" t="str">
        <f aca="false">IF($C623="","",IF($E623="H",0,IF($E623="G",INDEX(Baseline!$I$3:$I$102,MIN(MAX(ROUND($F623,0),1),100)),IF($E623="T",IF($M623=3,INDEX(Baseline!$B$3:$B$122,MATCH(MIN(MAX(ROUND(($F623)/5,0)*5,5),600),Baseline!$A$3:$A$122,0))-Inputs!$B$9,INDEX(Course!$N$2:$N$19,MATCH($B623,Course!$A$2:$A$19,0))),INDEX(Baseline!$B$3:$E$122,MATCH(MIN(MAX(ROUND(($F623)/5,0)*5,5),600),Baseline!$A$3:$A$122,0),MATCH($E623,Baseline!$B$2:$E$2,0))))))</f>
        <v/>
      </c>
      <c r="P623" s="17" t="str">
        <f aca="false">IF($B623="","",INDEX(Course!$N$2:$N$19,MATCH($B623,Course!$A$2:$A$19,0)))</f>
        <v/>
      </c>
      <c r="Q623" s="17" t="str">
        <f aca="false">IF($B623="","",INDEX(Course!$P$2:$P$19,MATCH($B623,Course!$A$2:$A$19,0)))</f>
        <v/>
      </c>
      <c r="R623" s="17" t="str">
        <f aca="false">IF($C623="","",IF(OR($C623="G",$C623="H"),0,IF($C623="T",1,MIN(1,MAX(0,($N623-Inputs!$B$8)/MAX($P623-Inputs!$B$8,0.01))))))</f>
        <v/>
      </c>
      <c r="S623" s="17" t="str">
        <f aca="false">IF($C623="","",IF(OR($E623="G",$E623="H"),0,IF($E623="T",1,MIN(1,MAX(0,($O623-Inputs!$B$8)/MAX($P623-Inputs!$B$8,0.01))))))</f>
        <v/>
      </c>
    </row>
    <row r="624" customFormat="false" ht="15" hidden="false" customHeight="false" outlineLevel="0" collapsed="false">
      <c r="I624" s="7" t="str">
        <f aca="false">IF($C624="","",IF($C624="G","PUTT",IF(AND($C624="T",$M624&gt;3),"OTT",IF($D624&lt;=30,"ARG","APP"))))</f>
        <v/>
      </c>
      <c r="J624" s="17" t="str">
        <f aca="false">IF($C624="","",$N624+$Q624*$R624)</f>
        <v/>
      </c>
      <c r="K624" s="17" t="str">
        <f aca="false">IF($C624="","",$O624+$Q624*$S624)</f>
        <v/>
      </c>
      <c r="L624" s="17" t="str">
        <f aca="false">IF($C624="","",$J624-$K624-1-N($G624))</f>
        <v/>
      </c>
      <c r="M624" s="7" t="str">
        <f aca="false">IF($B624="","",INDEX(Course!$B$2:$B$19,MATCH($B624,Course!$A$2:$A$19,0)))</f>
        <v/>
      </c>
      <c r="N624" s="17" t="str">
        <f aca="false">IF($C624="","",IF($C624="H",0,IF($C624="G",INDEX(Baseline!$I$3:$I$102,MIN(MAX(ROUND($D624,0),1),100)),IF($C624="T",IF($M624=3,INDEX(Baseline!$B$3:$B$122,MATCH(MIN(MAX(ROUND(($D624)/5,0)*5,5),600),Baseline!$A$3:$A$122,0))-Inputs!$B$9,INDEX(Course!$N$2:$N$19,MATCH($B624,Course!$A$2:$A$19,0))),INDEX(Baseline!$B$3:$E$122,MATCH(MIN(MAX(ROUND(($D624)/5,0)*5,5),600),Baseline!$A$3:$A$122,0),MATCH($C624,Baseline!$B$2:$E$2,0))))))</f>
        <v/>
      </c>
      <c r="O624" s="17" t="str">
        <f aca="false">IF($C624="","",IF($E624="H",0,IF($E624="G",INDEX(Baseline!$I$3:$I$102,MIN(MAX(ROUND($F624,0),1),100)),IF($E624="T",IF($M624=3,INDEX(Baseline!$B$3:$B$122,MATCH(MIN(MAX(ROUND(($F624)/5,0)*5,5),600),Baseline!$A$3:$A$122,0))-Inputs!$B$9,INDEX(Course!$N$2:$N$19,MATCH($B624,Course!$A$2:$A$19,0))),INDEX(Baseline!$B$3:$E$122,MATCH(MIN(MAX(ROUND(($F624)/5,0)*5,5),600),Baseline!$A$3:$A$122,0),MATCH($E624,Baseline!$B$2:$E$2,0))))))</f>
        <v/>
      </c>
      <c r="P624" s="17" t="str">
        <f aca="false">IF($B624="","",INDEX(Course!$N$2:$N$19,MATCH($B624,Course!$A$2:$A$19,0)))</f>
        <v/>
      </c>
      <c r="Q624" s="17" t="str">
        <f aca="false">IF($B624="","",INDEX(Course!$P$2:$P$19,MATCH($B624,Course!$A$2:$A$19,0)))</f>
        <v/>
      </c>
      <c r="R624" s="17" t="str">
        <f aca="false">IF($C624="","",IF(OR($C624="G",$C624="H"),0,IF($C624="T",1,MIN(1,MAX(0,($N624-Inputs!$B$8)/MAX($P624-Inputs!$B$8,0.01))))))</f>
        <v/>
      </c>
      <c r="S624" s="17" t="str">
        <f aca="false">IF($C624="","",IF(OR($E624="G",$E624="H"),0,IF($E624="T",1,MIN(1,MAX(0,($O624-Inputs!$B$8)/MAX($P624-Inputs!$B$8,0.01))))))</f>
        <v/>
      </c>
    </row>
    <row r="625" customFormat="false" ht="15" hidden="false" customHeight="false" outlineLevel="0" collapsed="false">
      <c r="I625" s="7" t="str">
        <f aca="false">IF($C625="","",IF($C625="G","PUTT",IF(AND($C625="T",$M625&gt;3),"OTT",IF($D625&lt;=30,"ARG","APP"))))</f>
        <v/>
      </c>
      <c r="J625" s="17" t="str">
        <f aca="false">IF($C625="","",$N625+$Q625*$R625)</f>
        <v/>
      </c>
      <c r="K625" s="17" t="str">
        <f aca="false">IF($C625="","",$O625+$Q625*$S625)</f>
        <v/>
      </c>
      <c r="L625" s="17" t="str">
        <f aca="false">IF($C625="","",$J625-$K625-1-N($G625))</f>
        <v/>
      </c>
      <c r="M625" s="7" t="str">
        <f aca="false">IF($B625="","",INDEX(Course!$B$2:$B$19,MATCH($B625,Course!$A$2:$A$19,0)))</f>
        <v/>
      </c>
      <c r="N625" s="17" t="str">
        <f aca="false">IF($C625="","",IF($C625="H",0,IF($C625="G",INDEX(Baseline!$I$3:$I$102,MIN(MAX(ROUND($D625,0),1),100)),IF($C625="T",IF($M625=3,INDEX(Baseline!$B$3:$B$122,MATCH(MIN(MAX(ROUND(($D625)/5,0)*5,5),600),Baseline!$A$3:$A$122,0))-Inputs!$B$9,INDEX(Course!$N$2:$N$19,MATCH($B625,Course!$A$2:$A$19,0))),INDEX(Baseline!$B$3:$E$122,MATCH(MIN(MAX(ROUND(($D625)/5,0)*5,5),600),Baseline!$A$3:$A$122,0),MATCH($C625,Baseline!$B$2:$E$2,0))))))</f>
        <v/>
      </c>
      <c r="O625" s="17" t="str">
        <f aca="false">IF($C625="","",IF($E625="H",0,IF($E625="G",INDEX(Baseline!$I$3:$I$102,MIN(MAX(ROUND($F625,0),1),100)),IF($E625="T",IF($M625=3,INDEX(Baseline!$B$3:$B$122,MATCH(MIN(MAX(ROUND(($F625)/5,0)*5,5),600),Baseline!$A$3:$A$122,0))-Inputs!$B$9,INDEX(Course!$N$2:$N$19,MATCH($B625,Course!$A$2:$A$19,0))),INDEX(Baseline!$B$3:$E$122,MATCH(MIN(MAX(ROUND(($F625)/5,0)*5,5),600),Baseline!$A$3:$A$122,0),MATCH($E625,Baseline!$B$2:$E$2,0))))))</f>
        <v/>
      </c>
      <c r="P625" s="17" t="str">
        <f aca="false">IF($B625="","",INDEX(Course!$N$2:$N$19,MATCH($B625,Course!$A$2:$A$19,0)))</f>
        <v/>
      </c>
      <c r="Q625" s="17" t="str">
        <f aca="false">IF($B625="","",INDEX(Course!$P$2:$P$19,MATCH($B625,Course!$A$2:$A$19,0)))</f>
        <v/>
      </c>
      <c r="R625" s="17" t="str">
        <f aca="false">IF($C625="","",IF(OR($C625="G",$C625="H"),0,IF($C625="T",1,MIN(1,MAX(0,($N625-Inputs!$B$8)/MAX($P625-Inputs!$B$8,0.01))))))</f>
        <v/>
      </c>
      <c r="S625" s="17" t="str">
        <f aca="false">IF($C625="","",IF(OR($E625="G",$E625="H"),0,IF($E625="T",1,MIN(1,MAX(0,($O625-Inputs!$B$8)/MAX($P625-Inputs!$B$8,0.01))))))</f>
        <v/>
      </c>
    </row>
    <row r="626" customFormat="false" ht="15" hidden="false" customHeight="false" outlineLevel="0" collapsed="false">
      <c r="I626" s="7" t="str">
        <f aca="false">IF($C626="","",IF($C626="G","PUTT",IF(AND($C626="T",$M626&gt;3),"OTT",IF($D626&lt;=30,"ARG","APP"))))</f>
        <v/>
      </c>
      <c r="J626" s="17" t="str">
        <f aca="false">IF($C626="","",$N626+$Q626*$R626)</f>
        <v/>
      </c>
      <c r="K626" s="17" t="str">
        <f aca="false">IF($C626="","",$O626+$Q626*$S626)</f>
        <v/>
      </c>
      <c r="L626" s="17" t="str">
        <f aca="false">IF($C626="","",$J626-$K626-1-N($G626))</f>
        <v/>
      </c>
      <c r="M626" s="7" t="str">
        <f aca="false">IF($B626="","",INDEX(Course!$B$2:$B$19,MATCH($B626,Course!$A$2:$A$19,0)))</f>
        <v/>
      </c>
      <c r="N626" s="17" t="str">
        <f aca="false">IF($C626="","",IF($C626="H",0,IF($C626="G",INDEX(Baseline!$I$3:$I$102,MIN(MAX(ROUND($D626,0),1),100)),IF($C626="T",IF($M626=3,INDEX(Baseline!$B$3:$B$122,MATCH(MIN(MAX(ROUND(($D626)/5,0)*5,5),600),Baseline!$A$3:$A$122,0))-Inputs!$B$9,INDEX(Course!$N$2:$N$19,MATCH($B626,Course!$A$2:$A$19,0))),INDEX(Baseline!$B$3:$E$122,MATCH(MIN(MAX(ROUND(($D626)/5,0)*5,5),600),Baseline!$A$3:$A$122,0),MATCH($C626,Baseline!$B$2:$E$2,0))))))</f>
        <v/>
      </c>
      <c r="O626" s="17" t="str">
        <f aca="false">IF($C626="","",IF($E626="H",0,IF($E626="G",INDEX(Baseline!$I$3:$I$102,MIN(MAX(ROUND($F626,0),1),100)),IF($E626="T",IF($M626=3,INDEX(Baseline!$B$3:$B$122,MATCH(MIN(MAX(ROUND(($F626)/5,0)*5,5),600),Baseline!$A$3:$A$122,0))-Inputs!$B$9,INDEX(Course!$N$2:$N$19,MATCH($B626,Course!$A$2:$A$19,0))),INDEX(Baseline!$B$3:$E$122,MATCH(MIN(MAX(ROUND(($F626)/5,0)*5,5),600),Baseline!$A$3:$A$122,0),MATCH($E626,Baseline!$B$2:$E$2,0))))))</f>
        <v/>
      </c>
      <c r="P626" s="17" t="str">
        <f aca="false">IF($B626="","",INDEX(Course!$N$2:$N$19,MATCH($B626,Course!$A$2:$A$19,0)))</f>
        <v/>
      </c>
      <c r="Q626" s="17" t="str">
        <f aca="false">IF($B626="","",INDEX(Course!$P$2:$P$19,MATCH($B626,Course!$A$2:$A$19,0)))</f>
        <v/>
      </c>
      <c r="R626" s="17" t="str">
        <f aca="false">IF($C626="","",IF(OR($C626="G",$C626="H"),0,IF($C626="T",1,MIN(1,MAX(0,($N626-Inputs!$B$8)/MAX($P626-Inputs!$B$8,0.01))))))</f>
        <v/>
      </c>
      <c r="S626" s="17" t="str">
        <f aca="false">IF($C626="","",IF(OR($E626="G",$E626="H"),0,IF($E626="T",1,MIN(1,MAX(0,($O626-Inputs!$B$8)/MAX($P626-Inputs!$B$8,0.01))))))</f>
        <v/>
      </c>
    </row>
    <row r="627" customFormat="false" ht="15" hidden="false" customHeight="false" outlineLevel="0" collapsed="false">
      <c r="I627" s="7" t="str">
        <f aca="false">IF($C627="","",IF($C627="G","PUTT",IF(AND($C627="T",$M627&gt;3),"OTT",IF($D627&lt;=30,"ARG","APP"))))</f>
        <v/>
      </c>
      <c r="J627" s="17" t="str">
        <f aca="false">IF($C627="","",$N627+$Q627*$R627)</f>
        <v/>
      </c>
      <c r="K627" s="17" t="str">
        <f aca="false">IF($C627="","",$O627+$Q627*$S627)</f>
        <v/>
      </c>
      <c r="L627" s="17" t="str">
        <f aca="false">IF($C627="","",$J627-$K627-1-N($G627))</f>
        <v/>
      </c>
      <c r="M627" s="7" t="str">
        <f aca="false">IF($B627="","",INDEX(Course!$B$2:$B$19,MATCH($B627,Course!$A$2:$A$19,0)))</f>
        <v/>
      </c>
      <c r="N627" s="17" t="str">
        <f aca="false">IF($C627="","",IF($C627="H",0,IF($C627="G",INDEX(Baseline!$I$3:$I$102,MIN(MAX(ROUND($D627,0),1),100)),IF($C627="T",IF($M627=3,INDEX(Baseline!$B$3:$B$122,MATCH(MIN(MAX(ROUND(($D627)/5,0)*5,5),600),Baseline!$A$3:$A$122,0))-Inputs!$B$9,INDEX(Course!$N$2:$N$19,MATCH($B627,Course!$A$2:$A$19,0))),INDEX(Baseline!$B$3:$E$122,MATCH(MIN(MAX(ROUND(($D627)/5,0)*5,5),600),Baseline!$A$3:$A$122,0),MATCH($C627,Baseline!$B$2:$E$2,0))))))</f>
        <v/>
      </c>
      <c r="O627" s="17" t="str">
        <f aca="false">IF($C627="","",IF($E627="H",0,IF($E627="G",INDEX(Baseline!$I$3:$I$102,MIN(MAX(ROUND($F627,0),1),100)),IF($E627="T",IF($M627=3,INDEX(Baseline!$B$3:$B$122,MATCH(MIN(MAX(ROUND(($F627)/5,0)*5,5),600),Baseline!$A$3:$A$122,0))-Inputs!$B$9,INDEX(Course!$N$2:$N$19,MATCH($B627,Course!$A$2:$A$19,0))),INDEX(Baseline!$B$3:$E$122,MATCH(MIN(MAX(ROUND(($F627)/5,0)*5,5),600),Baseline!$A$3:$A$122,0),MATCH($E627,Baseline!$B$2:$E$2,0))))))</f>
        <v/>
      </c>
      <c r="P627" s="17" t="str">
        <f aca="false">IF($B627="","",INDEX(Course!$N$2:$N$19,MATCH($B627,Course!$A$2:$A$19,0)))</f>
        <v/>
      </c>
      <c r="Q627" s="17" t="str">
        <f aca="false">IF($B627="","",INDEX(Course!$P$2:$P$19,MATCH($B627,Course!$A$2:$A$19,0)))</f>
        <v/>
      </c>
      <c r="R627" s="17" t="str">
        <f aca="false">IF($C627="","",IF(OR($C627="G",$C627="H"),0,IF($C627="T",1,MIN(1,MAX(0,($N627-Inputs!$B$8)/MAX($P627-Inputs!$B$8,0.01))))))</f>
        <v/>
      </c>
      <c r="S627" s="17" t="str">
        <f aca="false">IF($C627="","",IF(OR($E627="G",$E627="H"),0,IF($E627="T",1,MIN(1,MAX(0,($O627-Inputs!$B$8)/MAX($P627-Inputs!$B$8,0.01))))))</f>
        <v/>
      </c>
    </row>
    <row r="628" customFormat="false" ht="15" hidden="false" customHeight="false" outlineLevel="0" collapsed="false">
      <c r="I628" s="7" t="str">
        <f aca="false">IF($C628="","",IF($C628="G","PUTT",IF(AND($C628="T",$M628&gt;3),"OTT",IF($D628&lt;=30,"ARG","APP"))))</f>
        <v/>
      </c>
      <c r="J628" s="17" t="str">
        <f aca="false">IF($C628="","",$N628+$Q628*$R628)</f>
        <v/>
      </c>
      <c r="K628" s="17" t="str">
        <f aca="false">IF($C628="","",$O628+$Q628*$S628)</f>
        <v/>
      </c>
      <c r="L628" s="17" t="str">
        <f aca="false">IF($C628="","",$J628-$K628-1-N($G628))</f>
        <v/>
      </c>
      <c r="M628" s="7" t="str">
        <f aca="false">IF($B628="","",INDEX(Course!$B$2:$B$19,MATCH($B628,Course!$A$2:$A$19,0)))</f>
        <v/>
      </c>
      <c r="N628" s="17" t="str">
        <f aca="false">IF($C628="","",IF($C628="H",0,IF($C628="G",INDEX(Baseline!$I$3:$I$102,MIN(MAX(ROUND($D628,0),1),100)),IF($C628="T",IF($M628=3,INDEX(Baseline!$B$3:$B$122,MATCH(MIN(MAX(ROUND(($D628)/5,0)*5,5),600),Baseline!$A$3:$A$122,0))-Inputs!$B$9,INDEX(Course!$N$2:$N$19,MATCH($B628,Course!$A$2:$A$19,0))),INDEX(Baseline!$B$3:$E$122,MATCH(MIN(MAX(ROUND(($D628)/5,0)*5,5),600),Baseline!$A$3:$A$122,0),MATCH($C628,Baseline!$B$2:$E$2,0))))))</f>
        <v/>
      </c>
      <c r="O628" s="17" t="str">
        <f aca="false">IF($C628="","",IF($E628="H",0,IF($E628="G",INDEX(Baseline!$I$3:$I$102,MIN(MAX(ROUND($F628,0),1),100)),IF($E628="T",IF($M628=3,INDEX(Baseline!$B$3:$B$122,MATCH(MIN(MAX(ROUND(($F628)/5,0)*5,5),600),Baseline!$A$3:$A$122,0))-Inputs!$B$9,INDEX(Course!$N$2:$N$19,MATCH($B628,Course!$A$2:$A$19,0))),INDEX(Baseline!$B$3:$E$122,MATCH(MIN(MAX(ROUND(($F628)/5,0)*5,5),600),Baseline!$A$3:$A$122,0),MATCH($E628,Baseline!$B$2:$E$2,0))))))</f>
        <v/>
      </c>
      <c r="P628" s="17" t="str">
        <f aca="false">IF($B628="","",INDEX(Course!$N$2:$N$19,MATCH($B628,Course!$A$2:$A$19,0)))</f>
        <v/>
      </c>
      <c r="Q628" s="17" t="str">
        <f aca="false">IF($B628="","",INDEX(Course!$P$2:$P$19,MATCH($B628,Course!$A$2:$A$19,0)))</f>
        <v/>
      </c>
      <c r="R628" s="17" t="str">
        <f aca="false">IF($C628="","",IF(OR($C628="G",$C628="H"),0,IF($C628="T",1,MIN(1,MAX(0,($N628-Inputs!$B$8)/MAX($P628-Inputs!$B$8,0.01))))))</f>
        <v/>
      </c>
      <c r="S628" s="17" t="str">
        <f aca="false">IF($C628="","",IF(OR($E628="G",$E628="H"),0,IF($E628="T",1,MIN(1,MAX(0,($O628-Inputs!$B$8)/MAX($P628-Inputs!$B$8,0.01))))))</f>
        <v/>
      </c>
    </row>
    <row r="629" customFormat="false" ht="15" hidden="false" customHeight="false" outlineLevel="0" collapsed="false">
      <c r="I629" s="7" t="str">
        <f aca="false">IF($C629="","",IF($C629="G","PUTT",IF(AND($C629="T",$M629&gt;3),"OTT",IF($D629&lt;=30,"ARG","APP"))))</f>
        <v/>
      </c>
      <c r="J629" s="17" t="str">
        <f aca="false">IF($C629="","",$N629+$Q629*$R629)</f>
        <v/>
      </c>
      <c r="K629" s="17" t="str">
        <f aca="false">IF($C629="","",$O629+$Q629*$S629)</f>
        <v/>
      </c>
      <c r="L629" s="17" t="str">
        <f aca="false">IF($C629="","",$J629-$K629-1-N($G629))</f>
        <v/>
      </c>
      <c r="M629" s="7" t="str">
        <f aca="false">IF($B629="","",INDEX(Course!$B$2:$B$19,MATCH($B629,Course!$A$2:$A$19,0)))</f>
        <v/>
      </c>
      <c r="N629" s="17" t="str">
        <f aca="false">IF($C629="","",IF($C629="H",0,IF($C629="G",INDEX(Baseline!$I$3:$I$102,MIN(MAX(ROUND($D629,0),1),100)),IF($C629="T",IF($M629=3,INDEX(Baseline!$B$3:$B$122,MATCH(MIN(MAX(ROUND(($D629)/5,0)*5,5),600),Baseline!$A$3:$A$122,0))-Inputs!$B$9,INDEX(Course!$N$2:$N$19,MATCH($B629,Course!$A$2:$A$19,0))),INDEX(Baseline!$B$3:$E$122,MATCH(MIN(MAX(ROUND(($D629)/5,0)*5,5),600),Baseline!$A$3:$A$122,0),MATCH($C629,Baseline!$B$2:$E$2,0))))))</f>
        <v/>
      </c>
      <c r="O629" s="17" t="str">
        <f aca="false">IF($C629="","",IF($E629="H",0,IF($E629="G",INDEX(Baseline!$I$3:$I$102,MIN(MAX(ROUND($F629,0),1),100)),IF($E629="T",IF($M629=3,INDEX(Baseline!$B$3:$B$122,MATCH(MIN(MAX(ROUND(($F629)/5,0)*5,5),600),Baseline!$A$3:$A$122,0))-Inputs!$B$9,INDEX(Course!$N$2:$N$19,MATCH($B629,Course!$A$2:$A$19,0))),INDEX(Baseline!$B$3:$E$122,MATCH(MIN(MAX(ROUND(($F629)/5,0)*5,5),600),Baseline!$A$3:$A$122,0),MATCH($E629,Baseline!$B$2:$E$2,0))))))</f>
        <v/>
      </c>
      <c r="P629" s="17" t="str">
        <f aca="false">IF($B629="","",INDEX(Course!$N$2:$N$19,MATCH($B629,Course!$A$2:$A$19,0)))</f>
        <v/>
      </c>
      <c r="Q629" s="17" t="str">
        <f aca="false">IF($B629="","",INDEX(Course!$P$2:$P$19,MATCH($B629,Course!$A$2:$A$19,0)))</f>
        <v/>
      </c>
      <c r="R629" s="17" t="str">
        <f aca="false">IF($C629="","",IF(OR($C629="G",$C629="H"),0,IF($C629="T",1,MIN(1,MAX(0,($N629-Inputs!$B$8)/MAX($P629-Inputs!$B$8,0.01))))))</f>
        <v/>
      </c>
      <c r="S629" s="17" t="str">
        <f aca="false">IF($C629="","",IF(OR($E629="G",$E629="H"),0,IF($E629="T",1,MIN(1,MAX(0,($O629-Inputs!$B$8)/MAX($P629-Inputs!$B$8,0.01))))))</f>
        <v/>
      </c>
    </row>
    <row r="630" customFormat="false" ht="15" hidden="false" customHeight="false" outlineLevel="0" collapsed="false">
      <c r="I630" s="7" t="str">
        <f aca="false">IF($C630="","",IF($C630="G","PUTT",IF(AND($C630="T",$M630&gt;3),"OTT",IF($D630&lt;=30,"ARG","APP"))))</f>
        <v/>
      </c>
      <c r="J630" s="17" t="str">
        <f aca="false">IF($C630="","",$N630+$Q630*$R630)</f>
        <v/>
      </c>
      <c r="K630" s="17" t="str">
        <f aca="false">IF($C630="","",$O630+$Q630*$S630)</f>
        <v/>
      </c>
      <c r="L630" s="17" t="str">
        <f aca="false">IF($C630="","",$J630-$K630-1-N($G630))</f>
        <v/>
      </c>
      <c r="M630" s="7" t="str">
        <f aca="false">IF($B630="","",INDEX(Course!$B$2:$B$19,MATCH($B630,Course!$A$2:$A$19,0)))</f>
        <v/>
      </c>
      <c r="N630" s="17" t="str">
        <f aca="false">IF($C630="","",IF($C630="H",0,IF($C630="G",INDEX(Baseline!$I$3:$I$102,MIN(MAX(ROUND($D630,0),1),100)),IF($C630="T",IF($M630=3,INDEX(Baseline!$B$3:$B$122,MATCH(MIN(MAX(ROUND(($D630)/5,0)*5,5),600),Baseline!$A$3:$A$122,0))-Inputs!$B$9,INDEX(Course!$N$2:$N$19,MATCH($B630,Course!$A$2:$A$19,0))),INDEX(Baseline!$B$3:$E$122,MATCH(MIN(MAX(ROUND(($D630)/5,0)*5,5),600),Baseline!$A$3:$A$122,0),MATCH($C630,Baseline!$B$2:$E$2,0))))))</f>
        <v/>
      </c>
      <c r="O630" s="17" t="str">
        <f aca="false">IF($C630="","",IF($E630="H",0,IF($E630="G",INDEX(Baseline!$I$3:$I$102,MIN(MAX(ROUND($F630,0),1),100)),IF($E630="T",IF($M630=3,INDEX(Baseline!$B$3:$B$122,MATCH(MIN(MAX(ROUND(($F630)/5,0)*5,5),600),Baseline!$A$3:$A$122,0))-Inputs!$B$9,INDEX(Course!$N$2:$N$19,MATCH($B630,Course!$A$2:$A$19,0))),INDEX(Baseline!$B$3:$E$122,MATCH(MIN(MAX(ROUND(($F630)/5,0)*5,5),600),Baseline!$A$3:$A$122,0),MATCH($E630,Baseline!$B$2:$E$2,0))))))</f>
        <v/>
      </c>
      <c r="P630" s="17" t="str">
        <f aca="false">IF($B630="","",INDEX(Course!$N$2:$N$19,MATCH($B630,Course!$A$2:$A$19,0)))</f>
        <v/>
      </c>
      <c r="Q630" s="17" t="str">
        <f aca="false">IF($B630="","",INDEX(Course!$P$2:$P$19,MATCH($B630,Course!$A$2:$A$19,0)))</f>
        <v/>
      </c>
      <c r="R630" s="17" t="str">
        <f aca="false">IF($C630="","",IF(OR($C630="G",$C630="H"),0,IF($C630="T",1,MIN(1,MAX(0,($N630-Inputs!$B$8)/MAX($P630-Inputs!$B$8,0.01))))))</f>
        <v/>
      </c>
      <c r="S630" s="17" t="str">
        <f aca="false">IF($C630="","",IF(OR($E630="G",$E630="H"),0,IF($E630="T",1,MIN(1,MAX(0,($O630-Inputs!$B$8)/MAX($P630-Inputs!$B$8,0.01))))))</f>
        <v/>
      </c>
    </row>
    <row r="631" customFormat="false" ht="15" hidden="false" customHeight="false" outlineLevel="0" collapsed="false">
      <c r="I631" s="7" t="str">
        <f aca="false">IF($C631="","",IF($C631="G","PUTT",IF(AND($C631="T",$M631&gt;3),"OTT",IF($D631&lt;=30,"ARG","APP"))))</f>
        <v/>
      </c>
      <c r="J631" s="17" t="str">
        <f aca="false">IF($C631="","",$N631+$Q631*$R631)</f>
        <v/>
      </c>
      <c r="K631" s="17" t="str">
        <f aca="false">IF($C631="","",$O631+$Q631*$S631)</f>
        <v/>
      </c>
      <c r="L631" s="17" t="str">
        <f aca="false">IF($C631="","",$J631-$K631-1-N($G631))</f>
        <v/>
      </c>
      <c r="M631" s="7" t="str">
        <f aca="false">IF($B631="","",INDEX(Course!$B$2:$B$19,MATCH($B631,Course!$A$2:$A$19,0)))</f>
        <v/>
      </c>
      <c r="N631" s="17" t="str">
        <f aca="false">IF($C631="","",IF($C631="H",0,IF($C631="G",INDEX(Baseline!$I$3:$I$102,MIN(MAX(ROUND($D631,0),1),100)),IF($C631="T",IF($M631=3,INDEX(Baseline!$B$3:$B$122,MATCH(MIN(MAX(ROUND(($D631)/5,0)*5,5),600),Baseline!$A$3:$A$122,0))-Inputs!$B$9,INDEX(Course!$N$2:$N$19,MATCH($B631,Course!$A$2:$A$19,0))),INDEX(Baseline!$B$3:$E$122,MATCH(MIN(MAX(ROUND(($D631)/5,0)*5,5),600),Baseline!$A$3:$A$122,0),MATCH($C631,Baseline!$B$2:$E$2,0))))))</f>
        <v/>
      </c>
      <c r="O631" s="17" t="str">
        <f aca="false">IF($C631="","",IF($E631="H",0,IF($E631="G",INDEX(Baseline!$I$3:$I$102,MIN(MAX(ROUND($F631,0),1),100)),IF($E631="T",IF($M631=3,INDEX(Baseline!$B$3:$B$122,MATCH(MIN(MAX(ROUND(($F631)/5,0)*5,5),600),Baseline!$A$3:$A$122,0))-Inputs!$B$9,INDEX(Course!$N$2:$N$19,MATCH($B631,Course!$A$2:$A$19,0))),INDEX(Baseline!$B$3:$E$122,MATCH(MIN(MAX(ROUND(($F631)/5,0)*5,5),600),Baseline!$A$3:$A$122,0),MATCH($E631,Baseline!$B$2:$E$2,0))))))</f>
        <v/>
      </c>
      <c r="P631" s="17" t="str">
        <f aca="false">IF($B631="","",INDEX(Course!$N$2:$N$19,MATCH($B631,Course!$A$2:$A$19,0)))</f>
        <v/>
      </c>
      <c r="Q631" s="17" t="str">
        <f aca="false">IF($B631="","",INDEX(Course!$P$2:$P$19,MATCH($B631,Course!$A$2:$A$19,0)))</f>
        <v/>
      </c>
      <c r="R631" s="17" t="str">
        <f aca="false">IF($C631="","",IF(OR($C631="G",$C631="H"),0,IF($C631="T",1,MIN(1,MAX(0,($N631-Inputs!$B$8)/MAX($P631-Inputs!$B$8,0.01))))))</f>
        <v/>
      </c>
      <c r="S631" s="17" t="str">
        <f aca="false">IF($C631="","",IF(OR($E631="G",$E631="H"),0,IF($E631="T",1,MIN(1,MAX(0,($O631-Inputs!$B$8)/MAX($P631-Inputs!$B$8,0.01))))))</f>
        <v/>
      </c>
    </row>
    <row r="632" customFormat="false" ht="15" hidden="false" customHeight="false" outlineLevel="0" collapsed="false">
      <c r="I632" s="7" t="str">
        <f aca="false">IF($C632="","",IF($C632="G","PUTT",IF(AND($C632="T",$M632&gt;3),"OTT",IF($D632&lt;=30,"ARG","APP"))))</f>
        <v/>
      </c>
      <c r="J632" s="17" t="str">
        <f aca="false">IF($C632="","",$N632+$Q632*$R632)</f>
        <v/>
      </c>
      <c r="K632" s="17" t="str">
        <f aca="false">IF($C632="","",$O632+$Q632*$S632)</f>
        <v/>
      </c>
      <c r="L632" s="17" t="str">
        <f aca="false">IF($C632="","",$J632-$K632-1-N($G632))</f>
        <v/>
      </c>
      <c r="M632" s="7" t="str">
        <f aca="false">IF($B632="","",INDEX(Course!$B$2:$B$19,MATCH($B632,Course!$A$2:$A$19,0)))</f>
        <v/>
      </c>
      <c r="N632" s="17" t="str">
        <f aca="false">IF($C632="","",IF($C632="H",0,IF($C632="G",INDEX(Baseline!$I$3:$I$102,MIN(MAX(ROUND($D632,0),1),100)),IF($C632="T",IF($M632=3,INDEX(Baseline!$B$3:$B$122,MATCH(MIN(MAX(ROUND(($D632)/5,0)*5,5),600),Baseline!$A$3:$A$122,0))-Inputs!$B$9,INDEX(Course!$N$2:$N$19,MATCH($B632,Course!$A$2:$A$19,0))),INDEX(Baseline!$B$3:$E$122,MATCH(MIN(MAX(ROUND(($D632)/5,0)*5,5),600),Baseline!$A$3:$A$122,0),MATCH($C632,Baseline!$B$2:$E$2,0))))))</f>
        <v/>
      </c>
      <c r="O632" s="17" t="str">
        <f aca="false">IF($C632="","",IF($E632="H",0,IF($E632="G",INDEX(Baseline!$I$3:$I$102,MIN(MAX(ROUND($F632,0),1),100)),IF($E632="T",IF($M632=3,INDEX(Baseline!$B$3:$B$122,MATCH(MIN(MAX(ROUND(($F632)/5,0)*5,5),600),Baseline!$A$3:$A$122,0))-Inputs!$B$9,INDEX(Course!$N$2:$N$19,MATCH($B632,Course!$A$2:$A$19,0))),INDEX(Baseline!$B$3:$E$122,MATCH(MIN(MAX(ROUND(($F632)/5,0)*5,5),600),Baseline!$A$3:$A$122,0),MATCH($E632,Baseline!$B$2:$E$2,0))))))</f>
        <v/>
      </c>
      <c r="P632" s="17" t="str">
        <f aca="false">IF($B632="","",INDEX(Course!$N$2:$N$19,MATCH($B632,Course!$A$2:$A$19,0)))</f>
        <v/>
      </c>
      <c r="Q632" s="17" t="str">
        <f aca="false">IF($B632="","",INDEX(Course!$P$2:$P$19,MATCH($B632,Course!$A$2:$A$19,0)))</f>
        <v/>
      </c>
      <c r="R632" s="17" t="str">
        <f aca="false">IF($C632="","",IF(OR($C632="G",$C632="H"),0,IF($C632="T",1,MIN(1,MAX(0,($N632-Inputs!$B$8)/MAX($P632-Inputs!$B$8,0.01))))))</f>
        <v/>
      </c>
      <c r="S632" s="17" t="str">
        <f aca="false">IF($C632="","",IF(OR($E632="G",$E632="H"),0,IF($E632="T",1,MIN(1,MAX(0,($O632-Inputs!$B$8)/MAX($P632-Inputs!$B$8,0.01))))))</f>
        <v/>
      </c>
    </row>
    <row r="633" customFormat="false" ht="15" hidden="false" customHeight="false" outlineLevel="0" collapsed="false">
      <c r="I633" s="7" t="str">
        <f aca="false">IF($C633="","",IF($C633="G","PUTT",IF(AND($C633="T",$M633&gt;3),"OTT",IF($D633&lt;=30,"ARG","APP"))))</f>
        <v/>
      </c>
      <c r="J633" s="17" t="str">
        <f aca="false">IF($C633="","",$N633+$Q633*$R633)</f>
        <v/>
      </c>
      <c r="K633" s="17" t="str">
        <f aca="false">IF($C633="","",$O633+$Q633*$S633)</f>
        <v/>
      </c>
      <c r="L633" s="17" t="str">
        <f aca="false">IF($C633="","",$J633-$K633-1-N($G633))</f>
        <v/>
      </c>
      <c r="M633" s="7" t="str">
        <f aca="false">IF($B633="","",INDEX(Course!$B$2:$B$19,MATCH($B633,Course!$A$2:$A$19,0)))</f>
        <v/>
      </c>
      <c r="N633" s="17" t="str">
        <f aca="false">IF($C633="","",IF($C633="H",0,IF($C633="G",INDEX(Baseline!$I$3:$I$102,MIN(MAX(ROUND($D633,0),1),100)),IF($C633="T",IF($M633=3,INDEX(Baseline!$B$3:$B$122,MATCH(MIN(MAX(ROUND(($D633)/5,0)*5,5),600),Baseline!$A$3:$A$122,0))-Inputs!$B$9,INDEX(Course!$N$2:$N$19,MATCH($B633,Course!$A$2:$A$19,0))),INDEX(Baseline!$B$3:$E$122,MATCH(MIN(MAX(ROUND(($D633)/5,0)*5,5),600),Baseline!$A$3:$A$122,0),MATCH($C633,Baseline!$B$2:$E$2,0))))))</f>
        <v/>
      </c>
      <c r="O633" s="17" t="str">
        <f aca="false">IF($C633="","",IF($E633="H",0,IF($E633="G",INDEX(Baseline!$I$3:$I$102,MIN(MAX(ROUND($F633,0),1),100)),IF($E633="T",IF($M633=3,INDEX(Baseline!$B$3:$B$122,MATCH(MIN(MAX(ROUND(($F633)/5,0)*5,5),600),Baseline!$A$3:$A$122,0))-Inputs!$B$9,INDEX(Course!$N$2:$N$19,MATCH($B633,Course!$A$2:$A$19,0))),INDEX(Baseline!$B$3:$E$122,MATCH(MIN(MAX(ROUND(($F633)/5,0)*5,5),600),Baseline!$A$3:$A$122,0),MATCH($E633,Baseline!$B$2:$E$2,0))))))</f>
        <v/>
      </c>
      <c r="P633" s="17" t="str">
        <f aca="false">IF($B633="","",INDEX(Course!$N$2:$N$19,MATCH($B633,Course!$A$2:$A$19,0)))</f>
        <v/>
      </c>
      <c r="Q633" s="17" t="str">
        <f aca="false">IF($B633="","",INDEX(Course!$P$2:$P$19,MATCH($B633,Course!$A$2:$A$19,0)))</f>
        <v/>
      </c>
      <c r="R633" s="17" t="str">
        <f aca="false">IF($C633="","",IF(OR($C633="G",$C633="H"),0,IF($C633="T",1,MIN(1,MAX(0,($N633-Inputs!$B$8)/MAX($P633-Inputs!$B$8,0.01))))))</f>
        <v/>
      </c>
      <c r="S633" s="17" t="str">
        <f aca="false">IF($C633="","",IF(OR($E633="G",$E633="H"),0,IF($E633="T",1,MIN(1,MAX(0,($O633-Inputs!$B$8)/MAX($P633-Inputs!$B$8,0.01))))))</f>
        <v/>
      </c>
    </row>
    <row r="634" customFormat="false" ht="15" hidden="false" customHeight="false" outlineLevel="0" collapsed="false">
      <c r="I634" s="7" t="str">
        <f aca="false">IF($C634="","",IF($C634="G","PUTT",IF(AND($C634="T",$M634&gt;3),"OTT",IF($D634&lt;=30,"ARG","APP"))))</f>
        <v/>
      </c>
      <c r="J634" s="17" t="str">
        <f aca="false">IF($C634="","",$N634+$Q634*$R634)</f>
        <v/>
      </c>
      <c r="K634" s="17" t="str">
        <f aca="false">IF($C634="","",$O634+$Q634*$S634)</f>
        <v/>
      </c>
      <c r="L634" s="17" t="str">
        <f aca="false">IF($C634="","",$J634-$K634-1-N($G634))</f>
        <v/>
      </c>
      <c r="M634" s="7" t="str">
        <f aca="false">IF($B634="","",INDEX(Course!$B$2:$B$19,MATCH($B634,Course!$A$2:$A$19,0)))</f>
        <v/>
      </c>
      <c r="N634" s="17" t="str">
        <f aca="false">IF($C634="","",IF($C634="H",0,IF($C634="G",INDEX(Baseline!$I$3:$I$102,MIN(MAX(ROUND($D634,0),1),100)),IF($C634="T",IF($M634=3,INDEX(Baseline!$B$3:$B$122,MATCH(MIN(MAX(ROUND(($D634)/5,0)*5,5),600),Baseline!$A$3:$A$122,0))-Inputs!$B$9,INDEX(Course!$N$2:$N$19,MATCH($B634,Course!$A$2:$A$19,0))),INDEX(Baseline!$B$3:$E$122,MATCH(MIN(MAX(ROUND(($D634)/5,0)*5,5),600),Baseline!$A$3:$A$122,0),MATCH($C634,Baseline!$B$2:$E$2,0))))))</f>
        <v/>
      </c>
      <c r="O634" s="17" t="str">
        <f aca="false">IF($C634="","",IF($E634="H",0,IF($E634="G",INDEX(Baseline!$I$3:$I$102,MIN(MAX(ROUND($F634,0),1),100)),IF($E634="T",IF($M634=3,INDEX(Baseline!$B$3:$B$122,MATCH(MIN(MAX(ROUND(($F634)/5,0)*5,5),600),Baseline!$A$3:$A$122,0))-Inputs!$B$9,INDEX(Course!$N$2:$N$19,MATCH($B634,Course!$A$2:$A$19,0))),INDEX(Baseline!$B$3:$E$122,MATCH(MIN(MAX(ROUND(($F634)/5,0)*5,5),600),Baseline!$A$3:$A$122,0),MATCH($E634,Baseline!$B$2:$E$2,0))))))</f>
        <v/>
      </c>
      <c r="P634" s="17" t="str">
        <f aca="false">IF($B634="","",INDEX(Course!$N$2:$N$19,MATCH($B634,Course!$A$2:$A$19,0)))</f>
        <v/>
      </c>
      <c r="Q634" s="17" t="str">
        <f aca="false">IF($B634="","",INDEX(Course!$P$2:$P$19,MATCH($B634,Course!$A$2:$A$19,0)))</f>
        <v/>
      </c>
      <c r="R634" s="17" t="str">
        <f aca="false">IF($C634="","",IF(OR($C634="G",$C634="H"),0,IF($C634="T",1,MIN(1,MAX(0,($N634-Inputs!$B$8)/MAX($P634-Inputs!$B$8,0.01))))))</f>
        <v/>
      </c>
      <c r="S634" s="17" t="str">
        <f aca="false">IF($C634="","",IF(OR($E634="G",$E634="H"),0,IF($E634="T",1,MIN(1,MAX(0,($O634-Inputs!$B$8)/MAX($P634-Inputs!$B$8,0.01))))))</f>
        <v/>
      </c>
    </row>
    <row r="635" customFormat="false" ht="15" hidden="false" customHeight="false" outlineLevel="0" collapsed="false">
      <c r="I635" s="7" t="str">
        <f aca="false">IF($C635="","",IF($C635="G","PUTT",IF(AND($C635="T",$M635&gt;3),"OTT",IF($D635&lt;=30,"ARG","APP"))))</f>
        <v/>
      </c>
      <c r="J635" s="17" t="str">
        <f aca="false">IF($C635="","",$N635+$Q635*$R635)</f>
        <v/>
      </c>
      <c r="K635" s="17" t="str">
        <f aca="false">IF($C635="","",$O635+$Q635*$S635)</f>
        <v/>
      </c>
      <c r="L635" s="17" t="str">
        <f aca="false">IF($C635="","",$J635-$K635-1-N($G635))</f>
        <v/>
      </c>
      <c r="M635" s="7" t="str">
        <f aca="false">IF($B635="","",INDEX(Course!$B$2:$B$19,MATCH($B635,Course!$A$2:$A$19,0)))</f>
        <v/>
      </c>
      <c r="N635" s="17" t="str">
        <f aca="false">IF($C635="","",IF($C635="H",0,IF($C635="G",INDEX(Baseline!$I$3:$I$102,MIN(MAX(ROUND($D635,0),1),100)),IF($C635="T",IF($M635=3,INDEX(Baseline!$B$3:$B$122,MATCH(MIN(MAX(ROUND(($D635)/5,0)*5,5),600),Baseline!$A$3:$A$122,0))-Inputs!$B$9,INDEX(Course!$N$2:$N$19,MATCH($B635,Course!$A$2:$A$19,0))),INDEX(Baseline!$B$3:$E$122,MATCH(MIN(MAX(ROUND(($D635)/5,0)*5,5),600),Baseline!$A$3:$A$122,0),MATCH($C635,Baseline!$B$2:$E$2,0))))))</f>
        <v/>
      </c>
      <c r="O635" s="17" t="str">
        <f aca="false">IF($C635="","",IF($E635="H",0,IF($E635="G",INDEX(Baseline!$I$3:$I$102,MIN(MAX(ROUND($F635,0),1),100)),IF($E635="T",IF($M635=3,INDEX(Baseline!$B$3:$B$122,MATCH(MIN(MAX(ROUND(($F635)/5,0)*5,5),600),Baseline!$A$3:$A$122,0))-Inputs!$B$9,INDEX(Course!$N$2:$N$19,MATCH($B635,Course!$A$2:$A$19,0))),INDEX(Baseline!$B$3:$E$122,MATCH(MIN(MAX(ROUND(($F635)/5,0)*5,5),600),Baseline!$A$3:$A$122,0),MATCH($E635,Baseline!$B$2:$E$2,0))))))</f>
        <v/>
      </c>
      <c r="P635" s="17" t="str">
        <f aca="false">IF($B635="","",INDEX(Course!$N$2:$N$19,MATCH($B635,Course!$A$2:$A$19,0)))</f>
        <v/>
      </c>
      <c r="Q635" s="17" t="str">
        <f aca="false">IF($B635="","",INDEX(Course!$P$2:$P$19,MATCH($B635,Course!$A$2:$A$19,0)))</f>
        <v/>
      </c>
      <c r="R635" s="17" t="str">
        <f aca="false">IF($C635="","",IF(OR($C635="G",$C635="H"),0,IF($C635="T",1,MIN(1,MAX(0,($N635-Inputs!$B$8)/MAX($P635-Inputs!$B$8,0.01))))))</f>
        <v/>
      </c>
      <c r="S635" s="17" t="str">
        <f aca="false">IF($C635="","",IF(OR($E635="G",$E635="H"),0,IF($E635="T",1,MIN(1,MAX(0,($O635-Inputs!$B$8)/MAX($P635-Inputs!$B$8,0.01))))))</f>
        <v/>
      </c>
    </row>
    <row r="636" customFormat="false" ht="15" hidden="false" customHeight="false" outlineLevel="0" collapsed="false">
      <c r="I636" s="7" t="str">
        <f aca="false">IF($C636="","",IF($C636="G","PUTT",IF(AND($C636="T",$M636&gt;3),"OTT",IF($D636&lt;=30,"ARG","APP"))))</f>
        <v/>
      </c>
      <c r="J636" s="17" t="str">
        <f aca="false">IF($C636="","",$N636+$Q636*$R636)</f>
        <v/>
      </c>
      <c r="K636" s="17" t="str">
        <f aca="false">IF($C636="","",$O636+$Q636*$S636)</f>
        <v/>
      </c>
      <c r="L636" s="17" t="str">
        <f aca="false">IF($C636="","",$J636-$K636-1-N($G636))</f>
        <v/>
      </c>
      <c r="M636" s="7" t="str">
        <f aca="false">IF($B636="","",INDEX(Course!$B$2:$B$19,MATCH($B636,Course!$A$2:$A$19,0)))</f>
        <v/>
      </c>
      <c r="N636" s="17" t="str">
        <f aca="false">IF($C636="","",IF($C636="H",0,IF($C636="G",INDEX(Baseline!$I$3:$I$102,MIN(MAX(ROUND($D636,0),1),100)),IF($C636="T",IF($M636=3,INDEX(Baseline!$B$3:$B$122,MATCH(MIN(MAX(ROUND(($D636)/5,0)*5,5),600),Baseline!$A$3:$A$122,0))-Inputs!$B$9,INDEX(Course!$N$2:$N$19,MATCH($B636,Course!$A$2:$A$19,0))),INDEX(Baseline!$B$3:$E$122,MATCH(MIN(MAX(ROUND(($D636)/5,0)*5,5),600),Baseline!$A$3:$A$122,0),MATCH($C636,Baseline!$B$2:$E$2,0))))))</f>
        <v/>
      </c>
      <c r="O636" s="17" t="str">
        <f aca="false">IF($C636="","",IF($E636="H",0,IF($E636="G",INDEX(Baseline!$I$3:$I$102,MIN(MAX(ROUND($F636,0),1),100)),IF($E636="T",IF($M636=3,INDEX(Baseline!$B$3:$B$122,MATCH(MIN(MAX(ROUND(($F636)/5,0)*5,5),600),Baseline!$A$3:$A$122,0))-Inputs!$B$9,INDEX(Course!$N$2:$N$19,MATCH($B636,Course!$A$2:$A$19,0))),INDEX(Baseline!$B$3:$E$122,MATCH(MIN(MAX(ROUND(($F636)/5,0)*5,5),600),Baseline!$A$3:$A$122,0),MATCH($E636,Baseline!$B$2:$E$2,0))))))</f>
        <v/>
      </c>
      <c r="P636" s="17" t="str">
        <f aca="false">IF($B636="","",INDEX(Course!$N$2:$N$19,MATCH($B636,Course!$A$2:$A$19,0)))</f>
        <v/>
      </c>
      <c r="Q636" s="17" t="str">
        <f aca="false">IF($B636="","",INDEX(Course!$P$2:$P$19,MATCH($B636,Course!$A$2:$A$19,0)))</f>
        <v/>
      </c>
      <c r="R636" s="17" t="str">
        <f aca="false">IF($C636="","",IF(OR($C636="G",$C636="H"),0,IF($C636="T",1,MIN(1,MAX(0,($N636-Inputs!$B$8)/MAX($P636-Inputs!$B$8,0.01))))))</f>
        <v/>
      </c>
      <c r="S636" s="17" t="str">
        <f aca="false">IF($C636="","",IF(OR($E636="G",$E636="H"),0,IF($E636="T",1,MIN(1,MAX(0,($O636-Inputs!$B$8)/MAX($P636-Inputs!$B$8,0.01))))))</f>
        <v/>
      </c>
    </row>
    <row r="637" customFormat="false" ht="15" hidden="false" customHeight="false" outlineLevel="0" collapsed="false">
      <c r="I637" s="7" t="str">
        <f aca="false">IF($C637="","",IF($C637="G","PUTT",IF(AND($C637="T",$M637&gt;3),"OTT",IF($D637&lt;=30,"ARG","APP"))))</f>
        <v/>
      </c>
      <c r="J637" s="17" t="str">
        <f aca="false">IF($C637="","",$N637+$Q637*$R637)</f>
        <v/>
      </c>
      <c r="K637" s="17" t="str">
        <f aca="false">IF($C637="","",$O637+$Q637*$S637)</f>
        <v/>
      </c>
      <c r="L637" s="17" t="str">
        <f aca="false">IF($C637="","",$J637-$K637-1-N($G637))</f>
        <v/>
      </c>
      <c r="M637" s="7" t="str">
        <f aca="false">IF($B637="","",INDEX(Course!$B$2:$B$19,MATCH($B637,Course!$A$2:$A$19,0)))</f>
        <v/>
      </c>
      <c r="N637" s="17" t="str">
        <f aca="false">IF($C637="","",IF($C637="H",0,IF($C637="G",INDEX(Baseline!$I$3:$I$102,MIN(MAX(ROUND($D637,0),1),100)),IF($C637="T",IF($M637=3,INDEX(Baseline!$B$3:$B$122,MATCH(MIN(MAX(ROUND(($D637)/5,0)*5,5),600),Baseline!$A$3:$A$122,0))-Inputs!$B$9,INDEX(Course!$N$2:$N$19,MATCH($B637,Course!$A$2:$A$19,0))),INDEX(Baseline!$B$3:$E$122,MATCH(MIN(MAX(ROUND(($D637)/5,0)*5,5),600),Baseline!$A$3:$A$122,0),MATCH($C637,Baseline!$B$2:$E$2,0))))))</f>
        <v/>
      </c>
      <c r="O637" s="17" t="str">
        <f aca="false">IF($C637="","",IF($E637="H",0,IF($E637="G",INDEX(Baseline!$I$3:$I$102,MIN(MAX(ROUND($F637,0),1),100)),IF($E637="T",IF($M637=3,INDEX(Baseline!$B$3:$B$122,MATCH(MIN(MAX(ROUND(($F637)/5,0)*5,5),600),Baseline!$A$3:$A$122,0))-Inputs!$B$9,INDEX(Course!$N$2:$N$19,MATCH($B637,Course!$A$2:$A$19,0))),INDEX(Baseline!$B$3:$E$122,MATCH(MIN(MAX(ROUND(($F637)/5,0)*5,5),600),Baseline!$A$3:$A$122,0),MATCH($E637,Baseline!$B$2:$E$2,0))))))</f>
        <v/>
      </c>
      <c r="P637" s="17" t="str">
        <f aca="false">IF($B637="","",INDEX(Course!$N$2:$N$19,MATCH($B637,Course!$A$2:$A$19,0)))</f>
        <v/>
      </c>
      <c r="Q637" s="17" t="str">
        <f aca="false">IF($B637="","",INDEX(Course!$P$2:$P$19,MATCH($B637,Course!$A$2:$A$19,0)))</f>
        <v/>
      </c>
      <c r="R637" s="17" t="str">
        <f aca="false">IF($C637="","",IF(OR($C637="G",$C637="H"),0,IF($C637="T",1,MIN(1,MAX(0,($N637-Inputs!$B$8)/MAX($P637-Inputs!$B$8,0.01))))))</f>
        <v/>
      </c>
      <c r="S637" s="17" t="str">
        <f aca="false">IF($C637="","",IF(OR($E637="G",$E637="H"),0,IF($E637="T",1,MIN(1,MAX(0,($O637-Inputs!$B$8)/MAX($P637-Inputs!$B$8,0.01))))))</f>
        <v/>
      </c>
    </row>
    <row r="638" customFormat="false" ht="15" hidden="false" customHeight="false" outlineLevel="0" collapsed="false">
      <c r="I638" s="7" t="str">
        <f aca="false">IF($C638="","",IF($C638="G","PUTT",IF(AND($C638="T",$M638&gt;3),"OTT",IF($D638&lt;=30,"ARG","APP"))))</f>
        <v/>
      </c>
      <c r="J638" s="17" t="str">
        <f aca="false">IF($C638="","",$N638+$Q638*$R638)</f>
        <v/>
      </c>
      <c r="K638" s="17" t="str">
        <f aca="false">IF($C638="","",$O638+$Q638*$S638)</f>
        <v/>
      </c>
      <c r="L638" s="17" t="str">
        <f aca="false">IF($C638="","",$J638-$K638-1-N($G638))</f>
        <v/>
      </c>
      <c r="M638" s="7" t="str">
        <f aca="false">IF($B638="","",INDEX(Course!$B$2:$B$19,MATCH($B638,Course!$A$2:$A$19,0)))</f>
        <v/>
      </c>
      <c r="N638" s="17" t="str">
        <f aca="false">IF($C638="","",IF($C638="H",0,IF($C638="G",INDEX(Baseline!$I$3:$I$102,MIN(MAX(ROUND($D638,0),1),100)),IF($C638="T",IF($M638=3,INDEX(Baseline!$B$3:$B$122,MATCH(MIN(MAX(ROUND(($D638)/5,0)*5,5),600),Baseline!$A$3:$A$122,0))-Inputs!$B$9,INDEX(Course!$N$2:$N$19,MATCH($B638,Course!$A$2:$A$19,0))),INDEX(Baseline!$B$3:$E$122,MATCH(MIN(MAX(ROUND(($D638)/5,0)*5,5),600),Baseline!$A$3:$A$122,0),MATCH($C638,Baseline!$B$2:$E$2,0))))))</f>
        <v/>
      </c>
      <c r="O638" s="17" t="str">
        <f aca="false">IF($C638="","",IF($E638="H",0,IF($E638="G",INDEX(Baseline!$I$3:$I$102,MIN(MAX(ROUND($F638,0),1),100)),IF($E638="T",IF($M638=3,INDEX(Baseline!$B$3:$B$122,MATCH(MIN(MAX(ROUND(($F638)/5,0)*5,5),600),Baseline!$A$3:$A$122,0))-Inputs!$B$9,INDEX(Course!$N$2:$N$19,MATCH($B638,Course!$A$2:$A$19,0))),INDEX(Baseline!$B$3:$E$122,MATCH(MIN(MAX(ROUND(($F638)/5,0)*5,5),600),Baseline!$A$3:$A$122,0),MATCH($E638,Baseline!$B$2:$E$2,0))))))</f>
        <v/>
      </c>
      <c r="P638" s="17" t="str">
        <f aca="false">IF($B638="","",INDEX(Course!$N$2:$N$19,MATCH($B638,Course!$A$2:$A$19,0)))</f>
        <v/>
      </c>
      <c r="Q638" s="17" t="str">
        <f aca="false">IF($B638="","",INDEX(Course!$P$2:$P$19,MATCH($B638,Course!$A$2:$A$19,0)))</f>
        <v/>
      </c>
      <c r="R638" s="17" t="str">
        <f aca="false">IF($C638="","",IF(OR($C638="G",$C638="H"),0,IF($C638="T",1,MIN(1,MAX(0,($N638-Inputs!$B$8)/MAX($P638-Inputs!$B$8,0.01))))))</f>
        <v/>
      </c>
      <c r="S638" s="17" t="str">
        <f aca="false">IF($C638="","",IF(OR($E638="G",$E638="H"),0,IF($E638="T",1,MIN(1,MAX(0,($O638-Inputs!$B$8)/MAX($P638-Inputs!$B$8,0.01))))))</f>
        <v/>
      </c>
    </row>
    <row r="639" customFormat="false" ht="15" hidden="false" customHeight="false" outlineLevel="0" collapsed="false">
      <c r="I639" s="7" t="str">
        <f aca="false">IF($C639="","",IF($C639="G","PUTT",IF(AND($C639="T",$M639&gt;3),"OTT",IF($D639&lt;=30,"ARG","APP"))))</f>
        <v/>
      </c>
      <c r="J639" s="17" t="str">
        <f aca="false">IF($C639="","",$N639+$Q639*$R639)</f>
        <v/>
      </c>
      <c r="K639" s="17" t="str">
        <f aca="false">IF($C639="","",$O639+$Q639*$S639)</f>
        <v/>
      </c>
      <c r="L639" s="17" t="str">
        <f aca="false">IF($C639="","",$J639-$K639-1-N($G639))</f>
        <v/>
      </c>
      <c r="M639" s="7" t="str">
        <f aca="false">IF($B639="","",INDEX(Course!$B$2:$B$19,MATCH($B639,Course!$A$2:$A$19,0)))</f>
        <v/>
      </c>
      <c r="N639" s="17" t="str">
        <f aca="false">IF($C639="","",IF($C639="H",0,IF($C639="G",INDEX(Baseline!$I$3:$I$102,MIN(MAX(ROUND($D639,0),1),100)),IF($C639="T",IF($M639=3,INDEX(Baseline!$B$3:$B$122,MATCH(MIN(MAX(ROUND(($D639)/5,0)*5,5),600),Baseline!$A$3:$A$122,0))-Inputs!$B$9,INDEX(Course!$N$2:$N$19,MATCH($B639,Course!$A$2:$A$19,0))),INDEX(Baseline!$B$3:$E$122,MATCH(MIN(MAX(ROUND(($D639)/5,0)*5,5),600),Baseline!$A$3:$A$122,0),MATCH($C639,Baseline!$B$2:$E$2,0))))))</f>
        <v/>
      </c>
      <c r="O639" s="17" t="str">
        <f aca="false">IF($C639="","",IF($E639="H",0,IF($E639="G",INDEX(Baseline!$I$3:$I$102,MIN(MAX(ROUND($F639,0),1),100)),IF($E639="T",IF($M639=3,INDEX(Baseline!$B$3:$B$122,MATCH(MIN(MAX(ROUND(($F639)/5,0)*5,5),600),Baseline!$A$3:$A$122,0))-Inputs!$B$9,INDEX(Course!$N$2:$N$19,MATCH($B639,Course!$A$2:$A$19,0))),INDEX(Baseline!$B$3:$E$122,MATCH(MIN(MAX(ROUND(($F639)/5,0)*5,5),600),Baseline!$A$3:$A$122,0),MATCH($E639,Baseline!$B$2:$E$2,0))))))</f>
        <v/>
      </c>
      <c r="P639" s="17" t="str">
        <f aca="false">IF($B639="","",INDEX(Course!$N$2:$N$19,MATCH($B639,Course!$A$2:$A$19,0)))</f>
        <v/>
      </c>
      <c r="Q639" s="17" t="str">
        <f aca="false">IF($B639="","",INDEX(Course!$P$2:$P$19,MATCH($B639,Course!$A$2:$A$19,0)))</f>
        <v/>
      </c>
      <c r="R639" s="17" t="str">
        <f aca="false">IF($C639="","",IF(OR($C639="G",$C639="H"),0,IF($C639="T",1,MIN(1,MAX(0,($N639-Inputs!$B$8)/MAX($P639-Inputs!$B$8,0.01))))))</f>
        <v/>
      </c>
      <c r="S639" s="17" t="str">
        <f aca="false">IF($C639="","",IF(OR($E639="G",$E639="H"),0,IF($E639="T",1,MIN(1,MAX(0,($O639-Inputs!$B$8)/MAX($P639-Inputs!$B$8,0.01))))))</f>
        <v/>
      </c>
    </row>
    <row r="640" customFormat="false" ht="15" hidden="false" customHeight="false" outlineLevel="0" collapsed="false">
      <c r="I640" s="7" t="str">
        <f aca="false">IF($C640="","",IF($C640="G","PUTT",IF(AND($C640="T",$M640&gt;3),"OTT",IF($D640&lt;=30,"ARG","APP"))))</f>
        <v/>
      </c>
      <c r="J640" s="17" t="str">
        <f aca="false">IF($C640="","",$N640+$Q640*$R640)</f>
        <v/>
      </c>
      <c r="K640" s="17" t="str">
        <f aca="false">IF($C640="","",$O640+$Q640*$S640)</f>
        <v/>
      </c>
      <c r="L640" s="17" t="str">
        <f aca="false">IF($C640="","",$J640-$K640-1-N($G640))</f>
        <v/>
      </c>
      <c r="M640" s="7" t="str">
        <f aca="false">IF($B640="","",INDEX(Course!$B$2:$B$19,MATCH($B640,Course!$A$2:$A$19,0)))</f>
        <v/>
      </c>
      <c r="N640" s="17" t="str">
        <f aca="false">IF($C640="","",IF($C640="H",0,IF($C640="G",INDEX(Baseline!$I$3:$I$102,MIN(MAX(ROUND($D640,0),1),100)),IF($C640="T",IF($M640=3,INDEX(Baseline!$B$3:$B$122,MATCH(MIN(MAX(ROUND(($D640)/5,0)*5,5),600),Baseline!$A$3:$A$122,0))-Inputs!$B$9,INDEX(Course!$N$2:$N$19,MATCH($B640,Course!$A$2:$A$19,0))),INDEX(Baseline!$B$3:$E$122,MATCH(MIN(MAX(ROUND(($D640)/5,0)*5,5),600),Baseline!$A$3:$A$122,0),MATCH($C640,Baseline!$B$2:$E$2,0))))))</f>
        <v/>
      </c>
      <c r="O640" s="17" t="str">
        <f aca="false">IF($C640="","",IF($E640="H",0,IF($E640="G",INDEX(Baseline!$I$3:$I$102,MIN(MAX(ROUND($F640,0),1),100)),IF($E640="T",IF($M640=3,INDEX(Baseline!$B$3:$B$122,MATCH(MIN(MAX(ROUND(($F640)/5,0)*5,5),600),Baseline!$A$3:$A$122,0))-Inputs!$B$9,INDEX(Course!$N$2:$N$19,MATCH($B640,Course!$A$2:$A$19,0))),INDEX(Baseline!$B$3:$E$122,MATCH(MIN(MAX(ROUND(($F640)/5,0)*5,5),600),Baseline!$A$3:$A$122,0),MATCH($E640,Baseline!$B$2:$E$2,0))))))</f>
        <v/>
      </c>
      <c r="P640" s="17" t="str">
        <f aca="false">IF($B640="","",INDEX(Course!$N$2:$N$19,MATCH($B640,Course!$A$2:$A$19,0)))</f>
        <v/>
      </c>
      <c r="Q640" s="17" t="str">
        <f aca="false">IF($B640="","",INDEX(Course!$P$2:$P$19,MATCH($B640,Course!$A$2:$A$19,0)))</f>
        <v/>
      </c>
      <c r="R640" s="17" t="str">
        <f aca="false">IF($C640="","",IF(OR($C640="G",$C640="H"),0,IF($C640="T",1,MIN(1,MAX(0,($N640-Inputs!$B$8)/MAX($P640-Inputs!$B$8,0.01))))))</f>
        <v/>
      </c>
      <c r="S640" s="17" t="str">
        <f aca="false">IF($C640="","",IF(OR($E640="G",$E640="H"),0,IF($E640="T",1,MIN(1,MAX(0,($O640-Inputs!$B$8)/MAX($P640-Inputs!$B$8,0.01))))))</f>
        <v/>
      </c>
    </row>
    <row r="641" customFormat="false" ht="15" hidden="false" customHeight="false" outlineLevel="0" collapsed="false">
      <c r="I641" s="7" t="str">
        <f aca="false">IF($C641="","",IF($C641="G","PUTT",IF(AND($C641="T",$M641&gt;3),"OTT",IF($D641&lt;=30,"ARG","APP"))))</f>
        <v/>
      </c>
      <c r="J641" s="17" t="str">
        <f aca="false">IF($C641="","",$N641+$Q641*$R641)</f>
        <v/>
      </c>
      <c r="K641" s="17" t="str">
        <f aca="false">IF($C641="","",$O641+$Q641*$S641)</f>
        <v/>
      </c>
      <c r="L641" s="17" t="str">
        <f aca="false">IF($C641="","",$J641-$K641-1-N($G641))</f>
        <v/>
      </c>
      <c r="M641" s="7" t="str">
        <f aca="false">IF($B641="","",INDEX(Course!$B$2:$B$19,MATCH($B641,Course!$A$2:$A$19,0)))</f>
        <v/>
      </c>
      <c r="N641" s="17" t="str">
        <f aca="false">IF($C641="","",IF($C641="H",0,IF($C641="G",INDEX(Baseline!$I$3:$I$102,MIN(MAX(ROUND($D641,0),1),100)),IF($C641="T",IF($M641=3,INDEX(Baseline!$B$3:$B$122,MATCH(MIN(MAX(ROUND(($D641)/5,0)*5,5),600),Baseline!$A$3:$A$122,0))-Inputs!$B$9,INDEX(Course!$N$2:$N$19,MATCH($B641,Course!$A$2:$A$19,0))),INDEX(Baseline!$B$3:$E$122,MATCH(MIN(MAX(ROUND(($D641)/5,0)*5,5),600),Baseline!$A$3:$A$122,0),MATCH($C641,Baseline!$B$2:$E$2,0))))))</f>
        <v/>
      </c>
      <c r="O641" s="17" t="str">
        <f aca="false">IF($C641="","",IF($E641="H",0,IF($E641="G",INDEX(Baseline!$I$3:$I$102,MIN(MAX(ROUND($F641,0),1),100)),IF($E641="T",IF($M641=3,INDEX(Baseline!$B$3:$B$122,MATCH(MIN(MAX(ROUND(($F641)/5,0)*5,5),600),Baseline!$A$3:$A$122,0))-Inputs!$B$9,INDEX(Course!$N$2:$N$19,MATCH($B641,Course!$A$2:$A$19,0))),INDEX(Baseline!$B$3:$E$122,MATCH(MIN(MAX(ROUND(($F641)/5,0)*5,5),600),Baseline!$A$3:$A$122,0),MATCH($E641,Baseline!$B$2:$E$2,0))))))</f>
        <v/>
      </c>
      <c r="P641" s="17" t="str">
        <f aca="false">IF($B641="","",INDEX(Course!$N$2:$N$19,MATCH($B641,Course!$A$2:$A$19,0)))</f>
        <v/>
      </c>
      <c r="Q641" s="17" t="str">
        <f aca="false">IF($B641="","",INDEX(Course!$P$2:$P$19,MATCH($B641,Course!$A$2:$A$19,0)))</f>
        <v/>
      </c>
      <c r="R641" s="17" t="str">
        <f aca="false">IF($C641="","",IF(OR($C641="G",$C641="H"),0,IF($C641="T",1,MIN(1,MAX(0,($N641-Inputs!$B$8)/MAX($P641-Inputs!$B$8,0.01))))))</f>
        <v/>
      </c>
      <c r="S641" s="17" t="str">
        <f aca="false">IF($C641="","",IF(OR($E641="G",$E641="H"),0,IF($E641="T",1,MIN(1,MAX(0,($O641-Inputs!$B$8)/MAX($P641-Inputs!$B$8,0.01))))))</f>
        <v/>
      </c>
    </row>
    <row r="642" customFormat="false" ht="15" hidden="false" customHeight="false" outlineLevel="0" collapsed="false">
      <c r="I642" s="7" t="str">
        <f aca="false">IF($C642="","",IF($C642="G","PUTT",IF(AND($C642="T",$M642&gt;3),"OTT",IF($D642&lt;=30,"ARG","APP"))))</f>
        <v/>
      </c>
      <c r="J642" s="17" t="str">
        <f aca="false">IF($C642="","",$N642+$Q642*$R642)</f>
        <v/>
      </c>
      <c r="K642" s="17" t="str">
        <f aca="false">IF($C642="","",$O642+$Q642*$S642)</f>
        <v/>
      </c>
      <c r="L642" s="17" t="str">
        <f aca="false">IF($C642="","",$J642-$K642-1-N($G642))</f>
        <v/>
      </c>
      <c r="M642" s="7" t="str">
        <f aca="false">IF($B642="","",INDEX(Course!$B$2:$B$19,MATCH($B642,Course!$A$2:$A$19,0)))</f>
        <v/>
      </c>
      <c r="N642" s="17" t="str">
        <f aca="false">IF($C642="","",IF($C642="H",0,IF($C642="G",INDEX(Baseline!$I$3:$I$102,MIN(MAX(ROUND($D642,0),1),100)),IF($C642="T",IF($M642=3,INDEX(Baseline!$B$3:$B$122,MATCH(MIN(MAX(ROUND(($D642)/5,0)*5,5),600),Baseline!$A$3:$A$122,0))-Inputs!$B$9,INDEX(Course!$N$2:$N$19,MATCH($B642,Course!$A$2:$A$19,0))),INDEX(Baseline!$B$3:$E$122,MATCH(MIN(MAX(ROUND(($D642)/5,0)*5,5),600),Baseline!$A$3:$A$122,0),MATCH($C642,Baseline!$B$2:$E$2,0))))))</f>
        <v/>
      </c>
      <c r="O642" s="17" t="str">
        <f aca="false">IF($C642="","",IF($E642="H",0,IF($E642="G",INDEX(Baseline!$I$3:$I$102,MIN(MAX(ROUND($F642,0),1),100)),IF($E642="T",IF($M642=3,INDEX(Baseline!$B$3:$B$122,MATCH(MIN(MAX(ROUND(($F642)/5,0)*5,5),600),Baseline!$A$3:$A$122,0))-Inputs!$B$9,INDEX(Course!$N$2:$N$19,MATCH($B642,Course!$A$2:$A$19,0))),INDEX(Baseline!$B$3:$E$122,MATCH(MIN(MAX(ROUND(($F642)/5,0)*5,5),600),Baseline!$A$3:$A$122,0),MATCH($E642,Baseline!$B$2:$E$2,0))))))</f>
        <v/>
      </c>
      <c r="P642" s="17" t="str">
        <f aca="false">IF($B642="","",INDEX(Course!$N$2:$N$19,MATCH($B642,Course!$A$2:$A$19,0)))</f>
        <v/>
      </c>
      <c r="Q642" s="17" t="str">
        <f aca="false">IF($B642="","",INDEX(Course!$P$2:$P$19,MATCH($B642,Course!$A$2:$A$19,0)))</f>
        <v/>
      </c>
      <c r="R642" s="17" t="str">
        <f aca="false">IF($C642="","",IF(OR($C642="G",$C642="H"),0,IF($C642="T",1,MIN(1,MAX(0,($N642-Inputs!$B$8)/MAX($P642-Inputs!$B$8,0.01))))))</f>
        <v/>
      </c>
      <c r="S642" s="17" t="str">
        <f aca="false">IF($C642="","",IF(OR($E642="G",$E642="H"),0,IF($E642="T",1,MIN(1,MAX(0,($O642-Inputs!$B$8)/MAX($P642-Inputs!$B$8,0.01))))))</f>
        <v/>
      </c>
    </row>
    <row r="643" customFormat="false" ht="15" hidden="false" customHeight="false" outlineLevel="0" collapsed="false">
      <c r="I643" s="7" t="str">
        <f aca="false">IF($C643="","",IF($C643="G","PUTT",IF(AND($C643="T",$M643&gt;3),"OTT",IF($D643&lt;=30,"ARG","APP"))))</f>
        <v/>
      </c>
      <c r="J643" s="17" t="str">
        <f aca="false">IF($C643="","",$N643+$Q643*$R643)</f>
        <v/>
      </c>
      <c r="K643" s="17" t="str">
        <f aca="false">IF($C643="","",$O643+$Q643*$S643)</f>
        <v/>
      </c>
      <c r="L643" s="17" t="str">
        <f aca="false">IF($C643="","",$J643-$K643-1-N($G643))</f>
        <v/>
      </c>
      <c r="M643" s="7" t="str">
        <f aca="false">IF($B643="","",INDEX(Course!$B$2:$B$19,MATCH($B643,Course!$A$2:$A$19,0)))</f>
        <v/>
      </c>
      <c r="N643" s="17" t="str">
        <f aca="false">IF($C643="","",IF($C643="H",0,IF($C643="G",INDEX(Baseline!$I$3:$I$102,MIN(MAX(ROUND($D643,0),1),100)),IF($C643="T",IF($M643=3,INDEX(Baseline!$B$3:$B$122,MATCH(MIN(MAX(ROUND(($D643)/5,0)*5,5),600),Baseline!$A$3:$A$122,0))-Inputs!$B$9,INDEX(Course!$N$2:$N$19,MATCH($B643,Course!$A$2:$A$19,0))),INDEX(Baseline!$B$3:$E$122,MATCH(MIN(MAX(ROUND(($D643)/5,0)*5,5),600),Baseline!$A$3:$A$122,0),MATCH($C643,Baseline!$B$2:$E$2,0))))))</f>
        <v/>
      </c>
      <c r="O643" s="17" t="str">
        <f aca="false">IF($C643="","",IF($E643="H",0,IF($E643="G",INDEX(Baseline!$I$3:$I$102,MIN(MAX(ROUND($F643,0),1),100)),IF($E643="T",IF($M643=3,INDEX(Baseline!$B$3:$B$122,MATCH(MIN(MAX(ROUND(($F643)/5,0)*5,5),600),Baseline!$A$3:$A$122,0))-Inputs!$B$9,INDEX(Course!$N$2:$N$19,MATCH($B643,Course!$A$2:$A$19,0))),INDEX(Baseline!$B$3:$E$122,MATCH(MIN(MAX(ROUND(($F643)/5,0)*5,5),600),Baseline!$A$3:$A$122,0),MATCH($E643,Baseline!$B$2:$E$2,0))))))</f>
        <v/>
      </c>
      <c r="P643" s="17" t="str">
        <f aca="false">IF($B643="","",INDEX(Course!$N$2:$N$19,MATCH($B643,Course!$A$2:$A$19,0)))</f>
        <v/>
      </c>
      <c r="Q643" s="17" t="str">
        <f aca="false">IF($B643="","",INDEX(Course!$P$2:$P$19,MATCH($B643,Course!$A$2:$A$19,0)))</f>
        <v/>
      </c>
      <c r="R643" s="17" t="str">
        <f aca="false">IF($C643="","",IF(OR($C643="G",$C643="H"),0,IF($C643="T",1,MIN(1,MAX(0,($N643-Inputs!$B$8)/MAX($P643-Inputs!$B$8,0.01))))))</f>
        <v/>
      </c>
      <c r="S643" s="17" t="str">
        <f aca="false">IF($C643="","",IF(OR($E643="G",$E643="H"),0,IF($E643="T",1,MIN(1,MAX(0,($O643-Inputs!$B$8)/MAX($P643-Inputs!$B$8,0.01))))))</f>
        <v/>
      </c>
    </row>
    <row r="644" customFormat="false" ht="15" hidden="false" customHeight="false" outlineLevel="0" collapsed="false">
      <c r="I644" s="7" t="str">
        <f aca="false">IF($C644="","",IF($C644="G","PUTT",IF(AND($C644="T",$M644&gt;3),"OTT",IF($D644&lt;=30,"ARG","APP"))))</f>
        <v/>
      </c>
      <c r="J644" s="17" t="str">
        <f aca="false">IF($C644="","",$N644+$Q644*$R644)</f>
        <v/>
      </c>
      <c r="K644" s="17" t="str">
        <f aca="false">IF($C644="","",$O644+$Q644*$S644)</f>
        <v/>
      </c>
      <c r="L644" s="17" t="str">
        <f aca="false">IF($C644="","",$J644-$K644-1-N($G644))</f>
        <v/>
      </c>
      <c r="M644" s="7" t="str">
        <f aca="false">IF($B644="","",INDEX(Course!$B$2:$B$19,MATCH($B644,Course!$A$2:$A$19,0)))</f>
        <v/>
      </c>
      <c r="N644" s="17" t="str">
        <f aca="false">IF($C644="","",IF($C644="H",0,IF($C644="G",INDEX(Baseline!$I$3:$I$102,MIN(MAX(ROUND($D644,0),1),100)),IF($C644="T",IF($M644=3,INDEX(Baseline!$B$3:$B$122,MATCH(MIN(MAX(ROUND(($D644)/5,0)*5,5),600),Baseline!$A$3:$A$122,0))-Inputs!$B$9,INDEX(Course!$N$2:$N$19,MATCH($B644,Course!$A$2:$A$19,0))),INDEX(Baseline!$B$3:$E$122,MATCH(MIN(MAX(ROUND(($D644)/5,0)*5,5),600),Baseline!$A$3:$A$122,0),MATCH($C644,Baseline!$B$2:$E$2,0))))))</f>
        <v/>
      </c>
      <c r="O644" s="17" t="str">
        <f aca="false">IF($C644="","",IF($E644="H",0,IF($E644="G",INDEX(Baseline!$I$3:$I$102,MIN(MAX(ROUND($F644,0),1),100)),IF($E644="T",IF($M644=3,INDEX(Baseline!$B$3:$B$122,MATCH(MIN(MAX(ROUND(($F644)/5,0)*5,5),600),Baseline!$A$3:$A$122,0))-Inputs!$B$9,INDEX(Course!$N$2:$N$19,MATCH($B644,Course!$A$2:$A$19,0))),INDEX(Baseline!$B$3:$E$122,MATCH(MIN(MAX(ROUND(($F644)/5,0)*5,5),600),Baseline!$A$3:$A$122,0),MATCH($E644,Baseline!$B$2:$E$2,0))))))</f>
        <v/>
      </c>
      <c r="P644" s="17" t="str">
        <f aca="false">IF($B644="","",INDEX(Course!$N$2:$N$19,MATCH($B644,Course!$A$2:$A$19,0)))</f>
        <v/>
      </c>
      <c r="Q644" s="17" t="str">
        <f aca="false">IF($B644="","",INDEX(Course!$P$2:$P$19,MATCH($B644,Course!$A$2:$A$19,0)))</f>
        <v/>
      </c>
      <c r="R644" s="17" t="str">
        <f aca="false">IF($C644="","",IF(OR($C644="G",$C644="H"),0,IF($C644="T",1,MIN(1,MAX(0,($N644-Inputs!$B$8)/MAX($P644-Inputs!$B$8,0.01))))))</f>
        <v/>
      </c>
      <c r="S644" s="17" t="str">
        <f aca="false">IF($C644="","",IF(OR($E644="G",$E644="H"),0,IF($E644="T",1,MIN(1,MAX(0,($O644-Inputs!$B$8)/MAX($P644-Inputs!$B$8,0.01))))))</f>
        <v/>
      </c>
    </row>
    <row r="645" customFormat="false" ht="15" hidden="false" customHeight="false" outlineLevel="0" collapsed="false">
      <c r="I645" s="7" t="str">
        <f aca="false">IF($C645="","",IF($C645="G","PUTT",IF(AND($C645="T",$M645&gt;3),"OTT",IF($D645&lt;=30,"ARG","APP"))))</f>
        <v/>
      </c>
      <c r="J645" s="17" t="str">
        <f aca="false">IF($C645="","",$N645+$Q645*$R645)</f>
        <v/>
      </c>
      <c r="K645" s="17" t="str">
        <f aca="false">IF($C645="","",$O645+$Q645*$S645)</f>
        <v/>
      </c>
      <c r="L645" s="17" t="str">
        <f aca="false">IF($C645="","",$J645-$K645-1-N($G645))</f>
        <v/>
      </c>
      <c r="M645" s="7" t="str">
        <f aca="false">IF($B645="","",INDEX(Course!$B$2:$B$19,MATCH($B645,Course!$A$2:$A$19,0)))</f>
        <v/>
      </c>
      <c r="N645" s="17" t="str">
        <f aca="false">IF($C645="","",IF($C645="H",0,IF($C645="G",INDEX(Baseline!$I$3:$I$102,MIN(MAX(ROUND($D645,0),1),100)),IF($C645="T",IF($M645=3,INDEX(Baseline!$B$3:$B$122,MATCH(MIN(MAX(ROUND(($D645)/5,0)*5,5),600),Baseline!$A$3:$A$122,0))-Inputs!$B$9,INDEX(Course!$N$2:$N$19,MATCH($B645,Course!$A$2:$A$19,0))),INDEX(Baseline!$B$3:$E$122,MATCH(MIN(MAX(ROUND(($D645)/5,0)*5,5),600),Baseline!$A$3:$A$122,0),MATCH($C645,Baseline!$B$2:$E$2,0))))))</f>
        <v/>
      </c>
      <c r="O645" s="17" t="str">
        <f aca="false">IF($C645="","",IF($E645="H",0,IF($E645="G",INDEX(Baseline!$I$3:$I$102,MIN(MAX(ROUND($F645,0),1),100)),IF($E645="T",IF($M645=3,INDEX(Baseline!$B$3:$B$122,MATCH(MIN(MAX(ROUND(($F645)/5,0)*5,5),600),Baseline!$A$3:$A$122,0))-Inputs!$B$9,INDEX(Course!$N$2:$N$19,MATCH($B645,Course!$A$2:$A$19,0))),INDEX(Baseline!$B$3:$E$122,MATCH(MIN(MAX(ROUND(($F645)/5,0)*5,5),600),Baseline!$A$3:$A$122,0),MATCH($E645,Baseline!$B$2:$E$2,0))))))</f>
        <v/>
      </c>
      <c r="P645" s="17" t="str">
        <f aca="false">IF($B645="","",INDEX(Course!$N$2:$N$19,MATCH($B645,Course!$A$2:$A$19,0)))</f>
        <v/>
      </c>
      <c r="Q645" s="17" t="str">
        <f aca="false">IF($B645="","",INDEX(Course!$P$2:$P$19,MATCH($B645,Course!$A$2:$A$19,0)))</f>
        <v/>
      </c>
      <c r="R645" s="17" t="str">
        <f aca="false">IF($C645="","",IF(OR($C645="G",$C645="H"),0,IF($C645="T",1,MIN(1,MAX(0,($N645-Inputs!$B$8)/MAX($P645-Inputs!$B$8,0.01))))))</f>
        <v/>
      </c>
      <c r="S645" s="17" t="str">
        <f aca="false">IF($C645="","",IF(OR($E645="G",$E645="H"),0,IF($E645="T",1,MIN(1,MAX(0,($O645-Inputs!$B$8)/MAX($P645-Inputs!$B$8,0.01))))))</f>
        <v/>
      </c>
    </row>
    <row r="646" customFormat="false" ht="15" hidden="false" customHeight="false" outlineLevel="0" collapsed="false">
      <c r="I646" s="7" t="str">
        <f aca="false">IF($C646="","",IF($C646="G","PUTT",IF(AND($C646="T",$M646&gt;3),"OTT",IF($D646&lt;=30,"ARG","APP"))))</f>
        <v/>
      </c>
      <c r="J646" s="17" t="str">
        <f aca="false">IF($C646="","",$N646+$Q646*$R646)</f>
        <v/>
      </c>
      <c r="K646" s="17" t="str">
        <f aca="false">IF($C646="","",$O646+$Q646*$S646)</f>
        <v/>
      </c>
      <c r="L646" s="17" t="str">
        <f aca="false">IF($C646="","",$J646-$K646-1-N($G646))</f>
        <v/>
      </c>
      <c r="M646" s="7" t="str">
        <f aca="false">IF($B646="","",INDEX(Course!$B$2:$B$19,MATCH($B646,Course!$A$2:$A$19,0)))</f>
        <v/>
      </c>
      <c r="N646" s="17" t="str">
        <f aca="false">IF($C646="","",IF($C646="H",0,IF($C646="G",INDEX(Baseline!$I$3:$I$102,MIN(MAX(ROUND($D646,0),1),100)),IF($C646="T",IF($M646=3,INDEX(Baseline!$B$3:$B$122,MATCH(MIN(MAX(ROUND(($D646)/5,0)*5,5),600),Baseline!$A$3:$A$122,0))-Inputs!$B$9,INDEX(Course!$N$2:$N$19,MATCH($B646,Course!$A$2:$A$19,0))),INDEX(Baseline!$B$3:$E$122,MATCH(MIN(MAX(ROUND(($D646)/5,0)*5,5),600),Baseline!$A$3:$A$122,0),MATCH($C646,Baseline!$B$2:$E$2,0))))))</f>
        <v/>
      </c>
      <c r="O646" s="17" t="str">
        <f aca="false">IF($C646="","",IF($E646="H",0,IF($E646="G",INDEX(Baseline!$I$3:$I$102,MIN(MAX(ROUND($F646,0),1),100)),IF($E646="T",IF($M646=3,INDEX(Baseline!$B$3:$B$122,MATCH(MIN(MAX(ROUND(($F646)/5,0)*5,5),600),Baseline!$A$3:$A$122,0))-Inputs!$B$9,INDEX(Course!$N$2:$N$19,MATCH($B646,Course!$A$2:$A$19,0))),INDEX(Baseline!$B$3:$E$122,MATCH(MIN(MAX(ROUND(($F646)/5,0)*5,5),600),Baseline!$A$3:$A$122,0),MATCH($E646,Baseline!$B$2:$E$2,0))))))</f>
        <v/>
      </c>
      <c r="P646" s="17" t="str">
        <f aca="false">IF($B646="","",INDEX(Course!$N$2:$N$19,MATCH($B646,Course!$A$2:$A$19,0)))</f>
        <v/>
      </c>
      <c r="Q646" s="17" t="str">
        <f aca="false">IF($B646="","",INDEX(Course!$P$2:$P$19,MATCH($B646,Course!$A$2:$A$19,0)))</f>
        <v/>
      </c>
      <c r="R646" s="17" t="str">
        <f aca="false">IF($C646="","",IF(OR($C646="G",$C646="H"),0,IF($C646="T",1,MIN(1,MAX(0,($N646-Inputs!$B$8)/MAX($P646-Inputs!$B$8,0.01))))))</f>
        <v/>
      </c>
      <c r="S646" s="17" t="str">
        <f aca="false">IF($C646="","",IF(OR($E646="G",$E646="H"),0,IF($E646="T",1,MIN(1,MAX(0,($O646-Inputs!$B$8)/MAX($P646-Inputs!$B$8,0.01))))))</f>
        <v/>
      </c>
    </row>
    <row r="647" customFormat="false" ht="15" hidden="false" customHeight="false" outlineLevel="0" collapsed="false">
      <c r="I647" s="7" t="str">
        <f aca="false">IF($C647="","",IF($C647="G","PUTT",IF(AND($C647="T",$M647&gt;3),"OTT",IF($D647&lt;=30,"ARG","APP"))))</f>
        <v/>
      </c>
      <c r="J647" s="17" t="str">
        <f aca="false">IF($C647="","",$N647+$Q647*$R647)</f>
        <v/>
      </c>
      <c r="K647" s="17" t="str">
        <f aca="false">IF($C647="","",$O647+$Q647*$S647)</f>
        <v/>
      </c>
      <c r="L647" s="17" t="str">
        <f aca="false">IF($C647="","",$J647-$K647-1-N($G647))</f>
        <v/>
      </c>
      <c r="M647" s="7" t="str">
        <f aca="false">IF($B647="","",INDEX(Course!$B$2:$B$19,MATCH($B647,Course!$A$2:$A$19,0)))</f>
        <v/>
      </c>
      <c r="N647" s="17" t="str">
        <f aca="false">IF($C647="","",IF($C647="H",0,IF($C647="G",INDEX(Baseline!$I$3:$I$102,MIN(MAX(ROUND($D647,0),1),100)),IF($C647="T",IF($M647=3,INDEX(Baseline!$B$3:$B$122,MATCH(MIN(MAX(ROUND(($D647)/5,0)*5,5),600),Baseline!$A$3:$A$122,0))-Inputs!$B$9,INDEX(Course!$N$2:$N$19,MATCH($B647,Course!$A$2:$A$19,0))),INDEX(Baseline!$B$3:$E$122,MATCH(MIN(MAX(ROUND(($D647)/5,0)*5,5),600),Baseline!$A$3:$A$122,0),MATCH($C647,Baseline!$B$2:$E$2,0))))))</f>
        <v/>
      </c>
      <c r="O647" s="17" t="str">
        <f aca="false">IF($C647="","",IF($E647="H",0,IF($E647="G",INDEX(Baseline!$I$3:$I$102,MIN(MAX(ROUND($F647,0),1),100)),IF($E647="T",IF($M647=3,INDEX(Baseline!$B$3:$B$122,MATCH(MIN(MAX(ROUND(($F647)/5,0)*5,5),600),Baseline!$A$3:$A$122,0))-Inputs!$B$9,INDEX(Course!$N$2:$N$19,MATCH($B647,Course!$A$2:$A$19,0))),INDEX(Baseline!$B$3:$E$122,MATCH(MIN(MAX(ROUND(($F647)/5,0)*5,5),600),Baseline!$A$3:$A$122,0),MATCH($E647,Baseline!$B$2:$E$2,0))))))</f>
        <v/>
      </c>
      <c r="P647" s="17" t="str">
        <f aca="false">IF($B647="","",INDEX(Course!$N$2:$N$19,MATCH($B647,Course!$A$2:$A$19,0)))</f>
        <v/>
      </c>
      <c r="Q647" s="17" t="str">
        <f aca="false">IF($B647="","",INDEX(Course!$P$2:$P$19,MATCH($B647,Course!$A$2:$A$19,0)))</f>
        <v/>
      </c>
      <c r="R647" s="17" t="str">
        <f aca="false">IF($C647="","",IF(OR($C647="G",$C647="H"),0,IF($C647="T",1,MIN(1,MAX(0,($N647-Inputs!$B$8)/MAX($P647-Inputs!$B$8,0.01))))))</f>
        <v/>
      </c>
      <c r="S647" s="17" t="str">
        <f aca="false">IF($C647="","",IF(OR($E647="G",$E647="H"),0,IF($E647="T",1,MIN(1,MAX(0,($O647-Inputs!$B$8)/MAX($P647-Inputs!$B$8,0.01))))))</f>
        <v/>
      </c>
    </row>
    <row r="648" customFormat="false" ht="15" hidden="false" customHeight="false" outlineLevel="0" collapsed="false">
      <c r="I648" s="7" t="str">
        <f aca="false">IF($C648="","",IF($C648="G","PUTT",IF(AND($C648="T",$M648&gt;3),"OTT",IF($D648&lt;=30,"ARG","APP"))))</f>
        <v/>
      </c>
      <c r="J648" s="17" t="str">
        <f aca="false">IF($C648="","",$N648+$Q648*$R648)</f>
        <v/>
      </c>
      <c r="K648" s="17" t="str">
        <f aca="false">IF($C648="","",$O648+$Q648*$S648)</f>
        <v/>
      </c>
      <c r="L648" s="17" t="str">
        <f aca="false">IF($C648="","",$J648-$K648-1-N($G648))</f>
        <v/>
      </c>
      <c r="M648" s="7" t="str">
        <f aca="false">IF($B648="","",INDEX(Course!$B$2:$B$19,MATCH($B648,Course!$A$2:$A$19,0)))</f>
        <v/>
      </c>
      <c r="N648" s="17" t="str">
        <f aca="false">IF($C648="","",IF($C648="H",0,IF($C648="G",INDEX(Baseline!$I$3:$I$102,MIN(MAX(ROUND($D648,0),1),100)),IF($C648="T",IF($M648=3,INDEX(Baseline!$B$3:$B$122,MATCH(MIN(MAX(ROUND(($D648)/5,0)*5,5),600),Baseline!$A$3:$A$122,0))-Inputs!$B$9,INDEX(Course!$N$2:$N$19,MATCH($B648,Course!$A$2:$A$19,0))),INDEX(Baseline!$B$3:$E$122,MATCH(MIN(MAX(ROUND(($D648)/5,0)*5,5),600),Baseline!$A$3:$A$122,0),MATCH($C648,Baseline!$B$2:$E$2,0))))))</f>
        <v/>
      </c>
      <c r="O648" s="17" t="str">
        <f aca="false">IF($C648="","",IF($E648="H",0,IF($E648="G",INDEX(Baseline!$I$3:$I$102,MIN(MAX(ROUND($F648,0),1),100)),IF($E648="T",IF($M648=3,INDEX(Baseline!$B$3:$B$122,MATCH(MIN(MAX(ROUND(($F648)/5,0)*5,5),600),Baseline!$A$3:$A$122,0))-Inputs!$B$9,INDEX(Course!$N$2:$N$19,MATCH($B648,Course!$A$2:$A$19,0))),INDEX(Baseline!$B$3:$E$122,MATCH(MIN(MAX(ROUND(($F648)/5,0)*5,5),600),Baseline!$A$3:$A$122,0),MATCH($E648,Baseline!$B$2:$E$2,0))))))</f>
        <v/>
      </c>
      <c r="P648" s="17" t="str">
        <f aca="false">IF($B648="","",INDEX(Course!$N$2:$N$19,MATCH($B648,Course!$A$2:$A$19,0)))</f>
        <v/>
      </c>
      <c r="Q648" s="17" t="str">
        <f aca="false">IF($B648="","",INDEX(Course!$P$2:$P$19,MATCH($B648,Course!$A$2:$A$19,0)))</f>
        <v/>
      </c>
      <c r="R648" s="17" t="str">
        <f aca="false">IF($C648="","",IF(OR($C648="G",$C648="H"),0,IF($C648="T",1,MIN(1,MAX(0,($N648-Inputs!$B$8)/MAX($P648-Inputs!$B$8,0.01))))))</f>
        <v/>
      </c>
      <c r="S648" s="17" t="str">
        <f aca="false">IF($C648="","",IF(OR($E648="G",$E648="H"),0,IF($E648="T",1,MIN(1,MAX(0,($O648-Inputs!$B$8)/MAX($P648-Inputs!$B$8,0.01))))))</f>
        <v/>
      </c>
    </row>
    <row r="649" customFormat="false" ht="15" hidden="false" customHeight="false" outlineLevel="0" collapsed="false">
      <c r="I649" s="7" t="str">
        <f aca="false">IF($C649="","",IF($C649="G","PUTT",IF(AND($C649="T",$M649&gt;3),"OTT",IF($D649&lt;=30,"ARG","APP"))))</f>
        <v/>
      </c>
      <c r="J649" s="17" t="str">
        <f aca="false">IF($C649="","",$N649+$Q649*$R649)</f>
        <v/>
      </c>
      <c r="K649" s="17" t="str">
        <f aca="false">IF($C649="","",$O649+$Q649*$S649)</f>
        <v/>
      </c>
      <c r="L649" s="17" t="str">
        <f aca="false">IF($C649="","",$J649-$K649-1-N($G649))</f>
        <v/>
      </c>
      <c r="M649" s="7" t="str">
        <f aca="false">IF($B649="","",INDEX(Course!$B$2:$B$19,MATCH($B649,Course!$A$2:$A$19,0)))</f>
        <v/>
      </c>
      <c r="N649" s="17" t="str">
        <f aca="false">IF($C649="","",IF($C649="H",0,IF($C649="G",INDEX(Baseline!$I$3:$I$102,MIN(MAX(ROUND($D649,0),1),100)),IF($C649="T",IF($M649=3,INDEX(Baseline!$B$3:$B$122,MATCH(MIN(MAX(ROUND(($D649)/5,0)*5,5),600),Baseline!$A$3:$A$122,0))-Inputs!$B$9,INDEX(Course!$N$2:$N$19,MATCH($B649,Course!$A$2:$A$19,0))),INDEX(Baseline!$B$3:$E$122,MATCH(MIN(MAX(ROUND(($D649)/5,0)*5,5),600),Baseline!$A$3:$A$122,0),MATCH($C649,Baseline!$B$2:$E$2,0))))))</f>
        <v/>
      </c>
      <c r="O649" s="17" t="str">
        <f aca="false">IF($C649="","",IF($E649="H",0,IF($E649="G",INDEX(Baseline!$I$3:$I$102,MIN(MAX(ROUND($F649,0),1),100)),IF($E649="T",IF($M649=3,INDEX(Baseline!$B$3:$B$122,MATCH(MIN(MAX(ROUND(($F649)/5,0)*5,5),600),Baseline!$A$3:$A$122,0))-Inputs!$B$9,INDEX(Course!$N$2:$N$19,MATCH($B649,Course!$A$2:$A$19,0))),INDEX(Baseline!$B$3:$E$122,MATCH(MIN(MAX(ROUND(($F649)/5,0)*5,5),600),Baseline!$A$3:$A$122,0),MATCH($E649,Baseline!$B$2:$E$2,0))))))</f>
        <v/>
      </c>
      <c r="P649" s="17" t="str">
        <f aca="false">IF($B649="","",INDEX(Course!$N$2:$N$19,MATCH($B649,Course!$A$2:$A$19,0)))</f>
        <v/>
      </c>
      <c r="Q649" s="17" t="str">
        <f aca="false">IF($B649="","",INDEX(Course!$P$2:$P$19,MATCH($B649,Course!$A$2:$A$19,0)))</f>
        <v/>
      </c>
      <c r="R649" s="17" t="str">
        <f aca="false">IF($C649="","",IF(OR($C649="G",$C649="H"),0,IF($C649="T",1,MIN(1,MAX(0,($N649-Inputs!$B$8)/MAX($P649-Inputs!$B$8,0.01))))))</f>
        <v/>
      </c>
      <c r="S649" s="17" t="str">
        <f aca="false">IF($C649="","",IF(OR($E649="G",$E649="H"),0,IF($E649="T",1,MIN(1,MAX(0,($O649-Inputs!$B$8)/MAX($P649-Inputs!$B$8,0.01))))))</f>
        <v/>
      </c>
    </row>
    <row r="650" customFormat="false" ht="15" hidden="false" customHeight="false" outlineLevel="0" collapsed="false">
      <c r="I650" s="7" t="str">
        <f aca="false">IF($C650="","",IF($C650="G","PUTT",IF(AND($C650="T",$M650&gt;3),"OTT",IF($D650&lt;=30,"ARG","APP"))))</f>
        <v/>
      </c>
      <c r="J650" s="17" t="str">
        <f aca="false">IF($C650="","",$N650+$Q650*$R650)</f>
        <v/>
      </c>
      <c r="K650" s="17" t="str">
        <f aca="false">IF($C650="","",$O650+$Q650*$S650)</f>
        <v/>
      </c>
      <c r="L650" s="17" t="str">
        <f aca="false">IF($C650="","",$J650-$K650-1-N($G650))</f>
        <v/>
      </c>
      <c r="M650" s="7" t="str">
        <f aca="false">IF($B650="","",INDEX(Course!$B$2:$B$19,MATCH($B650,Course!$A$2:$A$19,0)))</f>
        <v/>
      </c>
      <c r="N650" s="17" t="str">
        <f aca="false">IF($C650="","",IF($C650="H",0,IF($C650="G",INDEX(Baseline!$I$3:$I$102,MIN(MAX(ROUND($D650,0),1),100)),IF($C650="T",IF($M650=3,INDEX(Baseline!$B$3:$B$122,MATCH(MIN(MAX(ROUND(($D650)/5,0)*5,5),600),Baseline!$A$3:$A$122,0))-Inputs!$B$9,INDEX(Course!$N$2:$N$19,MATCH($B650,Course!$A$2:$A$19,0))),INDEX(Baseline!$B$3:$E$122,MATCH(MIN(MAX(ROUND(($D650)/5,0)*5,5),600),Baseline!$A$3:$A$122,0),MATCH($C650,Baseline!$B$2:$E$2,0))))))</f>
        <v/>
      </c>
      <c r="O650" s="17" t="str">
        <f aca="false">IF($C650="","",IF($E650="H",0,IF($E650="G",INDEX(Baseline!$I$3:$I$102,MIN(MAX(ROUND($F650,0),1),100)),IF($E650="T",IF($M650=3,INDEX(Baseline!$B$3:$B$122,MATCH(MIN(MAX(ROUND(($F650)/5,0)*5,5),600),Baseline!$A$3:$A$122,0))-Inputs!$B$9,INDEX(Course!$N$2:$N$19,MATCH($B650,Course!$A$2:$A$19,0))),INDEX(Baseline!$B$3:$E$122,MATCH(MIN(MAX(ROUND(($F650)/5,0)*5,5),600),Baseline!$A$3:$A$122,0),MATCH($E650,Baseline!$B$2:$E$2,0))))))</f>
        <v/>
      </c>
      <c r="P650" s="17" t="str">
        <f aca="false">IF($B650="","",INDEX(Course!$N$2:$N$19,MATCH($B650,Course!$A$2:$A$19,0)))</f>
        <v/>
      </c>
      <c r="Q650" s="17" t="str">
        <f aca="false">IF($B650="","",INDEX(Course!$P$2:$P$19,MATCH($B650,Course!$A$2:$A$19,0)))</f>
        <v/>
      </c>
      <c r="R650" s="17" t="str">
        <f aca="false">IF($C650="","",IF(OR($C650="G",$C650="H"),0,IF($C650="T",1,MIN(1,MAX(0,($N650-Inputs!$B$8)/MAX($P650-Inputs!$B$8,0.01))))))</f>
        <v/>
      </c>
      <c r="S650" s="17" t="str">
        <f aca="false">IF($C650="","",IF(OR($E650="G",$E650="H"),0,IF($E650="T",1,MIN(1,MAX(0,($O650-Inputs!$B$8)/MAX($P650-Inputs!$B$8,0.01))))))</f>
        <v/>
      </c>
    </row>
    <row r="651" customFormat="false" ht="15" hidden="false" customHeight="false" outlineLevel="0" collapsed="false">
      <c r="I651" s="7" t="str">
        <f aca="false">IF($C651="","",IF($C651="G","PUTT",IF(AND($C651="T",$M651&gt;3),"OTT",IF($D651&lt;=30,"ARG","APP"))))</f>
        <v/>
      </c>
      <c r="J651" s="17" t="str">
        <f aca="false">IF($C651="","",$N651+$Q651*$R651)</f>
        <v/>
      </c>
      <c r="K651" s="17" t="str">
        <f aca="false">IF($C651="","",$O651+$Q651*$S651)</f>
        <v/>
      </c>
      <c r="L651" s="17" t="str">
        <f aca="false">IF($C651="","",$J651-$K651-1-N($G651))</f>
        <v/>
      </c>
      <c r="M651" s="7" t="str">
        <f aca="false">IF($B651="","",INDEX(Course!$B$2:$B$19,MATCH($B651,Course!$A$2:$A$19,0)))</f>
        <v/>
      </c>
      <c r="N651" s="17" t="str">
        <f aca="false">IF($C651="","",IF($C651="H",0,IF($C651="G",INDEX(Baseline!$I$3:$I$102,MIN(MAX(ROUND($D651,0),1),100)),IF($C651="T",IF($M651=3,INDEX(Baseline!$B$3:$B$122,MATCH(MIN(MAX(ROUND(($D651)/5,0)*5,5),600),Baseline!$A$3:$A$122,0))-Inputs!$B$9,INDEX(Course!$N$2:$N$19,MATCH($B651,Course!$A$2:$A$19,0))),INDEX(Baseline!$B$3:$E$122,MATCH(MIN(MAX(ROUND(($D651)/5,0)*5,5),600),Baseline!$A$3:$A$122,0),MATCH($C651,Baseline!$B$2:$E$2,0))))))</f>
        <v/>
      </c>
      <c r="O651" s="17" t="str">
        <f aca="false">IF($C651="","",IF($E651="H",0,IF($E651="G",INDEX(Baseline!$I$3:$I$102,MIN(MAX(ROUND($F651,0),1),100)),IF($E651="T",IF($M651=3,INDEX(Baseline!$B$3:$B$122,MATCH(MIN(MAX(ROUND(($F651)/5,0)*5,5),600),Baseline!$A$3:$A$122,0))-Inputs!$B$9,INDEX(Course!$N$2:$N$19,MATCH($B651,Course!$A$2:$A$19,0))),INDEX(Baseline!$B$3:$E$122,MATCH(MIN(MAX(ROUND(($F651)/5,0)*5,5),600),Baseline!$A$3:$A$122,0),MATCH($E651,Baseline!$B$2:$E$2,0))))))</f>
        <v/>
      </c>
      <c r="P651" s="17" t="str">
        <f aca="false">IF($B651="","",INDEX(Course!$N$2:$N$19,MATCH($B651,Course!$A$2:$A$19,0)))</f>
        <v/>
      </c>
      <c r="Q651" s="17" t="str">
        <f aca="false">IF($B651="","",INDEX(Course!$P$2:$P$19,MATCH($B651,Course!$A$2:$A$19,0)))</f>
        <v/>
      </c>
      <c r="R651" s="17" t="str">
        <f aca="false">IF($C651="","",IF(OR($C651="G",$C651="H"),0,IF($C651="T",1,MIN(1,MAX(0,($N651-Inputs!$B$8)/MAX($P651-Inputs!$B$8,0.01))))))</f>
        <v/>
      </c>
      <c r="S651" s="17" t="str">
        <f aca="false">IF($C651="","",IF(OR($E651="G",$E651="H"),0,IF($E651="T",1,MIN(1,MAX(0,($O651-Inputs!$B$8)/MAX($P651-Inputs!$B$8,0.01))))))</f>
        <v/>
      </c>
    </row>
    <row r="652" customFormat="false" ht="15" hidden="false" customHeight="false" outlineLevel="0" collapsed="false">
      <c r="I652" s="7" t="str">
        <f aca="false">IF($C652="","",IF($C652="G","PUTT",IF(AND($C652="T",$M652&gt;3),"OTT",IF($D652&lt;=30,"ARG","APP"))))</f>
        <v/>
      </c>
      <c r="J652" s="17" t="str">
        <f aca="false">IF($C652="","",$N652+$Q652*$R652)</f>
        <v/>
      </c>
      <c r="K652" s="17" t="str">
        <f aca="false">IF($C652="","",$O652+$Q652*$S652)</f>
        <v/>
      </c>
      <c r="L652" s="17" t="str">
        <f aca="false">IF($C652="","",$J652-$K652-1-N($G652))</f>
        <v/>
      </c>
      <c r="M652" s="7" t="str">
        <f aca="false">IF($B652="","",INDEX(Course!$B$2:$B$19,MATCH($B652,Course!$A$2:$A$19,0)))</f>
        <v/>
      </c>
      <c r="N652" s="17" t="str">
        <f aca="false">IF($C652="","",IF($C652="H",0,IF($C652="G",INDEX(Baseline!$I$3:$I$102,MIN(MAX(ROUND($D652,0),1),100)),IF($C652="T",IF($M652=3,INDEX(Baseline!$B$3:$B$122,MATCH(MIN(MAX(ROUND(($D652)/5,0)*5,5),600),Baseline!$A$3:$A$122,0))-Inputs!$B$9,INDEX(Course!$N$2:$N$19,MATCH($B652,Course!$A$2:$A$19,0))),INDEX(Baseline!$B$3:$E$122,MATCH(MIN(MAX(ROUND(($D652)/5,0)*5,5),600),Baseline!$A$3:$A$122,0),MATCH($C652,Baseline!$B$2:$E$2,0))))))</f>
        <v/>
      </c>
      <c r="O652" s="17" t="str">
        <f aca="false">IF($C652="","",IF($E652="H",0,IF($E652="G",INDEX(Baseline!$I$3:$I$102,MIN(MAX(ROUND($F652,0),1),100)),IF($E652="T",IF($M652=3,INDEX(Baseline!$B$3:$B$122,MATCH(MIN(MAX(ROUND(($F652)/5,0)*5,5),600),Baseline!$A$3:$A$122,0))-Inputs!$B$9,INDEX(Course!$N$2:$N$19,MATCH($B652,Course!$A$2:$A$19,0))),INDEX(Baseline!$B$3:$E$122,MATCH(MIN(MAX(ROUND(($F652)/5,0)*5,5),600),Baseline!$A$3:$A$122,0),MATCH($E652,Baseline!$B$2:$E$2,0))))))</f>
        <v/>
      </c>
      <c r="P652" s="17" t="str">
        <f aca="false">IF($B652="","",INDEX(Course!$N$2:$N$19,MATCH($B652,Course!$A$2:$A$19,0)))</f>
        <v/>
      </c>
      <c r="Q652" s="17" t="str">
        <f aca="false">IF($B652="","",INDEX(Course!$P$2:$P$19,MATCH($B652,Course!$A$2:$A$19,0)))</f>
        <v/>
      </c>
      <c r="R652" s="17" t="str">
        <f aca="false">IF($C652="","",IF(OR($C652="G",$C652="H"),0,IF($C652="T",1,MIN(1,MAX(0,($N652-Inputs!$B$8)/MAX($P652-Inputs!$B$8,0.01))))))</f>
        <v/>
      </c>
      <c r="S652" s="17" t="str">
        <f aca="false">IF($C652="","",IF(OR($E652="G",$E652="H"),0,IF($E652="T",1,MIN(1,MAX(0,($O652-Inputs!$B$8)/MAX($P652-Inputs!$B$8,0.01))))))</f>
        <v/>
      </c>
    </row>
    <row r="653" customFormat="false" ht="15" hidden="false" customHeight="false" outlineLevel="0" collapsed="false">
      <c r="I653" s="7" t="str">
        <f aca="false">IF($C653="","",IF($C653="G","PUTT",IF(AND($C653="T",$M653&gt;3),"OTT",IF($D653&lt;=30,"ARG","APP"))))</f>
        <v/>
      </c>
      <c r="J653" s="17" t="str">
        <f aca="false">IF($C653="","",$N653+$Q653*$R653)</f>
        <v/>
      </c>
      <c r="K653" s="17" t="str">
        <f aca="false">IF($C653="","",$O653+$Q653*$S653)</f>
        <v/>
      </c>
      <c r="L653" s="17" t="str">
        <f aca="false">IF($C653="","",$J653-$K653-1-N($G653))</f>
        <v/>
      </c>
      <c r="M653" s="7" t="str">
        <f aca="false">IF($B653="","",INDEX(Course!$B$2:$B$19,MATCH($B653,Course!$A$2:$A$19,0)))</f>
        <v/>
      </c>
      <c r="N653" s="17" t="str">
        <f aca="false">IF($C653="","",IF($C653="H",0,IF($C653="G",INDEX(Baseline!$I$3:$I$102,MIN(MAX(ROUND($D653,0),1),100)),IF($C653="T",IF($M653=3,INDEX(Baseline!$B$3:$B$122,MATCH(MIN(MAX(ROUND(($D653)/5,0)*5,5),600),Baseline!$A$3:$A$122,0))-Inputs!$B$9,INDEX(Course!$N$2:$N$19,MATCH($B653,Course!$A$2:$A$19,0))),INDEX(Baseline!$B$3:$E$122,MATCH(MIN(MAX(ROUND(($D653)/5,0)*5,5),600),Baseline!$A$3:$A$122,0),MATCH($C653,Baseline!$B$2:$E$2,0))))))</f>
        <v/>
      </c>
      <c r="O653" s="17" t="str">
        <f aca="false">IF($C653="","",IF($E653="H",0,IF($E653="G",INDEX(Baseline!$I$3:$I$102,MIN(MAX(ROUND($F653,0),1),100)),IF($E653="T",IF($M653=3,INDEX(Baseline!$B$3:$B$122,MATCH(MIN(MAX(ROUND(($F653)/5,0)*5,5),600),Baseline!$A$3:$A$122,0))-Inputs!$B$9,INDEX(Course!$N$2:$N$19,MATCH($B653,Course!$A$2:$A$19,0))),INDEX(Baseline!$B$3:$E$122,MATCH(MIN(MAX(ROUND(($F653)/5,0)*5,5),600),Baseline!$A$3:$A$122,0),MATCH($E653,Baseline!$B$2:$E$2,0))))))</f>
        <v/>
      </c>
      <c r="P653" s="17" t="str">
        <f aca="false">IF($B653="","",INDEX(Course!$N$2:$N$19,MATCH($B653,Course!$A$2:$A$19,0)))</f>
        <v/>
      </c>
      <c r="Q653" s="17" t="str">
        <f aca="false">IF($B653="","",INDEX(Course!$P$2:$P$19,MATCH($B653,Course!$A$2:$A$19,0)))</f>
        <v/>
      </c>
      <c r="R653" s="17" t="str">
        <f aca="false">IF($C653="","",IF(OR($C653="G",$C653="H"),0,IF($C653="T",1,MIN(1,MAX(0,($N653-Inputs!$B$8)/MAX($P653-Inputs!$B$8,0.01))))))</f>
        <v/>
      </c>
      <c r="S653" s="17" t="str">
        <f aca="false">IF($C653="","",IF(OR($E653="G",$E653="H"),0,IF($E653="T",1,MIN(1,MAX(0,($O653-Inputs!$B$8)/MAX($P653-Inputs!$B$8,0.01))))))</f>
        <v/>
      </c>
    </row>
    <row r="654" customFormat="false" ht="15" hidden="false" customHeight="false" outlineLevel="0" collapsed="false">
      <c r="I654" s="7" t="str">
        <f aca="false">IF($C654="","",IF($C654="G","PUTT",IF(AND($C654="T",$M654&gt;3),"OTT",IF($D654&lt;=30,"ARG","APP"))))</f>
        <v/>
      </c>
      <c r="J654" s="17" t="str">
        <f aca="false">IF($C654="","",$N654+$Q654*$R654)</f>
        <v/>
      </c>
      <c r="K654" s="17" t="str">
        <f aca="false">IF($C654="","",$O654+$Q654*$S654)</f>
        <v/>
      </c>
      <c r="L654" s="17" t="str">
        <f aca="false">IF($C654="","",$J654-$K654-1-N($G654))</f>
        <v/>
      </c>
      <c r="M654" s="7" t="str">
        <f aca="false">IF($B654="","",INDEX(Course!$B$2:$B$19,MATCH($B654,Course!$A$2:$A$19,0)))</f>
        <v/>
      </c>
      <c r="N654" s="17" t="str">
        <f aca="false">IF($C654="","",IF($C654="H",0,IF($C654="G",INDEX(Baseline!$I$3:$I$102,MIN(MAX(ROUND($D654,0),1),100)),IF($C654="T",IF($M654=3,INDEX(Baseline!$B$3:$B$122,MATCH(MIN(MAX(ROUND(($D654)/5,0)*5,5),600),Baseline!$A$3:$A$122,0))-Inputs!$B$9,INDEX(Course!$N$2:$N$19,MATCH($B654,Course!$A$2:$A$19,0))),INDEX(Baseline!$B$3:$E$122,MATCH(MIN(MAX(ROUND(($D654)/5,0)*5,5),600),Baseline!$A$3:$A$122,0),MATCH($C654,Baseline!$B$2:$E$2,0))))))</f>
        <v/>
      </c>
      <c r="O654" s="17" t="str">
        <f aca="false">IF($C654="","",IF($E654="H",0,IF($E654="G",INDEX(Baseline!$I$3:$I$102,MIN(MAX(ROUND($F654,0),1),100)),IF($E654="T",IF($M654=3,INDEX(Baseline!$B$3:$B$122,MATCH(MIN(MAX(ROUND(($F654)/5,0)*5,5),600),Baseline!$A$3:$A$122,0))-Inputs!$B$9,INDEX(Course!$N$2:$N$19,MATCH($B654,Course!$A$2:$A$19,0))),INDEX(Baseline!$B$3:$E$122,MATCH(MIN(MAX(ROUND(($F654)/5,0)*5,5),600),Baseline!$A$3:$A$122,0),MATCH($E654,Baseline!$B$2:$E$2,0))))))</f>
        <v/>
      </c>
      <c r="P654" s="17" t="str">
        <f aca="false">IF($B654="","",INDEX(Course!$N$2:$N$19,MATCH($B654,Course!$A$2:$A$19,0)))</f>
        <v/>
      </c>
      <c r="Q654" s="17" t="str">
        <f aca="false">IF($B654="","",INDEX(Course!$P$2:$P$19,MATCH($B654,Course!$A$2:$A$19,0)))</f>
        <v/>
      </c>
      <c r="R654" s="17" t="str">
        <f aca="false">IF($C654="","",IF(OR($C654="G",$C654="H"),0,IF($C654="T",1,MIN(1,MAX(0,($N654-Inputs!$B$8)/MAX($P654-Inputs!$B$8,0.01))))))</f>
        <v/>
      </c>
      <c r="S654" s="17" t="str">
        <f aca="false">IF($C654="","",IF(OR($E654="G",$E654="H"),0,IF($E654="T",1,MIN(1,MAX(0,($O654-Inputs!$B$8)/MAX($P654-Inputs!$B$8,0.01))))))</f>
        <v/>
      </c>
    </row>
    <row r="655" customFormat="false" ht="15" hidden="false" customHeight="false" outlineLevel="0" collapsed="false">
      <c r="I655" s="7" t="str">
        <f aca="false">IF($C655="","",IF($C655="G","PUTT",IF(AND($C655="T",$M655&gt;3),"OTT",IF($D655&lt;=30,"ARG","APP"))))</f>
        <v/>
      </c>
      <c r="J655" s="17" t="str">
        <f aca="false">IF($C655="","",$N655+$Q655*$R655)</f>
        <v/>
      </c>
      <c r="K655" s="17" t="str">
        <f aca="false">IF($C655="","",$O655+$Q655*$S655)</f>
        <v/>
      </c>
      <c r="L655" s="17" t="str">
        <f aca="false">IF($C655="","",$J655-$K655-1-N($G655))</f>
        <v/>
      </c>
      <c r="M655" s="7" t="str">
        <f aca="false">IF($B655="","",INDEX(Course!$B$2:$B$19,MATCH($B655,Course!$A$2:$A$19,0)))</f>
        <v/>
      </c>
      <c r="N655" s="17" t="str">
        <f aca="false">IF($C655="","",IF($C655="H",0,IF($C655="G",INDEX(Baseline!$I$3:$I$102,MIN(MAX(ROUND($D655,0),1),100)),IF($C655="T",IF($M655=3,INDEX(Baseline!$B$3:$B$122,MATCH(MIN(MAX(ROUND(($D655)/5,0)*5,5),600),Baseline!$A$3:$A$122,0))-Inputs!$B$9,INDEX(Course!$N$2:$N$19,MATCH($B655,Course!$A$2:$A$19,0))),INDEX(Baseline!$B$3:$E$122,MATCH(MIN(MAX(ROUND(($D655)/5,0)*5,5),600),Baseline!$A$3:$A$122,0),MATCH($C655,Baseline!$B$2:$E$2,0))))))</f>
        <v/>
      </c>
      <c r="O655" s="17" t="str">
        <f aca="false">IF($C655="","",IF($E655="H",0,IF($E655="G",INDEX(Baseline!$I$3:$I$102,MIN(MAX(ROUND($F655,0),1),100)),IF($E655="T",IF($M655=3,INDEX(Baseline!$B$3:$B$122,MATCH(MIN(MAX(ROUND(($F655)/5,0)*5,5),600),Baseline!$A$3:$A$122,0))-Inputs!$B$9,INDEX(Course!$N$2:$N$19,MATCH($B655,Course!$A$2:$A$19,0))),INDEX(Baseline!$B$3:$E$122,MATCH(MIN(MAX(ROUND(($F655)/5,0)*5,5),600),Baseline!$A$3:$A$122,0),MATCH($E655,Baseline!$B$2:$E$2,0))))))</f>
        <v/>
      </c>
      <c r="P655" s="17" t="str">
        <f aca="false">IF($B655="","",INDEX(Course!$N$2:$N$19,MATCH($B655,Course!$A$2:$A$19,0)))</f>
        <v/>
      </c>
      <c r="Q655" s="17" t="str">
        <f aca="false">IF($B655="","",INDEX(Course!$P$2:$P$19,MATCH($B655,Course!$A$2:$A$19,0)))</f>
        <v/>
      </c>
      <c r="R655" s="17" t="str">
        <f aca="false">IF($C655="","",IF(OR($C655="G",$C655="H"),0,IF($C655="T",1,MIN(1,MAX(0,($N655-Inputs!$B$8)/MAX($P655-Inputs!$B$8,0.01))))))</f>
        <v/>
      </c>
      <c r="S655" s="17" t="str">
        <f aca="false">IF($C655="","",IF(OR($E655="G",$E655="H"),0,IF($E655="T",1,MIN(1,MAX(0,($O655-Inputs!$B$8)/MAX($P655-Inputs!$B$8,0.01))))))</f>
        <v/>
      </c>
    </row>
    <row r="656" customFormat="false" ht="15" hidden="false" customHeight="false" outlineLevel="0" collapsed="false">
      <c r="I656" s="7" t="str">
        <f aca="false">IF($C656="","",IF($C656="G","PUTT",IF(AND($C656="T",$M656&gt;3),"OTT",IF($D656&lt;=30,"ARG","APP"))))</f>
        <v/>
      </c>
      <c r="J656" s="17" t="str">
        <f aca="false">IF($C656="","",$N656+$Q656*$R656)</f>
        <v/>
      </c>
      <c r="K656" s="17" t="str">
        <f aca="false">IF($C656="","",$O656+$Q656*$S656)</f>
        <v/>
      </c>
      <c r="L656" s="17" t="str">
        <f aca="false">IF($C656="","",$J656-$K656-1-N($G656))</f>
        <v/>
      </c>
      <c r="M656" s="7" t="str">
        <f aca="false">IF($B656="","",INDEX(Course!$B$2:$B$19,MATCH($B656,Course!$A$2:$A$19,0)))</f>
        <v/>
      </c>
      <c r="N656" s="17" t="str">
        <f aca="false">IF($C656="","",IF($C656="H",0,IF($C656="G",INDEX(Baseline!$I$3:$I$102,MIN(MAX(ROUND($D656,0),1),100)),IF($C656="T",IF($M656=3,INDEX(Baseline!$B$3:$B$122,MATCH(MIN(MAX(ROUND(($D656)/5,0)*5,5),600),Baseline!$A$3:$A$122,0))-Inputs!$B$9,INDEX(Course!$N$2:$N$19,MATCH($B656,Course!$A$2:$A$19,0))),INDEX(Baseline!$B$3:$E$122,MATCH(MIN(MAX(ROUND(($D656)/5,0)*5,5),600),Baseline!$A$3:$A$122,0),MATCH($C656,Baseline!$B$2:$E$2,0))))))</f>
        <v/>
      </c>
      <c r="O656" s="17" t="str">
        <f aca="false">IF($C656="","",IF($E656="H",0,IF($E656="G",INDEX(Baseline!$I$3:$I$102,MIN(MAX(ROUND($F656,0),1),100)),IF($E656="T",IF($M656=3,INDEX(Baseline!$B$3:$B$122,MATCH(MIN(MAX(ROUND(($F656)/5,0)*5,5),600),Baseline!$A$3:$A$122,0))-Inputs!$B$9,INDEX(Course!$N$2:$N$19,MATCH($B656,Course!$A$2:$A$19,0))),INDEX(Baseline!$B$3:$E$122,MATCH(MIN(MAX(ROUND(($F656)/5,0)*5,5),600),Baseline!$A$3:$A$122,0),MATCH($E656,Baseline!$B$2:$E$2,0))))))</f>
        <v/>
      </c>
      <c r="P656" s="17" t="str">
        <f aca="false">IF($B656="","",INDEX(Course!$N$2:$N$19,MATCH($B656,Course!$A$2:$A$19,0)))</f>
        <v/>
      </c>
      <c r="Q656" s="17" t="str">
        <f aca="false">IF($B656="","",INDEX(Course!$P$2:$P$19,MATCH($B656,Course!$A$2:$A$19,0)))</f>
        <v/>
      </c>
      <c r="R656" s="17" t="str">
        <f aca="false">IF($C656="","",IF(OR($C656="G",$C656="H"),0,IF($C656="T",1,MIN(1,MAX(0,($N656-Inputs!$B$8)/MAX($P656-Inputs!$B$8,0.01))))))</f>
        <v/>
      </c>
      <c r="S656" s="17" t="str">
        <f aca="false">IF($C656="","",IF(OR($E656="G",$E656="H"),0,IF($E656="T",1,MIN(1,MAX(0,($O656-Inputs!$B$8)/MAX($P656-Inputs!$B$8,0.01))))))</f>
        <v/>
      </c>
    </row>
    <row r="657" customFormat="false" ht="15" hidden="false" customHeight="false" outlineLevel="0" collapsed="false">
      <c r="I657" s="7" t="str">
        <f aca="false">IF($C657="","",IF($C657="G","PUTT",IF(AND($C657="T",$M657&gt;3),"OTT",IF($D657&lt;=30,"ARG","APP"))))</f>
        <v/>
      </c>
      <c r="J657" s="17" t="str">
        <f aca="false">IF($C657="","",$N657+$Q657*$R657)</f>
        <v/>
      </c>
      <c r="K657" s="17" t="str">
        <f aca="false">IF($C657="","",$O657+$Q657*$S657)</f>
        <v/>
      </c>
      <c r="L657" s="17" t="str">
        <f aca="false">IF($C657="","",$J657-$K657-1-N($G657))</f>
        <v/>
      </c>
      <c r="M657" s="7" t="str">
        <f aca="false">IF($B657="","",INDEX(Course!$B$2:$B$19,MATCH($B657,Course!$A$2:$A$19,0)))</f>
        <v/>
      </c>
      <c r="N657" s="17" t="str">
        <f aca="false">IF($C657="","",IF($C657="H",0,IF($C657="G",INDEX(Baseline!$I$3:$I$102,MIN(MAX(ROUND($D657,0),1),100)),IF($C657="T",IF($M657=3,INDEX(Baseline!$B$3:$B$122,MATCH(MIN(MAX(ROUND(($D657)/5,0)*5,5),600),Baseline!$A$3:$A$122,0))-Inputs!$B$9,INDEX(Course!$N$2:$N$19,MATCH($B657,Course!$A$2:$A$19,0))),INDEX(Baseline!$B$3:$E$122,MATCH(MIN(MAX(ROUND(($D657)/5,0)*5,5),600),Baseline!$A$3:$A$122,0),MATCH($C657,Baseline!$B$2:$E$2,0))))))</f>
        <v/>
      </c>
      <c r="O657" s="17" t="str">
        <f aca="false">IF($C657="","",IF($E657="H",0,IF($E657="G",INDEX(Baseline!$I$3:$I$102,MIN(MAX(ROUND($F657,0),1),100)),IF($E657="T",IF($M657=3,INDEX(Baseline!$B$3:$B$122,MATCH(MIN(MAX(ROUND(($F657)/5,0)*5,5),600),Baseline!$A$3:$A$122,0))-Inputs!$B$9,INDEX(Course!$N$2:$N$19,MATCH($B657,Course!$A$2:$A$19,0))),INDEX(Baseline!$B$3:$E$122,MATCH(MIN(MAX(ROUND(($F657)/5,0)*5,5),600),Baseline!$A$3:$A$122,0),MATCH($E657,Baseline!$B$2:$E$2,0))))))</f>
        <v/>
      </c>
      <c r="P657" s="17" t="str">
        <f aca="false">IF($B657="","",INDEX(Course!$N$2:$N$19,MATCH($B657,Course!$A$2:$A$19,0)))</f>
        <v/>
      </c>
      <c r="Q657" s="17" t="str">
        <f aca="false">IF($B657="","",INDEX(Course!$P$2:$P$19,MATCH($B657,Course!$A$2:$A$19,0)))</f>
        <v/>
      </c>
      <c r="R657" s="17" t="str">
        <f aca="false">IF($C657="","",IF(OR($C657="G",$C657="H"),0,IF($C657="T",1,MIN(1,MAX(0,($N657-Inputs!$B$8)/MAX($P657-Inputs!$B$8,0.01))))))</f>
        <v/>
      </c>
      <c r="S657" s="17" t="str">
        <f aca="false">IF($C657="","",IF(OR($E657="G",$E657="H"),0,IF($E657="T",1,MIN(1,MAX(0,($O657-Inputs!$B$8)/MAX($P657-Inputs!$B$8,0.01))))))</f>
        <v/>
      </c>
    </row>
    <row r="658" customFormat="false" ht="15" hidden="false" customHeight="false" outlineLevel="0" collapsed="false">
      <c r="I658" s="7" t="str">
        <f aca="false">IF($C658="","",IF($C658="G","PUTT",IF(AND($C658="T",$M658&gt;3),"OTT",IF($D658&lt;=30,"ARG","APP"))))</f>
        <v/>
      </c>
      <c r="J658" s="17" t="str">
        <f aca="false">IF($C658="","",$N658+$Q658*$R658)</f>
        <v/>
      </c>
      <c r="K658" s="17" t="str">
        <f aca="false">IF($C658="","",$O658+$Q658*$S658)</f>
        <v/>
      </c>
      <c r="L658" s="17" t="str">
        <f aca="false">IF($C658="","",$J658-$K658-1-N($G658))</f>
        <v/>
      </c>
      <c r="M658" s="7" t="str">
        <f aca="false">IF($B658="","",INDEX(Course!$B$2:$B$19,MATCH($B658,Course!$A$2:$A$19,0)))</f>
        <v/>
      </c>
      <c r="N658" s="17" t="str">
        <f aca="false">IF($C658="","",IF($C658="H",0,IF($C658="G",INDEX(Baseline!$I$3:$I$102,MIN(MAX(ROUND($D658,0),1),100)),IF($C658="T",IF($M658=3,INDEX(Baseline!$B$3:$B$122,MATCH(MIN(MAX(ROUND(($D658)/5,0)*5,5),600),Baseline!$A$3:$A$122,0))-Inputs!$B$9,INDEX(Course!$N$2:$N$19,MATCH($B658,Course!$A$2:$A$19,0))),INDEX(Baseline!$B$3:$E$122,MATCH(MIN(MAX(ROUND(($D658)/5,0)*5,5),600),Baseline!$A$3:$A$122,0),MATCH($C658,Baseline!$B$2:$E$2,0))))))</f>
        <v/>
      </c>
      <c r="O658" s="17" t="str">
        <f aca="false">IF($C658="","",IF($E658="H",0,IF($E658="G",INDEX(Baseline!$I$3:$I$102,MIN(MAX(ROUND($F658,0),1),100)),IF($E658="T",IF($M658=3,INDEX(Baseline!$B$3:$B$122,MATCH(MIN(MAX(ROUND(($F658)/5,0)*5,5),600),Baseline!$A$3:$A$122,0))-Inputs!$B$9,INDEX(Course!$N$2:$N$19,MATCH($B658,Course!$A$2:$A$19,0))),INDEX(Baseline!$B$3:$E$122,MATCH(MIN(MAX(ROUND(($F658)/5,0)*5,5),600),Baseline!$A$3:$A$122,0),MATCH($E658,Baseline!$B$2:$E$2,0))))))</f>
        <v/>
      </c>
      <c r="P658" s="17" t="str">
        <f aca="false">IF($B658="","",INDEX(Course!$N$2:$N$19,MATCH($B658,Course!$A$2:$A$19,0)))</f>
        <v/>
      </c>
      <c r="Q658" s="17" t="str">
        <f aca="false">IF($B658="","",INDEX(Course!$P$2:$P$19,MATCH($B658,Course!$A$2:$A$19,0)))</f>
        <v/>
      </c>
      <c r="R658" s="17" t="str">
        <f aca="false">IF($C658="","",IF(OR($C658="G",$C658="H"),0,IF($C658="T",1,MIN(1,MAX(0,($N658-Inputs!$B$8)/MAX($P658-Inputs!$B$8,0.01))))))</f>
        <v/>
      </c>
      <c r="S658" s="17" t="str">
        <f aca="false">IF($C658="","",IF(OR($E658="G",$E658="H"),0,IF($E658="T",1,MIN(1,MAX(0,($O658-Inputs!$B$8)/MAX($P658-Inputs!$B$8,0.01))))))</f>
        <v/>
      </c>
    </row>
    <row r="659" customFormat="false" ht="15" hidden="false" customHeight="false" outlineLevel="0" collapsed="false">
      <c r="I659" s="7" t="str">
        <f aca="false">IF($C659="","",IF($C659="G","PUTT",IF(AND($C659="T",$M659&gt;3),"OTT",IF($D659&lt;=30,"ARG","APP"))))</f>
        <v/>
      </c>
      <c r="J659" s="17" t="str">
        <f aca="false">IF($C659="","",$N659+$Q659*$R659)</f>
        <v/>
      </c>
      <c r="K659" s="17" t="str">
        <f aca="false">IF($C659="","",$O659+$Q659*$S659)</f>
        <v/>
      </c>
      <c r="L659" s="17" t="str">
        <f aca="false">IF($C659="","",$J659-$K659-1-N($G659))</f>
        <v/>
      </c>
      <c r="M659" s="7" t="str">
        <f aca="false">IF($B659="","",INDEX(Course!$B$2:$B$19,MATCH($B659,Course!$A$2:$A$19,0)))</f>
        <v/>
      </c>
      <c r="N659" s="17" t="str">
        <f aca="false">IF($C659="","",IF($C659="H",0,IF($C659="G",INDEX(Baseline!$I$3:$I$102,MIN(MAX(ROUND($D659,0),1),100)),IF($C659="T",IF($M659=3,INDEX(Baseline!$B$3:$B$122,MATCH(MIN(MAX(ROUND(($D659)/5,0)*5,5),600),Baseline!$A$3:$A$122,0))-Inputs!$B$9,INDEX(Course!$N$2:$N$19,MATCH($B659,Course!$A$2:$A$19,0))),INDEX(Baseline!$B$3:$E$122,MATCH(MIN(MAX(ROUND(($D659)/5,0)*5,5),600),Baseline!$A$3:$A$122,0),MATCH($C659,Baseline!$B$2:$E$2,0))))))</f>
        <v/>
      </c>
      <c r="O659" s="17" t="str">
        <f aca="false">IF($C659="","",IF($E659="H",0,IF($E659="G",INDEX(Baseline!$I$3:$I$102,MIN(MAX(ROUND($F659,0),1),100)),IF($E659="T",IF($M659=3,INDEX(Baseline!$B$3:$B$122,MATCH(MIN(MAX(ROUND(($F659)/5,0)*5,5),600),Baseline!$A$3:$A$122,0))-Inputs!$B$9,INDEX(Course!$N$2:$N$19,MATCH($B659,Course!$A$2:$A$19,0))),INDEX(Baseline!$B$3:$E$122,MATCH(MIN(MAX(ROUND(($F659)/5,0)*5,5),600),Baseline!$A$3:$A$122,0),MATCH($E659,Baseline!$B$2:$E$2,0))))))</f>
        <v/>
      </c>
      <c r="P659" s="17" t="str">
        <f aca="false">IF($B659="","",INDEX(Course!$N$2:$N$19,MATCH($B659,Course!$A$2:$A$19,0)))</f>
        <v/>
      </c>
      <c r="Q659" s="17" t="str">
        <f aca="false">IF($B659="","",INDEX(Course!$P$2:$P$19,MATCH($B659,Course!$A$2:$A$19,0)))</f>
        <v/>
      </c>
      <c r="R659" s="17" t="str">
        <f aca="false">IF($C659="","",IF(OR($C659="G",$C659="H"),0,IF($C659="T",1,MIN(1,MAX(0,($N659-Inputs!$B$8)/MAX($P659-Inputs!$B$8,0.01))))))</f>
        <v/>
      </c>
      <c r="S659" s="17" t="str">
        <f aca="false">IF($C659="","",IF(OR($E659="G",$E659="H"),0,IF($E659="T",1,MIN(1,MAX(0,($O659-Inputs!$B$8)/MAX($P659-Inputs!$B$8,0.01))))))</f>
        <v/>
      </c>
    </row>
    <row r="660" customFormat="false" ht="15" hidden="false" customHeight="false" outlineLevel="0" collapsed="false">
      <c r="I660" s="7" t="str">
        <f aca="false">IF($C660="","",IF($C660="G","PUTT",IF(AND($C660="T",$M660&gt;3),"OTT",IF($D660&lt;=30,"ARG","APP"))))</f>
        <v/>
      </c>
      <c r="J660" s="17" t="str">
        <f aca="false">IF($C660="","",$N660+$Q660*$R660)</f>
        <v/>
      </c>
      <c r="K660" s="17" t="str">
        <f aca="false">IF($C660="","",$O660+$Q660*$S660)</f>
        <v/>
      </c>
      <c r="L660" s="17" t="str">
        <f aca="false">IF($C660="","",$J660-$K660-1-N($G660))</f>
        <v/>
      </c>
      <c r="M660" s="7" t="str">
        <f aca="false">IF($B660="","",INDEX(Course!$B$2:$B$19,MATCH($B660,Course!$A$2:$A$19,0)))</f>
        <v/>
      </c>
      <c r="N660" s="17" t="str">
        <f aca="false">IF($C660="","",IF($C660="H",0,IF($C660="G",INDEX(Baseline!$I$3:$I$102,MIN(MAX(ROUND($D660,0),1),100)),IF($C660="T",IF($M660=3,INDEX(Baseline!$B$3:$B$122,MATCH(MIN(MAX(ROUND(($D660)/5,0)*5,5),600),Baseline!$A$3:$A$122,0))-Inputs!$B$9,INDEX(Course!$N$2:$N$19,MATCH($B660,Course!$A$2:$A$19,0))),INDEX(Baseline!$B$3:$E$122,MATCH(MIN(MAX(ROUND(($D660)/5,0)*5,5),600),Baseline!$A$3:$A$122,0),MATCH($C660,Baseline!$B$2:$E$2,0))))))</f>
        <v/>
      </c>
      <c r="O660" s="17" t="str">
        <f aca="false">IF($C660="","",IF($E660="H",0,IF($E660="G",INDEX(Baseline!$I$3:$I$102,MIN(MAX(ROUND($F660,0),1),100)),IF($E660="T",IF($M660=3,INDEX(Baseline!$B$3:$B$122,MATCH(MIN(MAX(ROUND(($F660)/5,0)*5,5),600),Baseline!$A$3:$A$122,0))-Inputs!$B$9,INDEX(Course!$N$2:$N$19,MATCH($B660,Course!$A$2:$A$19,0))),INDEX(Baseline!$B$3:$E$122,MATCH(MIN(MAX(ROUND(($F660)/5,0)*5,5),600),Baseline!$A$3:$A$122,0),MATCH($E660,Baseline!$B$2:$E$2,0))))))</f>
        <v/>
      </c>
      <c r="P660" s="17" t="str">
        <f aca="false">IF($B660="","",INDEX(Course!$N$2:$N$19,MATCH($B660,Course!$A$2:$A$19,0)))</f>
        <v/>
      </c>
      <c r="Q660" s="17" t="str">
        <f aca="false">IF($B660="","",INDEX(Course!$P$2:$P$19,MATCH($B660,Course!$A$2:$A$19,0)))</f>
        <v/>
      </c>
      <c r="R660" s="17" t="str">
        <f aca="false">IF($C660="","",IF(OR($C660="G",$C660="H"),0,IF($C660="T",1,MIN(1,MAX(0,($N660-Inputs!$B$8)/MAX($P660-Inputs!$B$8,0.01))))))</f>
        <v/>
      </c>
      <c r="S660" s="17" t="str">
        <f aca="false">IF($C660="","",IF(OR($E660="G",$E660="H"),0,IF($E660="T",1,MIN(1,MAX(0,($O660-Inputs!$B$8)/MAX($P660-Inputs!$B$8,0.01))))))</f>
        <v/>
      </c>
    </row>
    <row r="661" customFormat="false" ht="15" hidden="false" customHeight="false" outlineLevel="0" collapsed="false">
      <c r="I661" s="7" t="str">
        <f aca="false">IF($C661="","",IF($C661="G","PUTT",IF(AND($C661="T",$M661&gt;3),"OTT",IF($D661&lt;=30,"ARG","APP"))))</f>
        <v/>
      </c>
      <c r="J661" s="17" t="str">
        <f aca="false">IF($C661="","",$N661+$Q661*$R661)</f>
        <v/>
      </c>
      <c r="K661" s="17" t="str">
        <f aca="false">IF($C661="","",$O661+$Q661*$S661)</f>
        <v/>
      </c>
      <c r="L661" s="17" t="str">
        <f aca="false">IF($C661="","",$J661-$K661-1-N($G661))</f>
        <v/>
      </c>
      <c r="M661" s="7" t="str">
        <f aca="false">IF($B661="","",INDEX(Course!$B$2:$B$19,MATCH($B661,Course!$A$2:$A$19,0)))</f>
        <v/>
      </c>
      <c r="N661" s="17" t="str">
        <f aca="false">IF($C661="","",IF($C661="H",0,IF($C661="G",INDEX(Baseline!$I$3:$I$102,MIN(MAX(ROUND($D661,0),1),100)),IF($C661="T",IF($M661=3,INDEX(Baseline!$B$3:$B$122,MATCH(MIN(MAX(ROUND(($D661)/5,0)*5,5),600),Baseline!$A$3:$A$122,0))-Inputs!$B$9,INDEX(Course!$N$2:$N$19,MATCH($B661,Course!$A$2:$A$19,0))),INDEX(Baseline!$B$3:$E$122,MATCH(MIN(MAX(ROUND(($D661)/5,0)*5,5),600),Baseline!$A$3:$A$122,0),MATCH($C661,Baseline!$B$2:$E$2,0))))))</f>
        <v/>
      </c>
      <c r="O661" s="17" t="str">
        <f aca="false">IF($C661="","",IF($E661="H",0,IF($E661="G",INDEX(Baseline!$I$3:$I$102,MIN(MAX(ROUND($F661,0),1),100)),IF($E661="T",IF($M661=3,INDEX(Baseline!$B$3:$B$122,MATCH(MIN(MAX(ROUND(($F661)/5,0)*5,5),600),Baseline!$A$3:$A$122,0))-Inputs!$B$9,INDEX(Course!$N$2:$N$19,MATCH($B661,Course!$A$2:$A$19,0))),INDEX(Baseline!$B$3:$E$122,MATCH(MIN(MAX(ROUND(($F661)/5,0)*5,5),600),Baseline!$A$3:$A$122,0),MATCH($E661,Baseline!$B$2:$E$2,0))))))</f>
        <v/>
      </c>
      <c r="P661" s="17" t="str">
        <f aca="false">IF($B661="","",INDEX(Course!$N$2:$N$19,MATCH($B661,Course!$A$2:$A$19,0)))</f>
        <v/>
      </c>
      <c r="Q661" s="17" t="str">
        <f aca="false">IF($B661="","",INDEX(Course!$P$2:$P$19,MATCH($B661,Course!$A$2:$A$19,0)))</f>
        <v/>
      </c>
      <c r="R661" s="17" t="str">
        <f aca="false">IF($C661="","",IF(OR($C661="G",$C661="H"),0,IF($C661="T",1,MIN(1,MAX(0,($N661-Inputs!$B$8)/MAX($P661-Inputs!$B$8,0.01))))))</f>
        <v/>
      </c>
      <c r="S661" s="17" t="str">
        <f aca="false">IF($C661="","",IF(OR($E661="G",$E661="H"),0,IF($E661="T",1,MIN(1,MAX(0,($O661-Inputs!$B$8)/MAX($P661-Inputs!$B$8,0.01))))))</f>
        <v/>
      </c>
    </row>
    <row r="662" customFormat="false" ht="15" hidden="false" customHeight="false" outlineLevel="0" collapsed="false">
      <c r="I662" s="7" t="str">
        <f aca="false">IF($C662="","",IF($C662="G","PUTT",IF(AND($C662="T",$M662&gt;3),"OTT",IF($D662&lt;=30,"ARG","APP"))))</f>
        <v/>
      </c>
      <c r="J662" s="17" t="str">
        <f aca="false">IF($C662="","",$N662+$Q662*$R662)</f>
        <v/>
      </c>
      <c r="K662" s="17" t="str">
        <f aca="false">IF($C662="","",$O662+$Q662*$S662)</f>
        <v/>
      </c>
      <c r="L662" s="17" t="str">
        <f aca="false">IF($C662="","",$J662-$K662-1-N($G662))</f>
        <v/>
      </c>
      <c r="M662" s="7" t="str">
        <f aca="false">IF($B662="","",INDEX(Course!$B$2:$B$19,MATCH($B662,Course!$A$2:$A$19,0)))</f>
        <v/>
      </c>
      <c r="N662" s="17" t="str">
        <f aca="false">IF($C662="","",IF($C662="H",0,IF($C662="G",INDEX(Baseline!$I$3:$I$102,MIN(MAX(ROUND($D662,0),1),100)),IF($C662="T",IF($M662=3,INDEX(Baseline!$B$3:$B$122,MATCH(MIN(MAX(ROUND(($D662)/5,0)*5,5),600),Baseline!$A$3:$A$122,0))-Inputs!$B$9,INDEX(Course!$N$2:$N$19,MATCH($B662,Course!$A$2:$A$19,0))),INDEX(Baseline!$B$3:$E$122,MATCH(MIN(MAX(ROUND(($D662)/5,0)*5,5),600),Baseline!$A$3:$A$122,0),MATCH($C662,Baseline!$B$2:$E$2,0))))))</f>
        <v/>
      </c>
      <c r="O662" s="17" t="str">
        <f aca="false">IF($C662="","",IF($E662="H",0,IF($E662="G",INDEX(Baseline!$I$3:$I$102,MIN(MAX(ROUND($F662,0),1),100)),IF($E662="T",IF($M662=3,INDEX(Baseline!$B$3:$B$122,MATCH(MIN(MAX(ROUND(($F662)/5,0)*5,5),600),Baseline!$A$3:$A$122,0))-Inputs!$B$9,INDEX(Course!$N$2:$N$19,MATCH($B662,Course!$A$2:$A$19,0))),INDEX(Baseline!$B$3:$E$122,MATCH(MIN(MAX(ROUND(($F662)/5,0)*5,5),600),Baseline!$A$3:$A$122,0),MATCH($E662,Baseline!$B$2:$E$2,0))))))</f>
        <v/>
      </c>
      <c r="P662" s="17" t="str">
        <f aca="false">IF($B662="","",INDEX(Course!$N$2:$N$19,MATCH($B662,Course!$A$2:$A$19,0)))</f>
        <v/>
      </c>
      <c r="Q662" s="17" t="str">
        <f aca="false">IF($B662="","",INDEX(Course!$P$2:$P$19,MATCH($B662,Course!$A$2:$A$19,0)))</f>
        <v/>
      </c>
      <c r="R662" s="17" t="str">
        <f aca="false">IF($C662="","",IF(OR($C662="G",$C662="H"),0,IF($C662="T",1,MIN(1,MAX(0,($N662-Inputs!$B$8)/MAX($P662-Inputs!$B$8,0.01))))))</f>
        <v/>
      </c>
      <c r="S662" s="17" t="str">
        <f aca="false">IF($C662="","",IF(OR($E662="G",$E662="H"),0,IF($E662="T",1,MIN(1,MAX(0,($O662-Inputs!$B$8)/MAX($P662-Inputs!$B$8,0.01))))))</f>
        <v/>
      </c>
    </row>
    <row r="663" customFormat="false" ht="15" hidden="false" customHeight="false" outlineLevel="0" collapsed="false">
      <c r="I663" s="7" t="str">
        <f aca="false">IF($C663="","",IF($C663="G","PUTT",IF(AND($C663="T",$M663&gt;3),"OTT",IF($D663&lt;=30,"ARG","APP"))))</f>
        <v/>
      </c>
      <c r="J663" s="17" t="str">
        <f aca="false">IF($C663="","",$N663+$Q663*$R663)</f>
        <v/>
      </c>
      <c r="K663" s="17" t="str">
        <f aca="false">IF($C663="","",$O663+$Q663*$S663)</f>
        <v/>
      </c>
      <c r="L663" s="17" t="str">
        <f aca="false">IF($C663="","",$J663-$K663-1-N($G663))</f>
        <v/>
      </c>
      <c r="M663" s="7" t="str">
        <f aca="false">IF($B663="","",INDEX(Course!$B$2:$B$19,MATCH($B663,Course!$A$2:$A$19,0)))</f>
        <v/>
      </c>
      <c r="N663" s="17" t="str">
        <f aca="false">IF($C663="","",IF($C663="H",0,IF($C663="G",INDEX(Baseline!$I$3:$I$102,MIN(MAX(ROUND($D663,0),1),100)),IF($C663="T",IF($M663=3,INDEX(Baseline!$B$3:$B$122,MATCH(MIN(MAX(ROUND(($D663)/5,0)*5,5),600),Baseline!$A$3:$A$122,0))-Inputs!$B$9,INDEX(Course!$N$2:$N$19,MATCH($B663,Course!$A$2:$A$19,0))),INDEX(Baseline!$B$3:$E$122,MATCH(MIN(MAX(ROUND(($D663)/5,0)*5,5),600),Baseline!$A$3:$A$122,0),MATCH($C663,Baseline!$B$2:$E$2,0))))))</f>
        <v/>
      </c>
      <c r="O663" s="17" t="str">
        <f aca="false">IF($C663="","",IF($E663="H",0,IF($E663="G",INDEX(Baseline!$I$3:$I$102,MIN(MAX(ROUND($F663,0),1),100)),IF($E663="T",IF($M663=3,INDEX(Baseline!$B$3:$B$122,MATCH(MIN(MAX(ROUND(($F663)/5,0)*5,5),600),Baseline!$A$3:$A$122,0))-Inputs!$B$9,INDEX(Course!$N$2:$N$19,MATCH($B663,Course!$A$2:$A$19,0))),INDEX(Baseline!$B$3:$E$122,MATCH(MIN(MAX(ROUND(($F663)/5,0)*5,5),600),Baseline!$A$3:$A$122,0),MATCH($E663,Baseline!$B$2:$E$2,0))))))</f>
        <v/>
      </c>
      <c r="P663" s="17" t="str">
        <f aca="false">IF($B663="","",INDEX(Course!$N$2:$N$19,MATCH($B663,Course!$A$2:$A$19,0)))</f>
        <v/>
      </c>
      <c r="Q663" s="17" t="str">
        <f aca="false">IF($B663="","",INDEX(Course!$P$2:$P$19,MATCH($B663,Course!$A$2:$A$19,0)))</f>
        <v/>
      </c>
      <c r="R663" s="17" t="str">
        <f aca="false">IF($C663="","",IF(OR($C663="G",$C663="H"),0,IF($C663="T",1,MIN(1,MAX(0,($N663-Inputs!$B$8)/MAX($P663-Inputs!$B$8,0.01))))))</f>
        <v/>
      </c>
      <c r="S663" s="17" t="str">
        <f aca="false">IF($C663="","",IF(OR($E663="G",$E663="H"),0,IF($E663="T",1,MIN(1,MAX(0,($O663-Inputs!$B$8)/MAX($P663-Inputs!$B$8,0.01))))))</f>
        <v/>
      </c>
    </row>
    <row r="664" customFormat="false" ht="15" hidden="false" customHeight="false" outlineLevel="0" collapsed="false">
      <c r="I664" s="7" t="str">
        <f aca="false">IF($C664="","",IF($C664="G","PUTT",IF(AND($C664="T",$M664&gt;3),"OTT",IF($D664&lt;=30,"ARG","APP"))))</f>
        <v/>
      </c>
      <c r="J664" s="17" t="str">
        <f aca="false">IF($C664="","",$N664+$Q664*$R664)</f>
        <v/>
      </c>
      <c r="K664" s="17" t="str">
        <f aca="false">IF($C664="","",$O664+$Q664*$S664)</f>
        <v/>
      </c>
      <c r="L664" s="17" t="str">
        <f aca="false">IF($C664="","",$J664-$K664-1-N($G664))</f>
        <v/>
      </c>
      <c r="M664" s="7" t="str">
        <f aca="false">IF($B664="","",INDEX(Course!$B$2:$B$19,MATCH($B664,Course!$A$2:$A$19,0)))</f>
        <v/>
      </c>
      <c r="N664" s="17" t="str">
        <f aca="false">IF($C664="","",IF($C664="H",0,IF($C664="G",INDEX(Baseline!$I$3:$I$102,MIN(MAX(ROUND($D664,0),1),100)),IF($C664="T",IF($M664=3,INDEX(Baseline!$B$3:$B$122,MATCH(MIN(MAX(ROUND(($D664)/5,0)*5,5),600),Baseline!$A$3:$A$122,0))-Inputs!$B$9,INDEX(Course!$N$2:$N$19,MATCH($B664,Course!$A$2:$A$19,0))),INDEX(Baseline!$B$3:$E$122,MATCH(MIN(MAX(ROUND(($D664)/5,0)*5,5),600),Baseline!$A$3:$A$122,0),MATCH($C664,Baseline!$B$2:$E$2,0))))))</f>
        <v/>
      </c>
      <c r="O664" s="17" t="str">
        <f aca="false">IF($C664="","",IF($E664="H",0,IF($E664="G",INDEX(Baseline!$I$3:$I$102,MIN(MAX(ROUND($F664,0),1),100)),IF($E664="T",IF($M664=3,INDEX(Baseline!$B$3:$B$122,MATCH(MIN(MAX(ROUND(($F664)/5,0)*5,5),600),Baseline!$A$3:$A$122,0))-Inputs!$B$9,INDEX(Course!$N$2:$N$19,MATCH($B664,Course!$A$2:$A$19,0))),INDEX(Baseline!$B$3:$E$122,MATCH(MIN(MAX(ROUND(($F664)/5,0)*5,5),600),Baseline!$A$3:$A$122,0),MATCH($E664,Baseline!$B$2:$E$2,0))))))</f>
        <v/>
      </c>
      <c r="P664" s="17" t="str">
        <f aca="false">IF($B664="","",INDEX(Course!$N$2:$N$19,MATCH($B664,Course!$A$2:$A$19,0)))</f>
        <v/>
      </c>
      <c r="Q664" s="17" t="str">
        <f aca="false">IF($B664="","",INDEX(Course!$P$2:$P$19,MATCH($B664,Course!$A$2:$A$19,0)))</f>
        <v/>
      </c>
      <c r="R664" s="17" t="str">
        <f aca="false">IF($C664="","",IF(OR($C664="G",$C664="H"),0,IF($C664="T",1,MIN(1,MAX(0,($N664-Inputs!$B$8)/MAX($P664-Inputs!$B$8,0.01))))))</f>
        <v/>
      </c>
      <c r="S664" s="17" t="str">
        <f aca="false">IF($C664="","",IF(OR($E664="G",$E664="H"),0,IF($E664="T",1,MIN(1,MAX(0,($O664-Inputs!$B$8)/MAX($P664-Inputs!$B$8,0.01))))))</f>
        <v/>
      </c>
    </row>
    <row r="665" customFormat="false" ht="15" hidden="false" customHeight="false" outlineLevel="0" collapsed="false">
      <c r="I665" s="7" t="str">
        <f aca="false">IF($C665="","",IF($C665="G","PUTT",IF(AND($C665="T",$M665&gt;3),"OTT",IF($D665&lt;=30,"ARG","APP"))))</f>
        <v/>
      </c>
      <c r="J665" s="17" t="str">
        <f aca="false">IF($C665="","",$N665+$Q665*$R665)</f>
        <v/>
      </c>
      <c r="K665" s="17" t="str">
        <f aca="false">IF($C665="","",$O665+$Q665*$S665)</f>
        <v/>
      </c>
      <c r="L665" s="17" t="str">
        <f aca="false">IF($C665="","",$J665-$K665-1-N($G665))</f>
        <v/>
      </c>
      <c r="M665" s="7" t="str">
        <f aca="false">IF($B665="","",INDEX(Course!$B$2:$B$19,MATCH($B665,Course!$A$2:$A$19,0)))</f>
        <v/>
      </c>
      <c r="N665" s="17" t="str">
        <f aca="false">IF($C665="","",IF($C665="H",0,IF($C665="G",INDEX(Baseline!$I$3:$I$102,MIN(MAX(ROUND($D665,0),1),100)),IF($C665="T",IF($M665=3,INDEX(Baseline!$B$3:$B$122,MATCH(MIN(MAX(ROUND(($D665)/5,0)*5,5),600),Baseline!$A$3:$A$122,0))-Inputs!$B$9,INDEX(Course!$N$2:$N$19,MATCH($B665,Course!$A$2:$A$19,0))),INDEX(Baseline!$B$3:$E$122,MATCH(MIN(MAX(ROUND(($D665)/5,0)*5,5),600),Baseline!$A$3:$A$122,0),MATCH($C665,Baseline!$B$2:$E$2,0))))))</f>
        <v/>
      </c>
      <c r="O665" s="17" t="str">
        <f aca="false">IF($C665="","",IF($E665="H",0,IF($E665="G",INDEX(Baseline!$I$3:$I$102,MIN(MAX(ROUND($F665,0),1),100)),IF($E665="T",IF($M665=3,INDEX(Baseline!$B$3:$B$122,MATCH(MIN(MAX(ROUND(($F665)/5,0)*5,5),600),Baseline!$A$3:$A$122,0))-Inputs!$B$9,INDEX(Course!$N$2:$N$19,MATCH($B665,Course!$A$2:$A$19,0))),INDEX(Baseline!$B$3:$E$122,MATCH(MIN(MAX(ROUND(($F665)/5,0)*5,5),600),Baseline!$A$3:$A$122,0),MATCH($E665,Baseline!$B$2:$E$2,0))))))</f>
        <v/>
      </c>
      <c r="P665" s="17" t="str">
        <f aca="false">IF($B665="","",INDEX(Course!$N$2:$N$19,MATCH($B665,Course!$A$2:$A$19,0)))</f>
        <v/>
      </c>
      <c r="Q665" s="17" t="str">
        <f aca="false">IF($B665="","",INDEX(Course!$P$2:$P$19,MATCH($B665,Course!$A$2:$A$19,0)))</f>
        <v/>
      </c>
      <c r="R665" s="17" t="str">
        <f aca="false">IF($C665="","",IF(OR($C665="G",$C665="H"),0,IF($C665="T",1,MIN(1,MAX(0,($N665-Inputs!$B$8)/MAX($P665-Inputs!$B$8,0.01))))))</f>
        <v/>
      </c>
      <c r="S665" s="17" t="str">
        <f aca="false">IF($C665="","",IF(OR($E665="G",$E665="H"),0,IF($E665="T",1,MIN(1,MAX(0,($O665-Inputs!$B$8)/MAX($P665-Inputs!$B$8,0.01))))))</f>
        <v/>
      </c>
    </row>
    <row r="666" customFormat="false" ht="15" hidden="false" customHeight="false" outlineLevel="0" collapsed="false">
      <c r="I666" s="7" t="str">
        <f aca="false">IF($C666="","",IF($C666="G","PUTT",IF(AND($C666="T",$M666&gt;3),"OTT",IF($D666&lt;=30,"ARG","APP"))))</f>
        <v/>
      </c>
      <c r="J666" s="17" t="str">
        <f aca="false">IF($C666="","",$N666+$Q666*$R666)</f>
        <v/>
      </c>
      <c r="K666" s="17" t="str">
        <f aca="false">IF($C666="","",$O666+$Q666*$S666)</f>
        <v/>
      </c>
      <c r="L666" s="17" t="str">
        <f aca="false">IF($C666="","",$J666-$K666-1-N($G666))</f>
        <v/>
      </c>
      <c r="M666" s="7" t="str">
        <f aca="false">IF($B666="","",INDEX(Course!$B$2:$B$19,MATCH($B666,Course!$A$2:$A$19,0)))</f>
        <v/>
      </c>
      <c r="N666" s="17" t="str">
        <f aca="false">IF($C666="","",IF($C666="H",0,IF($C666="G",INDEX(Baseline!$I$3:$I$102,MIN(MAX(ROUND($D666,0),1),100)),IF($C666="T",IF($M666=3,INDEX(Baseline!$B$3:$B$122,MATCH(MIN(MAX(ROUND(($D666)/5,0)*5,5),600),Baseline!$A$3:$A$122,0))-Inputs!$B$9,INDEX(Course!$N$2:$N$19,MATCH($B666,Course!$A$2:$A$19,0))),INDEX(Baseline!$B$3:$E$122,MATCH(MIN(MAX(ROUND(($D666)/5,0)*5,5),600),Baseline!$A$3:$A$122,0),MATCH($C666,Baseline!$B$2:$E$2,0))))))</f>
        <v/>
      </c>
      <c r="O666" s="17" t="str">
        <f aca="false">IF($C666="","",IF($E666="H",0,IF($E666="G",INDEX(Baseline!$I$3:$I$102,MIN(MAX(ROUND($F666,0),1),100)),IF($E666="T",IF($M666=3,INDEX(Baseline!$B$3:$B$122,MATCH(MIN(MAX(ROUND(($F666)/5,0)*5,5),600),Baseline!$A$3:$A$122,0))-Inputs!$B$9,INDEX(Course!$N$2:$N$19,MATCH($B666,Course!$A$2:$A$19,0))),INDEX(Baseline!$B$3:$E$122,MATCH(MIN(MAX(ROUND(($F666)/5,0)*5,5),600),Baseline!$A$3:$A$122,0),MATCH($E666,Baseline!$B$2:$E$2,0))))))</f>
        <v/>
      </c>
      <c r="P666" s="17" t="str">
        <f aca="false">IF($B666="","",INDEX(Course!$N$2:$N$19,MATCH($B666,Course!$A$2:$A$19,0)))</f>
        <v/>
      </c>
      <c r="Q666" s="17" t="str">
        <f aca="false">IF($B666="","",INDEX(Course!$P$2:$P$19,MATCH($B666,Course!$A$2:$A$19,0)))</f>
        <v/>
      </c>
      <c r="R666" s="17" t="str">
        <f aca="false">IF($C666="","",IF(OR($C666="G",$C666="H"),0,IF($C666="T",1,MIN(1,MAX(0,($N666-Inputs!$B$8)/MAX($P666-Inputs!$B$8,0.01))))))</f>
        <v/>
      </c>
      <c r="S666" s="17" t="str">
        <f aca="false">IF($C666="","",IF(OR($E666="G",$E666="H"),0,IF($E666="T",1,MIN(1,MAX(0,($O666-Inputs!$B$8)/MAX($P666-Inputs!$B$8,0.01))))))</f>
        <v/>
      </c>
    </row>
    <row r="667" customFormat="false" ht="15" hidden="false" customHeight="false" outlineLevel="0" collapsed="false">
      <c r="I667" s="7" t="str">
        <f aca="false">IF($C667="","",IF($C667="G","PUTT",IF(AND($C667="T",$M667&gt;3),"OTT",IF($D667&lt;=30,"ARG","APP"))))</f>
        <v/>
      </c>
      <c r="J667" s="17" t="str">
        <f aca="false">IF($C667="","",$N667+$Q667*$R667)</f>
        <v/>
      </c>
      <c r="K667" s="17" t="str">
        <f aca="false">IF($C667="","",$O667+$Q667*$S667)</f>
        <v/>
      </c>
      <c r="L667" s="17" t="str">
        <f aca="false">IF($C667="","",$J667-$K667-1-N($G667))</f>
        <v/>
      </c>
      <c r="M667" s="7" t="str">
        <f aca="false">IF($B667="","",INDEX(Course!$B$2:$B$19,MATCH($B667,Course!$A$2:$A$19,0)))</f>
        <v/>
      </c>
      <c r="N667" s="17" t="str">
        <f aca="false">IF($C667="","",IF($C667="H",0,IF($C667="G",INDEX(Baseline!$I$3:$I$102,MIN(MAX(ROUND($D667,0),1),100)),IF($C667="T",IF($M667=3,INDEX(Baseline!$B$3:$B$122,MATCH(MIN(MAX(ROUND(($D667)/5,0)*5,5),600),Baseline!$A$3:$A$122,0))-Inputs!$B$9,INDEX(Course!$N$2:$N$19,MATCH($B667,Course!$A$2:$A$19,0))),INDEX(Baseline!$B$3:$E$122,MATCH(MIN(MAX(ROUND(($D667)/5,0)*5,5),600),Baseline!$A$3:$A$122,0),MATCH($C667,Baseline!$B$2:$E$2,0))))))</f>
        <v/>
      </c>
      <c r="O667" s="17" t="str">
        <f aca="false">IF($C667="","",IF($E667="H",0,IF($E667="G",INDEX(Baseline!$I$3:$I$102,MIN(MAX(ROUND($F667,0),1),100)),IF($E667="T",IF($M667=3,INDEX(Baseline!$B$3:$B$122,MATCH(MIN(MAX(ROUND(($F667)/5,0)*5,5),600),Baseline!$A$3:$A$122,0))-Inputs!$B$9,INDEX(Course!$N$2:$N$19,MATCH($B667,Course!$A$2:$A$19,0))),INDEX(Baseline!$B$3:$E$122,MATCH(MIN(MAX(ROUND(($F667)/5,0)*5,5),600),Baseline!$A$3:$A$122,0),MATCH($E667,Baseline!$B$2:$E$2,0))))))</f>
        <v/>
      </c>
      <c r="P667" s="17" t="str">
        <f aca="false">IF($B667="","",INDEX(Course!$N$2:$N$19,MATCH($B667,Course!$A$2:$A$19,0)))</f>
        <v/>
      </c>
      <c r="Q667" s="17" t="str">
        <f aca="false">IF($B667="","",INDEX(Course!$P$2:$P$19,MATCH($B667,Course!$A$2:$A$19,0)))</f>
        <v/>
      </c>
      <c r="R667" s="17" t="str">
        <f aca="false">IF($C667="","",IF(OR($C667="G",$C667="H"),0,IF($C667="T",1,MIN(1,MAX(0,($N667-Inputs!$B$8)/MAX($P667-Inputs!$B$8,0.01))))))</f>
        <v/>
      </c>
      <c r="S667" s="17" t="str">
        <f aca="false">IF($C667="","",IF(OR($E667="G",$E667="H"),0,IF($E667="T",1,MIN(1,MAX(0,($O667-Inputs!$B$8)/MAX($P667-Inputs!$B$8,0.01))))))</f>
        <v/>
      </c>
    </row>
    <row r="668" customFormat="false" ht="15" hidden="false" customHeight="false" outlineLevel="0" collapsed="false">
      <c r="I668" s="7" t="str">
        <f aca="false">IF($C668="","",IF($C668="G","PUTT",IF(AND($C668="T",$M668&gt;3),"OTT",IF($D668&lt;=30,"ARG","APP"))))</f>
        <v/>
      </c>
      <c r="J668" s="17" t="str">
        <f aca="false">IF($C668="","",$N668+$Q668*$R668)</f>
        <v/>
      </c>
      <c r="K668" s="17" t="str">
        <f aca="false">IF($C668="","",$O668+$Q668*$S668)</f>
        <v/>
      </c>
      <c r="L668" s="17" t="str">
        <f aca="false">IF($C668="","",$J668-$K668-1-N($G668))</f>
        <v/>
      </c>
      <c r="M668" s="7" t="str">
        <f aca="false">IF($B668="","",INDEX(Course!$B$2:$B$19,MATCH($B668,Course!$A$2:$A$19,0)))</f>
        <v/>
      </c>
      <c r="N668" s="17" t="str">
        <f aca="false">IF($C668="","",IF($C668="H",0,IF($C668="G",INDEX(Baseline!$I$3:$I$102,MIN(MAX(ROUND($D668,0),1),100)),IF($C668="T",IF($M668=3,INDEX(Baseline!$B$3:$B$122,MATCH(MIN(MAX(ROUND(($D668)/5,0)*5,5),600),Baseline!$A$3:$A$122,0))-Inputs!$B$9,INDEX(Course!$N$2:$N$19,MATCH($B668,Course!$A$2:$A$19,0))),INDEX(Baseline!$B$3:$E$122,MATCH(MIN(MAX(ROUND(($D668)/5,0)*5,5),600),Baseline!$A$3:$A$122,0),MATCH($C668,Baseline!$B$2:$E$2,0))))))</f>
        <v/>
      </c>
      <c r="O668" s="17" t="str">
        <f aca="false">IF($C668="","",IF($E668="H",0,IF($E668="G",INDEX(Baseline!$I$3:$I$102,MIN(MAX(ROUND($F668,0),1),100)),IF($E668="T",IF($M668=3,INDEX(Baseline!$B$3:$B$122,MATCH(MIN(MAX(ROUND(($F668)/5,0)*5,5),600),Baseline!$A$3:$A$122,0))-Inputs!$B$9,INDEX(Course!$N$2:$N$19,MATCH($B668,Course!$A$2:$A$19,0))),INDEX(Baseline!$B$3:$E$122,MATCH(MIN(MAX(ROUND(($F668)/5,0)*5,5),600),Baseline!$A$3:$A$122,0),MATCH($E668,Baseline!$B$2:$E$2,0))))))</f>
        <v/>
      </c>
      <c r="P668" s="17" t="str">
        <f aca="false">IF($B668="","",INDEX(Course!$N$2:$N$19,MATCH($B668,Course!$A$2:$A$19,0)))</f>
        <v/>
      </c>
      <c r="Q668" s="17" t="str">
        <f aca="false">IF($B668="","",INDEX(Course!$P$2:$P$19,MATCH($B668,Course!$A$2:$A$19,0)))</f>
        <v/>
      </c>
      <c r="R668" s="17" t="str">
        <f aca="false">IF($C668="","",IF(OR($C668="G",$C668="H"),0,IF($C668="T",1,MIN(1,MAX(0,($N668-Inputs!$B$8)/MAX($P668-Inputs!$B$8,0.01))))))</f>
        <v/>
      </c>
      <c r="S668" s="17" t="str">
        <f aca="false">IF($C668="","",IF(OR($E668="G",$E668="H"),0,IF($E668="T",1,MIN(1,MAX(0,($O668-Inputs!$B$8)/MAX($P668-Inputs!$B$8,0.01))))))</f>
        <v/>
      </c>
    </row>
    <row r="669" customFormat="false" ht="15" hidden="false" customHeight="false" outlineLevel="0" collapsed="false">
      <c r="I669" s="7" t="str">
        <f aca="false">IF($C669="","",IF($C669="G","PUTT",IF(AND($C669="T",$M669&gt;3),"OTT",IF($D669&lt;=30,"ARG","APP"))))</f>
        <v/>
      </c>
      <c r="J669" s="17" t="str">
        <f aca="false">IF($C669="","",$N669+$Q669*$R669)</f>
        <v/>
      </c>
      <c r="K669" s="17" t="str">
        <f aca="false">IF($C669="","",$O669+$Q669*$S669)</f>
        <v/>
      </c>
      <c r="L669" s="17" t="str">
        <f aca="false">IF($C669="","",$J669-$K669-1-N($G669))</f>
        <v/>
      </c>
      <c r="M669" s="7" t="str">
        <f aca="false">IF($B669="","",INDEX(Course!$B$2:$B$19,MATCH($B669,Course!$A$2:$A$19,0)))</f>
        <v/>
      </c>
      <c r="N669" s="17" t="str">
        <f aca="false">IF($C669="","",IF($C669="H",0,IF($C669="G",INDEX(Baseline!$I$3:$I$102,MIN(MAX(ROUND($D669,0),1),100)),IF($C669="T",IF($M669=3,INDEX(Baseline!$B$3:$B$122,MATCH(MIN(MAX(ROUND(($D669)/5,0)*5,5),600),Baseline!$A$3:$A$122,0))-Inputs!$B$9,INDEX(Course!$N$2:$N$19,MATCH($B669,Course!$A$2:$A$19,0))),INDEX(Baseline!$B$3:$E$122,MATCH(MIN(MAX(ROUND(($D669)/5,0)*5,5),600),Baseline!$A$3:$A$122,0),MATCH($C669,Baseline!$B$2:$E$2,0))))))</f>
        <v/>
      </c>
      <c r="O669" s="17" t="str">
        <f aca="false">IF($C669="","",IF($E669="H",0,IF($E669="G",INDEX(Baseline!$I$3:$I$102,MIN(MAX(ROUND($F669,0),1),100)),IF($E669="T",IF($M669=3,INDEX(Baseline!$B$3:$B$122,MATCH(MIN(MAX(ROUND(($F669)/5,0)*5,5),600),Baseline!$A$3:$A$122,0))-Inputs!$B$9,INDEX(Course!$N$2:$N$19,MATCH($B669,Course!$A$2:$A$19,0))),INDEX(Baseline!$B$3:$E$122,MATCH(MIN(MAX(ROUND(($F669)/5,0)*5,5),600),Baseline!$A$3:$A$122,0),MATCH($E669,Baseline!$B$2:$E$2,0))))))</f>
        <v/>
      </c>
      <c r="P669" s="17" t="str">
        <f aca="false">IF($B669="","",INDEX(Course!$N$2:$N$19,MATCH($B669,Course!$A$2:$A$19,0)))</f>
        <v/>
      </c>
      <c r="Q669" s="17" t="str">
        <f aca="false">IF($B669="","",INDEX(Course!$P$2:$P$19,MATCH($B669,Course!$A$2:$A$19,0)))</f>
        <v/>
      </c>
      <c r="R669" s="17" t="str">
        <f aca="false">IF($C669="","",IF(OR($C669="G",$C669="H"),0,IF($C669="T",1,MIN(1,MAX(0,($N669-Inputs!$B$8)/MAX($P669-Inputs!$B$8,0.01))))))</f>
        <v/>
      </c>
      <c r="S669" s="17" t="str">
        <f aca="false">IF($C669="","",IF(OR($E669="G",$E669="H"),0,IF($E669="T",1,MIN(1,MAX(0,($O669-Inputs!$B$8)/MAX($P669-Inputs!$B$8,0.01))))))</f>
        <v/>
      </c>
    </row>
    <row r="670" customFormat="false" ht="15" hidden="false" customHeight="false" outlineLevel="0" collapsed="false">
      <c r="I670" s="7" t="str">
        <f aca="false">IF($C670="","",IF($C670="G","PUTT",IF(AND($C670="T",$M670&gt;3),"OTT",IF($D670&lt;=30,"ARG","APP"))))</f>
        <v/>
      </c>
      <c r="J670" s="17" t="str">
        <f aca="false">IF($C670="","",$N670+$Q670*$R670)</f>
        <v/>
      </c>
      <c r="K670" s="17" t="str">
        <f aca="false">IF($C670="","",$O670+$Q670*$S670)</f>
        <v/>
      </c>
      <c r="L670" s="17" t="str">
        <f aca="false">IF($C670="","",$J670-$K670-1-N($G670))</f>
        <v/>
      </c>
      <c r="M670" s="7" t="str">
        <f aca="false">IF($B670="","",INDEX(Course!$B$2:$B$19,MATCH($B670,Course!$A$2:$A$19,0)))</f>
        <v/>
      </c>
      <c r="N670" s="17" t="str">
        <f aca="false">IF($C670="","",IF($C670="H",0,IF($C670="G",INDEX(Baseline!$I$3:$I$102,MIN(MAX(ROUND($D670,0),1),100)),IF($C670="T",IF($M670=3,INDEX(Baseline!$B$3:$B$122,MATCH(MIN(MAX(ROUND(($D670)/5,0)*5,5),600),Baseline!$A$3:$A$122,0))-Inputs!$B$9,INDEX(Course!$N$2:$N$19,MATCH($B670,Course!$A$2:$A$19,0))),INDEX(Baseline!$B$3:$E$122,MATCH(MIN(MAX(ROUND(($D670)/5,0)*5,5),600),Baseline!$A$3:$A$122,0),MATCH($C670,Baseline!$B$2:$E$2,0))))))</f>
        <v/>
      </c>
      <c r="O670" s="17" t="str">
        <f aca="false">IF($C670="","",IF($E670="H",0,IF($E670="G",INDEX(Baseline!$I$3:$I$102,MIN(MAX(ROUND($F670,0),1),100)),IF($E670="T",IF($M670=3,INDEX(Baseline!$B$3:$B$122,MATCH(MIN(MAX(ROUND(($F670)/5,0)*5,5),600),Baseline!$A$3:$A$122,0))-Inputs!$B$9,INDEX(Course!$N$2:$N$19,MATCH($B670,Course!$A$2:$A$19,0))),INDEX(Baseline!$B$3:$E$122,MATCH(MIN(MAX(ROUND(($F670)/5,0)*5,5),600),Baseline!$A$3:$A$122,0),MATCH($E670,Baseline!$B$2:$E$2,0))))))</f>
        <v/>
      </c>
      <c r="P670" s="17" t="str">
        <f aca="false">IF($B670="","",INDEX(Course!$N$2:$N$19,MATCH($B670,Course!$A$2:$A$19,0)))</f>
        <v/>
      </c>
      <c r="Q670" s="17" t="str">
        <f aca="false">IF($B670="","",INDEX(Course!$P$2:$P$19,MATCH($B670,Course!$A$2:$A$19,0)))</f>
        <v/>
      </c>
      <c r="R670" s="17" t="str">
        <f aca="false">IF($C670="","",IF(OR($C670="G",$C670="H"),0,IF($C670="T",1,MIN(1,MAX(0,($N670-Inputs!$B$8)/MAX($P670-Inputs!$B$8,0.01))))))</f>
        <v/>
      </c>
      <c r="S670" s="17" t="str">
        <f aca="false">IF($C670="","",IF(OR($E670="G",$E670="H"),0,IF($E670="T",1,MIN(1,MAX(0,($O670-Inputs!$B$8)/MAX($P670-Inputs!$B$8,0.01))))))</f>
        <v/>
      </c>
    </row>
    <row r="671" customFormat="false" ht="15" hidden="false" customHeight="false" outlineLevel="0" collapsed="false">
      <c r="I671" s="7" t="str">
        <f aca="false">IF($C671="","",IF($C671="G","PUTT",IF(AND($C671="T",$M671&gt;3),"OTT",IF($D671&lt;=30,"ARG","APP"))))</f>
        <v/>
      </c>
      <c r="J671" s="17" t="str">
        <f aca="false">IF($C671="","",$N671+$Q671*$R671)</f>
        <v/>
      </c>
      <c r="K671" s="17" t="str">
        <f aca="false">IF($C671="","",$O671+$Q671*$S671)</f>
        <v/>
      </c>
      <c r="L671" s="17" t="str">
        <f aca="false">IF($C671="","",$J671-$K671-1-N($G671))</f>
        <v/>
      </c>
      <c r="M671" s="7" t="str">
        <f aca="false">IF($B671="","",INDEX(Course!$B$2:$B$19,MATCH($B671,Course!$A$2:$A$19,0)))</f>
        <v/>
      </c>
      <c r="N671" s="17" t="str">
        <f aca="false">IF($C671="","",IF($C671="H",0,IF($C671="G",INDEX(Baseline!$I$3:$I$102,MIN(MAX(ROUND($D671,0),1),100)),IF($C671="T",IF($M671=3,INDEX(Baseline!$B$3:$B$122,MATCH(MIN(MAX(ROUND(($D671)/5,0)*5,5),600),Baseline!$A$3:$A$122,0))-Inputs!$B$9,INDEX(Course!$N$2:$N$19,MATCH($B671,Course!$A$2:$A$19,0))),INDEX(Baseline!$B$3:$E$122,MATCH(MIN(MAX(ROUND(($D671)/5,0)*5,5),600),Baseline!$A$3:$A$122,0),MATCH($C671,Baseline!$B$2:$E$2,0))))))</f>
        <v/>
      </c>
      <c r="O671" s="17" t="str">
        <f aca="false">IF($C671="","",IF($E671="H",0,IF($E671="G",INDEX(Baseline!$I$3:$I$102,MIN(MAX(ROUND($F671,0),1),100)),IF($E671="T",IF($M671=3,INDEX(Baseline!$B$3:$B$122,MATCH(MIN(MAX(ROUND(($F671)/5,0)*5,5),600),Baseline!$A$3:$A$122,0))-Inputs!$B$9,INDEX(Course!$N$2:$N$19,MATCH($B671,Course!$A$2:$A$19,0))),INDEX(Baseline!$B$3:$E$122,MATCH(MIN(MAX(ROUND(($F671)/5,0)*5,5),600),Baseline!$A$3:$A$122,0),MATCH($E671,Baseline!$B$2:$E$2,0))))))</f>
        <v/>
      </c>
      <c r="P671" s="17" t="str">
        <f aca="false">IF($B671="","",INDEX(Course!$N$2:$N$19,MATCH($B671,Course!$A$2:$A$19,0)))</f>
        <v/>
      </c>
      <c r="Q671" s="17" t="str">
        <f aca="false">IF($B671="","",INDEX(Course!$P$2:$P$19,MATCH($B671,Course!$A$2:$A$19,0)))</f>
        <v/>
      </c>
      <c r="R671" s="17" t="str">
        <f aca="false">IF($C671="","",IF(OR($C671="G",$C671="H"),0,IF($C671="T",1,MIN(1,MAX(0,($N671-Inputs!$B$8)/MAX($P671-Inputs!$B$8,0.01))))))</f>
        <v/>
      </c>
      <c r="S671" s="17" t="str">
        <f aca="false">IF($C671="","",IF(OR($E671="G",$E671="H"),0,IF($E671="T",1,MIN(1,MAX(0,($O671-Inputs!$B$8)/MAX($P671-Inputs!$B$8,0.01))))))</f>
        <v/>
      </c>
    </row>
    <row r="672" customFormat="false" ht="15" hidden="false" customHeight="false" outlineLevel="0" collapsed="false">
      <c r="I672" s="7" t="str">
        <f aca="false">IF($C672="","",IF($C672="G","PUTT",IF(AND($C672="T",$M672&gt;3),"OTT",IF($D672&lt;=30,"ARG","APP"))))</f>
        <v/>
      </c>
      <c r="J672" s="17" t="str">
        <f aca="false">IF($C672="","",$N672+$Q672*$R672)</f>
        <v/>
      </c>
      <c r="K672" s="17" t="str">
        <f aca="false">IF($C672="","",$O672+$Q672*$S672)</f>
        <v/>
      </c>
      <c r="L672" s="17" t="str">
        <f aca="false">IF($C672="","",$J672-$K672-1-N($G672))</f>
        <v/>
      </c>
      <c r="M672" s="7" t="str">
        <f aca="false">IF($B672="","",INDEX(Course!$B$2:$B$19,MATCH($B672,Course!$A$2:$A$19,0)))</f>
        <v/>
      </c>
      <c r="N672" s="17" t="str">
        <f aca="false">IF($C672="","",IF($C672="H",0,IF($C672="G",INDEX(Baseline!$I$3:$I$102,MIN(MAX(ROUND($D672,0),1),100)),IF($C672="T",IF($M672=3,INDEX(Baseline!$B$3:$B$122,MATCH(MIN(MAX(ROUND(($D672)/5,0)*5,5),600),Baseline!$A$3:$A$122,0))-Inputs!$B$9,INDEX(Course!$N$2:$N$19,MATCH($B672,Course!$A$2:$A$19,0))),INDEX(Baseline!$B$3:$E$122,MATCH(MIN(MAX(ROUND(($D672)/5,0)*5,5),600),Baseline!$A$3:$A$122,0),MATCH($C672,Baseline!$B$2:$E$2,0))))))</f>
        <v/>
      </c>
      <c r="O672" s="17" t="str">
        <f aca="false">IF($C672="","",IF($E672="H",0,IF($E672="G",INDEX(Baseline!$I$3:$I$102,MIN(MAX(ROUND($F672,0),1),100)),IF($E672="T",IF($M672=3,INDEX(Baseline!$B$3:$B$122,MATCH(MIN(MAX(ROUND(($F672)/5,0)*5,5),600),Baseline!$A$3:$A$122,0))-Inputs!$B$9,INDEX(Course!$N$2:$N$19,MATCH($B672,Course!$A$2:$A$19,0))),INDEX(Baseline!$B$3:$E$122,MATCH(MIN(MAX(ROUND(($F672)/5,0)*5,5),600),Baseline!$A$3:$A$122,0),MATCH($E672,Baseline!$B$2:$E$2,0))))))</f>
        <v/>
      </c>
      <c r="P672" s="17" t="str">
        <f aca="false">IF($B672="","",INDEX(Course!$N$2:$N$19,MATCH($B672,Course!$A$2:$A$19,0)))</f>
        <v/>
      </c>
      <c r="Q672" s="17" t="str">
        <f aca="false">IF($B672="","",INDEX(Course!$P$2:$P$19,MATCH($B672,Course!$A$2:$A$19,0)))</f>
        <v/>
      </c>
      <c r="R672" s="17" t="str">
        <f aca="false">IF($C672="","",IF(OR($C672="G",$C672="H"),0,IF($C672="T",1,MIN(1,MAX(0,($N672-Inputs!$B$8)/MAX($P672-Inputs!$B$8,0.01))))))</f>
        <v/>
      </c>
      <c r="S672" s="17" t="str">
        <f aca="false">IF($C672="","",IF(OR($E672="G",$E672="H"),0,IF($E672="T",1,MIN(1,MAX(0,($O672-Inputs!$B$8)/MAX($P672-Inputs!$B$8,0.01))))))</f>
        <v/>
      </c>
    </row>
    <row r="673" customFormat="false" ht="15" hidden="false" customHeight="false" outlineLevel="0" collapsed="false">
      <c r="I673" s="7" t="str">
        <f aca="false">IF($C673="","",IF($C673="G","PUTT",IF(AND($C673="T",$M673&gt;3),"OTT",IF($D673&lt;=30,"ARG","APP"))))</f>
        <v/>
      </c>
      <c r="J673" s="17" t="str">
        <f aca="false">IF($C673="","",$N673+$Q673*$R673)</f>
        <v/>
      </c>
      <c r="K673" s="17" t="str">
        <f aca="false">IF($C673="","",$O673+$Q673*$S673)</f>
        <v/>
      </c>
      <c r="L673" s="17" t="str">
        <f aca="false">IF($C673="","",$J673-$K673-1-N($G673))</f>
        <v/>
      </c>
      <c r="M673" s="7" t="str">
        <f aca="false">IF($B673="","",INDEX(Course!$B$2:$B$19,MATCH($B673,Course!$A$2:$A$19,0)))</f>
        <v/>
      </c>
      <c r="N673" s="17" t="str">
        <f aca="false">IF($C673="","",IF($C673="H",0,IF($C673="G",INDEX(Baseline!$I$3:$I$102,MIN(MAX(ROUND($D673,0),1),100)),IF($C673="T",IF($M673=3,INDEX(Baseline!$B$3:$B$122,MATCH(MIN(MAX(ROUND(($D673)/5,0)*5,5),600),Baseline!$A$3:$A$122,0))-Inputs!$B$9,INDEX(Course!$N$2:$N$19,MATCH($B673,Course!$A$2:$A$19,0))),INDEX(Baseline!$B$3:$E$122,MATCH(MIN(MAX(ROUND(($D673)/5,0)*5,5),600),Baseline!$A$3:$A$122,0),MATCH($C673,Baseline!$B$2:$E$2,0))))))</f>
        <v/>
      </c>
      <c r="O673" s="17" t="str">
        <f aca="false">IF($C673="","",IF($E673="H",0,IF($E673="G",INDEX(Baseline!$I$3:$I$102,MIN(MAX(ROUND($F673,0),1),100)),IF($E673="T",IF($M673=3,INDEX(Baseline!$B$3:$B$122,MATCH(MIN(MAX(ROUND(($F673)/5,0)*5,5),600),Baseline!$A$3:$A$122,0))-Inputs!$B$9,INDEX(Course!$N$2:$N$19,MATCH($B673,Course!$A$2:$A$19,0))),INDEX(Baseline!$B$3:$E$122,MATCH(MIN(MAX(ROUND(($F673)/5,0)*5,5),600),Baseline!$A$3:$A$122,0),MATCH($E673,Baseline!$B$2:$E$2,0))))))</f>
        <v/>
      </c>
      <c r="P673" s="17" t="str">
        <f aca="false">IF($B673="","",INDEX(Course!$N$2:$N$19,MATCH($B673,Course!$A$2:$A$19,0)))</f>
        <v/>
      </c>
      <c r="Q673" s="17" t="str">
        <f aca="false">IF($B673="","",INDEX(Course!$P$2:$P$19,MATCH($B673,Course!$A$2:$A$19,0)))</f>
        <v/>
      </c>
      <c r="R673" s="17" t="str">
        <f aca="false">IF($C673="","",IF(OR($C673="G",$C673="H"),0,IF($C673="T",1,MIN(1,MAX(0,($N673-Inputs!$B$8)/MAX($P673-Inputs!$B$8,0.01))))))</f>
        <v/>
      </c>
      <c r="S673" s="17" t="str">
        <f aca="false">IF($C673="","",IF(OR($E673="G",$E673="H"),0,IF($E673="T",1,MIN(1,MAX(0,($O673-Inputs!$B$8)/MAX($P673-Inputs!$B$8,0.01))))))</f>
        <v/>
      </c>
    </row>
    <row r="674" customFormat="false" ht="15" hidden="false" customHeight="false" outlineLevel="0" collapsed="false">
      <c r="I674" s="7" t="str">
        <f aca="false">IF($C674="","",IF($C674="G","PUTT",IF(AND($C674="T",$M674&gt;3),"OTT",IF($D674&lt;=30,"ARG","APP"))))</f>
        <v/>
      </c>
      <c r="J674" s="17" t="str">
        <f aca="false">IF($C674="","",$N674+$Q674*$R674)</f>
        <v/>
      </c>
      <c r="K674" s="17" t="str">
        <f aca="false">IF($C674="","",$O674+$Q674*$S674)</f>
        <v/>
      </c>
      <c r="L674" s="17" t="str">
        <f aca="false">IF($C674="","",$J674-$K674-1-N($G674))</f>
        <v/>
      </c>
      <c r="M674" s="7" t="str">
        <f aca="false">IF($B674="","",INDEX(Course!$B$2:$B$19,MATCH($B674,Course!$A$2:$A$19,0)))</f>
        <v/>
      </c>
      <c r="N674" s="17" t="str">
        <f aca="false">IF($C674="","",IF($C674="H",0,IF($C674="G",INDEX(Baseline!$I$3:$I$102,MIN(MAX(ROUND($D674,0),1),100)),IF($C674="T",IF($M674=3,INDEX(Baseline!$B$3:$B$122,MATCH(MIN(MAX(ROUND(($D674)/5,0)*5,5),600),Baseline!$A$3:$A$122,0))-Inputs!$B$9,INDEX(Course!$N$2:$N$19,MATCH($B674,Course!$A$2:$A$19,0))),INDEX(Baseline!$B$3:$E$122,MATCH(MIN(MAX(ROUND(($D674)/5,0)*5,5),600),Baseline!$A$3:$A$122,0),MATCH($C674,Baseline!$B$2:$E$2,0))))))</f>
        <v/>
      </c>
      <c r="O674" s="17" t="str">
        <f aca="false">IF($C674="","",IF($E674="H",0,IF($E674="G",INDEX(Baseline!$I$3:$I$102,MIN(MAX(ROUND($F674,0),1),100)),IF($E674="T",IF($M674=3,INDEX(Baseline!$B$3:$B$122,MATCH(MIN(MAX(ROUND(($F674)/5,0)*5,5),600),Baseline!$A$3:$A$122,0))-Inputs!$B$9,INDEX(Course!$N$2:$N$19,MATCH($B674,Course!$A$2:$A$19,0))),INDEX(Baseline!$B$3:$E$122,MATCH(MIN(MAX(ROUND(($F674)/5,0)*5,5),600),Baseline!$A$3:$A$122,0),MATCH($E674,Baseline!$B$2:$E$2,0))))))</f>
        <v/>
      </c>
      <c r="P674" s="17" t="str">
        <f aca="false">IF($B674="","",INDEX(Course!$N$2:$N$19,MATCH($B674,Course!$A$2:$A$19,0)))</f>
        <v/>
      </c>
      <c r="Q674" s="17" t="str">
        <f aca="false">IF($B674="","",INDEX(Course!$P$2:$P$19,MATCH($B674,Course!$A$2:$A$19,0)))</f>
        <v/>
      </c>
      <c r="R674" s="17" t="str">
        <f aca="false">IF($C674="","",IF(OR($C674="G",$C674="H"),0,IF($C674="T",1,MIN(1,MAX(0,($N674-Inputs!$B$8)/MAX($P674-Inputs!$B$8,0.01))))))</f>
        <v/>
      </c>
      <c r="S674" s="17" t="str">
        <f aca="false">IF($C674="","",IF(OR($E674="G",$E674="H"),0,IF($E674="T",1,MIN(1,MAX(0,($O674-Inputs!$B$8)/MAX($P674-Inputs!$B$8,0.01))))))</f>
        <v/>
      </c>
    </row>
    <row r="675" customFormat="false" ht="15" hidden="false" customHeight="false" outlineLevel="0" collapsed="false">
      <c r="I675" s="7" t="str">
        <f aca="false">IF($C675="","",IF($C675="G","PUTT",IF(AND($C675="T",$M675&gt;3),"OTT",IF($D675&lt;=30,"ARG","APP"))))</f>
        <v/>
      </c>
      <c r="J675" s="17" t="str">
        <f aca="false">IF($C675="","",$N675+$Q675*$R675)</f>
        <v/>
      </c>
      <c r="K675" s="17" t="str">
        <f aca="false">IF($C675="","",$O675+$Q675*$S675)</f>
        <v/>
      </c>
      <c r="L675" s="17" t="str">
        <f aca="false">IF($C675="","",$J675-$K675-1-N($G675))</f>
        <v/>
      </c>
      <c r="M675" s="7" t="str">
        <f aca="false">IF($B675="","",INDEX(Course!$B$2:$B$19,MATCH($B675,Course!$A$2:$A$19,0)))</f>
        <v/>
      </c>
      <c r="N675" s="17" t="str">
        <f aca="false">IF($C675="","",IF($C675="H",0,IF($C675="G",INDEX(Baseline!$I$3:$I$102,MIN(MAX(ROUND($D675,0),1),100)),IF($C675="T",IF($M675=3,INDEX(Baseline!$B$3:$B$122,MATCH(MIN(MAX(ROUND(($D675)/5,0)*5,5),600),Baseline!$A$3:$A$122,0))-Inputs!$B$9,INDEX(Course!$N$2:$N$19,MATCH($B675,Course!$A$2:$A$19,0))),INDEX(Baseline!$B$3:$E$122,MATCH(MIN(MAX(ROUND(($D675)/5,0)*5,5),600),Baseline!$A$3:$A$122,0),MATCH($C675,Baseline!$B$2:$E$2,0))))))</f>
        <v/>
      </c>
      <c r="O675" s="17" t="str">
        <f aca="false">IF($C675="","",IF($E675="H",0,IF($E675="G",INDEX(Baseline!$I$3:$I$102,MIN(MAX(ROUND($F675,0),1),100)),IF($E675="T",IF($M675=3,INDEX(Baseline!$B$3:$B$122,MATCH(MIN(MAX(ROUND(($F675)/5,0)*5,5),600),Baseline!$A$3:$A$122,0))-Inputs!$B$9,INDEX(Course!$N$2:$N$19,MATCH($B675,Course!$A$2:$A$19,0))),INDEX(Baseline!$B$3:$E$122,MATCH(MIN(MAX(ROUND(($F675)/5,0)*5,5),600),Baseline!$A$3:$A$122,0),MATCH($E675,Baseline!$B$2:$E$2,0))))))</f>
        <v/>
      </c>
      <c r="P675" s="17" t="str">
        <f aca="false">IF($B675="","",INDEX(Course!$N$2:$N$19,MATCH($B675,Course!$A$2:$A$19,0)))</f>
        <v/>
      </c>
      <c r="Q675" s="17" t="str">
        <f aca="false">IF($B675="","",INDEX(Course!$P$2:$P$19,MATCH($B675,Course!$A$2:$A$19,0)))</f>
        <v/>
      </c>
      <c r="R675" s="17" t="str">
        <f aca="false">IF($C675="","",IF(OR($C675="G",$C675="H"),0,IF($C675="T",1,MIN(1,MAX(0,($N675-Inputs!$B$8)/MAX($P675-Inputs!$B$8,0.01))))))</f>
        <v/>
      </c>
      <c r="S675" s="17" t="str">
        <f aca="false">IF($C675="","",IF(OR($E675="G",$E675="H"),0,IF($E675="T",1,MIN(1,MAX(0,($O675-Inputs!$B$8)/MAX($P675-Inputs!$B$8,0.01))))))</f>
        <v/>
      </c>
    </row>
    <row r="676" customFormat="false" ht="15" hidden="false" customHeight="false" outlineLevel="0" collapsed="false">
      <c r="I676" s="7" t="str">
        <f aca="false">IF($C676="","",IF($C676="G","PUTT",IF(AND($C676="T",$M676&gt;3),"OTT",IF($D676&lt;=30,"ARG","APP"))))</f>
        <v/>
      </c>
      <c r="J676" s="17" t="str">
        <f aca="false">IF($C676="","",$N676+$Q676*$R676)</f>
        <v/>
      </c>
      <c r="K676" s="17" t="str">
        <f aca="false">IF($C676="","",$O676+$Q676*$S676)</f>
        <v/>
      </c>
      <c r="L676" s="17" t="str">
        <f aca="false">IF($C676="","",$J676-$K676-1-N($G676))</f>
        <v/>
      </c>
      <c r="M676" s="7" t="str">
        <f aca="false">IF($B676="","",INDEX(Course!$B$2:$B$19,MATCH($B676,Course!$A$2:$A$19,0)))</f>
        <v/>
      </c>
      <c r="N676" s="17" t="str">
        <f aca="false">IF($C676="","",IF($C676="H",0,IF($C676="G",INDEX(Baseline!$I$3:$I$102,MIN(MAX(ROUND($D676,0),1),100)),IF($C676="T",IF($M676=3,INDEX(Baseline!$B$3:$B$122,MATCH(MIN(MAX(ROUND(($D676)/5,0)*5,5),600),Baseline!$A$3:$A$122,0))-Inputs!$B$9,INDEX(Course!$N$2:$N$19,MATCH($B676,Course!$A$2:$A$19,0))),INDEX(Baseline!$B$3:$E$122,MATCH(MIN(MAX(ROUND(($D676)/5,0)*5,5),600),Baseline!$A$3:$A$122,0),MATCH($C676,Baseline!$B$2:$E$2,0))))))</f>
        <v/>
      </c>
      <c r="O676" s="17" t="str">
        <f aca="false">IF($C676="","",IF($E676="H",0,IF($E676="G",INDEX(Baseline!$I$3:$I$102,MIN(MAX(ROUND($F676,0),1),100)),IF($E676="T",IF($M676=3,INDEX(Baseline!$B$3:$B$122,MATCH(MIN(MAX(ROUND(($F676)/5,0)*5,5),600),Baseline!$A$3:$A$122,0))-Inputs!$B$9,INDEX(Course!$N$2:$N$19,MATCH($B676,Course!$A$2:$A$19,0))),INDEX(Baseline!$B$3:$E$122,MATCH(MIN(MAX(ROUND(($F676)/5,0)*5,5),600),Baseline!$A$3:$A$122,0),MATCH($E676,Baseline!$B$2:$E$2,0))))))</f>
        <v/>
      </c>
      <c r="P676" s="17" t="str">
        <f aca="false">IF($B676="","",INDEX(Course!$N$2:$N$19,MATCH($B676,Course!$A$2:$A$19,0)))</f>
        <v/>
      </c>
      <c r="Q676" s="17" t="str">
        <f aca="false">IF($B676="","",INDEX(Course!$P$2:$P$19,MATCH($B676,Course!$A$2:$A$19,0)))</f>
        <v/>
      </c>
      <c r="R676" s="17" t="str">
        <f aca="false">IF($C676="","",IF(OR($C676="G",$C676="H"),0,IF($C676="T",1,MIN(1,MAX(0,($N676-Inputs!$B$8)/MAX($P676-Inputs!$B$8,0.01))))))</f>
        <v/>
      </c>
      <c r="S676" s="17" t="str">
        <f aca="false">IF($C676="","",IF(OR($E676="G",$E676="H"),0,IF($E676="T",1,MIN(1,MAX(0,($O676-Inputs!$B$8)/MAX($P676-Inputs!$B$8,0.01))))))</f>
        <v/>
      </c>
    </row>
    <row r="677" customFormat="false" ht="15" hidden="false" customHeight="false" outlineLevel="0" collapsed="false">
      <c r="I677" s="7" t="str">
        <f aca="false">IF($C677="","",IF($C677="G","PUTT",IF(AND($C677="T",$M677&gt;3),"OTT",IF($D677&lt;=30,"ARG","APP"))))</f>
        <v/>
      </c>
      <c r="J677" s="17" t="str">
        <f aca="false">IF($C677="","",$N677+$Q677*$R677)</f>
        <v/>
      </c>
      <c r="K677" s="17" t="str">
        <f aca="false">IF($C677="","",$O677+$Q677*$S677)</f>
        <v/>
      </c>
      <c r="L677" s="17" t="str">
        <f aca="false">IF($C677="","",$J677-$K677-1-N($G677))</f>
        <v/>
      </c>
      <c r="M677" s="7" t="str">
        <f aca="false">IF($B677="","",INDEX(Course!$B$2:$B$19,MATCH($B677,Course!$A$2:$A$19,0)))</f>
        <v/>
      </c>
      <c r="N677" s="17" t="str">
        <f aca="false">IF($C677="","",IF($C677="H",0,IF($C677="G",INDEX(Baseline!$I$3:$I$102,MIN(MAX(ROUND($D677,0),1),100)),IF($C677="T",IF($M677=3,INDEX(Baseline!$B$3:$B$122,MATCH(MIN(MAX(ROUND(($D677)/5,0)*5,5),600),Baseline!$A$3:$A$122,0))-Inputs!$B$9,INDEX(Course!$N$2:$N$19,MATCH($B677,Course!$A$2:$A$19,0))),INDEX(Baseline!$B$3:$E$122,MATCH(MIN(MAX(ROUND(($D677)/5,0)*5,5),600),Baseline!$A$3:$A$122,0),MATCH($C677,Baseline!$B$2:$E$2,0))))))</f>
        <v/>
      </c>
      <c r="O677" s="17" t="str">
        <f aca="false">IF($C677="","",IF($E677="H",0,IF($E677="G",INDEX(Baseline!$I$3:$I$102,MIN(MAX(ROUND($F677,0),1),100)),IF($E677="T",IF($M677=3,INDEX(Baseline!$B$3:$B$122,MATCH(MIN(MAX(ROUND(($F677)/5,0)*5,5),600),Baseline!$A$3:$A$122,0))-Inputs!$B$9,INDEX(Course!$N$2:$N$19,MATCH($B677,Course!$A$2:$A$19,0))),INDEX(Baseline!$B$3:$E$122,MATCH(MIN(MAX(ROUND(($F677)/5,0)*5,5),600),Baseline!$A$3:$A$122,0),MATCH($E677,Baseline!$B$2:$E$2,0))))))</f>
        <v/>
      </c>
      <c r="P677" s="17" t="str">
        <f aca="false">IF($B677="","",INDEX(Course!$N$2:$N$19,MATCH($B677,Course!$A$2:$A$19,0)))</f>
        <v/>
      </c>
      <c r="Q677" s="17" t="str">
        <f aca="false">IF($B677="","",INDEX(Course!$P$2:$P$19,MATCH($B677,Course!$A$2:$A$19,0)))</f>
        <v/>
      </c>
      <c r="R677" s="17" t="str">
        <f aca="false">IF($C677="","",IF(OR($C677="G",$C677="H"),0,IF($C677="T",1,MIN(1,MAX(0,($N677-Inputs!$B$8)/MAX($P677-Inputs!$B$8,0.01))))))</f>
        <v/>
      </c>
      <c r="S677" s="17" t="str">
        <f aca="false">IF($C677="","",IF(OR($E677="G",$E677="H"),0,IF($E677="T",1,MIN(1,MAX(0,($O677-Inputs!$B$8)/MAX($P677-Inputs!$B$8,0.01))))))</f>
        <v/>
      </c>
    </row>
    <row r="678" customFormat="false" ht="15" hidden="false" customHeight="false" outlineLevel="0" collapsed="false">
      <c r="I678" s="7" t="str">
        <f aca="false">IF($C678="","",IF($C678="G","PUTT",IF(AND($C678="T",$M678&gt;3),"OTT",IF($D678&lt;=30,"ARG","APP"))))</f>
        <v/>
      </c>
      <c r="J678" s="17" t="str">
        <f aca="false">IF($C678="","",$N678+$Q678*$R678)</f>
        <v/>
      </c>
      <c r="K678" s="17" t="str">
        <f aca="false">IF($C678="","",$O678+$Q678*$S678)</f>
        <v/>
      </c>
      <c r="L678" s="17" t="str">
        <f aca="false">IF($C678="","",$J678-$K678-1-N($G678))</f>
        <v/>
      </c>
      <c r="M678" s="7" t="str">
        <f aca="false">IF($B678="","",INDEX(Course!$B$2:$B$19,MATCH($B678,Course!$A$2:$A$19,0)))</f>
        <v/>
      </c>
      <c r="N678" s="17" t="str">
        <f aca="false">IF($C678="","",IF($C678="H",0,IF($C678="G",INDEX(Baseline!$I$3:$I$102,MIN(MAX(ROUND($D678,0),1),100)),IF($C678="T",IF($M678=3,INDEX(Baseline!$B$3:$B$122,MATCH(MIN(MAX(ROUND(($D678)/5,0)*5,5),600),Baseline!$A$3:$A$122,0))-Inputs!$B$9,INDEX(Course!$N$2:$N$19,MATCH($B678,Course!$A$2:$A$19,0))),INDEX(Baseline!$B$3:$E$122,MATCH(MIN(MAX(ROUND(($D678)/5,0)*5,5),600),Baseline!$A$3:$A$122,0),MATCH($C678,Baseline!$B$2:$E$2,0))))))</f>
        <v/>
      </c>
      <c r="O678" s="17" t="str">
        <f aca="false">IF($C678="","",IF($E678="H",0,IF($E678="G",INDEX(Baseline!$I$3:$I$102,MIN(MAX(ROUND($F678,0),1),100)),IF($E678="T",IF($M678=3,INDEX(Baseline!$B$3:$B$122,MATCH(MIN(MAX(ROUND(($F678)/5,0)*5,5),600),Baseline!$A$3:$A$122,0))-Inputs!$B$9,INDEX(Course!$N$2:$N$19,MATCH($B678,Course!$A$2:$A$19,0))),INDEX(Baseline!$B$3:$E$122,MATCH(MIN(MAX(ROUND(($F678)/5,0)*5,5),600),Baseline!$A$3:$A$122,0),MATCH($E678,Baseline!$B$2:$E$2,0))))))</f>
        <v/>
      </c>
      <c r="P678" s="17" t="str">
        <f aca="false">IF($B678="","",INDEX(Course!$N$2:$N$19,MATCH($B678,Course!$A$2:$A$19,0)))</f>
        <v/>
      </c>
      <c r="Q678" s="17" t="str">
        <f aca="false">IF($B678="","",INDEX(Course!$P$2:$P$19,MATCH($B678,Course!$A$2:$A$19,0)))</f>
        <v/>
      </c>
      <c r="R678" s="17" t="str">
        <f aca="false">IF($C678="","",IF(OR($C678="G",$C678="H"),0,IF($C678="T",1,MIN(1,MAX(0,($N678-Inputs!$B$8)/MAX($P678-Inputs!$B$8,0.01))))))</f>
        <v/>
      </c>
      <c r="S678" s="17" t="str">
        <f aca="false">IF($C678="","",IF(OR($E678="G",$E678="H"),0,IF($E678="T",1,MIN(1,MAX(0,($O678-Inputs!$B$8)/MAX($P678-Inputs!$B$8,0.01))))))</f>
        <v/>
      </c>
    </row>
    <row r="679" customFormat="false" ht="15" hidden="false" customHeight="false" outlineLevel="0" collapsed="false">
      <c r="I679" s="7" t="str">
        <f aca="false">IF($C679="","",IF($C679="G","PUTT",IF(AND($C679="T",$M679&gt;3),"OTT",IF($D679&lt;=30,"ARG","APP"))))</f>
        <v/>
      </c>
      <c r="J679" s="17" t="str">
        <f aca="false">IF($C679="","",$N679+$Q679*$R679)</f>
        <v/>
      </c>
      <c r="K679" s="17" t="str">
        <f aca="false">IF($C679="","",$O679+$Q679*$S679)</f>
        <v/>
      </c>
      <c r="L679" s="17" t="str">
        <f aca="false">IF($C679="","",$J679-$K679-1-N($G679))</f>
        <v/>
      </c>
      <c r="M679" s="7" t="str">
        <f aca="false">IF($B679="","",INDEX(Course!$B$2:$B$19,MATCH($B679,Course!$A$2:$A$19,0)))</f>
        <v/>
      </c>
      <c r="N679" s="17" t="str">
        <f aca="false">IF($C679="","",IF($C679="H",0,IF($C679="G",INDEX(Baseline!$I$3:$I$102,MIN(MAX(ROUND($D679,0),1),100)),IF($C679="T",IF($M679=3,INDEX(Baseline!$B$3:$B$122,MATCH(MIN(MAX(ROUND(($D679)/5,0)*5,5),600),Baseline!$A$3:$A$122,0))-Inputs!$B$9,INDEX(Course!$N$2:$N$19,MATCH($B679,Course!$A$2:$A$19,0))),INDEX(Baseline!$B$3:$E$122,MATCH(MIN(MAX(ROUND(($D679)/5,0)*5,5),600),Baseline!$A$3:$A$122,0),MATCH($C679,Baseline!$B$2:$E$2,0))))))</f>
        <v/>
      </c>
      <c r="O679" s="17" t="str">
        <f aca="false">IF($C679="","",IF($E679="H",0,IF($E679="G",INDEX(Baseline!$I$3:$I$102,MIN(MAX(ROUND($F679,0),1),100)),IF($E679="T",IF($M679=3,INDEX(Baseline!$B$3:$B$122,MATCH(MIN(MAX(ROUND(($F679)/5,0)*5,5),600),Baseline!$A$3:$A$122,0))-Inputs!$B$9,INDEX(Course!$N$2:$N$19,MATCH($B679,Course!$A$2:$A$19,0))),INDEX(Baseline!$B$3:$E$122,MATCH(MIN(MAX(ROUND(($F679)/5,0)*5,5),600),Baseline!$A$3:$A$122,0),MATCH($E679,Baseline!$B$2:$E$2,0))))))</f>
        <v/>
      </c>
      <c r="P679" s="17" t="str">
        <f aca="false">IF($B679="","",INDEX(Course!$N$2:$N$19,MATCH($B679,Course!$A$2:$A$19,0)))</f>
        <v/>
      </c>
      <c r="Q679" s="17" t="str">
        <f aca="false">IF($B679="","",INDEX(Course!$P$2:$P$19,MATCH($B679,Course!$A$2:$A$19,0)))</f>
        <v/>
      </c>
      <c r="R679" s="17" t="str">
        <f aca="false">IF($C679="","",IF(OR($C679="G",$C679="H"),0,IF($C679="T",1,MIN(1,MAX(0,($N679-Inputs!$B$8)/MAX($P679-Inputs!$B$8,0.01))))))</f>
        <v/>
      </c>
      <c r="S679" s="17" t="str">
        <f aca="false">IF($C679="","",IF(OR($E679="G",$E679="H"),0,IF($E679="T",1,MIN(1,MAX(0,($O679-Inputs!$B$8)/MAX($P679-Inputs!$B$8,0.01))))))</f>
        <v/>
      </c>
    </row>
    <row r="680" customFormat="false" ht="15" hidden="false" customHeight="false" outlineLevel="0" collapsed="false">
      <c r="I680" s="7" t="str">
        <f aca="false">IF($C680="","",IF($C680="G","PUTT",IF(AND($C680="T",$M680&gt;3),"OTT",IF($D680&lt;=30,"ARG","APP"))))</f>
        <v/>
      </c>
      <c r="J680" s="17" t="str">
        <f aca="false">IF($C680="","",$N680+$Q680*$R680)</f>
        <v/>
      </c>
      <c r="K680" s="17" t="str">
        <f aca="false">IF($C680="","",$O680+$Q680*$S680)</f>
        <v/>
      </c>
      <c r="L680" s="17" t="str">
        <f aca="false">IF($C680="","",$J680-$K680-1-N($G680))</f>
        <v/>
      </c>
      <c r="M680" s="7" t="str">
        <f aca="false">IF($B680="","",INDEX(Course!$B$2:$B$19,MATCH($B680,Course!$A$2:$A$19,0)))</f>
        <v/>
      </c>
      <c r="N680" s="17" t="str">
        <f aca="false">IF($C680="","",IF($C680="H",0,IF($C680="G",INDEX(Baseline!$I$3:$I$102,MIN(MAX(ROUND($D680,0),1),100)),IF($C680="T",IF($M680=3,INDEX(Baseline!$B$3:$B$122,MATCH(MIN(MAX(ROUND(($D680)/5,0)*5,5),600),Baseline!$A$3:$A$122,0))-Inputs!$B$9,INDEX(Course!$N$2:$N$19,MATCH($B680,Course!$A$2:$A$19,0))),INDEX(Baseline!$B$3:$E$122,MATCH(MIN(MAX(ROUND(($D680)/5,0)*5,5),600),Baseline!$A$3:$A$122,0),MATCH($C680,Baseline!$B$2:$E$2,0))))))</f>
        <v/>
      </c>
      <c r="O680" s="17" t="str">
        <f aca="false">IF($C680="","",IF($E680="H",0,IF($E680="G",INDEX(Baseline!$I$3:$I$102,MIN(MAX(ROUND($F680,0),1),100)),IF($E680="T",IF($M680=3,INDEX(Baseline!$B$3:$B$122,MATCH(MIN(MAX(ROUND(($F680)/5,0)*5,5),600),Baseline!$A$3:$A$122,0))-Inputs!$B$9,INDEX(Course!$N$2:$N$19,MATCH($B680,Course!$A$2:$A$19,0))),INDEX(Baseline!$B$3:$E$122,MATCH(MIN(MAX(ROUND(($F680)/5,0)*5,5),600),Baseline!$A$3:$A$122,0),MATCH($E680,Baseline!$B$2:$E$2,0))))))</f>
        <v/>
      </c>
      <c r="P680" s="17" t="str">
        <f aca="false">IF($B680="","",INDEX(Course!$N$2:$N$19,MATCH($B680,Course!$A$2:$A$19,0)))</f>
        <v/>
      </c>
      <c r="Q680" s="17" t="str">
        <f aca="false">IF($B680="","",INDEX(Course!$P$2:$P$19,MATCH($B680,Course!$A$2:$A$19,0)))</f>
        <v/>
      </c>
      <c r="R680" s="17" t="str">
        <f aca="false">IF($C680="","",IF(OR($C680="G",$C680="H"),0,IF($C680="T",1,MIN(1,MAX(0,($N680-Inputs!$B$8)/MAX($P680-Inputs!$B$8,0.01))))))</f>
        <v/>
      </c>
      <c r="S680" s="17" t="str">
        <f aca="false">IF($C680="","",IF(OR($E680="G",$E680="H"),0,IF($E680="T",1,MIN(1,MAX(0,($O680-Inputs!$B$8)/MAX($P680-Inputs!$B$8,0.01))))))</f>
        <v/>
      </c>
    </row>
    <row r="681" customFormat="false" ht="15" hidden="false" customHeight="false" outlineLevel="0" collapsed="false">
      <c r="I681" s="7" t="str">
        <f aca="false">IF($C681="","",IF($C681="G","PUTT",IF(AND($C681="T",$M681&gt;3),"OTT",IF($D681&lt;=30,"ARG","APP"))))</f>
        <v/>
      </c>
      <c r="J681" s="17" t="str">
        <f aca="false">IF($C681="","",$N681+$Q681*$R681)</f>
        <v/>
      </c>
      <c r="K681" s="17" t="str">
        <f aca="false">IF($C681="","",$O681+$Q681*$S681)</f>
        <v/>
      </c>
      <c r="L681" s="17" t="str">
        <f aca="false">IF($C681="","",$J681-$K681-1-N($G681))</f>
        <v/>
      </c>
      <c r="M681" s="7" t="str">
        <f aca="false">IF($B681="","",INDEX(Course!$B$2:$B$19,MATCH($B681,Course!$A$2:$A$19,0)))</f>
        <v/>
      </c>
      <c r="N681" s="17" t="str">
        <f aca="false">IF($C681="","",IF($C681="H",0,IF($C681="G",INDEX(Baseline!$I$3:$I$102,MIN(MAX(ROUND($D681,0),1),100)),IF($C681="T",IF($M681=3,INDEX(Baseline!$B$3:$B$122,MATCH(MIN(MAX(ROUND(($D681)/5,0)*5,5),600),Baseline!$A$3:$A$122,0))-Inputs!$B$9,INDEX(Course!$N$2:$N$19,MATCH($B681,Course!$A$2:$A$19,0))),INDEX(Baseline!$B$3:$E$122,MATCH(MIN(MAX(ROUND(($D681)/5,0)*5,5),600),Baseline!$A$3:$A$122,0),MATCH($C681,Baseline!$B$2:$E$2,0))))))</f>
        <v/>
      </c>
      <c r="O681" s="17" t="str">
        <f aca="false">IF($C681="","",IF($E681="H",0,IF($E681="G",INDEX(Baseline!$I$3:$I$102,MIN(MAX(ROUND($F681,0),1),100)),IF($E681="T",IF($M681=3,INDEX(Baseline!$B$3:$B$122,MATCH(MIN(MAX(ROUND(($F681)/5,0)*5,5),600),Baseline!$A$3:$A$122,0))-Inputs!$B$9,INDEX(Course!$N$2:$N$19,MATCH($B681,Course!$A$2:$A$19,0))),INDEX(Baseline!$B$3:$E$122,MATCH(MIN(MAX(ROUND(($F681)/5,0)*5,5),600),Baseline!$A$3:$A$122,0),MATCH($E681,Baseline!$B$2:$E$2,0))))))</f>
        <v/>
      </c>
      <c r="P681" s="17" t="str">
        <f aca="false">IF($B681="","",INDEX(Course!$N$2:$N$19,MATCH($B681,Course!$A$2:$A$19,0)))</f>
        <v/>
      </c>
      <c r="Q681" s="17" t="str">
        <f aca="false">IF($B681="","",INDEX(Course!$P$2:$P$19,MATCH($B681,Course!$A$2:$A$19,0)))</f>
        <v/>
      </c>
      <c r="R681" s="17" t="str">
        <f aca="false">IF($C681="","",IF(OR($C681="G",$C681="H"),0,IF($C681="T",1,MIN(1,MAX(0,($N681-Inputs!$B$8)/MAX($P681-Inputs!$B$8,0.01))))))</f>
        <v/>
      </c>
      <c r="S681" s="17" t="str">
        <f aca="false">IF($C681="","",IF(OR($E681="G",$E681="H"),0,IF($E681="T",1,MIN(1,MAX(0,($O681-Inputs!$B$8)/MAX($P681-Inputs!$B$8,0.01))))))</f>
        <v/>
      </c>
    </row>
    <row r="682" customFormat="false" ht="15" hidden="false" customHeight="false" outlineLevel="0" collapsed="false">
      <c r="I682" s="7" t="str">
        <f aca="false">IF($C682="","",IF($C682="G","PUTT",IF(AND($C682="T",$M682&gt;3),"OTT",IF($D682&lt;=30,"ARG","APP"))))</f>
        <v/>
      </c>
      <c r="J682" s="17" t="str">
        <f aca="false">IF($C682="","",$N682+$Q682*$R682)</f>
        <v/>
      </c>
      <c r="K682" s="17" t="str">
        <f aca="false">IF($C682="","",$O682+$Q682*$S682)</f>
        <v/>
      </c>
      <c r="L682" s="17" t="str">
        <f aca="false">IF($C682="","",$J682-$K682-1-N($G682))</f>
        <v/>
      </c>
      <c r="M682" s="7" t="str">
        <f aca="false">IF($B682="","",INDEX(Course!$B$2:$B$19,MATCH($B682,Course!$A$2:$A$19,0)))</f>
        <v/>
      </c>
      <c r="N682" s="17" t="str">
        <f aca="false">IF($C682="","",IF($C682="H",0,IF($C682="G",INDEX(Baseline!$I$3:$I$102,MIN(MAX(ROUND($D682,0),1),100)),IF($C682="T",IF($M682=3,INDEX(Baseline!$B$3:$B$122,MATCH(MIN(MAX(ROUND(($D682)/5,0)*5,5),600),Baseline!$A$3:$A$122,0))-Inputs!$B$9,INDEX(Course!$N$2:$N$19,MATCH($B682,Course!$A$2:$A$19,0))),INDEX(Baseline!$B$3:$E$122,MATCH(MIN(MAX(ROUND(($D682)/5,0)*5,5),600),Baseline!$A$3:$A$122,0),MATCH($C682,Baseline!$B$2:$E$2,0))))))</f>
        <v/>
      </c>
      <c r="O682" s="17" t="str">
        <f aca="false">IF($C682="","",IF($E682="H",0,IF($E682="G",INDEX(Baseline!$I$3:$I$102,MIN(MAX(ROUND($F682,0),1),100)),IF($E682="T",IF($M682=3,INDEX(Baseline!$B$3:$B$122,MATCH(MIN(MAX(ROUND(($F682)/5,0)*5,5),600),Baseline!$A$3:$A$122,0))-Inputs!$B$9,INDEX(Course!$N$2:$N$19,MATCH($B682,Course!$A$2:$A$19,0))),INDEX(Baseline!$B$3:$E$122,MATCH(MIN(MAX(ROUND(($F682)/5,0)*5,5),600),Baseline!$A$3:$A$122,0),MATCH($E682,Baseline!$B$2:$E$2,0))))))</f>
        <v/>
      </c>
      <c r="P682" s="17" t="str">
        <f aca="false">IF($B682="","",INDEX(Course!$N$2:$N$19,MATCH($B682,Course!$A$2:$A$19,0)))</f>
        <v/>
      </c>
      <c r="Q682" s="17" t="str">
        <f aca="false">IF($B682="","",INDEX(Course!$P$2:$P$19,MATCH($B682,Course!$A$2:$A$19,0)))</f>
        <v/>
      </c>
      <c r="R682" s="17" t="str">
        <f aca="false">IF($C682="","",IF(OR($C682="G",$C682="H"),0,IF($C682="T",1,MIN(1,MAX(0,($N682-Inputs!$B$8)/MAX($P682-Inputs!$B$8,0.01))))))</f>
        <v/>
      </c>
      <c r="S682" s="17" t="str">
        <f aca="false">IF($C682="","",IF(OR($E682="G",$E682="H"),0,IF($E682="T",1,MIN(1,MAX(0,($O682-Inputs!$B$8)/MAX($P682-Inputs!$B$8,0.01))))))</f>
        <v/>
      </c>
    </row>
    <row r="683" customFormat="false" ht="15" hidden="false" customHeight="false" outlineLevel="0" collapsed="false">
      <c r="I683" s="7" t="str">
        <f aca="false">IF($C683="","",IF($C683="G","PUTT",IF(AND($C683="T",$M683&gt;3),"OTT",IF($D683&lt;=30,"ARG","APP"))))</f>
        <v/>
      </c>
      <c r="J683" s="17" t="str">
        <f aca="false">IF($C683="","",$N683+$Q683*$R683)</f>
        <v/>
      </c>
      <c r="K683" s="17" t="str">
        <f aca="false">IF($C683="","",$O683+$Q683*$S683)</f>
        <v/>
      </c>
      <c r="L683" s="17" t="str">
        <f aca="false">IF($C683="","",$J683-$K683-1-N($G683))</f>
        <v/>
      </c>
      <c r="M683" s="7" t="str">
        <f aca="false">IF($B683="","",INDEX(Course!$B$2:$B$19,MATCH($B683,Course!$A$2:$A$19,0)))</f>
        <v/>
      </c>
      <c r="N683" s="17" t="str">
        <f aca="false">IF($C683="","",IF($C683="H",0,IF($C683="G",INDEX(Baseline!$I$3:$I$102,MIN(MAX(ROUND($D683,0),1),100)),IF($C683="T",IF($M683=3,INDEX(Baseline!$B$3:$B$122,MATCH(MIN(MAX(ROUND(($D683)/5,0)*5,5),600),Baseline!$A$3:$A$122,0))-Inputs!$B$9,INDEX(Course!$N$2:$N$19,MATCH($B683,Course!$A$2:$A$19,0))),INDEX(Baseline!$B$3:$E$122,MATCH(MIN(MAX(ROUND(($D683)/5,0)*5,5),600),Baseline!$A$3:$A$122,0),MATCH($C683,Baseline!$B$2:$E$2,0))))))</f>
        <v/>
      </c>
      <c r="O683" s="17" t="str">
        <f aca="false">IF($C683="","",IF($E683="H",0,IF($E683="G",INDEX(Baseline!$I$3:$I$102,MIN(MAX(ROUND($F683,0),1),100)),IF($E683="T",IF($M683=3,INDEX(Baseline!$B$3:$B$122,MATCH(MIN(MAX(ROUND(($F683)/5,0)*5,5),600),Baseline!$A$3:$A$122,0))-Inputs!$B$9,INDEX(Course!$N$2:$N$19,MATCH($B683,Course!$A$2:$A$19,0))),INDEX(Baseline!$B$3:$E$122,MATCH(MIN(MAX(ROUND(($F683)/5,0)*5,5),600),Baseline!$A$3:$A$122,0),MATCH($E683,Baseline!$B$2:$E$2,0))))))</f>
        <v/>
      </c>
      <c r="P683" s="17" t="str">
        <f aca="false">IF($B683="","",INDEX(Course!$N$2:$N$19,MATCH($B683,Course!$A$2:$A$19,0)))</f>
        <v/>
      </c>
      <c r="Q683" s="17" t="str">
        <f aca="false">IF($B683="","",INDEX(Course!$P$2:$P$19,MATCH($B683,Course!$A$2:$A$19,0)))</f>
        <v/>
      </c>
      <c r="R683" s="17" t="str">
        <f aca="false">IF($C683="","",IF(OR($C683="G",$C683="H"),0,IF($C683="T",1,MIN(1,MAX(0,($N683-Inputs!$B$8)/MAX($P683-Inputs!$B$8,0.01))))))</f>
        <v/>
      </c>
      <c r="S683" s="17" t="str">
        <f aca="false">IF($C683="","",IF(OR($E683="G",$E683="H"),0,IF($E683="T",1,MIN(1,MAX(0,($O683-Inputs!$B$8)/MAX($P683-Inputs!$B$8,0.01))))))</f>
        <v/>
      </c>
    </row>
    <row r="684" customFormat="false" ht="15" hidden="false" customHeight="false" outlineLevel="0" collapsed="false">
      <c r="I684" s="7" t="str">
        <f aca="false">IF($C684="","",IF($C684="G","PUTT",IF(AND($C684="T",$M684&gt;3),"OTT",IF($D684&lt;=30,"ARG","APP"))))</f>
        <v/>
      </c>
      <c r="J684" s="17" t="str">
        <f aca="false">IF($C684="","",$N684+$Q684*$R684)</f>
        <v/>
      </c>
      <c r="K684" s="17" t="str">
        <f aca="false">IF($C684="","",$O684+$Q684*$S684)</f>
        <v/>
      </c>
      <c r="L684" s="17" t="str">
        <f aca="false">IF($C684="","",$J684-$K684-1-N($G684))</f>
        <v/>
      </c>
      <c r="M684" s="7" t="str">
        <f aca="false">IF($B684="","",INDEX(Course!$B$2:$B$19,MATCH($B684,Course!$A$2:$A$19,0)))</f>
        <v/>
      </c>
      <c r="N684" s="17" t="str">
        <f aca="false">IF($C684="","",IF($C684="H",0,IF($C684="G",INDEX(Baseline!$I$3:$I$102,MIN(MAX(ROUND($D684,0),1),100)),IF($C684="T",IF($M684=3,INDEX(Baseline!$B$3:$B$122,MATCH(MIN(MAX(ROUND(($D684)/5,0)*5,5),600),Baseline!$A$3:$A$122,0))-Inputs!$B$9,INDEX(Course!$N$2:$N$19,MATCH($B684,Course!$A$2:$A$19,0))),INDEX(Baseline!$B$3:$E$122,MATCH(MIN(MAX(ROUND(($D684)/5,0)*5,5),600),Baseline!$A$3:$A$122,0),MATCH($C684,Baseline!$B$2:$E$2,0))))))</f>
        <v/>
      </c>
      <c r="O684" s="17" t="str">
        <f aca="false">IF($C684="","",IF($E684="H",0,IF($E684="G",INDEX(Baseline!$I$3:$I$102,MIN(MAX(ROUND($F684,0),1),100)),IF($E684="T",IF($M684=3,INDEX(Baseline!$B$3:$B$122,MATCH(MIN(MAX(ROUND(($F684)/5,0)*5,5),600),Baseline!$A$3:$A$122,0))-Inputs!$B$9,INDEX(Course!$N$2:$N$19,MATCH($B684,Course!$A$2:$A$19,0))),INDEX(Baseline!$B$3:$E$122,MATCH(MIN(MAX(ROUND(($F684)/5,0)*5,5),600),Baseline!$A$3:$A$122,0),MATCH($E684,Baseline!$B$2:$E$2,0))))))</f>
        <v/>
      </c>
      <c r="P684" s="17" t="str">
        <f aca="false">IF($B684="","",INDEX(Course!$N$2:$N$19,MATCH($B684,Course!$A$2:$A$19,0)))</f>
        <v/>
      </c>
      <c r="Q684" s="17" t="str">
        <f aca="false">IF($B684="","",INDEX(Course!$P$2:$P$19,MATCH($B684,Course!$A$2:$A$19,0)))</f>
        <v/>
      </c>
      <c r="R684" s="17" t="str">
        <f aca="false">IF($C684="","",IF(OR($C684="G",$C684="H"),0,IF($C684="T",1,MIN(1,MAX(0,($N684-Inputs!$B$8)/MAX($P684-Inputs!$B$8,0.01))))))</f>
        <v/>
      </c>
      <c r="S684" s="17" t="str">
        <f aca="false">IF($C684="","",IF(OR($E684="G",$E684="H"),0,IF($E684="T",1,MIN(1,MAX(0,($O684-Inputs!$B$8)/MAX($P684-Inputs!$B$8,0.01))))))</f>
        <v/>
      </c>
    </row>
    <row r="685" customFormat="false" ht="15" hidden="false" customHeight="false" outlineLevel="0" collapsed="false">
      <c r="I685" s="7" t="str">
        <f aca="false">IF($C685="","",IF($C685="G","PUTT",IF(AND($C685="T",$M685&gt;3),"OTT",IF($D685&lt;=30,"ARG","APP"))))</f>
        <v/>
      </c>
      <c r="J685" s="17" t="str">
        <f aca="false">IF($C685="","",$N685+$Q685*$R685)</f>
        <v/>
      </c>
      <c r="K685" s="17" t="str">
        <f aca="false">IF($C685="","",$O685+$Q685*$S685)</f>
        <v/>
      </c>
      <c r="L685" s="17" t="str">
        <f aca="false">IF($C685="","",$J685-$K685-1-N($G685))</f>
        <v/>
      </c>
      <c r="M685" s="7" t="str">
        <f aca="false">IF($B685="","",INDEX(Course!$B$2:$B$19,MATCH($B685,Course!$A$2:$A$19,0)))</f>
        <v/>
      </c>
      <c r="N685" s="17" t="str">
        <f aca="false">IF($C685="","",IF($C685="H",0,IF($C685="G",INDEX(Baseline!$I$3:$I$102,MIN(MAX(ROUND($D685,0),1),100)),IF($C685="T",IF($M685=3,INDEX(Baseline!$B$3:$B$122,MATCH(MIN(MAX(ROUND(($D685)/5,0)*5,5),600),Baseline!$A$3:$A$122,0))-Inputs!$B$9,INDEX(Course!$N$2:$N$19,MATCH($B685,Course!$A$2:$A$19,0))),INDEX(Baseline!$B$3:$E$122,MATCH(MIN(MAX(ROUND(($D685)/5,0)*5,5),600),Baseline!$A$3:$A$122,0),MATCH($C685,Baseline!$B$2:$E$2,0))))))</f>
        <v/>
      </c>
      <c r="O685" s="17" t="str">
        <f aca="false">IF($C685="","",IF($E685="H",0,IF($E685="G",INDEX(Baseline!$I$3:$I$102,MIN(MAX(ROUND($F685,0),1),100)),IF($E685="T",IF($M685=3,INDEX(Baseline!$B$3:$B$122,MATCH(MIN(MAX(ROUND(($F685)/5,0)*5,5),600),Baseline!$A$3:$A$122,0))-Inputs!$B$9,INDEX(Course!$N$2:$N$19,MATCH($B685,Course!$A$2:$A$19,0))),INDEX(Baseline!$B$3:$E$122,MATCH(MIN(MAX(ROUND(($F685)/5,0)*5,5),600),Baseline!$A$3:$A$122,0),MATCH($E685,Baseline!$B$2:$E$2,0))))))</f>
        <v/>
      </c>
      <c r="P685" s="17" t="str">
        <f aca="false">IF($B685="","",INDEX(Course!$N$2:$N$19,MATCH($B685,Course!$A$2:$A$19,0)))</f>
        <v/>
      </c>
      <c r="Q685" s="17" t="str">
        <f aca="false">IF($B685="","",INDEX(Course!$P$2:$P$19,MATCH($B685,Course!$A$2:$A$19,0)))</f>
        <v/>
      </c>
      <c r="R685" s="17" t="str">
        <f aca="false">IF($C685="","",IF(OR($C685="G",$C685="H"),0,IF($C685="T",1,MIN(1,MAX(0,($N685-Inputs!$B$8)/MAX($P685-Inputs!$B$8,0.01))))))</f>
        <v/>
      </c>
      <c r="S685" s="17" t="str">
        <f aca="false">IF($C685="","",IF(OR($E685="G",$E685="H"),0,IF($E685="T",1,MIN(1,MAX(0,($O685-Inputs!$B$8)/MAX($P685-Inputs!$B$8,0.01))))))</f>
        <v/>
      </c>
    </row>
    <row r="686" customFormat="false" ht="15" hidden="false" customHeight="false" outlineLevel="0" collapsed="false">
      <c r="I686" s="7" t="str">
        <f aca="false">IF($C686="","",IF($C686="G","PUTT",IF(AND($C686="T",$M686&gt;3),"OTT",IF($D686&lt;=30,"ARG","APP"))))</f>
        <v/>
      </c>
      <c r="J686" s="17" t="str">
        <f aca="false">IF($C686="","",$N686+$Q686*$R686)</f>
        <v/>
      </c>
      <c r="K686" s="17" t="str">
        <f aca="false">IF($C686="","",$O686+$Q686*$S686)</f>
        <v/>
      </c>
      <c r="L686" s="17" t="str">
        <f aca="false">IF($C686="","",$J686-$K686-1-N($G686))</f>
        <v/>
      </c>
      <c r="M686" s="7" t="str">
        <f aca="false">IF($B686="","",INDEX(Course!$B$2:$B$19,MATCH($B686,Course!$A$2:$A$19,0)))</f>
        <v/>
      </c>
      <c r="N686" s="17" t="str">
        <f aca="false">IF($C686="","",IF($C686="H",0,IF($C686="G",INDEX(Baseline!$I$3:$I$102,MIN(MAX(ROUND($D686,0),1),100)),IF($C686="T",IF($M686=3,INDEX(Baseline!$B$3:$B$122,MATCH(MIN(MAX(ROUND(($D686)/5,0)*5,5),600),Baseline!$A$3:$A$122,0))-Inputs!$B$9,INDEX(Course!$N$2:$N$19,MATCH($B686,Course!$A$2:$A$19,0))),INDEX(Baseline!$B$3:$E$122,MATCH(MIN(MAX(ROUND(($D686)/5,0)*5,5),600),Baseline!$A$3:$A$122,0),MATCH($C686,Baseline!$B$2:$E$2,0))))))</f>
        <v/>
      </c>
      <c r="O686" s="17" t="str">
        <f aca="false">IF($C686="","",IF($E686="H",0,IF($E686="G",INDEX(Baseline!$I$3:$I$102,MIN(MAX(ROUND($F686,0),1),100)),IF($E686="T",IF($M686=3,INDEX(Baseline!$B$3:$B$122,MATCH(MIN(MAX(ROUND(($F686)/5,0)*5,5),600),Baseline!$A$3:$A$122,0))-Inputs!$B$9,INDEX(Course!$N$2:$N$19,MATCH($B686,Course!$A$2:$A$19,0))),INDEX(Baseline!$B$3:$E$122,MATCH(MIN(MAX(ROUND(($F686)/5,0)*5,5),600),Baseline!$A$3:$A$122,0),MATCH($E686,Baseline!$B$2:$E$2,0))))))</f>
        <v/>
      </c>
      <c r="P686" s="17" t="str">
        <f aca="false">IF($B686="","",INDEX(Course!$N$2:$N$19,MATCH($B686,Course!$A$2:$A$19,0)))</f>
        <v/>
      </c>
      <c r="Q686" s="17" t="str">
        <f aca="false">IF($B686="","",INDEX(Course!$P$2:$P$19,MATCH($B686,Course!$A$2:$A$19,0)))</f>
        <v/>
      </c>
      <c r="R686" s="17" t="str">
        <f aca="false">IF($C686="","",IF(OR($C686="G",$C686="H"),0,IF($C686="T",1,MIN(1,MAX(0,($N686-Inputs!$B$8)/MAX($P686-Inputs!$B$8,0.01))))))</f>
        <v/>
      </c>
      <c r="S686" s="17" t="str">
        <f aca="false">IF($C686="","",IF(OR($E686="G",$E686="H"),0,IF($E686="T",1,MIN(1,MAX(0,($O686-Inputs!$B$8)/MAX($P686-Inputs!$B$8,0.01))))))</f>
        <v/>
      </c>
    </row>
    <row r="687" customFormat="false" ht="15" hidden="false" customHeight="false" outlineLevel="0" collapsed="false">
      <c r="I687" s="7" t="str">
        <f aca="false">IF($C687="","",IF($C687="G","PUTT",IF(AND($C687="T",$M687&gt;3),"OTT",IF($D687&lt;=30,"ARG","APP"))))</f>
        <v/>
      </c>
      <c r="J687" s="17" t="str">
        <f aca="false">IF($C687="","",$N687+$Q687*$R687)</f>
        <v/>
      </c>
      <c r="K687" s="17" t="str">
        <f aca="false">IF($C687="","",$O687+$Q687*$S687)</f>
        <v/>
      </c>
      <c r="L687" s="17" t="str">
        <f aca="false">IF($C687="","",$J687-$K687-1-N($G687))</f>
        <v/>
      </c>
      <c r="M687" s="7" t="str">
        <f aca="false">IF($B687="","",INDEX(Course!$B$2:$B$19,MATCH($B687,Course!$A$2:$A$19,0)))</f>
        <v/>
      </c>
      <c r="N687" s="17" t="str">
        <f aca="false">IF($C687="","",IF($C687="H",0,IF($C687="G",INDEX(Baseline!$I$3:$I$102,MIN(MAX(ROUND($D687,0),1),100)),IF($C687="T",IF($M687=3,INDEX(Baseline!$B$3:$B$122,MATCH(MIN(MAX(ROUND(($D687)/5,0)*5,5),600),Baseline!$A$3:$A$122,0))-Inputs!$B$9,INDEX(Course!$N$2:$N$19,MATCH($B687,Course!$A$2:$A$19,0))),INDEX(Baseline!$B$3:$E$122,MATCH(MIN(MAX(ROUND(($D687)/5,0)*5,5),600),Baseline!$A$3:$A$122,0),MATCH($C687,Baseline!$B$2:$E$2,0))))))</f>
        <v/>
      </c>
      <c r="O687" s="17" t="str">
        <f aca="false">IF($C687="","",IF($E687="H",0,IF($E687="G",INDEX(Baseline!$I$3:$I$102,MIN(MAX(ROUND($F687,0),1),100)),IF($E687="T",IF($M687=3,INDEX(Baseline!$B$3:$B$122,MATCH(MIN(MAX(ROUND(($F687)/5,0)*5,5),600),Baseline!$A$3:$A$122,0))-Inputs!$B$9,INDEX(Course!$N$2:$N$19,MATCH($B687,Course!$A$2:$A$19,0))),INDEX(Baseline!$B$3:$E$122,MATCH(MIN(MAX(ROUND(($F687)/5,0)*5,5),600),Baseline!$A$3:$A$122,0),MATCH($E687,Baseline!$B$2:$E$2,0))))))</f>
        <v/>
      </c>
      <c r="P687" s="17" t="str">
        <f aca="false">IF($B687="","",INDEX(Course!$N$2:$N$19,MATCH($B687,Course!$A$2:$A$19,0)))</f>
        <v/>
      </c>
      <c r="Q687" s="17" t="str">
        <f aca="false">IF($B687="","",INDEX(Course!$P$2:$P$19,MATCH($B687,Course!$A$2:$A$19,0)))</f>
        <v/>
      </c>
      <c r="R687" s="17" t="str">
        <f aca="false">IF($C687="","",IF(OR($C687="G",$C687="H"),0,IF($C687="T",1,MIN(1,MAX(0,($N687-Inputs!$B$8)/MAX($P687-Inputs!$B$8,0.01))))))</f>
        <v/>
      </c>
      <c r="S687" s="17" t="str">
        <f aca="false">IF($C687="","",IF(OR($E687="G",$E687="H"),0,IF($E687="T",1,MIN(1,MAX(0,($O687-Inputs!$B$8)/MAX($P687-Inputs!$B$8,0.01))))))</f>
        <v/>
      </c>
    </row>
    <row r="688" customFormat="false" ht="15" hidden="false" customHeight="false" outlineLevel="0" collapsed="false">
      <c r="I688" s="7" t="str">
        <f aca="false">IF($C688="","",IF($C688="G","PUTT",IF(AND($C688="T",$M688&gt;3),"OTT",IF($D688&lt;=30,"ARG","APP"))))</f>
        <v/>
      </c>
      <c r="J688" s="17" t="str">
        <f aca="false">IF($C688="","",$N688+$Q688*$R688)</f>
        <v/>
      </c>
      <c r="K688" s="17" t="str">
        <f aca="false">IF($C688="","",$O688+$Q688*$S688)</f>
        <v/>
      </c>
      <c r="L688" s="17" t="str">
        <f aca="false">IF($C688="","",$J688-$K688-1-N($G688))</f>
        <v/>
      </c>
      <c r="M688" s="7" t="str">
        <f aca="false">IF($B688="","",INDEX(Course!$B$2:$B$19,MATCH($B688,Course!$A$2:$A$19,0)))</f>
        <v/>
      </c>
      <c r="N688" s="17" t="str">
        <f aca="false">IF($C688="","",IF($C688="H",0,IF($C688="G",INDEX(Baseline!$I$3:$I$102,MIN(MAX(ROUND($D688,0),1),100)),IF($C688="T",IF($M688=3,INDEX(Baseline!$B$3:$B$122,MATCH(MIN(MAX(ROUND(($D688)/5,0)*5,5),600),Baseline!$A$3:$A$122,0))-Inputs!$B$9,INDEX(Course!$N$2:$N$19,MATCH($B688,Course!$A$2:$A$19,0))),INDEX(Baseline!$B$3:$E$122,MATCH(MIN(MAX(ROUND(($D688)/5,0)*5,5),600),Baseline!$A$3:$A$122,0),MATCH($C688,Baseline!$B$2:$E$2,0))))))</f>
        <v/>
      </c>
      <c r="O688" s="17" t="str">
        <f aca="false">IF($C688="","",IF($E688="H",0,IF($E688="G",INDEX(Baseline!$I$3:$I$102,MIN(MAX(ROUND($F688,0),1),100)),IF($E688="T",IF($M688=3,INDEX(Baseline!$B$3:$B$122,MATCH(MIN(MAX(ROUND(($F688)/5,0)*5,5),600),Baseline!$A$3:$A$122,0))-Inputs!$B$9,INDEX(Course!$N$2:$N$19,MATCH($B688,Course!$A$2:$A$19,0))),INDEX(Baseline!$B$3:$E$122,MATCH(MIN(MAX(ROUND(($F688)/5,0)*5,5),600),Baseline!$A$3:$A$122,0),MATCH($E688,Baseline!$B$2:$E$2,0))))))</f>
        <v/>
      </c>
      <c r="P688" s="17" t="str">
        <f aca="false">IF($B688="","",INDEX(Course!$N$2:$N$19,MATCH($B688,Course!$A$2:$A$19,0)))</f>
        <v/>
      </c>
      <c r="Q688" s="17" t="str">
        <f aca="false">IF($B688="","",INDEX(Course!$P$2:$P$19,MATCH($B688,Course!$A$2:$A$19,0)))</f>
        <v/>
      </c>
      <c r="R688" s="17" t="str">
        <f aca="false">IF($C688="","",IF(OR($C688="G",$C688="H"),0,IF($C688="T",1,MIN(1,MAX(0,($N688-Inputs!$B$8)/MAX($P688-Inputs!$B$8,0.01))))))</f>
        <v/>
      </c>
      <c r="S688" s="17" t="str">
        <f aca="false">IF($C688="","",IF(OR($E688="G",$E688="H"),0,IF($E688="T",1,MIN(1,MAX(0,($O688-Inputs!$B$8)/MAX($P688-Inputs!$B$8,0.01))))))</f>
        <v/>
      </c>
    </row>
    <row r="689" customFormat="false" ht="15" hidden="false" customHeight="false" outlineLevel="0" collapsed="false">
      <c r="I689" s="7" t="str">
        <f aca="false">IF($C689="","",IF($C689="G","PUTT",IF(AND($C689="T",$M689&gt;3),"OTT",IF($D689&lt;=30,"ARG","APP"))))</f>
        <v/>
      </c>
      <c r="J689" s="17" t="str">
        <f aca="false">IF($C689="","",$N689+$Q689*$R689)</f>
        <v/>
      </c>
      <c r="K689" s="17" t="str">
        <f aca="false">IF($C689="","",$O689+$Q689*$S689)</f>
        <v/>
      </c>
      <c r="L689" s="17" t="str">
        <f aca="false">IF($C689="","",$J689-$K689-1-N($G689))</f>
        <v/>
      </c>
      <c r="M689" s="7" t="str">
        <f aca="false">IF($B689="","",INDEX(Course!$B$2:$B$19,MATCH($B689,Course!$A$2:$A$19,0)))</f>
        <v/>
      </c>
      <c r="N689" s="17" t="str">
        <f aca="false">IF($C689="","",IF($C689="H",0,IF($C689="G",INDEX(Baseline!$I$3:$I$102,MIN(MAX(ROUND($D689,0),1),100)),IF($C689="T",IF($M689=3,INDEX(Baseline!$B$3:$B$122,MATCH(MIN(MAX(ROUND(($D689)/5,0)*5,5),600),Baseline!$A$3:$A$122,0))-Inputs!$B$9,INDEX(Course!$N$2:$N$19,MATCH($B689,Course!$A$2:$A$19,0))),INDEX(Baseline!$B$3:$E$122,MATCH(MIN(MAX(ROUND(($D689)/5,0)*5,5),600),Baseline!$A$3:$A$122,0),MATCH($C689,Baseline!$B$2:$E$2,0))))))</f>
        <v/>
      </c>
      <c r="O689" s="17" t="str">
        <f aca="false">IF($C689="","",IF($E689="H",0,IF($E689="G",INDEX(Baseline!$I$3:$I$102,MIN(MAX(ROUND($F689,0),1),100)),IF($E689="T",IF($M689=3,INDEX(Baseline!$B$3:$B$122,MATCH(MIN(MAX(ROUND(($F689)/5,0)*5,5),600),Baseline!$A$3:$A$122,0))-Inputs!$B$9,INDEX(Course!$N$2:$N$19,MATCH($B689,Course!$A$2:$A$19,0))),INDEX(Baseline!$B$3:$E$122,MATCH(MIN(MAX(ROUND(($F689)/5,0)*5,5),600),Baseline!$A$3:$A$122,0),MATCH($E689,Baseline!$B$2:$E$2,0))))))</f>
        <v/>
      </c>
      <c r="P689" s="17" t="str">
        <f aca="false">IF($B689="","",INDEX(Course!$N$2:$N$19,MATCH($B689,Course!$A$2:$A$19,0)))</f>
        <v/>
      </c>
      <c r="Q689" s="17" t="str">
        <f aca="false">IF($B689="","",INDEX(Course!$P$2:$P$19,MATCH($B689,Course!$A$2:$A$19,0)))</f>
        <v/>
      </c>
      <c r="R689" s="17" t="str">
        <f aca="false">IF($C689="","",IF(OR($C689="G",$C689="H"),0,IF($C689="T",1,MIN(1,MAX(0,($N689-Inputs!$B$8)/MAX($P689-Inputs!$B$8,0.01))))))</f>
        <v/>
      </c>
      <c r="S689" s="17" t="str">
        <f aca="false">IF($C689="","",IF(OR($E689="G",$E689="H"),0,IF($E689="T",1,MIN(1,MAX(0,($O689-Inputs!$B$8)/MAX($P689-Inputs!$B$8,0.01))))))</f>
        <v/>
      </c>
    </row>
    <row r="690" customFormat="false" ht="15" hidden="false" customHeight="false" outlineLevel="0" collapsed="false">
      <c r="I690" s="7" t="str">
        <f aca="false">IF($C690="","",IF($C690="G","PUTT",IF(AND($C690="T",$M690&gt;3),"OTT",IF($D690&lt;=30,"ARG","APP"))))</f>
        <v/>
      </c>
      <c r="J690" s="17" t="str">
        <f aca="false">IF($C690="","",$N690+$Q690*$R690)</f>
        <v/>
      </c>
      <c r="K690" s="17" t="str">
        <f aca="false">IF($C690="","",$O690+$Q690*$S690)</f>
        <v/>
      </c>
      <c r="L690" s="17" t="str">
        <f aca="false">IF($C690="","",$J690-$K690-1-N($G690))</f>
        <v/>
      </c>
      <c r="M690" s="7" t="str">
        <f aca="false">IF($B690="","",INDEX(Course!$B$2:$B$19,MATCH($B690,Course!$A$2:$A$19,0)))</f>
        <v/>
      </c>
      <c r="N690" s="17" t="str">
        <f aca="false">IF($C690="","",IF($C690="H",0,IF($C690="G",INDEX(Baseline!$I$3:$I$102,MIN(MAX(ROUND($D690,0),1),100)),IF($C690="T",IF($M690=3,INDEX(Baseline!$B$3:$B$122,MATCH(MIN(MAX(ROUND(($D690)/5,0)*5,5),600),Baseline!$A$3:$A$122,0))-Inputs!$B$9,INDEX(Course!$N$2:$N$19,MATCH($B690,Course!$A$2:$A$19,0))),INDEX(Baseline!$B$3:$E$122,MATCH(MIN(MAX(ROUND(($D690)/5,0)*5,5),600),Baseline!$A$3:$A$122,0),MATCH($C690,Baseline!$B$2:$E$2,0))))))</f>
        <v/>
      </c>
      <c r="O690" s="17" t="str">
        <f aca="false">IF($C690="","",IF($E690="H",0,IF($E690="G",INDEX(Baseline!$I$3:$I$102,MIN(MAX(ROUND($F690,0),1),100)),IF($E690="T",IF($M690=3,INDEX(Baseline!$B$3:$B$122,MATCH(MIN(MAX(ROUND(($F690)/5,0)*5,5),600),Baseline!$A$3:$A$122,0))-Inputs!$B$9,INDEX(Course!$N$2:$N$19,MATCH($B690,Course!$A$2:$A$19,0))),INDEX(Baseline!$B$3:$E$122,MATCH(MIN(MAX(ROUND(($F690)/5,0)*5,5),600),Baseline!$A$3:$A$122,0),MATCH($E690,Baseline!$B$2:$E$2,0))))))</f>
        <v/>
      </c>
      <c r="P690" s="17" t="str">
        <f aca="false">IF($B690="","",INDEX(Course!$N$2:$N$19,MATCH($B690,Course!$A$2:$A$19,0)))</f>
        <v/>
      </c>
      <c r="Q690" s="17" t="str">
        <f aca="false">IF($B690="","",INDEX(Course!$P$2:$P$19,MATCH($B690,Course!$A$2:$A$19,0)))</f>
        <v/>
      </c>
      <c r="R690" s="17" t="str">
        <f aca="false">IF($C690="","",IF(OR($C690="G",$C690="H"),0,IF($C690="T",1,MIN(1,MAX(0,($N690-Inputs!$B$8)/MAX($P690-Inputs!$B$8,0.01))))))</f>
        <v/>
      </c>
      <c r="S690" s="17" t="str">
        <f aca="false">IF($C690="","",IF(OR($E690="G",$E690="H"),0,IF($E690="T",1,MIN(1,MAX(0,($O690-Inputs!$B$8)/MAX($P690-Inputs!$B$8,0.01))))))</f>
        <v/>
      </c>
    </row>
    <row r="691" customFormat="false" ht="15" hidden="false" customHeight="false" outlineLevel="0" collapsed="false">
      <c r="I691" s="7" t="str">
        <f aca="false">IF($C691="","",IF($C691="G","PUTT",IF(AND($C691="T",$M691&gt;3),"OTT",IF($D691&lt;=30,"ARG","APP"))))</f>
        <v/>
      </c>
      <c r="J691" s="17" t="str">
        <f aca="false">IF($C691="","",$N691+$Q691*$R691)</f>
        <v/>
      </c>
      <c r="K691" s="17" t="str">
        <f aca="false">IF($C691="","",$O691+$Q691*$S691)</f>
        <v/>
      </c>
      <c r="L691" s="17" t="str">
        <f aca="false">IF($C691="","",$J691-$K691-1-N($G691))</f>
        <v/>
      </c>
      <c r="M691" s="7" t="str">
        <f aca="false">IF($B691="","",INDEX(Course!$B$2:$B$19,MATCH($B691,Course!$A$2:$A$19,0)))</f>
        <v/>
      </c>
      <c r="N691" s="17" t="str">
        <f aca="false">IF($C691="","",IF($C691="H",0,IF($C691="G",INDEX(Baseline!$I$3:$I$102,MIN(MAX(ROUND($D691,0),1),100)),IF($C691="T",IF($M691=3,INDEX(Baseline!$B$3:$B$122,MATCH(MIN(MAX(ROUND(($D691)/5,0)*5,5),600),Baseline!$A$3:$A$122,0))-Inputs!$B$9,INDEX(Course!$N$2:$N$19,MATCH($B691,Course!$A$2:$A$19,0))),INDEX(Baseline!$B$3:$E$122,MATCH(MIN(MAX(ROUND(($D691)/5,0)*5,5),600),Baseline!$A$3:$A$122,0),MATCH($C691,Baseline!$B$2:$E$2,0))))))</f>
        <v/>
      </c>
      <c r="O691" s="17" t="str">
        <f aca="false">IF($C691="","",IF($E691="H",0,IF($E691="G",INDEX(Baseline!$I$3:$I$102,MIN(MAX(ROUND($F691,0),1),100)),IF($E691="T",IF($M691=3,INDEX(Baseline!$B$3:$B$122,MATCH(MIN(MAX(ROUND(($F691)/5,0)*5,5),600),Baseline!$A$3:$A$122,0))-Inputs!$B$9,INDEX(Course!$N$2:$N$19,MATCH($B691,Course!$A$2:$A$19,0))),INDEX(Baseline!$B$3:$E$122,MATCH(MIN(MAX(ROUND(($F691)/5,0)*5,5),600),Baseline!$A$3:$A$122,0),MATCH($E691,Baseline!$B$2:$E$2,0))))))</f>
        <v/>
      </c>
      <c r="P691" s="17" t="str">
        <f aca="false">IF($B691="","",INDEX(Course!$N$2:$N$19,MATCH($B691,Course!$A$2:$A$19,0)))</f>
        <v/>
      </c>
      <c r="Q691" s="17" t="str">
        <f aca="false">IF($B691="","",INDEX(Course!$P$2:$P$19,MATCH($B691,Course!$A$2:$A$19,0)))</f>
        <v/>
      </c>
      <c r="R691" s="17" t="str">
        <f aca="false">IF($C691="","",IF(OR($C691="G",$C691="H"),0,IF($C691="T",1,MIN(1,MAX(0,($N691-Inputs!$B$8)/MAX($P691-Inputs!$B$8,0.01))))))</f>
        <v/>
      </c>
      <c r="S691" s="17" t="str">
        <f aca="false">IF($C691="","",IF(OR($E691="G",$E691="H"),0,IF($E691="T",1,MIN(1,MAX(0,($O691-Inputs!$B$8)/MAX($P691-Inputs!$B$8,0.01))))))</f>
        <v/>
      </c>
    </row>
    <row r="692" customFormat="false" ht="15" hidden="false" customHeight="false" outlineLevel="0" collapsed="false">
      <c r="I692" s="7" t="str">
        <f aca="false">IF($C692="","",IF($C692="G","PUTT",IF(AND($C692="T",$M692&gt;3),"OTT",IF($D692&lt;=30,"ARG","APP"))))</f>
        <v/>
      </c>
      <c r="J692" s="17" t="str">
        <f aca="false">IF($C692="","",$N692+$Q692*$R692)</f>
        <v/>
      </c>
      <c r="K692" s="17" t="str">
        <f aca="false">IF($C692="","",$O692+$Q692*$S692)</f>
        <v/>
      </c>
      <c r="L692" s="17" t="str">
        <f aca="false">IF($C692="","",$J692-$K692-1-N($G692))</f>
        <v/>
      </c>
      <c r="M692" s="7" t="str">
        <f aca="false">IF($B692="","",INDEX(Course!$B$2:$B$19,MATCH($B692,Course!$A$2:$A$19,0)))</f>
        <v/>
      </c>
      <c r="N692" s="17" t="str">
        <f aca="false">IF($C692="","",IF($C692="H",0,IF($C692="G",INDEX(Baseline!$I$3:$I$102,MIN(MAX(ROUND($D692,0),1),100)),IF($C692="T",IF($M692=3,INDEX(Baseline!$B$3:$B$122,MATCH(MIN(MAX(ROUND(($D692)/5,0)*5,5),600),Baseline!$A$3:$A$122,0))-Inputs!$B$9,INDEX(Course!$N$2:$N$19,MATCH($B692,Course!$A$2:$A$19,0))),INDEX(Baseline!$B$3:$E$122,MATCH(MIN(MAX(ROUND(($D692)/5,0)*5,5),600),Baseline!$A$3:$A$122,0),MATCH($C692,Baseline!$B$2:$E$2,0))))))</f>
        <v/>
      </c>
      <c r="O692" s="17" t="str">
        <f aca="false">IF($C692="","",IF($E692="H",0,IF($E692="G",INDEX(Baseline!$I$3:$I$102,MIN(MAX(ROUND($F692,0),1),100)),IF($E692="T",IF($M692=3,INDEX(Baseline!$B$3:$B$122,MATCH(MIN(MAX(ROUND(($F692)/5,0)*5,5),600),Baseline!$A$3:$A$122,0))-Inputs!$B$9,INDEX(Course!$N$2:$N$19,MATCH($B692,Course!$A$2:$A$19,0))),INDEX(Baseline!$B$3:$E$122,MATCH(MIN(MAX(ROUND(($F692)/5,0)*5,5),600),Baseline!$A$3:$A$122,0),MATCH($E692,Baseline!$B$2:$E$2,0))))))</f>
        <v/>
      </c>
      <c r="P692" s="17" t="str">
        <f aca="false">IF($B692="","",INDEX(Course!$N$2:$N$19,MATCH($B692,Course!$A$2:$A$19,0)))</f>
        <v/>
      </c>
      <c r="Q692" s="17" t="str">
        <f aca="false">IF($B692="","",INDEX(Course!$P$2:$P$19,MATCH($B692,Course!$A$2:$A$19,0)))</f>
        <v/>
      </c>
      <c r="R692" s="17" t="str">
        <f aca="false">IF($C692="","",IF(OR($C692="G",$C692="H"),0,IF($C692="T",1,MIN(1,MAX(0,($N692-Inputs!$B$8)/MAX($P692-Inputs!$B$8,0.01))))))</f>
        <v/>
      </c>
      <c r="S692" s="17" t="str">
        <f aca="false">IF($C692="","",IF(OR($E692="G",$E692="H"),0,IF($E692="T",1,MIN(1,MAX(0,($O692-Inputs!$B$8)/MAX($P692-Inputs!$B$8,0.01))))))</f>
        <v/>
      </c>
    </row>
    <row r="693" customFormat="false" ht="15" hidden="false" customHeight="false" outlineLevel="0" collapsed="false">
      <c r="I693" s="7" t="str">
        <f aca="false">IF($C693="","",IF($C693="G","PUTT",IF(AND($C693="T",$M693&gt;3),"OTT",IF($D693&lt;=30,"ARG","APP"))))</f>
        <v/>
      </c>
      <c r="J693" s="17" t="str">
        <f aca="false">IF($C693="","",$N693+$Q693*$R693)</f>
        <v/>
      </c>
      <c r="K693" s="17" t="str">
        <f aca="false">IF($C693="","",$O693+$Q693*$S693)</f>
        <v/>
      </c>
      <c r="L693" s="17" t="str">
        <f aca="false">IF($C693="","",$J693-$K693-1-N($G693))</f>
        <v/>
      </c>
      <c r="M693" s="7" t="str">
        <f aca="false">IF($B693="","",INDEX(Course!$B$2:$B$19,MATCH($B693,Course!$A$2:$A$19,0)))</f>
        <v/>
      </c>
      <c r="N693" s="17" t="str">
        <f aca="false">IF($C693="","",IF($C693="H",0,IF($C693="G",INDEX(Baseline!$I$3:$I$102,MIN(MAX(ROUND($D693,0),1),100)),IF($C693="T",IF($M693=3,INDEX(Baseline!$B$3:$B$122,MATCH(MIN(MAX(ROUND(($D693)/5,0)*5,5),600),Baseline!$A$3:$A$122,0))-Inputs!$B$9,INDEX(Course!$N$2:$N$19,MATCH($B693,Course!$A$2:$A$19,0))),INDEX(Baseline!$B$3:$E$122,MATCH(MIN(MAX(ROUND(($D693)/5,0)*5,5),600),Baseline!$A$3:$A$122,0),MATCH($C693,Baseline!$B$2:$E$2,0))))))</f>
        <v/>
      </c>
      <c r="O693" s="17" t="str">
        <f aca="false">IF($C693="","",IF($E693="H",0,IF($E693="G",INDEX(Baseline!$I$3:$I$102,MIN(MAX(ROUND($F693,0),1),100)),IF($E693="T",IF($M693=3,INDEX(Baseline!$B$3:$B$122,MATCH(MIN(MAX(ROUND(($F693)/5,0)*5,5),600),Baseline!$A$3:$A$122,0))-Inputs!$B$9,INDEX(Course!$N$2:$N$19,MATCH($B693,Course!$A$2:$A$19,0))),INDEX(Baseline!$B$3:$E$122,MATCH(MIN(MAX(ROUND(($F693)/5,0)*5,5),600),Baseline!$A$3:$A$122,0),MATCH($E693,Baseline!$B$2:$E$2,0))))))</f>
        <v/>
      </c>
      <c r="P693" s="17" t="str">
        <f aca="false">IF($B693="","",INDEX(Course!$N$2:$N$19,MATCH($B693,Course!$A$2:$A$19,0)))</f>
        <v/>
      </c>
      <c r="Q693" s="17" t="str">
        <f aca="false">IF($B693="","",INDEX(Course!$P$2:$P$19,MATCH($B693,Course!$A$2:$A$19,0)))</f>
        <v/>
      </c>
      <c r="R693" s="17" t="str">
        <f aca="false">IF($C693="","",IF(OR($C693="G",$C693="H"),0,IF($C693="T",1,MIN(1,MAX(0,($N693-Inputs!$B$8)/MAX($P693-Inputs!$B$8,0.01))))))</f>
        <v/>
      </c>
      <c r="S693" s="17" t="str">
        <f aca="false">IF($C693="","",IF(OR($E693="G",$E693="H"),0,IF($E693="T",1,MIN(1,MAX(0,($O693-Inputs!$B$8)/MAX($P693-Inputs!$B$8,0.01))))))</f>
        <v/>
      </c>
    </row>
    <row r="694" customFormat="false" ht="15" hidden="false" customHeight="false" outlineLevel="0" collapsed="false">
      <c r="I694" s="7" t="str">
        <f aca="false">IF($C694="","",IF($C694="G","PUTT",IF(AND($C694="T",$M694&gt;3),"OTT",IF($D694&lt;=30,"ARG","APP"))))</f>
        <v/>
      </c>
      <c r="J694" s="17" t="str">
        <f aca="false">IF($C694="","",$N694+$Q694*$R694)</f>
        <v/>
      </c>
      <c r="K694" s="17" t="str">
        <f aca="false">IF($C694="","",$O694+$Q694*$S694)</f>
        <v/>
      </c>
      <c r="L694" s="17" t="str">
        <f aca="false">IF($C694="","",$J694-$K694-1-N($G694))</f>
        <v/>
      </c>
      <c r="M694" s="7" t="str">
        <f aca="false">IF($B694="","",INDEX(Course!$B$2:$B$19,MATCH($B694,Course!$A$2:$A$19,0)))</f>
        <v/>
      </c>
      <c r="N694" s="17" t="str">
        <f aca="false">IF($C694="","",IF($C694="H",0,IF($C694="G",INDEX(Baseline!$I$3:$I$102,MIN(MAX(ROUND($D694,0),1),100)),IF($C694="T",IF($M694=3,INDEX(Baseline!$B$3:$B$122,MATCH(MIN(MAX(ROUND(($D694)/5,0)*5,5),600),Baseline!$A$3:$A$122,0))-Inputs!$B$9,INDEX(Course!$N$2:$N$19,MATCH($B694,Course!$A$2:$A$19,0))),INDEX(Baseline!$B$3:$E$122,MATCH(MIN(MAX(ROUND(($D694)/5,0)*5,5),600),Baseline!$A$3:$A$122,0),MATCH($C694,Baseline!$B$2:$E$2,0))))))</f>
        <v/>
      </c>
      <c r="O694" s="17" t="str">
        <f aca="false">IF($C694="","",IF($E694="H",0,IF($E694="G",INDEX(Baseline!$I$3:$I$102,MIN(MAX(ROUND($F694,0),1),100)),IF($E694="T",IF($M694=3,INDEX(Baseline!$B$3:$B$122,MATCH(MIN(MAX(ROUND(($F694)/5,0)*5,5),600),Baseline!$A$3:$A$122,0))-Inputs!$B$9,INDEX(Course!$N$2:$N$19,MATCH($B694,Course!$A$2:$A$19,0))),INDEX(Baseline!$B$3:$E$122,MATCH(MIN(MAX(ROUND(($F694)/5,0)*5,5),600),Baseline!$A$3:$A$122,0),MATCH($E694,Baseline!$B$2:$E$2,0))))))</f>
        <v/>
      </c>
      <c r="P694" s="17" t="str">
        <f aca="false">IF($B694="","",INDEX(Course!$N$2:$N$19,MATCH($B694,Course!$A$2:$A$19,0)))</f>
        <v/>
      </c>
      <c r="Q694" s="17" t="str">
        <f aca="false">IF($B694="","",INDEX(Course!$P$2:$P$19,MATCH($B694,Course!$A$2:$A$19,0)))</f>
        <v/>
      </c>
      <c r="R694" s="17" t="str">
        <f aca="false">IF($C694="","",IF(OR($C694="G",$C694="H"),0,IF($C694="T",1,MIN(1,MAX(0,($N694-Inputs!$B$8)/MAX($P694-Inputs!$B$8,0.01))))))</f>
        <v/>
      </c>
      <c r="S694" s="17" t="str">
        <f aca="false">IF($C694="","",IF(OR($E694="G",$E694="H"),0,IF($E694="T",1,MIN(1,MAX(0,($O694-Inputs!$B$8)/MAX($P694-Inputs!$B$8,0.01))))))</f>
        <v/>
      </c>
    </row>
    <row r="695" customFormat="false" ht="15" hidden="false" customHeight="false" outlineLevel="0" collapsed="false">
      <c r="I695" s="7" t="str">
        <f aca="false">IF($C695="","",IF($C695="G","PUTT",IF(AND($C695="T",$M695&gt;3),"OTT",IF($D695&lt;=30,"ARG","APP"))))</f>
        <v/>
      </c>
      <c r="J695" s="17" t="str">
        <f aca="false">IF($C695="","",$N695+$Q695*$R695)</f>
        <v/>
      </c>
      <c r="K695" s="17" t="str">
        <f aca="false">IF($C695="","",$O695+$Q695*$S695)</f>
        <v/>
      </c>
      <c r="L695" s="17" t="str">
        <f aca="false">IF($C695="","",$J695-$K695-1-N($G695))</f>
        <v/>
      </c>
      <c r="M695" s="7" t="str">
        <f aca="false">IF($B695="","",INDEX(Course!$B$2:$B$19,MATCH($B695,Course!$A$2:$A$19,0)))</f>
        <v/>
      </c>
      <c r="N695" s="17" t="str">
        <f aca="false">IF($C695="","",IF($C695="H",0,IF($C695="G",INDEX(Baseline!$I$3:$I$102,MIN(MAX(ROUND($D695,0),1),100)),IF($C695="T",IF($M695=3,INDEX(Baseline!$B$3:$B$122,MATCH(MIN(MAX(ROUND(($D695)/5,0)*5,5),600),Baseline!$A$3:$A$122,0))-Inputs!$B$9,INDEX(Course!$N$2:$N$19,MATCH($B695,Course!$A$2:$A$19,0))),INDEX(Baseline!$B$3:$E$122,MATCH(MIN(MAX(ROUND(($D695)/5,0)*5,5),600),Baseline!$A$3:$A$122,0),MATCH($C695,Baseline!$B$2:$E$2,0))))))</f>
        <v/>
      </c>
      <c r="O695" s="17" t="str">
        <f aca="false">IF($C695="","",IF($E695="H",0,IF($E695="G",INDEX(Baseline!$I$3:$I$102,MIN(MAX(ROUND($F695,0),1),100)),IF($E695="T",IF($M695=3,INDEX(Baseline!$B$3:$B$122,MATCH(MIN(MAX(ROUND(($F695)/5,0)*5,5),600),Baseline!$A$3:$A$122,0))-Inputs!$B$9,INDEX(Course!$N$2:$N$19,MATCH($B695,Course!$A$2:$A$19,0))),INDEX(Baseline!$B$3:$E$122,MATCH(MIN(MAX(ROUND(($F695)/5,0)*5,5),600),Baseline!$A$3:$A$122,0),MATCH($E695,Baseline!$B$2:$E$2,0))))))</f>
        <v/>
      </c>
      <c r="P695" s="17" t="str">
        <f aca="false">IF($B695="","",INDEX(Course!$N$2:$N$19,MATCH($B695,Course!$A$2:$A$19,0)))</f>
        <v/>
      </c>
      <c r="Q695" s="17" t="str">
        <f aca="false">IF($B695="","",INDEX(Course!$P$2:$P$19,MATCH($B695,Course!$A$2:$A$19,0)))</f>
        <v/>
      </c>
      <c r="R695" s="17" t="str">
        <f aca="false">IF($C695="","",IF(OR($C695="G",$C695="H"),0,IF($C695="T",1,MIN(1,MAX(0,($N695-Inputs!$B$8)/MAX($P695-Inputs!$B$8,0.01))))))</f>
        <v/>
      </c>
      <c r="S695" s="17" t="str">
        <f aca="false">IF($C695="","",IF(OR($E695="G",$E695="H"),0,IF($E695="T",1,MIN(1,MAX(0,($O695-Inputs!$B$8)/MAX($P695-Inputs!$B$8,0.01))))))</f>
        <v/>
      </c>
    </row>
    <row r="696" customFormat="false" ht="15" hidden="false" customHeight="false" outlineLevel="0" collapsed="false">
      <c r="I696" s="7" t="str">
        <f aca="false">IF($C696="","",IF($C696="G","PUTT",IF(AND($C696="T",$M696&gt;3),"OTT",IF($D696&lt;=30,"ARG","APP"))))</f>
        <v/>
      </c>
      <c r="J696" s="17" t="str">
        <f aca="false">IF($C696="","",$N696+$Q696*$R696)</f>
        <v/>
      </c>
      <c r="K696" s="17" t="str">
        <f aca="false">IF($C696="","",$O696+$Q696*$S696)</f>
        <v/>
      </c>
      <c r="L696" s="17" t="str">
        <f aca="false">IF($C696="","",$J696-$K696-1-N($G696))</f>
        <v/>
      </c>
      <c r="M696" s="7" t="str">
        <f aca="false">IF($B696="","",INDEX(Course!$B$2:$B$19,MATCH($B696,Course!$A$2:$A$19,0)))</f>
        <v/>
      </c>
      <c r="N696" s="17" t="str">
        <f aca="false">IF($C696="","",IF($C696="H",0,IF($C696="G",INDEX(Baseline!$I$3:$I$102,MIN(MAX(ROUND($D696,0),1),100)),IF($C696="T",IF($M696=3,INDEX(Baseline!$B$3:$B$122,MATCH(MIN(MAX(ROUND(($D696)/5,0)*5,5),600),Baseline!$A$3:$A$122,0))-Inputs!$B$9,INDEX(Course!$N$2:$N$19,MATCH($B696,Course!$A$2:$A$19,0))),INDEX(Baseline!$B$3:$E$122,MATCH(MIN(MAX(ROUND(($D696)/5,0)*5,5),600),Baseline!$A$3:$A$122,0),MATCH($C696,Baseline!$B$2:$E$2,0))))))</f>
        <v/>
      </c>
      <c r="O696" s="17" t="str">
        <f aca="false">IF($C696="","",IF($E696="H",0,IF($E696="G",INDEX(Baseline!$I$3:$I$102,MIN(MAX(ROUND($F696,0),1),100)),IF($E696="T",IF($M696=3,INDEX(Baseline!$B$3:$B$122,MATCH(MIN(MAX(ROUND(($F696)/5,0)*5,5),600),Baseline!$A$3:$A$122,0))-Inputs!$B$9,INDEX(Course!$N$2:$N$19,MATCH($B696,Course!$A$2:$A$19,0))),INDEX(Baseline!$B$3:$E$122,MATCH(MIN(MAX(ROUND(($F696)/5,0)*5,5),600),Baseline!$A$3:$A$122,0),MATCH($E696,Baseline!$B$2:$E$2,0))))))</f>
        <v/>
      </c>
      <c r="P696" s="17" t="str">
        <f aca="false">IF($B696="","",INDEX(Course!$N$2:$N$19,MATCH($B696,Course!$A$2:$A$19,0)))</f>
        <v/>
      </c>
      <c r="Q696" s="17" t="str">
        <f aca="false">IF($B696="","",INDEX(Course!$P$2:$P$19,MATCH($B696,Course!$A$2:$A$19,0)))</f>
        <v/>
      </c>
      <c r="R696" s="17" t="str">
        <f aca="false">IF($C696="","",IF(OR($C696="G",$C696="H"),0,IF($C696="T",1,MIN(1,MAX(0,($N696-Inputs!$B$8)/MAX($P696-Inputs!$B$8,0.01))))))</f>
        <v/>
      </c>
      <c r="S696" s="17" t="str">
        <f aca="false">IF($C696="","",IF(OR($E696="G",$E696="H"),0,IF($E696="T",1,MIN(1,MAX(0,($O696-Inputs!$B$8)/MAX($P696-Inputs!$B$8,0.01))))))</f>
        <v/>
      </c>
    </row>
    <row r="697" customFormat="false" ht="15" hidden="false" customHeight="false" outlineLevel="0" collapsed="false">
      <c r="I697" s="7" t="str">
        <f aca="false">IF($C697="","",IF($C697="G","PUTT",IF(AND($C697="T",$M697&gt;3),"OTT",IF($D697&lt;=30,"ARG","APP"))))</f>
        <v/>
      </c>
      <c r="J697" s="17" t="str">
        <f aca="false">IF($C697="","",$N697+$Q697*$R697)</f>
        <v/>
      </c>
      <c r="K697" s="17" t="str">
        <f aca="false">IF($C697="","",$O697+$Q697*$S697)</f>
        <v/>
      </c>
      <c r="L697" s="17" t="str">
        <f aca="false">IF($C697="","",$J697-$K697-1-N($G697))</f>
        <v/>
      </c>
      <c r="M697" s="7" t="str">
        <f aca="false">IF($B697="","",INDEX(Course!$B$2:$B$19,MATCH($B697,Course!$A$2:$A$19,0)))</f>
        <v/>
      </c>
      <c r="N697" s="17" t="str">
        <f aca="false">IF($C697="","",IF($C697="H",0,IF($C697="G",INDEX(Baseline!$I$3:$I$102,MIN(MAX(ROUND($D697,0),1),100)),IF($C697="T",IF($M697=3,INDEX(Baseline!$B$3:$B$122,MATCH(MIN(MAX(ROUND(($D697)/5,0)*5,5),600),Baseline!$A$3:$A$122,0))-Inputs!$B$9,INDEX(Course!$N$2:$N$19,MATCH($B697,Course!$A$2:$A$19,0))),INDEX(Baseline!$B$3:$E$122,MATCH(MIN(MAX(ROUND(($D697)/5,0)*5,5),600),Baseline!$A$3:$A$122,0),MATCH($C697,Baseline!$B$2:$E$2,0))))))</f>
        <v/>
      </c>
      <c r="O697" s="17" t="str">
        <f aca="false">IF($C697="","",IF($E697="H",0,IF($E697="G",INDEX(Baseline!$I$3:$I$102,MIN(MAX(ROUND($F697,0),1),100)),IF($E697="T",IF($M697=3,INDEX(Baseline!$B$3:$B$122,MATCH(MIN(MAX(ROUND(($F697)/5,0)*5,5),600),Baseline!$A$3:$A$122,0))-Inputs!$B$9,INDEX(Course!$N$2:$N$19,MATCH($B697,Course!$A$2:$A$19,0))),INDEX(Baseline!$B$3:$E$122,MATCH(MIN(MAX(ROUND(($F697)/5,0)*5,5),600),Baseline!$A$3:$A$122,0),MATCH($E697,Baseline!$B$2:$E$2,0))))))</f>
        <v/>
      </c>
      <c r="P697" s="17" t="str">
        <f aca="false">IF($B697="","",INDEX(Course!$N$2:$N$19,MATCH($B697,Course!$A$2:$A$19,0)))</f>
        <v/>
      </c>
      <c r="Q697" s="17" t="str">
        <f aca="false">IF($B697="","",INDEX(Course!$P$2:$P$19,MATCH($B697,Course!$A$2:$A$19,0)))</f>
        <v/>
      </c>
      <c r="R697" s="17" t="str">
        <f aca="false">IF($C697="","",IF(OR($C697="G",$C697="H"),0,IF($C697="T",1,MIN(1,MAX(0,($N697-Inputs!$B$8)/MAX($P697-Inputs!$B$8,0.01))))))</f>
        <v/>
      </c>
      <c r="S697" s="17" t="str">
        <f aca="false">IF($C697="","",IF(OR($E697="G",$E697="H"),0,IF($E697="T",1,MIN(1,MAX(0,($O697-Inputs!$B$8)/MAX($P697-Inputs!$B$8,0.01))))))</f>
        <v/>
      </c>
    </row>
    <row r="698" customFormat="false" ht="15" hidden="false" customHeight="false" outlineLevel="0" collapsed="false">
      <c r="I698" s="7" t="str">
        <f aca="false">IF($C698="","",IF($C698="G","PUTT",IF(AND($C698="T",$M698&gt;3),"OTT",IF($D698&lt;=30,"ARG","APP"))))</f>
        <v/>
      </c>
      <c r="J698" s="17" t="str">
        <f aca="false">IF($C698="","",$N698+$Q698*$R698)</f>
        <v/>
      </c>
      <c r="K698" s="17" t="str">
        <f aca="false">IF($C698="","",$O698+$Q698*$S698)</f>
        <v/>
      </c>
      <c r="L698" s="17" t="str">
        <f aca="false">IF($C698="","",$J698-$K698-1-N($G698))</f>
        <v/>
      </c>
      <c r="M698" s="7" t="str">
        <f aca="false">IF($B698="","",INDEX(Course!$B$2:$B$19,MATCH($B698,Course!$A$2:$A$19,0)))</f>
        <v/>
      </c>
      <c r="N698" s="17" t="str">
        <f aca="false">IF($C698="","",IF($C698="H",0,IF($C698="G",INDEX(Baseline!$I$3:$I$102,MIN(MAX(ROUND($D698,0),1),100)),IF($C698="T",IF($M698=3,INDEX(Baseline!$B$3:$B$122,MATCH(MIN(MAX(ROUND(($D698)/5,0)*5,5),600),Baseline!$A$3:$A$122,0))-Inputs!$B$9,INDEX(Course!$N$2:$N$19,MATCH($B698,Course!$A$2:$A$19,0))),INDEX(Baseline!$B$3:$E$122,MATCH(MIN(MAX(ROUND(($D698)/5,0)*5,5),600),Baseline!$A$3:$A$122,0),MATCH($C698,Baseline!$B$2:$E$2,0))))))</f>
        <v/>
      </c>
      <c r="O698" s="17" t="str">
        <f aca="false">IF($C698="","",IF($E698="H",0,IF($E698="G",INDEX(Baseline!$I$3:$I$102,MIN(MAX(ROUND($F698,0),1),100)),IF($E698="T",IF($M698=3,INDEX(Baseline!$B$3:$B$122,MATCH(MIN(MAX(ROUND(($F698)/5,0)*5,5),600),Baseline!$A$3:$A$122,0))-Inputs!$B$9,INDEX(Course!$N$2:$N$19,MATCH($B698,Course!$A$2:$A$19,0))),INDEX(Baseline!$B$3:$E$122,MATCH(MIN(MAX(ROUND(($F698)/5,0)*5,5),600),Baseline!$A$3:$A$122,0),MATCH($E698,Baseline!$B$2:$E$2,0))))))</f>
        <v/>
      </c>
      <c r="P698" s="17" t="str">
        <f aca="false">IF($B698="","",INDEX(Course!$N$2:$N$19,MATCH($B698,Course!$A$2:$A$19,0)))</f>
        <v/>
      </c>
      <c r="Q698" s="17" t="str">
        <f aca="false">IF($B698="","",INDEX(Course!$P$2:$P$19,MATCH($B698,Course!$A$2:$A$19,0)))</f>
        <v/>
      </c>
      <c r="R698" s="17" t="str">
        <f aca="false">IF($C698="","",IF(OR($C698="G",$C698="H"),0,IF($C698="T",1,MIN(1,MAX(0,($N698-Inputs!$B$8)/MAX($P698-Inputs!$B$8,0.01))))))</f>
        <v/>
      </c>
      <c r="S698" s="17" t="str">
        <f aca="false">IF($C698="","",IF(OR($E698="G",$E698="H"),0,IF($E698="T",1,MIN(1,MAX(0,($O698-Inputs!$B$8)/MAX($P698-Inputs!$B$8,0.01))))))</f>
        <v/>
      </c>
    </row>
    <row r="699" customFormat="false" ht="15" hidden="false" customHeight="false" outlineLevel="0" collapsed="false">
      <c r="I699" s="7" t="str">
        <f aca="false">IF($C699="","",IF($C699="G","PUTT",IF(AND($C699="T",$M699&gt;3),"OTT",IF($D699&lt;=30,"ARG","APP"))))</f>
        <v/>
      </c>
      <c r="J699" s="17" t="str">
        <f aca="false">IF($C699="","",$N699+$Q699*$R699)</f>
        <v/>
      </c>
      <c r="K699" s="17" t="str">
        <f aca="false">IF($C699="","",$O699+$Q699*$S699)</f>
        <v/>
      </c>
      <c r="L699" s="17" t="str">
        <f aca="false">IF($C699="","",$J699-$K699-1-N($G699))</f>
        <v/>
      </c>
      <c r="M699" s="7" t="str">
        <f aca="false">IF($B699="","",INDEX(Course!$B$2:$B$19,MATCH($B699,Course!$A$2:$A$19,0)))</f>
        <v/>
      </c>
      <c r="N699" s="17" t="str">
        <f aca="false">IF($C699="","",IF($C699="H",0,IF($C699="G",INDEX(Baseline!$I$3:$I$102,MIN(MAX(ROUND($D699,0),1),100)),IF($C699="T",IF($M699=3,INDEX(Baseline!$B$3:$B$122,MATCH(MIN(MAX(ROUND(($D699)/5,0)*5,5),600),Baseline!$A$3:$A$122,0))-Inputs!$B$9,INDEX(Course!$N$2:$N$19,MATCH($B699,Course!$A$2:$A$19,0))),INDEX(Baseline!$B$3:$E$122,MATCH(MIN(MAX(ROUND(($D699)/5,0)*5,5),600),Baseline!$A$3:$A$122,0),MATCH($C699,Baseline!$B$2:$E$2,0))))))</f>
        <v/>
      </c>
      <c r="O699" s="17" t="str">
        <f aca="false">IF($C699="","",IF($E699="H",0,IF($E699="G",INDEX(Baseline!$I$3:$I$102,MIN(MAX(ROUND($F699,0),1),100)),IF($E699="T",IF($M699=3,INDEX(Baseline!$B$3:$B$122,MATCH(MIN(MAX(ROUND(($F699)/5,0)*5,5),600),Baseline!$A$3:$A$122,0))-Inputs!$B$9,INDEX(Course!$N$2:$N$19,MATCH($B699,Course!$A$2:$A$19,0))),INDEX(Baseline!$B$3:$E$122,MATCH(MIN(MAX(ROUND(($F699)/5,0)*5,5),600),Baseline!$A$3:$A$122,0),MATCH($E699,Baseline!$B$2:$E$2,0))))))</f>
        <v/>
      </c>
      <c r="P699" s="17" t="str">
        <f aca="false">IF($B699="","",INDEX(Course!$N$2:$N$19,MATCH($B699,Course!$A$2:$A$19,0)))</f>
        <v/>
      </c>
      <c r="Q699" s="17" t="str">
        <f aca="false">IF($B699="","",INDEX(Course!$P$2:$P$19,MATCH($B699,Course!$A$2:$A$19,0)))</f>
        <v/>
      </c>
      <c r="R699" s="17" t="str">
        <f aca="false">IF($C699="","",IF(OR($C699="G",$C699="H"),0,IF($C699="T",1,MIN(1,MAX(0,($N699-Inputs!$B$8)/MAX($P699-Inputs!$B$8,0.01))))))</f>
        <v/>
      </c>
      <c r="S699" s="17" t="str">
        <f aca="false">IF($C699="","",IF(OR($E699="G",$E699="H"),0,IF($E699="T",1,MIN(1,MAX(0,($O699-Inputs!$B$8)/MAX($P699-Inputs!$B$8,0.01))))))</f>
        <v/>
      </c>
    </row>
    <row r="700" customFormat="false" ht="15" hidden="false" customHeight="false" outlineLevel="0" collapsed="false">
      <c r="I700" s="7" t="str">
        <f aca="false">IF($C700="","",IF($C700="G","PUTT",IF(AND($C700="T",$M700&gt;3),"OTT",IF($D700&lt;=30,"ARG","APP"))))</f>
        <v/>
      </c>
      <c r="J700" s="17" t="str">
        <f aca="false">IF($C700="","",$N700+$Q700*$R700)</f>
        <v/>
      </c>
      <c r="K700" s="17" t="str">
        <f aca="false">IF($C700="","",$O700+$Q700*$S700)</f>
        <v/>
      </c>
      <c r="L700" s="17" t="str">
        <f aca="false">IF($C700="","",$J700-$K700-1-N($G700))</f>
        <v/>
      </c>
      <c r="M700" s="7" t="str">
        <f aca="false">IF($B700="","",INDEX(Course!$B$2:$B$19,MATCH($B700,Course!$A$2:$A$19,0)))</f>
        <v/>
      </c>
      <c r="N700" s="17" t="str">
        <f aca="false">IF($C700="","",IF($C700="H",0,IF($C700="G",INDEX(Baseline!$I$3:$I$102,MIN(MAX(ROUND($D700,0),1),100)),IF($C700="T",IF($M700=3,INDEX(Baseline!$B$3:$B$122,MATCH(MIN(MAX(ROUND(($D700)/5,0)*5,5),600),Baseline!$A$3:$A$122,0))-Inputs!$B$9,INDEX(Course!$N$2:$N$19,MATCH($B700,Course!$A$2:$A$19,0))),INDEX(Baseline!$B$3:$E$122,MATCH(MIN(MAX(ROUND(($D700)/5,0)*5,5),600),Baseline!$A$3:$A$122,0),MATCH($C700,Baseline!$B$2:$E$2,0))))))</f>
        <v/>
      </c>
      <c r="O700" s="17" t="str">
        <f aca="false">IF($C700="","",IF($E700="H",0,IF($E700="G",INDEX(Baseline!$I$3:$I$102,MIN(MAX(ROUND($F700,0),1),100)),IF($E700="T",IF($M700=3,INDEX(Baseline!$B$3:$B$122,MATCH(MIN(MAX(ROUND(($F700)/5,0)*5,5),600),Baseline!$A$3:$A$122,0))-Inputs!$B$9,INDEX(Course!$N$2:$N$19,MATCH($B700,Course!$A$2:$A$19,0))),INDEX(Baseline!$B$3:$E$122,MATCH(MIN(MAX(ROUND(($F700)/5,0)*5,5),600),Baseline!$A$3:$A$122,0),MATCH($E700,Baseline!$B$2:$E$2,0))))))</f>
        <v/>
      </c>
      <c r="P700" s="17" t="str">
        <f aca="false">IF($B700="","",INDEX(Course!$N$2:$N$19,MATCH($B700,Course!$A$2:$A$19,0)))</f>
        <v/>
      </c>
      <c r="Q700" s="17" t="str">
        <f aca="false">IF($B700="","",INDEX(Course!$P$2:$P$19,MATCH($B700,Course!$A$2:$A$19,0)))</f>
        <v/>
      </c>
      <c r="R700" s="17" t="str">
        <f aca="false">IF($C700="","",IF(OR($C700="G",$C700="H"),0,IF($C700="T",1,MIN(1,MAX(0,($N700-Inputs!$B$8)/MAX($P700-Inputs!$B$8,0.01))))))</f>
        <v/>
      </c>
      <c r="S700" s="17" t="str">
        <f aca="false">IF($C700="","",IF(OR($E700="G",$E700="H"),0,IF($E700="T",1,MIN(1,MAX(0,($O700-Inputs!$B$8)/MAX($P700-Inputs!$B$8,0.01))))))</f>
        <v/>
      </c>
    </row>
    <row r="701" customFormat="false" ht="15" hidden="false" customHeight="false" outlineLevel="0" collapsed="false">
      <c r="I701" s="7" t="str">
        <f aca="false">IF($C701="","",IF($C701="G","PUTT",IF(AND($C701="T",$M701&gt;3),"OTT",IF($D701&lt;=30,"ARG","APP"))))</f>
        <v/>
      </c>
      <c r="J701" s="17" t="str">
        <f aca="false">IF($C701="","",$N701+$Q701*$R701)</f>
        <v/>
      </c>
      <c r="K701" s="17" t="str">
        <f aca="false">IF($C701="","",$O701+$Q701*$S701)</f>
        <v/>
      </c>
      <c r="L701" s="17" t="str">
        <f aca="false">IF($C701="","",$J701-$K701-1-N($G701))</f>
        <v/>
      </c>
      <c r="M701" s="7" t="str">
        <f aca="false">IF($B701="","",INDEX(Course!$B$2:$B$19,MATCH($B701,Course!$A$2:$A$19,0)))</f>
        <v/>
      </c>
      <c r="N701" s="17" t="str">
        <f aca="false">IF($C701="","",IF($C701="H",0,IF($C701="G",INDEX(Baseline!$I$3:$I$102,MIN(MAX(ROUND($D701,0),1),100)),IF($C701="T",IF($M701=3,INDEX(Baseline!$B$3:$B$122,MATCH(MIN(MAX(ROUND(($D701)/5,0)*5,5),600),Baseline!$A$3:$A$122,0))-Inputs!$B$9,INDEX(Course!$N$2:$N$19,MATCH($B701,Course!$A$2:$A$19,0))),INDEX(Baseline!$B$3:$E$122,MATCH(MIN(MAX(ROUND(($D701)/5,0)*5,5),600),Baseline!$A$3:$A$122,0),MATCH($C701,Baseline!$B$2:$E$2,0))))))</f>
        <v/>
      </c>
      <c r="O701" s="17" t="str">
        <f aca="false">IF($C701="","",IF($E701="H",0,IF($E701="G",INDEX(Baseline!$I$3:$I$102,MIN(MAX(ROUND($F701,0),1),100)),IF($E701="T",IF($M701=3,INDEX(Baseline!$B$3:$B$122,MATCH(MIN(MAX(ROUND(($F701)/5,0)*5,5),600),Baseline!$A$3:$A$122,0))-Inputs!$B$9,INDEX(Course!$N$2:$N$19,MATCH($B701,Course!$A$2:$A$19,0))),INDEX(Baseline!$B$3:$E$122,MATCH(MIN(MAX(ROUND(($F701)/5,0)*5,5),600),Baseline!$A$3:$A$122,0),MATCH($E701,Baseline!$B$2:$E$2,0))))))</f>
        <v/>
      </c>
      <c r="P701" s="17" t="str">
        <f aca="false">IF($B701="","",INDEX(Course!$N$2:$N$19,MATCH($B701,Course!$A$2:$A$19,0)))</f>
        <v/>
      </c>
      <c r="Q701" s="17" t="str">
        <f aca="false">IF($B701="","",INDEX(Course!$P$2:$P$19,MATCH($B701,Course!$A$2:$A$19,0)))</f>
        <v/>
      </c>
      <c r="R701" s="17" t="str">
        <f aca="false">IF($C701="","",IF(OR($C701="G",$C701="H"),0,IF($C701="T",1,MIN(1,MAX(0,($N701-Inputs!$B$8)/MAX($P701-Inputs!$B$8,0.01))))))</f>
        <v/>
      </c>
      <c r="S701" s="17" t="str">
        <f aca="false">IF($C701="","",IF(OR($E701="G",$E701="H"),0,IF($E701="T",1,MIN(1,MAX(0,($O701-Inputs!$B$8)/MAX($P701-Inputs!$B$8,0.01))))))</f>
        <v/>
      </c>
    </row>
    <row r="702" customFormat="false" ht="15" hidden="false" customHeight="false" outlineLevel="0" collapsed="false">
      <c r="I702" s="7" t="str">
        <f aca="false">IF($C702="","",IF($C702="G","PUTT",IF(AND($C702="T",$M702&gt;3),"OTT",IF($D702&lt;=30,"ARG","APP"))))</f>
        <v/>
      </c>
      <c r="J702" s="17" t="str">
        <f aca="false">IF($C702="","",$N702+$Q702*$R702)</f>
        <v/>
      </c>
      <c r="K702" s="17" t="str">
        <f aca="false">IF($C702="","",$O702+$Q702*$S702)</f>
        <v/>
      </c>
      <c r="L702" s="17" t="str">
        <f aca="false">IF($C702="","",$J702-$K702-1-N($G702))</f>
        <v/>
      </c>
      <c r="M702" s="7" t="str">
        <f aca="false">IF($B702="","",INDEX(Course!$B$2:$B$19,MATCH($B702,Course!$A$2:$A$19,0)))</f>
        <v/>
      </c>
      <c r="N702" s="17" t="str">
        <f aca="false">IF($C702="","",IF($C702="H",0,IF($C702="G",INDEX(Baseline!$I$3:$I$102,MIN(MAX(ROUND($D702,0),1),100)),IF($C702="T",IF($M702=3,INDEX(Baseline!$B$3:$B$122,MATCH(MIN(MAX(ROUND(($D702)/5,0)*5,5),600),Baseline!$A$3:$A$122,0))-Inputs!$B$9,INDEX(Course!$N$2:$N$19,MATCH($B702,Course!$A$2:$A$19,0))),INDEX(Baseline!$B$3:$E$122,MATCH(MIN(MAX(ROUND(($D702)/5,0)*5,5),600),Baseline!$A$3:$A$122,0),MATCH($C702,Baseline!$B$2:$E$2,0))))))</f>
        <v/>
      </c>
      <c r="O702" s="17" t="str">
        <f aca="false">IF($C702="","",IF($E702="H",0,IF($E702="G",INDEX(Baseline!$I$3:$I$102,MIN(MAX(ROUND($F702,0),1),100)),IF($E702="T",IF($M702=3,INDEX(Baseline!$B$3:$B$122,MATCH(MIN(MAX(ROUND(($F702)/5,0)*5,5),600),Baseline!$A$3:$A$122,0))-Inputs!$B$9,INDEX(Course!$N$2:$N$19,MATCH($B702,Course!$A$2:$A$19,0))),INDEX(Baseline!$B$3:$E$122,MATCH(MIN(MAX(ROUND(($F702)/5,0)*5,5),600),Baseline!$A$3:$A$122,0),MATCH($E702,Baseline!$B$2:$E$2,0))))))</f>
        <v/>
      </c>
      <c r="P702" s="17" t="str">
        <f aca="false">IF($B702="","",INDEX(Course!$N$2:$N$19,MATCH($B702,Course!$A$2:$A$19,0)))</f>
        <v/>
      </c>
      <c r="Q702" s="17" t="str">
        <f aca="false">IF($B702="","",INDEX(Course!$P$2:$P$19,MATCH($B702,Course!$A$2:$A$19,0)))</f>
        <v/>
      </c>
      <c r="R702" s="17" t="str">
        <f aca="false">IF($C702="","",IF(OR($C702="G",$C702="H"),0,IF($C702="T",1,MIN(1,MAX(0,($N702-Inputs!$B$8)/MAX($P702-Inputs!$B$8,0.01))))))</f>
        <v/>
      </c>
      <c r="S702" s="17" t="str">
        <f aca="false">IF($C702="","",IF(OR($E702="G",$E702="H"),0,IF($E702="T",1,MIN(1,MAX(0,($O702-Inputs!$B$8)/MAX($P702-Inputs!$B$8,0.01))))))</f>
        <v/>
      </c>
    </row>
    <row r="703" customFormat="false" ht="15" hidden="false" customHeight="false" outlineLevel="0" collapsed="false">
      <c r="I703" s="7" t="str">
        <f aca="false">IF($C703="","",IF($C703="G","PUTT",IF(AND($C703="T",$M703&gt;3),"OTT",IF($D703&lt;=30,"ARG","APP"))))</f>
        <v/>
      </c>
      <c r="J703" s="17" t="str">
        <f aca="false">IF($C703="","",$N703+$Q703*$R703)</f>
        <v/>
      </c>
      <c r="K703" s="17" t="str">
        <f aca="false">IF($C703="","",$O703+$Q703*$S703)</f>
        <v/>
      </c>
      <c r="L703" s="17" t="str">
        <f aca="false">IF($C703="","",$J703-$K703-1-N($G703))</f>
        <v/>
      </c>
      <c r="M703" s="7" t="str">
        <f aca="false">IF($B703="","",INDEX(Course!$B$2:$B$19,MATCH($B703,Course!$A$2:$A$19,0)))</f>
        <v/>
      </c>
      <c r="N703" s="17" t="str">
        <f aca="false">IF($C703="","",IF($C703="H",0,IF($C703="G",INDEX(Baseline!$I$3:$I$102,MIN(MAX(ROUND($D703,0),1),100)),IF($C703="T",IF($M703=3,INDEX(Baseline!$B$3:$B$122,MATCH(MIN(MAX(ROUND(($D703)/5,0)*5,5),600),Baseline!$A$3:$A$122,0))-Inputs!$B$9,INDEX(Course!$N$2:$N$19,MATCH($B703,Course!$A$2:$A$19,0))),INDEX(Baseline!$B$3:$E$122,MATCH(MIN(MAX(ROUND(($D703)/5,0)*5,5),600),Baseline!$A$3:$A$122,0),MATCH($C703,Baseline!$B$2:$E$2,0))))))</f>
        <v/>
      </c>
      <c r="O703" s="17" t="str">
        <f aca="false">IF($C703="","",IF($E703="H",0,IF($E703="G",INDEX(Baseline!$I$3:$I$102,MIN(MAX(ROUND($F703,0),1),100)),IF($E703="T",IF($M703=3,INDEX(Baseline!$B$3:$B$122,MATCH(MIN(MAX(ROUND(($F703)/5,0)*5,5),600),Baseline!$A$3:$A$122,0))-Inputs!$B$9,INDEX(Course!$N$2:$N$19,MATCH($B703,Course!$A$2:$A$19,0))),INDEX(Baseline!$B$3:$E$122,MATCH(MIN(MAX(ROUND(($F703)/5,0)*5,5),600),Baseline!$A$3:$A$122,0),MATCH($E703,Baseline!$B$2:$E$2,0))))))</f>
        <v/>
      </c>
      <c r="P703" s="17" t="str">
        <f aca="false">IF($B703="","",INDEX(Course!$N$2:$N$19,MATCH($B703,Course!$A$2:$A$19,0)))</f>
        <v/>
      </c>
      <c r="Q703" s="17" t="str">
        <f aca="false">IF($B703="","",INDEX(Course!$P$2:$P$19,MATCH($B703,Course!$A$2:$A$19,0)))</f>
        <v/>
      </c>
      <c r="R703" s="17" t="str">
        <f aca="false">IF($C703="","",IF(OR($C703="G",$C703="H"),0,IF($C703="T",1,MIN(1,MAX(0,($N703-Inputs!$B$8)/MAX($P703-Inputs!$B$8,0.01))))))</f>
        <v/>
      </c>
      <c r="S703" s="17" t="str">
        <f aca="false">IF($C703="","",IF(OR($E703="G",$E703="H"),0,IF($E703="T",1,MIN(1,MAX(0,($O703-Inputs!$B$8)/MAX($P703-Inputs!$B$8,0.01))))))</f>
        <v/>
      </c>
    </row>
    <row r="704" customFormat="false" ht="15" hidden="false" customHeight="false" outlineLevel="0" collapsed="false">
      <c r="I704" s="7" t="str">
        <f aca="false">IF($C704="","",IF($C704="G","PUTT",IF(AND($C704="T",$M704&gt;3),"OTT",IF($D704&lt;=30,"ARG","APP"))))</f>
        <v/>
      </c>
      <c r="J704" s="17" t="str">
        <f aca="false">IF($C704="","",$N704+$Q704*$R704)</f>
        <v/>
      </c>
      <c r="K704" s="17" t="str">
        <f aca="false">IF($C704="","",$O704+$Q704*$S704)</f>
        <v/>
      </c>
      <c r="L704" s="17" t="str">
        <f aca="false">IF($C704="","",$J704-$K704-1-N($G704))</f>
        <v/>
      </c>
      <c r="M704" s="7" t="str">
        <f aca="false">IF($B704="","",INDEX(Course!$B$2:$B$19,MATCH($B704,Course!$A$2:$A$19,0)))</f>
        <v/>
      </c>
      <c r="N704" s="17" t="str">
        <f aca="false">IF($C704="","",IF($C704="H",0,IF($C704="G",INDEX(Baseline!$I$3:$I$102,MIN(MAX(ROUND($D704,0),1),100)),IF($C704="T",IF($M704=3,INDEX(Baseline!$B$3:$B$122,MATCH(MIN(MAX(ROUND(($D704)/5,0)*5,5),600),Baseline!$A$3:$A$122,0))-Inputs!$B$9,INDEX(Course!$N$2:$N$19,MATCH($B704,Course!$A$2:$A$19,0))),INDEX(Baseline!$B$3:$E$122,MATCH(MIN(MAX(ROUND(($D704)/5,0)*5,5),600),Baseline!$A$3:$A$122,0),MATCH($C704,Baseline!$B$2:$E$2,0))))))</f>
        <v/>
      </c>
      <c r="O704" s="17" t="str">
        <f aca="false">IF($C704="","",IF($E704="H",0,IF($E704="G",INDEX(Baseline!$I$3:$I$102,MIN(MAX(ROUND($F704,0),1),100)),IF($E704="T",IF($M704=3,INDEX(Baseline!$B$3:$B$122,MATCH(MIN(MAX(ROUND(($F704)/5,0)*5,5),600),Baseline!$A$3:$A$122,0))-Inputs!$B$9,INDEX(Course!$N$2:$N$19,MATCH($B704,Course!$A$2:$A$19,0))),INDEX(Baseline!$B$3:$E$122,MATCH(MIN(MAX(ROUND(($F704)/5,0)*5,5),600),Baseline!$A$3:$A$122,0),MATCH($E704,Baseline!$B$2:$E$2,0))))))</f>
        <v/>
      </c>
      <c r="P704" s="17" t="str">
        <f aca="false">IF($B704="","",INDEX(Course!$N$2:$N$19,MATCH($B704,Course!$A$2:$A$19,0)))</f>
        <v/>
      </c>
      <c r="Q704" s="17" t="str">
        <f aca="false">IF($B704="","",INDEX(Course!$P$2:$P$19,MATCH($B704,Course!$A$2:$A$19,0)))</f>
        <v/>
      </c>
      <c r="R704" s="17" t="str">
        <f aca="false">IF($C704="","",IF(OR($C704="G",$C704="H"),0,IF($C704="T",1,MIN(1,MAX(0,($N704-Inputs!$B$8)/MAX($P704-Inputs!$B$8,0.01))))))</f>
        <v/>
      </c>
      <c r="S704" s="17" t="str">
        <f aca="false">IF($C704="","",IF(OR($E704="G",$E704="H"),0,IF($E704="T",1,MIN(1,MAX(0,($O704-Inputs!$B$8)/MAX($P704-Inputs!$B$8,0.01))))))</f>
        <v/>
      </c>
    </row>
    <row r="705" customFormat="false" ht="15" hidden="false" customHeight="false" outlineLevel="0" collapsed="false">
      <c r="I705" s="7" t="str">
        <f aca="false">IF($C705="","",IF($C705="G","PUTT",IF(AND($C705="T",$M705&gt;3),"OTT",IF($D705&lt;=30,"ARG","APP"))))</f>
        <v/>
      </c>
      <c r="J705" s="17" t="str">
        <f aca="false">IF($C705="","",$N705+$Q705*$R705)</f>
        <v/>
      </c>
      <c r="K705" s="17" t="str">
        <f aca="false">IF($C705="","",$O705+$Q705*$S705)</f>
        <v/>
      </c>
      <c r="L705" s="17" t="str">
        <f aca="false">IF($C705="","",$J705-$K705-1-N($G705))</f>
        <v/>
      </c>
      <c r="M705" s="7" t="str">
        <f aca="false">IF($B705="","",INDEX(Course!$B$2:$B$19,MATCH($B705,Course!$A$2:$A$19,0)))</f>
        <v/>
      </c>
      <c r="N705" s="17" t="str">
        <f aca="false">IF($C705="","",IF($C705="H",0,IF($C705="G",INDEX(Baseline!$I$3:$I$102,MIN(MAX(ROUND($D705,0),1),100)),IF($C705="T",IF($M705=3,INDEX(Baseline!$B$3:$B$122,MATCH(MIN(MAX(ROUND(($D705)/5,0)*5,5),600),Baseline!$A$3:$A$122,0))-Inputs!$B$9,INDEX(Course!$N$2:$N$19,MATCH($B705,Course!$A$2:$A$19,0))),INDEX(Baseline!$B$3:$E$122,MATCH(MIN(MAX(ROUND(($D705)/5,0)*5,5),600),Baseline!$A$3:$A$122,0),MATCH($C705,Baseline!$B$2:$E$2,0))))))</f>
        <v/>
      </c>
      <c r="O705" s="17" t="str">
        <f aca="false">IF($C705="","",IF($E705="H",0,IF($E705="G",INDEX(Baseline!$I$3:$I$102,MIN(MAX(ROUND($F705,0),1),100)),IF($E705="T",IF($M705=3,INDEX(Baseline!$B$3:$B$122,MATCH(MIN(MAX(ROUND(($F705)/5,0)*5,5),600),Baseline!$A$3:$A$122,0))-Inputs!$B$9,INDEX(Course!$N$2:$N$19,MATCH($B705,Course!$A$2:$A$19,0))),INDEX(Baseline!$B$3:$E$122,MATCH(MIN(MAX(ROUND(($F705)/5,0)*5,5),600),Baseline!$A$3:$A$122,0),MATCH($E705,Baseline!$B$2:$E$2,0))))))</f>
        <v/>
      </c>
      <c r="P705" s="17" t="str">
        <f aca="false">IF($B705="","",INDEX(Course!$N$2:$N$19,MATCH($B705,Course!$A$2:$A$19,0)))</f>
        <v/>
      </c>
      <c r="Q705" s="17" t="str">
        <f aca="false">IF($B705="","",INDEX(Course!$P$2:$P$19,MATCH($B705,Course!$A$2:$A$19,0)))</f>
        <v/>
      </c>
      <c r="R705" s="17" t="str">
        <f aca="false">IF($C705="","",IF(OR($C705="G",$C705="H"),0,IF($C705="T",1,MIN(1,MAX(0,($N705-Inputs!$B$8)/MAX($P705-Inputs!$B$8,0.01))))))</f>
        <v/>
      </c>
      <c r="S705" s="17" t="str">
        <f aca="false">IF($C705="","",IF(OR($E705="G",$E705="H"),0,IF($E705="T",1,MIN(1,MAX(0,($O705-Inputs!$B$8)/MAX($P705-Inputs!$B$8,0.01))))))</f>
        <v/>
      </c>
    </row>
    <row r="706" customFormat="false" ht="15" hidden="false" customHeight="false" outlineLevel="0" collapsed="false">
      <c r="I706" s="7" t="str">
        <f aca="false">IF($C706="","",IF($C706="G","PUTT",IF(AND($C706="T",$M706&gt;3),"OTT",IF($D706&lt;=30,"ARG","APP"))))</f>
        <v/>
      </c>
      <c r="J706" s="17" t="str">
        <f aca="false">IF($C706="","",$N706+$Q706*$R706)</f>
        <v/>
      </c>
      <c r="K706" s="17" t="str">
        <f aca="false">IF($C706="","",$O706+$Q706*$S706)</f>
        <v/>
      </c>
      <c r="L706" s="17" t="str">
        <f aca="false">IF($C706="","",$J706-$K706-1-N($G706))</f>
        <v/>
      </c>
      <c r="M706" s="7" t="str">
        <f aca="false">IF($B706="","",INDEX(Course!$B$2:$B$19,MATCH($B706,Course!$A$2:$A$19,0)))</f>
        <v/>
      </c>
      <c r="N706" s="17" t="str">
        <f aca="false">IF($C706="","",IF($C706="H",0,IF($C706="G",INDEX(Baseline!$I$3:$I$102,MIN(MAX(ROUND($D706,0),1),100)),IF($C706="T",IF($M706=3,INDEX(Baseline!$B$3:$B$122,MATCH(MIN(MAX(ROUND(($D706)/5,0)*5,5),600),Baseline!$A$3:$A$122,0))-Inputs!$B$9,INDEX(Course!$N$2:$N$19,MATCH($B706,Course!$A$2:$A$19,0))),INDEX(Baseline!$B$3:$E$122,MATCH(MIN(MAX(ROUND(($D706)/5,0)*5,5),600),Baseline!$A$3:$A$122,0),MATCH($C706,Baseline!$B$2:$E$2,0))))))</f>
        <v/>
      </c>
      <c r="O706" s="17" t="str">
        <f aca="false">IF($C706="","",IF($E706="H",0,IF($E706="G",INDEX(Baseline!$I$3:$I$102,MIN(MAX(ROUND($F706,0),1),100)),IF($E706="T",IF($M706=3,INDEX(Baseline!$B$3:$B$122,MATCH(MIN(MAX(ROUND(($F706)/5,0)*5,5),600),Baseline!$A$3:$A$122,0))-Inputs!$B$9,INDEX(Course!$N$2:$N$19,MATCH($B706,Course!$A$2:$A$19,0))),INDEX(Baseline!$B$3:$E$122,MATCH(MIN(MAX(ROUND(($F706)/5,0)*5,5),600),Baseline!$A$3:$A$122,0),MATCH($E706,Baseline!$B$2:$E$2,0))))))</f>
        <v/>
      </c>
      <c r="P706" s="17" t="str">
        <f aca="false">IF($B706="","",INDEX(Course!$N$2:$N$19,MATCH($B706,Course!$A$2:$A$19,0)))</f>
        <v/>
      </c>
      <c r="Q706" s="17" t="str">
        <f aca="false">IF($B706="","",INDEX(Course!$P$2:$P$19,MATCH($B706,Course!$A$2:$A$19,0)))</f>
        <v/>
      </c>
      <c r="R706" s="17" t="str">
        <f aca="false">IF($C706="","",IF(OR($C706="G",$C706="H"),0,IF($C706="T",1,MIN(1,MAX(0,($N706-Inputs!$B$8)/MAX($P706-Inputs!$B$8,0.01))))))</f>
        <v/>
      </c>
      <c r="S706" s="17" t="str">
        <f aca="false">IF($C706="","",IF(OR($E706="G",$E706="H"),0,IF($E706="T",1,MIN(1,MAX(0,($O706-Inputs!$B$8)/MAX($P706-Inputs!$B$8,0.01))))))</f>
        <v/>
      </c>
    </row>
    <row r="707" customFormat="false" ht="15" hidden="false" customHeight="false" outlineLevel="0" collapsed="false">
      <c r="I707" s="7" t="str">
        <f aca="false">IF($C707="","",IF($C707="G","PUTT",IF(AND($C707="T",$M707&gt;3),"OTT",IF($D707&lt;=30,"ARG","APP"))))</f>
        <v/>
      </c>
      <c r="J707" s="17" t="str">
        <f aca="false">IF($C707="","",$N707+$Q707*$R707)</f>
        <v/>
      </c>
      <c r="K707" s="17" t="str">
        <f aca="false">IF($C707="","",$O707+$Q707*$S707)</f>
        <v/>
      </c>
      <c r="L707" s="17" t="str">
        <f aca="false">IF($C707="","",$J707-$K707-1-N($G707))</f>
        <v/>
      </c>
      <c r="M707" s="7" t="str">
        <f aca="false">IF($B707="","",INDEX(Course!$B$2:$B$19,MATCH($B707,Course!$A$2:$A$19,0)))</f>
        <v/>
      </c>
      <c r="N707" s="17" t="str">
        <f aca="false">IF($C707="","",IF($C707="H",0,IF($C707="G",INDEX(Baseline!$I$3:$I$102,MIN(MAX(ROUND($D707,0),1),100)),IF($C707="T",IF($M707=3,INDEX(Baseline!$B$3:$B$122,MATCH(MIN(MAX(ROUND(($D707)/5,0)*5,5),600),Baseline!$A$3:$A$122,0))-Inputs!$B$9,INDEX(Course!$N$2:$N$19,MATCH($B707,Course!$A$2:$A$19,0))),INDEX(Baseline!$B$3:$E$122,MATCH(MIN(MAX(ROUND(($D707)/5,0)*5,5),600),Baseline!$A$3:$A$122,0),MATCH($C707,Baseline!$B$2:$E$2,0))))))</f>
        <v/>
      </c>
      <c r="O707" s="17" t="str">
        <f aca="false">IF($C707="","",IF($E707="H",0,IF($E707="G",INDEX(Baseline!$I$3:$I$102,MIN(MAX(ROUND($F707,0),1),100)),IF($E707="T",IF($M707=3,INDEX(Baseline!$B$3:$B$122,MATCH(MIN(MAX(ROUND(($F707)/5,0)*5,5),600),Baseline!$A$3:$A$122,0))-Inputs!$B$9,INDEX(Course!$N$2:$N$19,MATCH($B707,Course!$A$2:$A$19,0))),INDEX(Baseline!$B$3:$E$122,MATCH(MIN(MAX(ROUND(($F707)/5,0)*5,5),600),Baseline!$A$3:$A$122,0),MATCH($E707,Baseline!$B$2:$E$2,0))))))</f>
        <v/>
      </c>
      <c r="P707" s="17" t="str">
        <f aca="false">IF($B707="","",INDEX(Course!$N$2:$N$19,MATCH($B707,Course!$A$2:$A$19,0)))</f>
        <v/>
      </c>
      <c r="Q707" s="17" t="str">
        <f aca="false">IF($B707="","",INDEX(Course!$P$2:$P$19,MATCH($B707,Course!$A$2:$A$19,0)))</f>
        <v/>
      </c>
      <c r="R707" s="17" t="str">
        <f aca="false">IF($C707="","",IF(OR($C707="G",$C707="H"),0,IF($C707="T",1,MIN(1,MAX(0,($N707-Inputs!$B$8)/MAX($P707-Inputs!$B$8,0.01))))))</f>
        <v/>
      </c>
      <c r="S707" s="17" t="str">
        <f aca="false">IF($C707="","",IF(OR($E707="G",$E707="H"),0,IF($E707="T",1,MIN(1,MAX(0,($O707-Inputs!$B$8)/MAX($P707-Inputs!$B$8,0.01))))))</f>
        <v/>
      </c>
    </row>
    <row r="708" customFormat="false" ht="15" hidden="false" customHeight="false" outlineLevel="0" collapsed="false">
      <c r="I708" s="7" t="str">
        <f aca="false">IF($C708="","",IF($C708="G","PUTT",IF(AND($C708="T",$M708&gt;3),"OTT",IF($D708&lt;=30,"ARG","APP"))))</f>
        <v/>
      </c>
      <c r="J708" s="17" t="str">
        <f aca="false">IF($C708="","",$N708+$Q708*$R708)</f>
        <v/>
      </c>
      <c r="K708" s="17" t="str">
        <f aca="false">IF($C708="","",$O708+$Q708*$S708)</f>
        <v/>
      </c>
      <c r="L708" s="17" t="str">
        <f aca="false">IF($C708="","",$J708-$K708-1-N($G708))</f>
        <v/>
      </c>
      <c r="M708" s="7" t="str">
        <f aca="false">IF($B708="","",INDEX(Course!$B$2:$B$19,MATCH($B708,Course!$A$2:$A$19,0)))</f>
        <v/>
      </c>
      <c r="N708" s="17" t="str">
        <f aca="false">IF($C708="","",IF($C708="H",0,IF($C708="G",INDEX(Baseline!$I$3:$I$102,MIN(MAX(ROUND($D708,0),1),100)),IF($C708="T",IF($M708=3,INDEX(Baseline!$B$3:$B$122,MATCH(MIN(MAX(ROUND(($D708)/5,0)*5,5),600),Baseline!$A$3:$A$122,0))-Inputs!$B$9,INDEX(Course!$N$2:$N$19,MATCH($B708,Course!$A$2:$A$19,0))),INDEX(Baseline!$B$3:$E$122,MATCH(MIN(MAX(ROUND(($D708)/5,0)*5,5),600),Baseline!$A$3:$A$122,0),MATCH($C708,Baseline!$B$2:$E$2,0))))))</f>
        <v/>
      </c>
      <c r="O708" s="17" t="str">
        <f aca="false">IF($C708="","",IF($E708="H",0,IF($E708="G",INDEX(Baseline!$I$3:$I$102,MIN(MAX(ROUND($F708,0),1),100)),IF($E708="T",IF($M708=3,INDEX(Baseline!$B$3:$B$122,MATCH(MIN(MAX(ROUND(($F708)/5,0)*5,5),600),Baseline!$A$3:$A$122,0))-Inputs!$B$9,INDEX(Course!$N$2:$N$19,MATCH($B708,Course!$A$2:$A$19,0))),INDEX(Baseline!$B$3:$E$122,MATCH(MIN(MAX(ROUND(($F708)/5,0)*5,5),600),Baseline!$A$3:$A$122,0),MATCH($E708,Baseline!$B$2:$E$2,0))))))</f>
        <v/>
      </c>
      <c r="P708" s="17" t="str">
        <f aca="false">IF($B708="","",INDEX(Course!$N$2:$N$19,MATCH($B708,Course!$A$2:$A$19,0)))</f>
        <v/>
      </c>
      <c r="Q708" s="17" t="str">
        <f aca="false">IF($B708="","",INDEX(Course!$P$2:$P$19,MATCH($B708,Course!$A$2:$A$19,0)))</f>
        <v/>
      </c>
      <c r="R708" s="17" t="str">
        <f aca="false">IF($C708="","",IF(OR($C708="G",$C708="H"),0,IF($C708="T",1,MIN(1,MAX(0,($N708-Inputs!$B$8)/MAX($P708-Inputs!$B$8,0.01))))))</f>
        <v/>
      </c>
      <c r="S708" s="17" t="str">
        <f aca="false">IF($C708="","",IF(OR($E708="G",$E708="H"),0,IF($E708="T",1,MIN(1,MAX(0,($O708-Inputs!$B$8)/MAX($P708-Inputs!$B$8,0.01))))))</f>
        <v/>
      </c>
    </row>
    <row r="709" customFormat="false" ht="15" hidden="false" customHeight="false" outlineLevel="0" collapsed="false">
      <c r="I709" s="7" t="str">
        <f aca="false">IF($C709="","",IF($C709="G","PUTT",IF(AND($C709="T",$M709&gt;3),"OTT",IF($D709&lt;=30,"ARG","APP"))))</f>
        <v/>
      </c>
      <c r="J709" s="17" t="str">
        <f aca="false">IF($C709="","",$N709+$Q709*$R709)</f>
        <v/>
      </c>
      <c r="K709" s="17" t="str">
        <f aca="false">IF($C709="","",$O709+$Q709*$S709)</f>
        <v/>
      </c>
      <c r="L709" s="17" t="str">
        <f aca="false">IF($C709="","",$J709-$K709-1-N($G709))</f>
        <v/>
      </c>
      <c r="M709" s="7" t="str">
        <f aca="false">IF($B709="","",INDEX(Course!$B$2:$B$19,MATCH($B709,Course!$A$2:$A$19,0)))</f>
        <v/>
      </c>
      <c r="N709" s="17" t="str">
        <f aca="false">IF($C709="","",IF($C709="H",0,IF($C709="G",INDEX(Baseline!$I$3:$I$102,MIN(MAX(ROUND($D709,0),1),100)),IF($C709="T",IF($M709=3,INDEX(Baseline!$B$3:$B$122,MATCH(MIN(MAX(ROUND(($D709)/5,0)*5,5),600),Baseline!$A$3:$A$122,0))-Inputs!$B$9,INDEX(Course!$N$2:$N$19,MATCH($B709,Course!$A$2:$A$19,0))),INDEX(Baseline!$B$3:$E$122,MATCH(MIN(MAX(ROUND(($D709)/5,0)*5,5),600),Baseline!$A$3:$A$122,0),MATCH($C709,Baseline!$B$2:$E$2,0))))))</f>
        <v/>
      </c>
      <c r="O709" s="17" t="str">
        <f aca="false">IF($C709="","",IF($E709="H",0,IF($E709="G",INDEX(Baseline!$I$3:$I$102,MIN(MAX(ROUND($F709,0),1),100)),IF($E709="T",IF($M709=3,INDEX(Baseline!$B$3:$B$122,MATCH(MIN(MAX(ROUND(($F709)/5,0)*5,5),600),Baseline!$A$3:$A$122,0))-Inputs!$B$9,INDEX(Course!$N$2:$N$19,MATCH($B709,Course!$A$2:$A$19,0))),INDEX(Baseline!$B$3:$E$122,MATCH(MIN(MAX(ROUND(($F709)/5,0)*5,5),600),Baseline!$A$3:$A$122,0),MATCH($E709,Baseline!$B$2:$E$2,0))))))</f>
        <v/>
      </c>
      <c r="P709" s="17" t="str">
        <f aca="false">IF($B709="","",INDEX(Course!$N$2:$N$19,MATCH($B709,Course!$A$2:$A$19,0)))</f>
        <v/>
      </c>
      <c r="Q709" s="17" t="str">
        <f aca="false">IF($B709="","",INDEX(Course!$P$2:$P$19,MATCH($B709,Course!$A$2:$A$19,0)))</f>
        <v/>
      </c>
      <c r="R709" s="17" t="str">
        <f aca="false">IF($C709="","",IF(OR($C709="G",$C709="H"),0,IF($C709="T",1,MIN(1,MAX(0,($N709-Inputs!$B$8)/MAX($P709-Inputs!$B$8,0.01))))))</f>
        <v/>
      </c>
      <c r="S709" s="17" t="str">
        <f aca="false">IF($C709="","",IF(OR($E709="G",$E709="H"),0,IF($E709="T",1,MIN(1,MAX(0,($O709-Inputs!$B$8)/MAX($P709-Inputs!$B$8,0.01))))))</f>
        <v/>
      </c>
    </row>
    <row r="710" customFormat="false" ht="15" hidden="false" customHeight="false" outlineLevel="0" collapsed="false">
      <c r="I710" s="7" t="str">
        <f aca="false">IF($C710="","",IF($C710="G","PUTT",IF(AND($C710="T",$M710&gt;3),"OTT",IF($D710&lt;=30,"ARG","APP"))))</f>
        <v/>
      </c>
      <c r="J710" s="17" t="str">
        <f aca="false">IF($C710="","",$N710+$Q710*$R710)</f>
        <v/>
      </c>
      <c r="K710" s="17" t="str">
        <f aca="false">IF($C710="","",$O710+$Q710*$S710)</f>
        <v/>
      </c>
      <c r="L710" s="17" t="str">
        <f aca="false">IF($C710="","",$J710-$K710-1-N($G710))</f>
        <v/>
      </c>
      <c r="M710" s="7" t="str">
        <f aca="false">IF($B710="","",INDEX(Course!$B$2:$B$19,MATCH($B710,Course!$A$2:$A$19,0)))</f>
        <v/>
      </c>
      <c r="N710" s="17" t="str">
        <f aca="false">IF($C710="","",IF($C710="H",0,IF($C710="G",INDEX(Baseline!$I$3:$I$102,MIN(MAX(ROUND($D710,0),1),100)),IF($C710="T",IF($M710=3,INDEX(Baseline!$B$3:$B$122,MATCH(MIN(MAX(ROUND(($D710)/5,0)*5,5),600),Baseline!$A$3:$A$122,0))-Inputs!$B$9,INDEX(Course!$N$2:$N$19,MATCH($B710,Course!$A$2:$A$19,0))),INDEX(Baseline!$B$3:$E$122,MATCH(MIN(MAX(ROUND(($D710)/5,0)*5,5),600),Baseline!$A$3:$A$122,0),MATCH($C710,Baseline!$B$2:$E$2,0))))))</f>
        <v/>
      </c>
      <c r="O710" s="17" t="str">
        <f aca="false">IF($C710="","",IF($E710="H",0,IF($E710="G",INDEX(Baseline!$I$3:$I$102,MIN(MAX(ROUND($F710,0),1),100)),IF($E710="T",IF($M710=3,INDEX(Baseline!$B$3:$B$122,MATCH(MIN(MAX(ROUND(($F710)/5,0)*5,5),600),Baseline!$A$3:$A$122,0))-Inputs!$B$9,INDEX(Course!$N$2:$N$19,MATCH($B710,Course!$A$2:$A$19,0))),INDEX(Baseline!$B$3:$E$122,MATCH(MIN(MAX(ROUND(($F710)/5,0)*5,5),600),Baseline!$A$3:$A$122,0),MATCH($E710,Baseline!$B$2:$E$2,0))))))</f>
        <v/>
      </c>
      <c r="P710" s="17" t="str">
        <f aca="false">IF($B710="","",INDEX(Course!$N$2:$N$19,MATCH($B710,Course!$A$2:$A$19,0)))</f>
        <v/>
      </c>
      <c r="Q710" s="17" t="str">
        <f aca="false">IF($B710="","",INDEX(Course!$P$2:$P$19,MATCH($B710,Course!$A$2:$A$19,0)))</f>
        <v/>
      </c>
      <c r="R710" s="17" t="str">
        <f aca="false">IF($C710="","",IF(OR($C710="G",$C710="H"),0,IF($C710="T",1,MIN(1,MAX(0,($N710-Inputs!$B$8)/MAX($P710-Inputs!$B$8,0.01))))))</f>
        <v/>
      </c>
      <c r="S710" s="17" t="str">
        <f aca="false">IF($C710="","",IF(OR($E710="G",$E710="H"),0,IF($E710="T",1,MIN(1,MAX(0,($O710-Inputs!$B$8)/MAX($P710-Inputs!$B$8,0.01))))))</f>
        <v/>
      </c>
    </row>
    <row r="711" customFormat="false" ht="15" hidden="false" customHeight="false" outlineLevel="0" collapsed="false">
      <c r="I711" s="7" t="str">
        <f aca="false">IF($C711="","",IF($C711="G","PUTT",IF(AND($C711="T",$M711&gt;3),"OTT",IF($D711&lt;=30,"ARG","APP"))))</f>
        <v/>
      </c>
      <c r="J711" s="17" t="str">
        <f aca="false">IF($C711="","",$N711+$Q711*$R711)</f>
        <v/>
      </c>
      <c r="K711" s="17" t="str">
        <f aca="false">IF($C711="","",$O711+$Q711*$S711)</f>
        <v/>
      </c>
      <c r="L711" s="17" t="str">
        <f aca="false">IF($C711="","",$J711-$K711-1-N($G711))</f>
        <v/>
      </c>
      <c r="M711" s="7" t="str">
        <f aca="false">IF($B711="","",INDEX(Course!$B$2:$B$19,MATCH($B711,Course!$A$2:$A$19,0)))</f>
        <v/>
      </c>
      <c r="N711" s="17" t="str">
        <f aca="false">IF($C711="","",IF($C711="H",0,IF($C711="G",INDEX(Baseline!$I$3:$I$102,MIN(MAX(ROUND($D711,0),1),100)),IF($C711="T",IF($M711=3,INDEX(Baseline!$B$3:$B$122,MATCH(MIN(MAX(ROUND(($D711)/5,0)*5,5),600),Baseline!$A$3:$A$122,0))-Inputs!$B$9,INDEX(Course!$N$2:$N$19,MATCH($B711,Course!$A$2:$A$19,0))),INDEX(Baseline!$B$3:$E$122,MATCH(MIN(MAX(ROUND(($D711)/5,0)*5,5),600),Baseline!$A$3:$A$122,0),MATCH($C711,Baseline!$B$2:$E$2,0))))))</f>
        <v/>
      </c>
      <c r="O711" s="17" t="str">
        <f aca="false">IF($C711="","",IF($E711="H",0,IF($E711="G",INDEX(Baseline!$I$3:$I$102,MIN(MAX(ROUND($F711,0),1),100)),IF($E711="T",IF($M711=3,INDEX(Baseline!$B$3:$B$122,MATCH(MIN(MAX(ROUND(($F711)/5,0)*5,5),600),Baseline!$A$3:$A$122,0))-Inputs!$B$9,INDEX(Course!$N$2:$N$19,MATCH($B711,Course!$A$2:$A$19,0))),INDEX(Baseline!$B$3:$E$122,MATCH(MIN(MAX(ROUND(($F711)/5,0)*5,5),600),Baseline!$A$3:$A$122,0),MATCH($E711,Baseline!$B$2:$E$2,0))))))</f>
        <v/>
      </c>
      <c r="P711" s="17" t="str">
        <f aca="false">IF($B711="","",INDEX(Course!$N$2:$N$19,MATCH($B711,Course!$A$2:$A$19,0)))</f>
        <v/>
      </c>
      <c r="Q711" s="17" t="str">
        <f aca="false">IF($B711="","",INDEX(Course!$P$2:$P$19,MATCH($B711,Course!$A$2:$A$19,0)))</f>
        <v/>
      </c>
      <c r="R711" s="17" t="str">
        <f aca="false">IF($C711="","",IF(OR($C711="G",$C711="H"),0,IF($C711="T",1,MIN(1,MAX(0,($N711-Inputs!$B$8)/MAX($P711-Inputs!$B$8,0.01))))))</f>
        <v/>
      </c>
      <c r="S711" s="17" t="str">
        <f aca="false">IF($C711="","",IF(OR($E711="G",$E711="H"),0,IF($E711="T",1,MIN(1,MAX(0,($O711-Inputs!$B$8)/MAX($P711-Inputs!$B$8,0.01))))))</f>
        <v/>
      </c>
    </row>
    <row r="712" customFormat="false" ht="15" hidden="false" customHeight="false" outlineLevel="0" collapsed="false">
      <c r="I712" s="7" t="str">
        <f aca="false">IF($C712="","",IF($C712="G","PUTT",IF(AND($C712="T",$M712&gt;3),"OTT",IF($D712&lt;=30,"ARG","APP"))))</f>
        <v/>
      </c>
      <c r="J712" s="17" t="str">
        <f aca="false">IF($C712="","",$N712+$Q712*$R712)</f>
        <v/>
      </c>
      <c r="K712" s="17" t="str">
        <f aca="false">IF($C712="","",$O712+$Q712*$S712)</f>
        <v/>
      </c>
      <c r="L712" s="17" t="str">
        <f aca="false">IF($C712="","",$J712-$K712-1-N($G712))</f>
        <v/>
      </c>
      <c r="M712" s="7" t="str">
        <f aca="false">IF($B712="","",INDEX(Course!$B$2:$B$19,MATCH($B712,Course!$A$2:$A$19,0)))</f>
        <v/>
      </c>
      <c r="N712" s="17" t="str">
        <f aca="false">IF($C712="","",IF($C712="H",0,IF($C712="G",INDEX(Baseline!$I$3:$I$102,MIN(MAX(ROUND($D712,0),1),100)),IF($C712="T",IF($M712=3,INDEX(Baseline!$B$3:$B$122,MATCH(MIN(MAX(ROUND(($D712)/5,0)*5,5),600),Baseline!$A$3:$A$122,0))-Inputs!$B$9,INDEX(Course!$N$2:$N$19,MATCH($B712,Course!$A$2:$A$19,0))),INDEX(Baseline!$B$3:$E$122,MATCH(MIN(MAX(ROUND(($D712)/5,0)*5,5),600),Baseline!$A$3:$A$122,0),MATCH($C712,Baseline!$B$2:$E$2,0))))))</f>
        <v/>
      </c>
      <c r="O712" s="17" t="str">
        <f aca="false">IF($C712="","",IF($E712="H",0,IF($E712="G",INDEX(Baseline!$I$3:$I$102,MIN(MAX(ROUND($F712,0),1),100)),IF($E712="T",IF($M712=3,INDEX(Baseline!$B$3:$B$122,MATCH(MIN(MAX(ROUND(($F712)/5,0)*5,5),600),Baseline!$A$3:$A$122,0))-Inputs!$B$9,INDEX(Course!$N$2:$N$19,MATCH($B712,Course!$A$2:$A$19,0))),INDEX(Baseline!$B$3:$E$122,MATCH(MIN(MAX(ROUND(($F712)/5,0)*5,5),600),Baseline!$A$3:$A$122,0),MATCH($E712,Baseline!$B$2:$E$2,0))))))</f>
        <v/>
      </c>
      <c r="P712" s="17" t="str">
        <f aca="false">IF($B712="","",INDEX(Course!$N$2:$N$19,MATCH($B712,Course!$A$2:$A$19,0)))</f>
        <v/>
      </c>
      <c r="Q712" s="17" t="str">
        <f aca="false">IF($B712="","",INDEX(Course!$P$2:$P$19,MATCH($B712,Course!$A$2:$A$19,0)))</f>
        <v/>
      </c>
      <c r="R712" s="17" t="str">
        <f aca="false">IF($C712="","",IF(OR($C712="G",$C712="H"),0,IF($C712="T",1,MIN(1,MAX(0,($N712-Inputs!$B$8)/MAX($P712-Inputs!$B$8,0.01))))))</f>
        <v/>
      </c>
      <c r="S712" s="17" t="str">
        <f aca="false">IF($C712="","",IF(OR($E712="G",$E712="H"),0,IF($E712="T",1,MIN(1,MAX(0,($O712-Inputs!$B$8)/MAX($P712-Inputs!$B$8,0.01))))))</f>
        <v/>
      </c>
    </row>
    <row r="713" customFormat="false" ht="15" hidden="false" customHeight="false" outlineLevel="0" collapsed="false">
      <c r="I713" s="7" t="str">
        <f aca="false">IF($C713="","",IF($C713="G","PUTT",IF(AND($C713="T",$M713&gt;3),"OTT",IF($D713&lt;=30,"ARG","APP"))))</f>
        <v/>
      </c>
      <c r="J713" s="17" t="str">
        <f aca="false">IF($C713="","",$N713+$Q713*$R713)</f>
        <v/>
      </c>
      <c r="K713" s="17" t="str">
        <f aca="false">IF($C713="","",$O713+$Q713*$S713)</f>
        <v/>
      </c>
      <c r="L713" s="17" t="str">
        <f aca="false">IF($C713="","",$J713-$K713-1-N($G713))</f>
        <v/>
      </c>
      <c r="M713" s="7" t="str">
        <f aca="false">IF($B713="","",INDEX(Course!$B$2:$B$19,MATCH($B713,Course!$A$2:$A$19,0)))</f>
        <v/>
      </c>
      <c r="N713" s="17" t="str">
        <f aca="false">IF($C713="","",IF($C713="H",0,IF($C713="G",INDEX(Baseline!$I$3:$I$102,MIN(MAX(ROUND($D713,0),1),100)),IF($C713="T",IF($M713=3,INDEX(Baseline!$B$3:$B$122,MATCH(MIN(MAX(ROUND(($D713)/5,0)*5,5),600),Baseline!$A$3:$A$122,0))-Inputs!$B$9,INDEX(Course!$N$2:$N$19,MATCH($B713,Course!$A$2:$A$19,0))),INDEX(Baseline!$B$3:$E$122,MATCH(MIN(MAX(ROUND(($D713)/5,0)*5,5),600),Baseline!$A$3:$A$122,0),MATCH($C713,Baseline!$B$2:$E$2,0))))))</f>
        <v/>
      </c>
      <c r="O713" s="17" t="str">
        <f aca="false">IF($C713="","",IF($E713="H",0,IF($E713="G",INDEX(Baseline!$I$3:$I$102,MIN(MAX(ROUND($F713,0),1),100)),IF($E713="T",IF($M713=3,INDEX(Baseline!$B$3:$B$122,MATCH(MIN(MAX(ROUND(($F713)/5,0)*5,5),600),Baseline!$A$3:$A$122,0))-Inputs!$B$9,INDEX(Course!$N$2:$N$19,MATCH($B713,Course!$A$2:$A$19,0))),INDEX(Baseline!$B$3:$E$122,MATCH(MIN(MAX(ROUND(($F713)/5,0)*5,5),600),Baseline!$A$3:$A$122,0),MATCH($E713,Baseline!$B$2:$E$2,0))))))</f>
        <v/>
      </c>
      <c r="P713" s="17" t="str">
        <f aca="false">IF($B713="","",INDEX(Course!$N$2:$N$19,MATCH($B713,Course!$A$2:$A$19,0)))</f>
        <v/>
      </c>
      <c r="Q713" s="17" t="str">
        <f aca="false">IF($B713="","",INDEX(Course!$P$2:$P$19,MATCH($B713,Course!$A$2:$A$19,0)))</f>
        <v/>
      </c>
      <c r="R713" s="17" t="str">
        <f aca="false">IF($C713="","",IF(OR($C713="G",$C713="H"),0,IF($C713="T",1,MIN(1,MAX(0,($N713-Inputs!$B$8)/MAX($P713-Inputs!$B$8,0.01))))))</f>
        <v/>
      </c>
      <c r="S713" s="17" t="str">
        <f aca="false">IF($C713="","",IF(OR($E713="G",$E713="H"),0,IF($E713="T",1,MIN(1,MAX(0,($O713-Inputs!$B$8)/MAX($P713-Inputs!$B$8,0.01))))))</f>
        <v/>
      </c>
    </row>
    <row r="714" customFormat="false" ht="15" hidden="false" customHeight="false" outlineLevel="0" collapsed="false">
      <c r="I714" s="7" t="str">
        <f aca="false">IF($C714="","",IF($C714="G","PUTT",IF(AND($C714="T",$M714&gt;3),"OTT",IF($D714&lt;=30,"ARG","APP"))))</f>
        <v/>
      </c>
      <c r="J714" s="17" t="str">
        <f aca="false">IF($C714="","",$N714+$Q714*$R714)</f>
        <v/>
      </c>
      <c r="K714" s="17" t="str">
        <f aca="false">IF($C714="","",$O714+$Q714*$S714)</f>
        <v/>
      </c>
      <c r="L714" s="17" t="str">
        <f aca="false">IF($C714="","",$J714-$K714-1-N($G714))</f>
        <v/>
      </c>
      <c r="M714" s="7" t="str">
        <f aca="false">IF($B714="","",INDEX(Course!$B$2:$B$19,MATCH($B714,Course!$A$2:$A$19,0)))</f>
        <v/>
      </c>
      <c r="N714" s="17" t="str">
        <f aca="false">IF($C714="","",IF($C714="H",0,IF($C714="G",INDEX(Baseline!$I$3:$I$102,MIN(MAX(ROUND($D714,0),1),100)),IF($C714="T",IF($M714=3,INDEX(Baseline!$B$3:$B$122,MATCH(MIN(MAX(ROUND(($D714)/5,0)*5,5),600),Baseline!$A$3:$A$122,0))-Inputs!$B$9,INDEX(Course!$N$2:$N$19,MATCH($B714,Course!$A$2:$A$19,0))),INDEX(Baseline!$B$3:$E$122,MATCH(MIN(MAX(ROUND(($D714)/5,0)*5,5),600),Baseline!$A$3:$A$122,0),MATCH($C714,Baseline!$B$2:$E$2,0))))))</f>
        <v/>
      </c>
      <c r="O714" s="17" t="str">
        <f aca="false">IF($C714="","",IF($E714="H",0,IF($E714="G",INDEX(Baseline!$I$3:$I$102,MIN(MAX(ROUND($F714,0),1),100)),IF($E714="T",IF($M714=3,INDEX(Baseline!$B$3:$B$122,MATCH(MIN(MAX(ROUND(($F714)/5,0)*5,5),600),Baseline!$A$3:$A$122,0))-Inputs!$B$9,INDEX(Course!$N$2:$N$19,MATCH($B714,Course!$A$2:$A$19,0))),INDEX(Baseline!$B$3:$E$122,MATCH(MIN(MAX(ROUND(($F714)/5,0)*5,5),600),Baseline!$A$3:$A$122,0),MATCH($E714,Baseline!$B$2:$E$2,0))))))</f>
        <v/>
      </c>
      <c r="P714" s="17" t="str">
        <f aca="false">IF($B714="","",INDEX(Course!$N$2:$N$19,MATCH($B714,Course!$A$2:$A$19,0)))</f>
        <v/>
      </c>
      <c r="Q714" s="17" t="str">
        <f aca="false">IF($B714="","",INDEX(Course!$P$2:$P$19,MATCH($B714,Course!$A$2:$A$19,0)))</f>
        <v/>
      </c>
      <c r="R714" s="17" t="str">
        <f aca="false">IF($C714="","",IF(OR($C714="G",$C714="H"),0,IF($C714="T",1,MIN(1,MAX(0,($N714-Inputs!$B$8)/MAX($P714-Inputs!$B$8,0.01))))))</f>
        <v/>
      </c>
      <c r="S714" s="17" t="str">
        <f aca="false">IF($C714="","",IF(OR($E714="G",$E714="H"),0,IF($E714="T",1,MIN(1,MAX(0,($O714-Inputs!$B$8)/MAX($P714-Inputs!$B$8,0.01))))))</f>
        <v/>
      </c>
    </row>
    <row r="715" customFormat="false" ht="15" hidden="false" customHeight="false" outlineLevel="0" collapsed="false">
      <c r="I715" s="7" t="str">
        <f aca="false">IF($C715="","",IF($C715="G","PUTT",IF(AND($C715="T",$M715&gt;3),"OTT",IF($D715&lt;=30,"ARG","APP"))))</f>
        <v/>
      </c>
      <c r="J715" s="17" t="str">
        <f aca="false">IF($C715="","",$N715+$Q715*$R715)</f>
        <v/>
      </c>
      <c r="K715" s="17" t="str">
        <f aca="false">IF($C715="","",$O715+$Q715*$S715)</f>
        <v/>
      </c>
      <c r="L715" s="17" t="str">
        <f aca="false">IF($C715="","",$J715-$K715-1-N($G715))</f>
        <v/>
      </c>
      <c r="M715" s="7" t="str">
        <f aca="false">IF($B715="","",INDEX(Course!$B$2:$B$19,MATCH($B715,Course!$A$2:$A$19,0)))</f>
        <v/>
      </c>
      <c r="N715" s="17" t="str">
        <f aca="false">IF($C715="","",IF($C715="H",0,IF($C715="G",INDEX(Baseline!$I$3:$I$102,MIN(MAX(ROUND($D715,0),1),100)),IF($C715="T",IF($M715=3,INDEX(Baseline!$B$3:$B$122,MATCH(MIN(MAX(ROUND(($D715)/5,0)*5,5),600),Baseline!$A$3:$A$122,0))-Inputs!$B$9,INDEX(Course!$N$2:$N$19,MATCH($B715,Course!$A$2:$A$19,0))),INDEX(Baseline!$B$3:$E$122,MATCH(MIN(MAX(ROUND(($D715)/5,0)*5,5),600),Baseline!$A$3:$A$122,0),MATCH($C715,Baseline!$B$2:$E$2,0))))))</f>
        <v/>
      </c>
      <c r="O715" s="17" t="str">
        <f aca="false">IF($C715="","",IF($E715="H",0,IF($E715="G",INDEX(Baseline!$I$3:$I$102,MIN(MAX(ROUND($F715,0),1),100)),IF($E715="T",IF($M715=3,INDEX(Baseline!$B$3:$B$122,MATCH(MIN(MAX(ROUND(($F715)/5,0)*5,5),600),Baseline!$A$3:$A$122,0))-Inputs!$B$9,INDEX(Course!$N$2:$N$19,MATCH($B715,Course!$A$2:$A$19,0))),INDEX(Baseline!$B$3:$E$122,MATCH(MIN(MAX(ROUND(($F715)/5,0)*5,5),600),Baseline!$A$3:$A$122,0),MATCH($E715,Baseline!$B$2:$E$2,0))))))</f>
        <v/>
      </c>
      <c r="P715" s="17" t="str">
        <f aca="false">IF($B715="","",INDEX(Course!$N$2:$N$19,MATCH($B715,Course!$A$2:$A$19,0)))</f>
        <v/>
      </c>
      <c r="Q715" s="17" t="str">
        <f aca="false">IF($B715="","",INDEX(Course!$P$2:$P$19,MATCH($B715,Course!$A$2:$A$19,0)))</f>
        <v/>
      </c>
      <c r="R715" s="17" t="str">
        <f aca="false">IF($C715="","",IF(OR($C715="G",$C715="H"),0,IF($C715="T",1,MIN(1,MAX(0,($N715-Inputs!$B$8)/MAX($P715-Inputs!$B$8,0.01))))))</f>
        <v/>
      </c>
      <c r="S715" s="17" t="str">
        <f aca="false">IF($C715="","",IF(OR($E715="G",$E715="H"),0,IF($E715="T",1,MIN(1,MAX(0,($O715-Inputs!$B$8)/MAX($P715-Inputs!$B$8,0.01))))))</f>
        <v/>
      </c>
    </row>
    <row r="716" customFormat="false" ht="15" hidden="false" customHeight="false" outlineLevel="0" collapsed="false">
      <c r="I716" s="7" t="str">
        <f aca="false">IF($C716="","",IF($C716="G","PUTT",IF(AND($C716="T",$M716&gt;3),"OTT",IF($D716&lt;=30,"ARG","APP"))))</f>
        <v/>
      </c>
      <c r="J716" s="17" t="str">
        <f aca="false">IF($C716="","",$N716+$Q716*$R716)</f>
        <v/>
      </c>
      <c r="K716" s="17" t="str">
        <f aca="false">IF($C716="","",$O716+$Q716*$S716)</f>
        <v/>
      </c>
      <c r="L716" s="17" t="str">
        <f aca="false">IF($C716="","",$J716-$K716-1-N($G716))</f>
        <v/>
      </c>
      <c r="M716" s="7" t="str">
        <f aca="false">IF($B716="","",INDEX(Course!$B$2:$B$19,MATCH($B716,Course!$A$2:$A$19,0)))</f>
        <v/>
      </c>
      <c r="N716" s="17" t="str">
        <f aca="false">IF($C716="","",IF($C716="H",0,IF($C716="G",INDEX(Baseline!$I$3:$I$102,MIN(MAX(ROUND($D716,0),1),100)),IF($C716="T",IF($M716=3,INDEX(Baseline!$B$3:$B$122,MATCH(MIN(MAX(ROUND(($D716)/5,0)*5,5),600),Baseline!$A$3:$A$122,0))-Inputs!$B$9,INDEX(Course!$N$2:$N$19,MATCH($B716,Course!$A$2:$A$19,0))),INDEX(Baseline!$B$3:$E$122,MATCH(MIN(MAX(ROUND(($D716)/5,0)*5,5),600),Baseline!$A$3:$A$122,0),MATCH($C716,Baseline!$B$2:$E$2,0))))))</f>
        <v/>
      </c>
      <c r="O716" s="17" t="str">
        <f aca="false">IF($C716="","",IF($E716="H",0,IF($E716="G",INDEX(Baseline!$I$3:$I$102,MIN(MAX(ROUND($F716,0),1),100)),IF($E716="T",IF($M716=3,INDEX(Baseline!$B$3:$B$122,MATCH(MIN(MAX(ROUND(($F716)/5,0)*5,5),600),Baseline!$A$3:$A$122,0))-Inputs!$B$9,INDEX(Course!$N$2:$N$19,MATCH($B716,Course!$A$2:$A$19,0))),INDEX(Baseline!$B$3:$E$122,MATCH(MIN(MAX(ROUND(($F716)/5,0)*5,5),600),Baseline!$A$3:$A$122,0),MATCH($E716,Baseline!$B$2:$E$2,0))))))</f>
        <v/>
      </c>
      <c r="P716" s="17" t="str">
        <f aca="false">IF($B716="","",INDEX(Course!$N$2:$N$19,MATCH($B716,Course!$A$2:$A$19,0)))</f>
        <v/>
      </c>
      <c r="Q716" s="17" t="str">
        <f aca="false">IF($B716="","",INDEX(Course!$P$2:$P$19,MATCH($B716,Course!$A$2:$A$19,0)))</f>
        <v/>
      </c>
      <c r="R716" s="17" t="str">
        <f aca="false">IF($C716="","",IF(OR($C716="G",$C716="H"),0,IF($C716="T",1,MIN(1,MAX(0,($N716-Inputs!$B$8)/MAX($P716-Inputs!$B$8,0.01))))))</f>
        <v/>
      </c>
      <c r="S716" s="17" t="str">
        <f aca="false">IF($C716="","",IF(OR($E716="G",$E716="H"),0,IF($E716="T",1,MIN(1,MAX(0,($O716-Inputs!$B$8)/MAX($P716-Inputs!$B$8,0.01))))))</f>
        <v/>
      </c>
    </row>
    <row r="717" customFormat="false" ht="15" hidden="false" customHeight="false" outlineLevel="0" collapsed="false">
      <c r="I717" s="7" t="str">
        <f aca="false">IF($C717="","",IF($C717="G","PUTT",IF(AND($C717="T",$M717&gt;3),"OTT",IF($D717&lt;=30,"ARG","APP"))))</f>
        <v/>
      </c>
      <c r="J717" s="17" t="str">
        <f aca="false">IF($C717="","",$N717+$Q717*$R717)</f>
        <v/>
      </c>
      <c r="K717" s="17" t="str">
        <f aca="false">IF($C717="","",$O717+$Q717*$S717)</f>
        <v/>
      </c>
      <c r="L717" s="17" t="str">
        <f aca="false">IF($C717="","",$J717-$K717-1-N($G717))</f>
        <v/>
      </c>
      <c r="M717" s="7" t="str">
        <f aca="false">IF($B717="","",INDEX(Course!$B$2:$B$19,MATCH($B717,Course!$A$2:$A$19,0)))</f>
        <v/>
      </c>
      <c r="N717" s="17" t="str">
        <f aca="false">IF($C717="","",IF($C717="H",0,IF($C717="G",INDEX(Baseline!$I$3:$I$102,MIN(MAX(ROUND($D717,0),1),100)),IF($C717="T",IF($M717=3,INDEX(Baseline!$B$3:$B$122,MATCH(MIN(MAX(ROUND(($D717)/5,0)*5,5),600),Baseline!$A$3:$A$122,0))-Inputs!$B$9,INDEX(Course!$N$2:$N$19,MATCH($B717,Course!$A$2:$A$19,0))),INDEX(Baseline!$B$3:$E$122,MATCH(MIN(MAX(ROUND(($D717)/5,0)*5,5),600),Baseline!$A$3:$A$122,0),MATCH($C717,Baseline!$B$2:$E$2,0))))))</f>
        <v/>
      </c>
      <c r="O717" s="17" t="str">
        <f aca="false">IF($C717="","",IF($E717="H",0,IF($E717="G",INDEX(Baseline!$I$3:$I$102,MIN(MAX(ROUND($F717,0),1),100)),IF($E717="T",IF($M717=3,INDEX(Baseline!$B$3:$B$122,MATCH(MIN(MAX(ROUND(($F717)/5,0)*5,5),600),Baseline!$A$3:$A$122,0))-Inputs!$B$9,INDEX(Course!$N$2:$N$19,MATCH($B717,Course!$A$2:$A$19,0))),INDEX(Baseline!$B$3:$E$122,MATCH(MIN(MAX(ROUND(($F717)/5,0)*5,5),600),Baseline!$A$3:$A$122,0),MATCH($E717,Baseline!$B$2:$E$2,0))))))</f>
        <v/>
      </c>
      <c r="P717" s="17" t="str">
        <f aca="false">IF($B717="","",INDEX(Course!$N$2:$N$19,MATCH($B717,Course!$A$2:$A$19,0)))</f>
        <v/>
      </c>
      <c r="Q717" s="17" t="str">
        <f aca="false">IF($B717="","",INDEX(Course!$P$2:$P$19,MATCH($B717,Course!$A$2:$A$19,0)))</f>
        <v/>
      </c>
      <c r="R717" s="17" t="str">
        <f aca="false">IF($C717="","",IF(OR($C717="G",$C717="H"),0,IF($C717="T",1,MIN(1,MAX(0,($N717-Inputs!$B$8)/MAX($P717-Inputs!$B$8,0.01))))))</f>
        <v/>
      </c>
      <c r="S717" s="17" t="str">
        <f aca="false">IF($C717="","",IF(OR($E717="G",$E717="H"),0,IF($E717="T",1,MIN(1,MAX(0,($O717-Inputs!$B$8)/MAX($P717-Inputs!$B$8,0.01))))))</f>
        <v/>
      </c>
    </row>
    <row r="718" customFormat="false" ht="15" hidden="false" customHeight="false" outlineLevel="0" collapsed="false">
      <c r="I718" s="7" t="str">
        <f aca="false">IF($C718="","",IF($C718="G","PUTT",IF(AND($C718="T",$M718&gt;3),"OTT",IF($D718&lt;=30,"ARG","APP"))))</f>
        <v/>
      </c>
      <c r="J718" s="17" t="str">
        <f aca="false">IF($C718="","",$N718+$Q718*$R718)</f>
        <v/>
      </c>
      <c r="K718" s="17" t="str">
        <f aca="false">IF($C718="","",$O718+$Q718*$S718)</f>
        <v/>
      </c>
      <c r="L718" s="17" t="str">
        <f aca="false">IF($C718="","",$J718-$K718-1-N($G718))</f>
        <v/>
      </c>
      <c r="M718" s="7" t="str">
        <f aca="false">IF($B718="","",INDEX(Course!$B$2:$B$19,MATCH($B718,Course!$A$2:$A$19,0)))</f>
        <v/>
      </c>
      <c r="N718" s="17" t="str">
        <f aca="false">IF($C718="","",IF($C718="H",0,IF($C718="G",INDEX(Baseline!$I$3:$I$102,MIN(MAX(ROUND($D718,0),1),100)),IF($C718="T",IF($M718=3,INDEX(Baseline!$B$3:$B$122,MATCH(MIN(MAX(ROUND(($D718)/5,0)*5,5),600),Baseline!$A$3:$A$122,0))-Inputs!$B$9,INDEX(Course!$N$2:$N$19,MATCH($B718,Course!$A$2:$A$19,0))),INDEX(Baseline!$B$3:$E$122,MATCH(MIN(MAX(ROUND(($D718)/5,0)*5,5),600),Baseline!$A$3:$A$122,0),MATCH($C718,Baseline!$B$2:$E$2,0))))))</f>
        <v/>
      </c>
      <c r="O718" s="17" t="str">
        <f aca="false">IF($C718="","",IF($E718="H",0,IF($E718="G",INDEX(Baseline!$I$3:$I$102,MIN(MAX(ROUND($F718,0),1),100)),IF($E718="T",IF($M718=3,INDEX(Baseline!$B$3:$B$122,MATCH(MIN(MAX(ROUND(($F718)/5,0)*5,5),600),Baseline!$A$3:$A$122,0))-Inputs!$B$9,INDEX(Course!$N$2:$N$19,MATCH($B718,Course!$A$2:$A$19,0))),INDEX(Baseline!$B$3:$E$122,MATCH(MIN(MAX(ROUND(($F718)/5,0)*5,5),600),Baseline!$A$3:$A$122,0),MATCH($E718,Baseline!$B$2:$E$2,0))))))</f>
        <v/>
      </c>
      <c r="P718" s="17" t="str">
        <f aca="false">IF($B718="","",INDEX(Course!$N$2:$N$19,MATCH($B718,Course!$A$2:$A$19,0)))</f>
        <v/>
      </c>
      <c r="Q718" s="17" t="str">
        <f aca="false">IF($B718="","",INDEX(Course!$P$2:$P$19,MATCH($B718,Course!$A$2:$A$19,0)))</f>
        <v/>
      </c>
      <c r="R718" s="17" t="str">
        <f aca="false">IF($C718="","",IF(OR($C718="G",$C718="H"),0,IF($C718="T",1,MIN(1,MAX(0,($N718-Inputs!$B$8)/MAX($P718-Inputs!$B$8,0.01))))))</f>
        <v/>
      </c>
      <c r="S718" s="17" t="str">
        <f aca="false">IF($C718="","",IF(OR($E718="G",$E718="H"),0,IF($E718="T",1,MIN(1,MAX(0,($O718-Inputs!$B$8)/MAX($P718-Inputs!$B$8,0.01))))))</f>
        <v/>
      </c>
    </row>
    <row r="719" customFormat="false" ht="15" hidden="false" customHeight="false" outlineLevel="0" collapsed="false">
      <c r="I719" s="7" t="str">
        <f aca="false">IF($C719="","",IF($C719="G","PUTT",IF(AND($C719="T",$M719&gt;3),"OTT",IF($D719&lt;=30,"ARG","APP"))))</f>
        <v/>
      </c>
      <c r="J719" s="17" t="str">
        <f aca="false">IF($C719="","",$N719+$Q719*$R719)</f>
        <v/>
      </c>
      <c r="K719" s="17" t="str">
        <f aca="false">IF($C719="","",$O719+$Q719*$S719)</f>
        <v/>
      </c>
      <c r="L719" s="17" t="str">
        <f aca="false">IF($C719="","",$J719-$K719-1-N($G719))</f>
        <v/>
      </c>
      <c r="M719" s="7" t="str">
        <f aca="false">IF($B719="","",INDEX(Course!$B$2:$B$19,MATCH($B719,Course!$A$2:$A$19,0)))</f>
        <v/>
      </c>
      <c r="N719" s="17" t="str">
        <f aca="false">IF($C719="","",IF($C719="H",0,IF($C719="G",INDEX(Baseline!$I$3:$I$102,MIN(MAX(ROUND($D719,0),1),100)),IF($C719="T",IF($M719=3,INDEX(Baseline!$B$3:$B$122,MATCH(MIN(MAX(ROUND(($D719)/5,0)*5,5),600),Baseline!$A$3:$A$122,0))-Inputs!$B$9,INDEX(Course!$N$2:$N$19,MATCH($B719,Course!$A$2:$A$19,0))),INDEX(Baseline!$B$3:$E$122,MATCH(MIN(MAX(ROUND(($D719)/5,0)*5,5),600),Baseline!$A$3:$A$122,0),MATCH($C719,Baseline!$B$2:$E$2,0))))))</f>
        <v/>
      </c>
      <c r="O719" s="17" t="str">
        <f aca="false">IF($C719="","",IF($E719="H",0,IF($E719="G",INDEX(Baseline!$I$3:$I$102,MIN(MAX(ROUND($F719,0),1),100)),IF($E719="T",IF($M719=3,INDEX(Baseline!$B$3:$B$122,MATCH(MIN(MAX(ROUND(($F719)/5,0)*5,5),600),Baseline!$A$3:$A$122,0))-Inputs!$B$9,INDEX(Course!$N$2:$N$19,MATCH($B719,Course!$A$2:$A$19,0))),INDEX(Baseline!$B$3:$E$122,MATCH(MIN(MAX(ROUND(($F719)/5,0)*5,5),600),Baseline!$A$3:$A$122,0),MATCH($E719,Baseline!$B$2:$E$2,0))))))</f>
        <v/>
      </c>
      <c r="P719" s="17" t="str">
        <f aca="false">IF($B719="","",INDEX(Course!$N$2:$N$19,MATCH($B719,Course!$A$2:$A$19,0)))</f>
        <v/>
      </c>
      <c r="Q719" s="17" t="str">
        <f aca="false">IF($B719="","",INDEX(Course!$P$2:$P$19,MATCH($B719,Course!$A$2:$A$19,0)))</f>
        <v/>
      </c>
      <c r="R719" s="17" t="str">
        <f aca="false">IF($C719="","",IF(OR($C719="G",$C719="H"),0,IF($C719="T",1,MIN(1,MAX(0,($N719-Inputs!$B$8)/MAX($P719-Inputs!$B$8,0.01))))))</f>
        <v/>
      </c>
      <c r="S719" s="17" t="str">
        <f aca="false">IF($C719="","",IF(OR($E719="G",$E719="H"),0,IF($E719="T",1,MIN(1,MAX(0,($O719-Inputs!$B$8)/MAX($P719-Inputs!$B$8,0.01))))))</f>
        <v/>
      </c>
    </row>
    <row r="720" customFormat="false" ht="15" hidden="false" customHeight="false" outlineLevel="0" collapsed="false">
      <c r="I720" s="7" t="str">
        <f aca="false">IF($C720="","",IF($C720="G","PUTT",IF(AND($C720="T",$M720&gt;3),"OTT",IF($D720&lt;=30,"ARG","APP"))))</f>
        <v/>
      </c>
      <c r="J720" s="17" t="str">
        <f aca="false">IF($C720="","",$N720+$Q720*$R720)</f>
        <v/>
      </c>
      <c r="K720" s="17" t="str">
        <f aca="false">IF($C720="","",$O720+$Q720*$S720)</f>
        <v/>
      </c>
      <c r="L720" s="17" t="str">
        <f aca="false">IF($C720="","",$J720-$K720-1-N($G720))</f>
        <v/>
      </c>
      <c r="M720" s="7" t="str">
        <f aca="false">IF($B720="","",INDEX(Course!$B$2:$B$19,MATCH($B720,Course!$A$2:$A$19,0)))</f>
        <v/>
      </c>
      <c r="N720" s="17" t="str">
        <f aca="false">IF($C720="","",IF($C720="H",0,IF($C720="G",INDEX(Baseline!$I$3:$I$102,MIN(MAX(ROUND($D720,0),1),100)),IF($C720="T",IF($M720=3,INDEX(Baseline!$B$3:$B$122,MATCH(MIN(MAX(ROUND(($D720)/5,0)*5,5),600),Baseline!$A$3:$A$122,0))-Inputs!$B$9,INDEX(Course!$N$2:$N$19,MATCH($B720,Course!$A$2:$A$19,0))),INDEX(Baseline!$B$3:$E$122,MATCH(MIN(MAX(ROUND(($D720)/5,0)*5,5),600),Baseline!$A$3:$A$122,0),MATCH($C720,Baseline!$B$2:$E$2,0))))))</f>
        <v/>
      </c>
      <c r="O720" s="17" t="str">
        <f aca="false">IF($C720="","",IF($E720="H",0,IF($E720="G",INDEX(Baseline!$I$3:$I$102,MIN(MAX(ROUND($F720,0),1),100)),IF($E720="T",IF($M720=3,INDEX(Baseline!$B$3:$B$122,MATCH(MIN(MAX(ROUND(($F720)/5,0)*5,5),600),Baseline!$A$3:$A$122,0))-Inputs!$B$9,INDEX(Course!$N$2:$N$19,MATCH($B720,Course!$A$2:$A$19,0))),INDEX(Baseline!$B$3:$E$122,MATCH(MIN(MAX(ROUND(($F720)/5,0)*5,5),600),Baseline!$A$3:$A$122,0),MATCH($E720,Baseline!$B$2:$E$2,0))))))</f>
        <v/>
      </c>
      <c r="P720" s="17" t="str">
        <f aca="false">IF($B720="","",INDEX(Course!$N$2:$N$19,MATCH($B720,Course!$A$2:$A$19,0)))</f>
        <v/>
      </c>
      <c r="Q720" s="17" t="str">
        <f aca="false">IF($B720="","",INDEX(Course!$P$2:$P$19,MATCH($B720,Course!$A$2:$A$19,0)))</f>
        <v/>
      </c>
      <c r="R720" s="17" t="str">
        <f aca="false">IF($C720="","",IF(OR($C720="G",$C720="H"),0,IF($C720="T",1,MIN(1,MAX(0,($N720-Inputs!$B$8)/MAX($P720-Inputs!$B$8,0.01))))))</f>
        <v/>
      </c>
      <c r="S720" s="17" t="str">
        <f aca="false">IF($C720="","",IF(OR($E720="G",$E720="H"),0,IF($E720="T",1,MIN(1,MAX(0,($O720-Inputs!$B$8)/MAX($P720-Inputs!$B$8,0.01))))))</f>
        <v/>
      </c>
    </row>
    <row r="721" customFormat="false" ht="15" hidden="false" customHeight="false" outlineLevel="0" collapsed="false">
      <c r="I721" s="7" t="str">
        <f aca="false">IF($C721="","",IF($C721="G","PUTT",IF(AND($C721="T",$M721&gt;3),"OTT",IF($D721&lt;=30,"ARG","APP"))))</f>
        <v/>
      </c>
      <c r="J721" s="17" t="str">
        <f aca="false">IF($C721="","",$N721+$Q721*$R721)</f>
        <v/>
      </c>
      <c r="K721" s="17" t="str">
        <f aca="false">IF($C721="","",$O721+$Q721*$S721)</f>
        <v/>
      </c>
      <c r="L721" s="17" t="str">
        <f aca="false">IF($C721="","",$J721-$K721-1-N($G721))</f>
        <v/>
      </c>
      <c r="M721" s="7" t="str">
        <f aca="false">IF($B721="","",INDEX(Course!$B$2:$B$19,MATCH($B721,Course!$A$2:$A$19,0)))</f>
        <v/>
      </c>
      <c r="N721" s="17" t="str">
        <f aca="false">IF($C721="","",IF($C721="H",0,IF($C721="G",INDEX(Baseline!$I$3:$I$102,MIN(MAX(ROUND($D721,0),1),100)),IF($C721="T",IF($M721=3,INDEX(Baseline!$B$3:$B$122,MATCH(MIN(MAX(ROUND(($D721)/5,0)*5,5),600),Baseline!$A$3:$A$122,0))-Inputs!$B$9,INDEX(Course!$N$2:$N$19,MATCH($B721,Course!$A$2:$A$19,0))),INDEX(Baseline!$B$3:$E$122,MATCH(MIN(MAX(ROUND(($D721)/5,0)*5,5),600),Baseline!$A$3:$A$122,0),MATCH($C721,Baseline!$B$2:$E$2,0))))))</f>
        <v/>
      </c>
      <c r="O721" s="17" t="str">
        <f aca="false">IF($C721="","",IF($E721="H",0,IF($E721="G",INDEX(Baseline!$I$3:$I$102,MIN(MAX(ROUND($F721,0),1),100)),IF($E721="T",IF($M721=3,INDEX(Baseline!$B$3:$B$122,MATCH(MIN(MAX(ROUND(($F721)/5,0)*5,5),600),Baseline!$A$3:$A$122,0))-Inputs!$B$9,INDEX(Course!$N$2:$N$19,MATCH($B721,Course!$A$2:$A$19,0))),INDEX(Baseline!$B$3:$E$122,MATCH(MIN(MAX(ROUND(($F721)/5,0)*5,5),600),Baseline!$A$3:$A$122,0),MATCH($E721,Baseline!$B$2:$E$2,0))))))</f>
        <v/>
      </c>
      <c r="P721" s="17" t="str">
        <f aca="false">IF($B721="","",INDEX(Course!$N$2:$N$19,MATCH($B721,Course!$A$2:$A$19,0)))</f>
        <v/>
      </c>
      <c r="Q721" s="17" t="str">
        <f aca="false">IF($B721="","",INDEX(Course!$P$2:$P$19,MATCH($B721,Course!$A$2:$A$19,0)))</f>
        <v/>
      </c>
      <c r="R721" s="17" t="str">
        <f aca="false">IF($C721="","",IF(OR($C721="G",$C721="H"),0,IF($C721="T",1,MIN(1,MAX(0,($N721-Inputs!$B$8)/MAX($P721-Inputs!$B$8,0.01))))))</f>
        <v/>
      </c>
      <c r="S721" s="17" t="str">
        <f aca="false">IF($C721="","",IF(OR($E721="G",$E721="H"),0,IF($E721="T",1,MIN(1,MAX(0,($O721-Inputs!$B$8)/MAX($P721-Inputs!$B$8,0.01))))))</f>
        <v/>
      </c>
    </row>
    <row r="722" customFormat="false" ht="15" hidden="false" customHeight="false" outlineLevel="0" collapsed="false">
      <c r="I722" s="7" t="str">
        <f aca="false">IF($C722="","",IF($C722="G","PUTT",IF(AND($C722="T",$M722&gt;3),"OTT",IF($D722&lt;=30,"ARG","APP"))))</f>
        <v/>
      </c>
      <c r="J722" s="17" t="str">
        <f aca="false">IF($C722="","",$N722+$Q722*$R722)</f>
        <v/>
      </c>
      <c r="K722" s="17" t="str">
        <f aca="false">IF($C722="","",$O722+$Q722*$S722)</f>
        <v/>
      </c>
      <c r="L722" s="17" t="str">
        <f aca="false">IF($C722="","",$J722-$K722-1-N($G722))</f>
        <v/>
      </c>
      <c r="M722" s="7" t="str">
        <f aca="false">IF($B722="","",INDEX(Course!$B$2:$B$19,MATCH($B722,Course!$A$2:$A$19,0)))</f>
        <v/>
      </c>
      <c r="N722" s="17" t="str">
        <f aca="false">IF($C722="","",IF($C722="H",0,IF($C722="G",INDEX(Baseline!$I$3:$I$102,MIN(MAX(ROUND($D722,0),1),100)),IF($C722="T",IF($M722=3,INDEX(Baseline!$B$3:$B$122,MATCH(MIN(MAX(ROUND(($D722)/5,0)*5,5),600),Baseline!$A$3:$A$122,0))-Inputs!$B$9,INDEX(Course!$N$2:$N$19,MATCH($B722,Course!$A$2:$A$19,0))),INDEX(Baseline!$B$3:$E$122,MATCH(MIN(MAX(ROUND(($D722)/5,0)*5,5),600),Baseline!$A$3:$A$122,0),MATCH($C722,Baseline!$B$2:$E$2,0))))))</f>
        <v/>
      </c>
      <c r="O722" s="17" t="str">
        <f aca="false">IF($C722="","",IF($E722="H",0,IF($E722="G",INDEX(Baseline!$I$3:$I$102,MIN(MAX(ROUND($F722,0),1),100)),IF($E722="T",IF($M722=3,INDEX(Baseline!$B$3:$B$122,MATCH(MIN(MAX(ROUND(($F722)/5,0)*5,5),600),Baseline!$A$3:$A$122,0))-Inputs!$B$9,INDEX(Course!$N$2:$N$19,MATCH($B722,Course!$A$2:$A$19,0))),INDEX(Baseline!$B$3:$E$122,MATCH(MIN(MAX(ROUND(($F722)/5,0)*5,5),600),Baseline!$A$3:$A$122,0),MATCH($E722,Baseline!$B$2:$E$2,0))))))</f>
        <v/>
      </c>
      <c r="P722" s="17" t="str">
        <f aca="false">IF($B722="","",INDEX(Course!$N$2:$N$19,MATCH($B722,Course!$A$2:$A$19,0)))</f>
        <v/>
      </c>
      <c r="Q722" s="17" t="str">
        <f aca="false">IF($B722="","",INDEX(Course!$P$2:$P$19,MATCH($B722,Course!$A$2:$A$19,0)))</f>
        <v/>
      </c>
      <c r="R722" s="17" t="str">
        <f aca="false">IF($C722="","",IF(OR($C722="G",$C722="H"),0,IF($C722="T",1,MIN(1,MAX(0,($N722-Inputs!$B$8)/MAX($P722-Inputs!$B$8,0.01))))))</f>
        <v/>
      </c>
      <c r="S722" s="17" t="str">
        <f aca="false">IF($C722="","",IF(OR($E722="G",$E722="H"),0,IF($E722="T",1,MIN(1,MAX(0,($O722-Inputs!$B$8)/MAX($P722-Inputs!$B$8,0.01))))))</f>
        <v/>
      </c>
    </row>
    <row r="723" customFormat="false" ht="15" hidden="false" customHeight="false" outlineLevel="0" collapsed="false">
      <c r="I723" s="7" t="str">
        <f aca="false">IF($C723="","",IF($C723="G","PUTT",IF(AND($C723="T",$M723&gt;3),"OTT",IF($D723&lt;=30,"ARG","APP"))))</f>
        <v/>
      </c>
      <c r="J723" s="17" t="str">
        <f aca="false">IF($C723="","",$N723+$Q723*$R723)</f>
        <v/>
      </c>
      <c r="K723" s="17" t="str">
        <f aca="false">IF($C723="","",$O723+$Q723*$S723)</f>
        <v/>
      </c>
      <c r="L723" s="17" t="str">
        <f aca="false">IF($C723="","",$J723-$K723-1-N($G723))</f>
        <v/>
      </c>
      <c r="M723" s="7" t="str">
        <f aca="false">IF($B723="","",INDEX(Course!$B$2:$B$19,MATCH($B723,Course!$A$2:$A$19,0)))</f>
        <v/>
      </c>
      <c r="N723" s="17" t="str">
        <f aca="false">IF($C723="","",IF($C723="H",0,IF($C723="G",INDEX(Baseline!$I$3:$I$102,MIN(MAX(ROUND($D723,0),1),100)),IF($C723="T",IF($M723=3,INDEX(Baseline!$B$3:$B$122,MATCH(MIN(MAX(ROUND(($D723)/5,0)*5,5),600),Baseline!$A$3:$A$122,0))-Inputs!$B$9,INDEX(Course!$N$2:$N$19,MATCH($B723,Course!$A$2:$A$19,0))),INDEX(Baseline!$B$3:$E$122,MATCH(MIN(MAX(ROUND(($D723)/5,0)*5,5),600),Baseline!$A$3:$A$122,0),MATCH($C723,Baseline!$B$2:$E$2,0))))))</f>
        <v/>
      </c>
      <c r="O723" s="17" t="str">
        <f aca="false">IF($C723="","",IF($E723="H",0,IF($E723="G",INDEX(Baseline!$I$3:$I$102,MIN(MAX(ROUND($F723,0),1),100)),IF($E723="T",IF($M723=3,INDEX(Baseline!$B$3:$B$122,MATCH(MIN(MAX(ROUND(($F723)/5,0)*5,5),600),Baseline!$A$3:$A$122,0))-Inputs!$B$9,INDEX(Course!$N$2:$N$19,MATCH($B723,Course!$A$2:$A$19,0))),INDEX(Baseline!$B$3:$E$122,MATCH(MIN(MAX(ROUND(($F723)/5,0)*5,5),600),Baseline!$A$3:$A$122,0),MATCH($E723,Baseline!$B$2:$E$2,0))))))</f>
        <v/>
      </c>
      <c r="P723" s="17" t="str">
        <f aca="false">IF($B723="","",INDEX(Course!$N$2:$N$19,MATCH($B723,Course!$A$2:$A$19,0)))</f>
        <v/>
      </c>
      <c r="Q723" s="17" t="str">
        <f aca="false">IF($B723="","",INDEX(Course!$P$2:$P$19,MATCH($B723,Course!$A$2:$A$19,0)))</f>
        <v/>
      </c>
      <c r="R723" s="17" t="str">
        <f aca="false">IF($C723="","",IF(OR($C723="G",$C723="H"),0,IF($C723="T",1,MIN(1,MAX(0,($N723-Inputs!$B$8)/MAX($P723-Inputs!$B$8,0.01))))))</f>
        <v/>
      </c>
      <c r="S723" s="17" t="str">
        <f aca="false">IF($C723="","",IF(OR($E723="G",$E723="H"),0,IF($E723="T",1,MIN(1,MAX(0,($O723-Inputs!$B$8)/MAX($P723-Inputs!$B$8,0.01))))))</f>
        <v/>
      </c>
    </row>
    <row r="724" customFormat="false" ht="15" hidden="false" customHeight="false" outlineLevel="0" collapsed="false">
      <c r="I724" s="7" t="str">
        <f aca="false">IF($C724="","",IF($C724="G","PUTT",IF(AND($C724="T",$M724&gt;3),"OTT",IF($D724&lt;=30,"ARG","APP"))))</f>
        <v/>
      </c>
      <c r="J724" s="17" t="str">
        <f aca="false">IF($C724="","",$N724+$Q724*$R724)</f>
        <v/>
      </c>
      <c r="K724" s="17" t="str">
        <f aca="false">IF($C724="","",$O724+$Q724*$S724)</f>
        <v/>
      </c>
      <c r="L724" s="17" t="str">
        <f aca="false">IF($C724="","",$J724-$K724-1-N($G724))</f>
        <v/>
      </c>
      <c r="M724" s="7" t="str">
        <f aca="false">IF($B724="","",INDEX(Course!$B$2:$B$19,MATCH($B724,Course!$A$2:$A$19,0)))</f>
        <v/>
      </c>
      <c r="N724" s="17" t="str">
        <f aca="false">IF($C724="","",IF($C724="H",0,IF($C724="G",INDEX(Baseline!$I$3:$I$102,MIN(MAX(ROUND($D724,0),1),100)),IF($C724="T",IF($M724=3,INDEX(Baseline!$B$3:$B$122,MATCH(MIN(MAX(ROUND(($D724)/5,0)*5,5),600),Baseline!$A$3:$A$122,0))-Inputs!$B$9,INDEX(Course!$N$2:$N$19,MATCH($B724,Course!$A$2:$A$19,0))),INDEX(Baseline!$B$3:$E$122,MATCH(MIN(MAX(ROUND(($D724)/5,0)*5,5),600),Baseline!$A$3:$A$122,0),MATCH($C724,Baseline!$B$2:$E$2,0))))))</f>
        <v/>
      </c>
      <c r="O724" s="17" t="str">
        <f aca="false">IF($C724="","",IF($E724="H",0,IF($E724="G",INDEX(Baseline!$I$3:$I$102,MIN(MAX(ROUND($F724,0),1),100)),IF($E724="T",IF($M724=3,INDEX(Baseline!$B$3:$B$122,MATCH(MIN(MAX(ROUND(($F724)/5,0)*5,5),600),Baseline!$A$3:$A$122,0))-Inputs!$B$9,INDEX(Course!$N$2:$N$19,MATCH($B724,Course!$A$2:$A$19,0))),INDEX(Baseline!$B$3:$E$122,MATCH(MIN(MAX(ROUND(($F724)/5,0)*5,5),600),Baseline!$A$3:$A$122,0),MATCH($E724,Baseline!$B$2:$E$2,0))))))</f>
        <v/>
      </c>
      <c r="P724" s="17" t="str">
        <f aca="false">IF($B724="","",INDEX(Course!$N$2:$N$19,MATCH($B724,Course!$A$2:$A$19,0)))</f>
        <v/>
      </c>
      <c r="Q724" s="17" t="str">
        <f aca="false">IF($B724="","",INDEX(Course!$P$2:$P$19,MATCH($B724,Course!$A$2:$A$19,0)))</f>
        <v/>
      </c>
      <c r="R724" s="17" t="str">
        <f aca="false">IF($C724="","",IF(OR($C724="G",$C724="H"),0,IF($C724="T",1,MIN(1,MAX(0,($N724-Inputs!$B$8)/MAX($P724-Inputs!$B$8,0.01))))))</f>
        <v/>
      </c>
      <c r="S724" s="17" t="str">
        <f aca="false">IF($C724="","",IF(OR($E724="G",$E724="H"),0,IF($E724="T",1,MIN(1,MAX(0,($O724-Inputs!$B$8)/MAX($P724-Inputs!$B$8,0.01))))))</f>
        <v/>
      </c>
    </row>
    <row r="725" customFormat="false" ht="15" hidden="false" customHeight="false" outlineLevel="0" collapsed="false">
      <c r="I725" s="7" t="str">
        <f aca="false">IF($C725="","",IF($C725="G","PUTT",IF(AND($C725="T",$M725&gt;3),"OTT",IF($D725&lt;=30,"ARG","APP"))))</f>
        <v/>
      </c>
      <c r="J725" s="17" t="str">
        <f aca="false">IF($C725="","",$N725+$Q725*$R725)</f>
        <v/>
      </c>
      <c r="K725" s="17" t="str">
        <f aca="false">IF($C725="","",$O725+$Q725*$S725)</f>
        <v/>
      </c>
      <c r="L725" s="17" t="str">
        <f aca="false">IF($C725="","",$J725-$K725-1-N($G725))</f>
        <v/>
      </c>
      <c r="M725" s="7" t="str">
        <f aca="false">IF($B725="","",INDEX(Course!$B$2:$B$19,MATCH($B725,Course!$A$2:$A$19,0)))</f>
        <v/>
      </c>
      <c r="N725" s="17" t="str">
        <f aca="false">IF($C725="","",IF($C725="H",0,IF($C725="G",INDEX(Baseline!$I$3:$I$102,MIN(MAX(ROUND($D725,0),1),100)),IF($C725="T",IF($M725=3,INDEX(Baseline!$B$3:$B$122,MATCH(MIN(MAX(ROUND(($D725)/5,0)*5,5),600),Baseline!$A$3:$A$122,0))-Inputs!$B$9,INDEX(Course!$N$2:$N$19,MATCH($B725,Course!$A$2:$A$19,0))),INDEX(Baseline!$B$3:$E$122,MATCH(MIN(MAX(ROUND(($D725)/5,0)*5,5),600),Baseline!$A$3:$A$122,0),MATCH($C725,Baseline!$B$2:$E$2,0))))))</f>
        <v/>
      </c>
      <c r="O725" s="17" t="str">
        <f aca="false">IF($C725="","",IF($E725="H",0,IF($E725="G",INDEX(Baseline!$I$3:$I$102,MIN(MAX(ROUND($F725,0),1),100)),IF($E725="T",IF($M725=3,INDEX(Baseline!$B$3:$B$122,MATCH(MIN(MAX(ROUND(($F725)/5,0)*5,5),600),Baseline!$A$3:$A$122,0))-Inputs!$B$9,INDEX(Course!$N$2:$N$19,MATCH($B725,Course!$A$2:$A$19,0))),INDEX(Baseline!$B$3:$E$122,MATCH(MIN(MAX(ROUND(($F725)/5,0)*5,5),600),Baseline!$A$3:$A$122,0),MATCH($E725,Baseline!$B$2:$E$2,0))))))</f>
        <v/>
      </c>
      <c r="P725" s="17" t="str">
        <f aca="false">IF($B725="","",INDEX(Course!$N$2:$N$19,MATCH($B725,Course!$A$2:$A$19,0)))</f>
        <v/>
      </c>
      <c r="Q725" s="17" t="str">
        <f aca="false">IF($B725="","",INDEX(Course!$P$2:$P$19,MATCH($B725,Course!$A$2:$A$19,0)))</f>
        <v/>
      </c>
      <c r="R725" s="17" t="str">
        <f aca="false">IF($C725="","",IF(OR($C725="G",$C725="H"),0,IF($C725="T",1,MIN(1,MAX(0,($N725-Inputs!$B$8)/MAX($P725-Inputs!$B$8,0.01))))))</f>
        <v/>
      </c>
      <c r="S725" s="17" t="str">
        <f aca="false">IF($C725="","",IF(OR($E725="G",$E725="H"),0,IF($E725="T",1,MIN(1,MAX(0,($O725-Inputs!$B$8)/MAX($P725-Inputs!$B$8,0.01))))))</f>
        <v/>
      </c>
    </row>
    <row r="726" customFormat="false" ht="15" hidden="false" customHeight="false" outlineLevel="0" collapsed="false">
      <c r="I726" s="7" t="str">
        <f aca="false">IF($C726="","",IF($C726="G","PUTT",IF(AND($C726="T",$M726&gt;3),"OTT",IF($D726&lt;=30,"ARG","APP"))))</f>
        <v/>
      </c>
      <c r="J726" s="17" t="str">
        <f aca="false">IF($C726="","",$N726+$Q726*$R726)</f>
        <v/>
      </c>
      <c r="K726" s="17" t="str">
        <f aca="false">IF($C726="","",$O726+$Q726*$S726)</f>
        <v/>
      </c>
      <c r="L726" s="17" t="str">
        <f aca="false">IF($C726="","",$J726-$K726-1-N($G726))</f>
        <v/>
      </c>
      <c r="M726" s="7" t="str">
        <f aca="false">IF($B726="","",INDEX(Course!$B$2:$B$19,MATCH($B726,Course!$A$2:$A$19,0)))</f>
        <v/>
      </c>
      <c r="N726" s="17" t="str">
        <f aca="false">IF($C726="","",IF($C726="H",0,IF($C726="G",INDEX(Baseline!$I$3:$I$102,MIN(MAX(ROUND($D726,0),1),100)),IF($C726="T",IF($M726=3,INDEX(Baseline!$B$3:$B$122,MATCH(MIN(MAX(ROUND(($D726)/5,0)*5,5),600),Baseline!$A$3:$A$122,0))-Inputs!$B$9,INDEX(Course!$N$2:$N$19,MATCH($B726,Course!$A$2:$A$19,0))),INDEX(Baseline!$B$3:$E$122,MATCH(MIN(MAX(ROUND(($D726)/5,0)*5,5),600),Baseline!$A$3:$A$122,0),MATCH($C726,Baseline!$B$2:$E$2,0))))))</f>
        <v/>
      </c>
      <c r="O726" s="17" t="str">
        <f aca="false">IF($C726="","",IF($E726="H",0,IF($E726="G",INDEX(Baseline!$I$3:$I$102,MIN(MAX(ROUND($F726,0),1),100)),IF($E726="T",IF($M726=3,INDEX(Baseline!$B$3:$B$122,MATCH(MIN(MAX(ROUND(($F726)/5,0)*5,5),600),Baseline!$A$3:$A$122,0))-Inputs!$B$9,INDEX(Course!$N$2:$N$19,MATCH($B726,Course!$A$2:$A$19,0))),INDEX(Baseline!$B$3:$E$122,MATCH(MIN(MAX(ROUND(($F726)/5,0)*5,5),600),Baseline!$A$3:$A$122,0),MATCH($E726,Baseline!$B$2:$E$2,0))))))</f>
        <v/>
      </c>
      <c r="P726" s="17" t="str">
        <f aca="false">IF($B726="","",INDEX(Course!$N$2:$N$19,MATCH($B726,Course!$A$2:$A$19,0)))</f>
        <v/>
      </c>
      <c r="Q726" s="17" t="str">
        <f aca="false">IF($B726="","",INDEX(Course!$P$2:$P$19,MATCH($B726,Course!$A$2:$A$19,0)))</f>
        <v/>
      </c>
      <c r="R726" s="17" t="str">
        <f aca="false">IF($C726="","",IF(OR($C726="G",$C726="H"),0,IF($C726="T",1,MIN(1,MAX(0,($N726-Inputs!$B$8)/MAX($P726-Inputs!$B$8,0.01))))))</f>
        <v/>
      </c>
      <c r="S726" s="17" t="str">
        <f aca="false">IF($C726="","",IF(OR($E726="G",$E726="H"),0,IF($E726="T",1,MIN(1,MAX(0,($O726-Inputs!$B$8)/MAX($P726-Inputs!$B$8,0.01))))))</f>
        <v/>
      </c>
    </row>
    <row r="727" customFormat="false" ht="15" hidden="false" customHeight="false" outlineLevel="0" collapsed="false">
      <c r="I727" s="7" t="str">
        <f aca="false">IF($C727="","",IF($C727="G","PUTT",IF(AND($C727="T",$M727&gt;3),"OTT",IF($D727&lt;=30,"ARG","APP"))))</f>
        <v/>
      </c>
      <c r="J727" s="17" t="str">
        <f aca="false">IF($C727="","",$N727+$Q727*$R727)</f>
        <v/>
      </c>
      <c r="K727" s="17" t="str">
        <f aca="false">IF($C727="","",$O727+$Q727*$S727)</f>
        <v/>
      </c>
      <c r="L727" s="17" t="str">
        <f aca="false">IF($C727="","",$J727-$K727-1-N($G727))</f>
        <v/>
      </c>
      <c r="M727" s="7" t="str">
        <f aca="false">IF($B727="","",INDEX(Course!$B$2:$B$19,MATCH($B727,Course!$A$2:$A$19,0)))</f>
        <v/>
      </c>
      <c r="N727" s="17" t="str">
        <f aca="false">IF($C727="","",IF($C727="H",0,IF($C727="G",INDEX(Baseline!$I$3:$I$102,MIN(MAX(ROUND($D727,0),1),100)),IF($C727="T",IF($M727=3,INDEX(Baseline!$B$3:$B$122,MATCH(MIN(MAX(ROUND(($D727)/5,0)*5,5),600),Baseline!$A$3:$A$122,0))-Inputs!$B$9,INDEX(Course!$N$2:$N$19,MATCH($B727,Course!$A$2:$A$19,0))),INDEX(Baseline!$B$3:$E$122,MATCH(MIN(MAX(ROUND(($D727)/5,0)*5,5),600),Baseline!$A$3:$A$122,0),MATCH($C727,Baseline!$B$2:$E$2,0))))))</f>
        <v/>
      </c>
      <c r="O727" s="17" t="str">
        <f aca="false">IF($C727="","",IF($E727="H",0,IF($E727="G",INDEX(Baseline!$I$3:$I$102,MIN(MAX(ROUND($F727,0),1),100)),IF($E727="T",IF($M727=3,INDEX(Baseline!$B$3:$B$122,MATCH(MIN(MAX(ROUND(($F727)/5,0)*5,5),600),Baseline!$A$3:$A$122,0))-Inputs!$B$9,INDEX(Course!$N$2:$N$19,MATCH($B727,Course!$A$2:$A$19,0))),INDEX(Baseline!$B$3:$E$122,MATCH(MIN(MAX(ROUND(($F727)/5,0)*5,5),600),Baseline!$A$3:$A$122,0),MATCH($E727,Baseline!$B$2:$E$2,0))))))</f>
        <v/>
      </c>
      <c r="P727" s="17" t="str">
        <f aca="false">IF($B727="","",INDEX(Course!$N$2:$N$19,MATCH($B727,Course!$A$2:$A$19,0)))</f>
        <v/>
      </c>
      <c r="Q727" s="17" t="str">
        <f aca="false">IF($B727="","",INDEX(Course!$P$2:$P$19,MATCH($B727,Course!$A$2:$A$19,0)))</f>
        <v/>
      </c>
      <c r="R727" s="17" t="str">
        <f aca="false">IF($C727="","",IF(OR($C727="G",$C727="H"),0,IF($C727="T",1,MIN(1,MAX(0,($N727-Inputs!$B$8)/MAX($P727-Inputs!$B$8,0.01))))))</f>
        <v/>
      </c>
      <c r="S727" s="17" t="str">
        <f aca="false">IF($C727="","",IF(OR($E727="G",$E727="H"),0,IF($E727="T",1,MIN(1,MAX(0,($O727-Inputs!$B$8)/MAX($P727-Inputs!$B$8,0.01))))))</f>
        <v/>
      </c>
    </row>
    <row r="728" customFormat="false" ht="15" hidden="false" customHeight="false" outlineLevel="0" collapsed="false">
      <c r="I728" s="7" t="str">
        <f aca="false">IF($C728="","",IF($C728="G","PUTT",IF(AND($C728="T",$M728&gt;3),"OTT",IF($D728&lt;=30,"ARG","APP"))))</f>
        <v/>
      </c>
      <c r="J728" s="17" t="str">
        <f aca="false">IF($C728="","",$N728+$Q728*$R728)</f>
        <v/>
      </c>
      <c r="K728" s="17" t="str">
        <f aca="false">IF($C728="","",$O728+$Q728*$S728)</f>
        <v/>
      </c>
      <c r="L728" s="17" t="str">
        <f aca="false">IF($C728="","",$J728-$K728-1-N($G728))</f>
        <v/>
      </c>
      <c r="M728" s="7" t="str">
        <f aca="false">IF($B728="","",INDEX(Course!$B$2:$B$19,MATCH($B728,Course!$A$2:$A$19,0)))</f>
        <v/>
      </c>
      <c r="N728" s="17" t="str">
        <f aca="false">IF($C728="","",IF($C728="H",0,IF($C728="G",INDEX(Baseline!$I$3:$I$102,MIN(MAX(ROUND($D728,0),1),100)),IF($C728="T",IF($M728=3,INDEX(Baseline!$B$3:$B$122,MATCH(MIN(MAX(ROUND(($D728)/5,0)*5,5),600),Baseline!$A$3:$A$122,0))-Inputs!$B$9,INDEX(Course!$N$2:$N$19,MATCH($B728,Course!$A$2:$A$19,0))),INDEX(Baseline!$B$3:$E$122,MATCH(MIN(MAX(ROUND(($D728)/5,0)*5,5),600),Baseline!$A$3:$A$122,0),MATCH($C728,Baseline!$B$2:$E$2,0))))))</f>
        <v/>
      </c>
      <c r="O728" s="17" t="str">
        <f aca="false">IF($C728="","",IF($E728="H",0,IF($E728="G",INDEX(Baseline!$I$3:$I$102,MIN(MAX(ROUND($F728,0),1),100)),IF($E728="T",IF($M728=3,INDEX(Baseline!$B$3:$B$122,MATCH(MIN(MAX(ROUND(($F728)/5,0)*5,5),600),Baseline!$A$3:$A$122,0))-Inputs!$B$9,INDEX(Course!$N$2:$N$19,MATCH($B728,Course!$A$2:$A$19,0))),INDEX(Baseline!$B$3:$E$122,MATCH(MIN(MAX(ROUND(($F728)/5,0)*5,5),600),Baseline!$A$3:$A$122,0),MATCH($E728,Baseline!$B$2:$E$2,0))))))</f>
        <v/>
      </c>
      <c r="P728" s="17" t="str">
        <f aca="false">IF($B728="","",INDEX(Course!$N$2:$N$19,MATCH($B728,Course!$A$2:$A$19,0)))</f>
        <v/>
      </c>
      <c r="Q728" s="17" t="str">
        <f aca="false">IF($B728="","",INDEX(Course!$P$2:$P$19,MATCH($B728,Course!$A$2:$A$19,0)))</f>
        <v/>
      </c>
      <c r="R728" s="17" t="str">
        <f aca="false">IF($C728="","",IF(OR($C728="G",$C728="H"),0,IF($C728="T",1,MIN(1,MAX(0,($N728-Inputs!$B$8)/MAX($P728-Inputs!$B$8,0.01))))))</f>
        <v/>
      </c>
      <c r="S728" s="17" t="str">
        <f aca="false">IF($C728="","",IF(OR($E728="G",$E728="H"),0,IF($E728="T",1,MIN(1,MAX(0,($O728-Inputs!$B$8)/MAX($P728-Inputs!$B$8,0.01))))))</f>
        <v/>
      </c>
    </row>
    <row r="729" customFormat="false" ht="15" hidden="false" customHeight="false" outlineLevel="0" collapsed="false">
      <c r="I729" s="7" t="str">
        <f aca="false">IF($C729="","",IF($C729="G","PUTT",IF(AND($C729="T",$M729&gt;3),"OTT",IF($D729&lt;=30,"ARG","APP"))))</f>
        <v/>
      </c>
      <c r="J729" s="17" t="str">
        <f aca="false">IF($C729="","",$N729+$Q729*$R729)</f>
        <v/>
      </c>
      <c r="K729" s="17" t="str">
        <f aca="false">IF($C729="","",$O729+$Q729*$S729)</f>
        <v/>
      </c>
      <c r="L729" s="17" t="str">
        <f aca="false">IF($C729="","",$J729-$K729-1-N($G729))</f>
        <v/>
      </c>
      <c r="M729" s="7" t="str">
        <f aca="false">IF($B729="","",INDEX(Course!$B$2:$B$19,MATCH($B729,Course!$A$2:$A$19,0)))</f>
        <v/>
      </c>
      <c r="N729" s="17" t="str">
        <f aca="false">IF($C729="","",IF($C729="H",0,IF($C729="G",INDEX(Baseline!$I$3:$I$102,MIN(MAX(ROUND($D729,0),1),100)),IF($C729="T",IF($M729=3,INDEX(Baseline!$B$3:$B$122,MATCH(MIN(MAX(ROUND(($D729)/5,0)*5,5),600),Baseline!$A$3:$A$122,0))-Inputs!$B$9,INDEX(Course!$N$2:$N$19,MATCH($B729,Course!$A$2:$A$19,0))),INDEX(Baseline!$B$3:$E$122,MATCH(MIN(MAX(ROUND(($D729)/5,0)*5,5),600),Baseline!$A$3:$A$122,0),MATCH($C729,Baseline!$B$2:$E$2,0))))))</f>
        <v/>
      </c>
      <c r="O729" s="17" t="str">
        <f aca="false">IF($C729="","",IF($E729="H",0,IF($E729="G",INDEX(Baseline!$I$3:$I$102,MIN(MAX(ROUND($F729,0),1),100)),IF($E729="T",IF($M729=3,INDEX(Baseline!$B$3:$B$122,MATCH(MIN(MAX(ROUND(($F729)/5,0)*5,5),600),Baseline!$A$3:$A$122,0))-Inputs!$B$9,INDEX(Course!$N$2:$N$19,MATCH($B729,Course!$A$2:$A$19,0))),INDEX(Baseline!$B$3:$E$122,MATCH(MIN(MAX(ROUND(($F729)/5,0)*5,5),600),Baseline!$A$3:$A$122,0),MATCH($E729,Baseline!$B$2:$E$2,0))))))</f>
        <v/>
      </c>
      <c r="P729" s="17" t="str">
        <f aca="false">IF($B729="","",INDEX(Course!$N$2:$N$19,MATCH($B729,Course!$A$2:$A$19,0)))</f>
        <v/>
      </c>
      <c r="Q729" s="17" t="str">
        <f aca="false">IF($B729="","",INDEX(Course!$P$2:$P$19,MATCH($B729,Course!$A$2:$A$19,0)))</f>
        <v/>
      </c>
      <c r="R729" s="17" t="str">
        <f aca="false">IF($C729="","",IF(OR($C729="G",$C729="H"),0,IF($C729="T",1,MIN(1,MAX(0,($N729-Inputs!$B$8)/MAX($P729-Inputs!$B$8,0.01))))))</f>
        <v/>
      </c>
      <c r="S729" s="17" t="str">
        <f aca="false">IF($C729="","",IF(OR($E729="G",$E729="H"),0,IF($E729="T",1,MIN(1,MAX(0,($O729-Inputs!$B$8)/MAX($P729-Inputs!$B$8,0.01))))))</f>
        <v/>
      </c>
    </row>
    <row r="730" customFormat="false" ht="15" hidden="false" customHeight="false" outlineLevel="0" collapsed="false">
      <c r="I730" s="7" t="str">
        <f aca="false">IF($C730="","",IF($C730="G","PUTT",IF(AND($C730="T",$M730&gt;3),"OTT",IF($D730&lt;=30,"ARG","APP"))))</f>
        <v/>
      </c>
      <c r="J730" s="17" t="str">
        <f aca="false">IF($C730="","",$N730+$Q730*$R730)</f>
        <v/>
      </c>
      <c r="K730" s="17" t="str">
        <f aca="false">IF($C730="","",$O730+$Q730*$S730)</f>
        <v/>
      </c>
      <c r="L730" s="17" t="str">
        <f aca="false">IF($C730="","",$J730-$K730-1-N($G730))</f>
        <v/>
      </c>
      <c r="M730" s="7" t="str">
        <f aca="false">IF($B730="","",INDEX(Course!$B$2:$B$19,MATCH($B730,Course!$A$2:$A$19,0)))</f>
        <v/>
      </c>
      <c r="N730" s="17" t="str">
        <f aca="false">IF($C730="","",IF($C730="H",0,IF($C730="G",INDEX(Baseline!$I$3:$I$102,MIN(MAX(ROUND($D730,0),1),100)),IF($C730="T",IF($M730=3,INDEX(Baseline!$B$3:$B$122,MATCH(MIN(MAX(ROUND(($D730)/5,0)*5,5),600),Baseline!$A$3:$A$122,0))-Inputs!$B$9,INDEX(Course!$N$2:$N$19,MATCH($B730,Course!$A$2:$A$19,0))),INDEX(Baseline!$B$3:$E$122,MATCH(MIN(MAX(ROUND(($D730)/5,0)*5,5),600),Baseline!$A$3:$A$122,0),MATCH($C730,Baseline!$B$2:$E$2,0))))))</f>
        <v/>
      </c>
      <c r="O730" s="17" t="str">
        <f aca="false">IF($C730="","",IF($E730="H",0,IF($E730="G",INDEX(Baseline!$I$3:$I$102,MIN(MAX(ROUND($F730,0),1),100)),IF($E730="T",IF($M730=3,INDEX(Baseline!$B$3:$B$122,MATCH(MIN(MAX(ROUND(($F730)/5,0)*5,5),600),Baseline!$A$3:$A$122,0))-Inputs!$B$9,INDEX(Course!$N$2:$N$19,MATCH($B730,Course!$A$2:$A$19,0))),INDEX(Baseline!$B$3:$E$122,MATCH(MIN(MAX(ROUND(($F730)/5,0)*5,5),600),Baseline!$A$3:$A$122,0),MATCH($E730,Baseline!$B$2:$E$2,0))))))</f>
        <v/>
      </c>
      <c r="P730" s="17" t="str">
        <f aca="false">IF($B730="","",INDEX(Course!$N$2:$N$19,MATCH($B730,Course!$A$2:$A$19,0)))</f>
        <v/>
      </c>
      <c r="Q730" s="17" t="str">
        <f aca="false">IF($B730="","",INDEX(Course!$P$2:$P$19,MATCH($B730,Course!$A$2:$A$19,0)))</f>
        <v/>
      </c>
      <c r="R730" s="17" t="str">
        <f aca="false">IF($C730="","",IF(OR($C730="G",$C730="H"),0,IF($C730="T",1,MIN(1,MAX(0,($N730-Inputs!$B$8)/MAX($P730-Inputs!$B$8,0.01))))))</f>
        <v/>
      </c>
      <c r="S730" s="17" t="str">
        <f aca="false">IF($C730="","",IF(OR($E730="G",$E730="H"),0,IF($E730="T",1,MIN(1,MAX(0,($O730-Inputs!$B$8)/MAX($P730-Inputs!$B$8,0.01))))))</f>
        <v/>
      </c>
    </row>
    <row r="731" customFormat="false" ht="15" hidden="false" customHeight="false" outlineLevel="0" collapsed="false">
      <c r="I731" s="7" t="str">
        <f aca="false">IF($C731="","",IF($C731="G","PUTT",IF(AND($C731="T",$M731&gt;3),"OTT",IF($D731&lt;=30,"ARG","APP"))))</f>
        <v/>
      </c>
      <c r="J731" s="17" t="str">
        <f aca="false">IF($C731="","",$N731+$Q731*$R731)</f>
        <v/>
      </c>
      <c r="K731" s="17" t="str">
        <f aca="false">IF($C731="","",$O731+$Q731*$S731)</f>
        <v/>
      </c>
      <c r="L731" s="17" t="str">
        <f aca="false">IF($C731="","",$J731-$K731-1-N($G731))</f>
        <v/>
      </c>
      <c r="M731" s="7" t="str">
        <f aca="false">IF($B731="","",INDEX(Course!$B$2:$B$19,MATCH($B731,Course!$A$2:$A$19,0)))</f>
        <v/>
      </c>
      <c r="N731" s="17" t="str">
        <f aca="false">IF($C731="","",IF($C731="H",0,IF($C731="G",INDEX(Baseline!$I$3:$I$102,MIN(MAX(ROUND($D731,0),1),100)),IF($C731="T",IF($M731=3,INDEX(Baseline!$B$3:$B$122,MATCH(MIN(MAX(ROUND(($D731)/5,0)*5,5),600),Baseline!$A$3:$A$122,0))-Inputs!$B$9,INDEX(Course!$N$2:$N$19,MATCH($B731,Course!$A$2:$A$19,0))),INDEX(Baseline!$B$3:$E$122,MATCH(MIN(MAX(ROUND(($D731)/5,0)*5,5),600),Baseline!$A$3:$A$122,0),MATCH($C731,Baseline!$B$2:$E$2,0))))))</f>
        <v/>
      </c>
      <c r="O731" s="17" t="str">
        <f aca="false">IF($C731="","",IF($E731="H",0,IF($E731="G",INDEX(Baseline!$I$3:$I$102,MIN(MAX(ROUND($F731,0),1),100)),IF($E731="T",IF($M731=3,INDEX(Baseline!$B$3:$B$122,MATCH(MIN(MAX(ROUND(($F731)/5,0)*5,5),600),Baseline!$A$3:$A$122,0))-Inputs!$B$9,INDEX(Course!$N$2:$N$19,MATCH($B731,Course!$A$2:$A$19,0))),INDEX(Baseline!$B$3:$E$122,MATCH(MIN(MAX(ROUND(($F731)/5,0)*5,5),600),Baseline!$A$3:$A$122,0),MATCH($E731,Baseline!$B$2:$E$2,0))))))</f>
        <v/>
      </c>
      <c r="P731" s="17" t="str">
        <f aca="false">IF($B731="","",INDEX(Course!$N$2:$N$19,MATCH($B731,Course!$A$2:$A$19,0)))</f>
        <v/>
      </c>
      <c r="Q731" s="17" t="str">
        <f aca="false">IF($B731="","",INDEX(Course!$P$2:$P$19,MATCH($B731,Course!$A$2:$A$19,0)))</f>
        <v/>
      </c>
      <c r="R731" s="17" t="str">
        <f aca="false">IF($C731="","",IF(OR($C731="G",$C731="H"),0,IF($C731="T",1,MIN(1,MAX(0,($N731-Inputs!$B$8)/MAX($P731-Inputs!$B$8,0.01))))))</f>
        <v/>
      </c>
      <c r="S731" s="17" t="str">
        <f aca="false">IF($C731="","",IF(OR($E731="G",$E731="H"),0,IF($E731="T",1,MIN(1,MAX(0,($O731-Inputs!$B$8)/MAX($P731-Inputs!$B$8,0.01))))))</f>
        <v/>
      </c>
    </row>
    <row r="732" customFormat="false" ht="15" hidden="false" customHeight="false" outlineLevel="0" collapsed="false">
      <c r="I732" s="7" t="str">
        <f aca="false">IF($C732="","",IF($C732="G","PUTT",IF(AND($C732="T",$M732&gt;3),"OTT",IF($D732&lt;=30,"ARG","APP"))))</f>
        <v/>
      </c>
      <c r="J732" s="17" t="str">
        <f aca="false">IF($C732="","",$N732+$Q732*$R732)</f>
        <v/>
      </c>
      <c r="K732" s="17" t="str">
        <f aca="false">IF($C732="","",$O732+$Q732*$S732)</f>
        <v/>
      </c>
      <c r="L732" s="17" t="str">
        <f aca="false">IF($C732="","",$J732-$K732-1-N($G732))</f>
        <v/>
      </c>
      <c r="M732" s="7" t="str">
        <f aca="false">IF($B732="","",INDEX(Course!$B$2:$B$19,MATCH($B732,Course!$A$2:$A$19,0)))</f>
        <v/>
      </c>
      <c r="N732" s="17" t="str">
        <f aca="false">IF($C732="","",IF($C732="H",0,IF($C732="G",INDEX(Baseline!$I$3:$I$102,MIN(MAX(ROUND($D732,0),1),100)),IF($C732="T",IF($M732=3,INDEX(Baseline!$B$3:$B$122,MATCH(MIN(MAX(ROUND(($D732)/5,0)*5,5),600),Baseline!$A$3:$A$122,0))-Inputs!$B$9,INDEX(Course!$N$2:$N$19,MATCH($B732,Course!$A$2:$A$19,0))),INDEX(Baseline!$B$3:$E$122,MATCH(MIN(MAX(ROUND(($D732)/5,0)*5,5),600),Baseline!$A$3:$A$122,0),MATCH($C732,Baseline!$B$2:$E$2,0))))))</f>
        <v/>
      </c>
      <c r="O732" s="17" t="str">
        <f aca="false">IF($C732="","",IF($E732="H",0,IF($E732="G",INDEX(Baseline!$I$3:$I$102,MIN(MAX(ROUND($F732,0),1),100)),IF($E732="T",IF($M732=3,INDEX(Baseline!$B$3:$B$122,MATCH(MIN(MAX(ROUND(($F732)/5,0)*5,5),600),Baseline!$A$3:$A$122,0))-Inputs!$B$9,INDEX(Course!$N$2:$N$19,MATCH($B732,Course!$A$2:$A$19,0))),INDEX(Baseline!$B$3:$E$122,MATCH(MIN(MAX(ROUND(($F732)/5,0)*5,5),600),Baseline!$A$3:$A$122,0),MATCH($E732,Baseline!$B$2:$E$2,0))))))</f>
        <v/>
      </c>
      <c r="P732" s="17" t="str">
        <f aca="false">IF($B732="","",INDEX(Course!$N$2:$N$19,MATCH($B732,Course!$A$2:$A$19,0)))</f>
        <v/>
      </c>
      <c r="Q732" s="17" t="str">
        <f aca="false">IF($B732="","",INDEX(Course!$P$2:$P$19,MATCH($B732,Course!$A$2:$A$19,0)))</f>
        <v/>
      </c>
      <c r="R732" s="17" t="str">
        <f aca="false">IF($C732="","",IF(OR($C732="G",$C732="H"),0,IF($C732="T",1,MIN(1,MAX(0,($N732-Inputs!$B$8)/MAX($P732-Inputs!$B$8,0.01))))))</f>
        <v/>
      </c>
      <c r="S732" s="17" t="str">
        <f aca="false">IF($C732="","",IF(OR($E732="G",$E732="H"),0,IF($E732="T",1,MIN(1,MAX(0,($O732-Inputs!$B$8)/MAX($P732-Inputs!$B$8,0.01))))))</f>
        <v/>
      </c>
    </row>
    <row r="733" customFormat="false" ht="15" hidden="false" customHeight="false" outlineLevel="0" collapsed="false">
      <c r="I733" s="7" t="str">
        <f aca="false">IF($C733="","",IF($C733="G","PUTT",IF(AND($C733="T",$M733&gt;3),"OTT",IF($D733&lt;=30,"ARG","APP"))))</f>
        <v/>
      </c>
      <c r="J733" s="17" t="str">
        <f aca="false">IF($C733="","",$N733+$Q733*$R733)</f>
        <v/>
      </c>
      <c r="K733" s="17" t="str">
        <f aca="false">IF($C733="","",$O733+$Q733*$S733)</f>
        <v/>
      </c>
      <c r="L733" s="17" t="str">
        <f aca="false">IF($C733="","",$J733-$K733-1-N($G733))</f>
        <v/>
      </c>
      <c r="M733" s="7" t="str">
        <f aca="false">IF($B733="","",INDEX(Course!$B$2:$B$19,MATCH($B733,Course!$A$2:$A$19,0)))</f>
        <v/>
      </c>
      <c r="N733" s="17" t="str">
        <f aca="false">IF($C733="","",IF($C733="H",0,IF($C733="G",INDEX(Baseline!$I$3:$I$102,MIN(MAX(ROUND($D733,0),1),100)),IF($C733="T",IF($M733=3,INDEX(Baseline!$B$3:$B$122,MATCH(MIN(MAX(ROUND(($D733)/5,0)*5,5),600),Baseline!$A$3:$A$122,0))-Inputs!$B$9,INDEX(Course!$N$2:$N$19,MATCH($B733,Course!$A$2:$A$19,0))),INDEX(Baseline!$B$3:$E$122,MATCH(MIN(MAX(ROUND(($D733)/5,0)*5,5),600),Baseline!$A$3:$A$122,0),MATCH($C733,Baseline!$B$2:$E$2,0))))))</f>
        <v/>
      </c>
      <c r="O733" s="17" t="str">
        <f aca="false">IF($C733="","",IF($E733="H",0,IF($E733="G",INDEX(Baseline!$I$3:$I$102,MIN(MAX(ROUND($F733,0),1),100)),IF($E733="T",IF($M733=3,INDEX(Baseline!$B$3:$B$122,MATCH(MIN(MAX(ROUND(($F733)/5,0)*5,5),600),Baseline!$A$3:$A$122,0))-Inputs!$B$9,INDEX(Course!$N$2:$N$19,MATCH($B733,Course!$A$2:$A$19,0))),INDEX(Baseline!$B$3:$E$122,MATCH(MIN(MAX(ROUND(($F733)/5,0)*5,5),600),Baseline!$A$3:$A$122,0),MATCH($E733,Baseline!$B$2:$E$2,0))))))</f>
        <v/>
      </c>
      <c r="P733" s="17" t="str">
        <f aca="false">IF($B733="","",INDEX(Course!$N$2:$N$19,MATCH($B733,Course!$A$2:$A$19,0)))</f>
        <v/>
      </c>
      <c r="Q733" s="17" t="str">
        <f aca="false">IF($B733="","",INDEX(Course!$P$2:$P$19,MATCH($B733,Course!$A$2:$A$19,0)))</f>
        <v/>
      </c>
      <c r="R733" s="17" t="str">
        <f aca="false">IF($C733="","",IF(OR($C733="G",$C733="H"),0,IF($C733="T",1,MIN(1,MAX(0,($N733-Inputs!$B$8)/MAX($P733-Inputs!$B$8,0.01))))))</f>
        <v/>
      </c>
      <c r="S733" s="17" t="str">
        <f aca="false">IF($C733="","",IF(OR($E733="G",$E733="H"),0,IF($E733="T",1,MIN(1,MAX(0,($O733-Inputs!$B$8)/MAX($P733-Inputs!$B$8,0.01))))))</f>
        <v/>
      </c>
    </row>
    <row r="734" customFormat="false" ht="15" hidden="false" customHeight="false" outlineLevel="0" collapsed="false">
      <c r="I734" s="7" t="str">
        <f aca="false">IF($C734="","",IF($C734="G","PUTT",IF(AND($C734="T",$M734&gt;3),"OTT",IF($D734&lt;=30,"ARG","APP"))))</f>
        <v/>
      </c>
      <c r="J734" s="17" t="str">
        <f aca="false">IF($C734="","",$N734+$Q734*$R734)</f>
        <v/>
      </c>
      <c r="K734" s="17" t="str">
        <f aca="false">IF($C734="","",$O734+$Q734*$S734)</f>
        <v/>
      </c>
      <c r="L734" s="17" t="str">
        <f aca="false">IF($C734="","",$J734-$K734-1-N($G734))</f>
        <v/>
      </c>
      <c r="M734" s="7" t="str">
        <f aca="false">IF($B734="","",INDEX(Course!$B$2:$B$19,MATCH($B734,Course!$A$2:$A$19,0)))</f>
        <v/>
      </c>
      <c r="N734" s="17" t="str">
        <f aca="false">IF($C734="","",IF($C734="H",0,IF($C734="G",INDEX(Baseline!$I$3:$I$102,MIN(MAX(ROUND($D734,0),1),100)),IF($C734="T",IF($M734=3,INDEX(Baseline!$B$3:$B$122,MATCH(MIN(MAX(ROUND(($D734)/5,0)*5,5),600),Baseline!$A$3:$A$122,0))-Inputs!$B$9,INDEX(Course!$N$2:$N$19,MATCH($B734,Course!$A$2:$A$19,0))),INDEX(Baseline!$B$3:$E$122,MATCH(MIN(MAX(ROUND(($D734)/5,0)*5,5),600),Baseline!$A$3:$A$122,0),MATCH($C734,Baseline!$B$2:$E$2,0))))))</f>
        <v/>
      </c>
      <c r="O734" s="17" t="str">
        <f aca="false">IF($C734="","",IF($E734="H",0,IF($E734="G",INDEX(Baseline!$I$3:$I$102,MIN(MAX(ROUND($F734,0),1),100)),IF($E734="T",IF($M734=3,INDEX(Baseline!$B$3:$B$122,MATCH(MIN(MAX(ROUND(($F734)/5,0)*5,5),600),Baseline!$A$3:$A$122,0))-Inputs!$B$9,INDEX(Course!$N$2:$N$19,MATCH($B734,Course!$A$2:$A$19,0))),INDEX(Baseline!$B$3:$E$122,MATCH(MIN(MAX(ROUND(($F734)/5,0)*5,5),600),Baseline!$A$3:$A$122,0),MATCH($E734,Baseline!$B$2:$E$2,0))))))</f>
        <v/>
      </c>
      <c r="P734" s="17" t="str">
        <f aca="false">IF($B734="","",INDEX(Course!$N$2:$N$19,MATCH($B734,Course!$A$2:$A$19,0)))</f>
        <v/>
      </c>
      <c r="Q734" s="17" t="str">
        <f aca="false">IF($B734="","",INDEX(Course!$P$2:$P$19,MATCH($B734,Course!$A$2:$A$19,0)))</f>
        <v/>
      </c>
      <c r="R734" s="17" t="str">
        <f aca="false">IF($C734="","",IF(OR($C734="G",$C734="H"),0,IF($C734="T",1,MIN(1,MAX(0,($N734-Inputs!$B$8)/MAX($P734-Inputs!$B$8,0.01))))))</f>
        <v/>
      </c>
      <c r="S734" s="17" t="str">
        <f aca="false">IF($C734="","",IF(OR($E734="G",$E734="H"),0,IF($E734="T",1,MIN(1,MAX(0,($O734-Inputs!$B$8)/MAX($P734-Inputs!$B$8,0.01))))))</f>
        <v/>
      </c>
    </row>
    <row r="735" customFormat="false" ht="15" hidden="false" customHeight="false" outlineLevel="0" collapsed="false">
      <c r="I735" s="7" t="str">
        <f aca="false">IF($C735="","",IF($C735="G","PUTT",IF(AND($C735="T",$M735&gt;3),"OTT",IF($D735&lt;=30,"ARG","APP"))))</f>
        <v/>
      </c>
      <c r="J735" s="17" t="str">
        <f aca="false">IF($C735="","",$N735+$Q735*$R735)</f>
        <v/>
      </c>
      <c r="K735" s="17" t="str">
        <f aca="false">IF($C735="","",$O735+$Q735*$S735)</f>
        <v/>
      </c>
      <c r="L735" s="17" t="str">
        <f aca="false">IF($C735="","",$J735-$K735-1-N($G735))</f>
        <v/>
      </c>
      <c r="M735" s="7" t="str">
        <f aca="false">IF($B735="","",INDEX(Course!$B$2:$B$19,MATCH($B735,Course!$A$2:$A$19,0)))</f>
        <v/>
      </c>
      <c r="N735" s="17" t="str">
        <f aca="false">IF($C735="","",IF($C735="H",0,IF($C735="G",INDEX(Baseline!$I$3:$I$102,MIN(MAX(ROUND($D735,0),1),100)),IF($C735="T",IF($M735=3,INDEX(Baseline!$B$3:$B$122,MATCH(MIN(MAX(ROUND(($D735)/5,0)*5,5),600),Baseline!$A$3:$A$122,0))-Inputs!$B$9,INDEX(Course!$N$2:$N$19,MATCH($B735,Course!$A$2:$A$19,0))),INDEX(Baseline!$B$3:$E$122,MATCH(MIN(MAX(ROUND(($D735)/5,0)*5,5),600),Baseline!$A$3:$A$122,0),MATCH($C735,Baseline!$B$2:$E$2,0))))))</f>
        <v/>
      </c>
      <c r="O735" s="17" t="str">
        <f aca="false">IF($C735="","",IF($E735="H",0,IF($E735="G",INDEX(Baseline!$I$3:$I$102,MIN(MAX(ROUND($F735,0),1),100)),IF($E735="T",IF($M735=3,INDEX(Baseline!$B$3:$B$122,MATCH(MIN(MAX(ROUND(($F735)/5,0)*5,5),600),Baseline!$A$3:$A$122,0))-Inputs!$B$9,INDEX(Course!$N$2:$N$19,MATCH($B735,Course!$A$2:$A$19,0))),INDEX(Baseline!$B$3:$E$122,MATCH(MIN(MAX(ROUND(($F735)/5,0)*5,5),600),Baseline!$A$3:$A$122,0),MATCH($E735,Baseline!$B$2:$E$2,0))))))</f>
        <v/>
      </c>
      <c r="P735" s="17" t="str">
        <f aca="false">IF($B735="","",INDEX(Course!$N$2:$N$19,MATCH($B735,Course!$A$2:$A$19,0)))</f>
        <v/>
      </c>
      <c r="Q735" s="17" t="str">
        <f aca="false">IF($B735="","",INDEX(Course!$P$2:$P$19,MATCH($B735,Course!$A$2:$A$19,0)))</f>
        <v/>
      </c>
      <c r="R735" s="17" t="str">
        <f aca="false">IF($C735="","",IF(OR($C735="G",$C735="H"),0,IF($C735="T",1,MIN(1,MAX(0,($N735-Inputs!$B$8)/MAX($P735-Inputs!$B$8,0.01))))))</f>
        <v/>
      </c>
      <c r="S735" s="17" t="str">
        <f aca="false">IF($C735="","",IF(OR($E735="G",$E735="H"),0,IF($E735="T",1,MIN(1,MAX(0,($O735-Inputs!$B$8)/MAX($P735-Inputs!$B$8,0.01))))))</f>
        <v/>
      </c>
    </row>
    <row r="736" customFormat="false" ht="15" hidden="false" customHeight="false" outlineLevel="0" collapsed="false">
      <c r="I736" s="7" t="str">
        <f aca="false">IF($C736="","",IF($C736="G","PUTT",IF(AND($C736="T",$M736&gt;3),"OTT",IF($D736&lt;=30,"ARG","APP"))))</f>
        <v/>
      </c>
      <c r="J736" s="17" t="str">
        <f aca="false">IF($C736="","",$N736+$Q736*$R736)</f>
        <v/>
      </c>
      <c r="K736" s="17" t="str">
        <f aca="false">IF($C736="","",$O736+$Q736*$S736)</f>
        <v/>
      </c>
      <c r="L736" s="17" t="str">
        <f aca="false">IF($C736="","",$J736-$K736-1-N($G736))</f>
        <v/>
      </c>
      <c r="M736" s="7" t="str">
        <f aca="false">IF($B736="","",INDEX(Course!$B$2:$B$19,MATCH($B736,Course!$A$2:$A$19,0)))</f>
        <v/>
      </c>
      <c r="N736" s="17" t="str">
        <f aca="false">IF($C736="","",IF($C736="H",0,IF($C736="G",INDEX(Baseline!$I$3:$I$102,MIN(MAX(ROUND($D736,0),1),100)),IF($C736="T",IF($M736=3,INDEX(Baseline!$B$3:$B$122,MATCH(MIN(MAX(ROUND(($D736)/5,0)*5,5),600),Baseline!$A$3:$A$122,0))-Inputs!$B$9,INDEX(Course!$N$2:$N$19,MATCH($B736,Course!$A$2:$A$19,0))),INDEX(Baseline!$B$3:$E$122,MATCH(MIN(MAX(ROUND(($D736)/5,0)*5,5),600),Baseline!$A$3:$A$122,0),MATCH($C736,Baseline!$B$2:$E$2,0))))))</f>
        <v/>
      </c>
      <c r="O736" s="17" t="str">
        <f aca="false">IF($C736="","",IF($E736="H",0,IF($E736="G",INDEX(Baseline!$I$3:$I$102,MIN(MAX(ROUND($F736,0),1),100)),IF($E736="T",IF($M736=3,INDEX(Baseline!$B$3:$B$122,MATCH(MIN(MAX(ROUND(($F736)/5,0)*5,5),600),Baseline!$A$3:$A$122,0))-Inputs!$B$9,INDEX(Course!$N$2:$N$19,MATCH($B736,Course!$A$2:$A$19,0))),INDEX(Baseline!$B$3:$E$122,MATCH(MIN(MAX(ROUND(($F736)/5,0)*5,5),600),Baseline!$A$3:$A$122,0),MATCH($E736,Baseline!$B$2:$E$2,0))))))</f>
        <v/>
      </c>
      <c r="P736" s="17" t="str">
        <f aca="false">IF($B736="","",INDEX(Course!$N$2:$N$19,MATCH($B736,Course!$A$2:$A$19,0)))</f>
        <v/>
      </c>
      <c r="Q736" s="17" t="str">
        <f aca="false">IF($B736="","",INDEX(Course!$P$2:$P$19,MATCH($B736,Course!$A$2:$A$19,0)))</f>
        <v/>
      </c>
      <c r="R736" s="17" t="str">
        <f aca="false">IF($C736="","",IF(OR($C736="G",$C736="H"),0,IF($C736="T",1,MIN(1,MAX(0,($N736-Inputs!$B$8)/MAX($P736-Inputs!$B$8,0.01))))))</f>
        <v/>
      </c>
      <c r="S736" s="17" t="str">
        <f aca="false">IF($C736="","",IF(OR($E736="G",$E736="H"),0,IF($E736="T",1,MIN(1,MAX(0,($O736-Inputs!$B$8)/MAX($P736-Inputs!$B$8,0.01))))))</f>
        <v/>
      </c>
    </row>
    <row r="737" customFormat="false" ht="15" hidden="false" customHeight="false" outlineLevel="0" collapsed="false">
      <c r="I737" s="7" t="str">
        <f aca="false">IF($C737="","",IF($C737="G","PUTT",IF(AND($C737="T",$M737&gt;3),"OTT",IF($D737&lt;=30,"ARG","APP"))))</f>
        <v/>
      </c>
      <c r="J737" s="17" t="str">
        <f aca="false">IF($C737="","",$N737+$Q737*$R737)</f>
        <v/>
      </c>
      <c r="K737" s="17" t="str">
        <f aca="false">IF($C737="","",$O737+$Q737*$S737)</f>
        <v/>
      </c>
      <c r="L737" s="17" t="str">
        <f aca="false">IF($C737="","",$J737-$K737-1-N($G737))</f>
        <v/>
      </c>
      <c r="M737" s="7" t="str">
        <f aca="false">IF($B737="","",INDEX(Course!$B$2:$B$19,MATCH($B737,Course!$A$2:$A$19,0)))</f>
        <v/>
      </c>
      <c r="N737" s="17" t="str">
        <f aca="false">IF($C737="","",IF($C737="H",0,IF($C737="G",INDEX(Baseline!$I$3:$I$102,MIN(MAX(ROUND($D737,0),1),100)),IF($C737="T",IF($M737=3,INDEX(Baseline!$B$3:$B$122,MATCH(MIN(MAX(ROUND(($D737)/5,0)*5,5),600),Baseline!$A$3:$A$122,0))-Inputs!$B$9,INDEX(Course!$N$2:$N$19,MATCH($B737,Course!$A$2:$A$19,0))),INDEX(Baseline!$B$3:$E$122,MATCH(MIN(MAX(ROUND(($D737)/5,0)*5,5),600),Baseline!$A$3:$A$122,0),MATCH($C737,Baseline!$B$2:$E$2,0))))))</f>
        <v/>
      </c>
      <c r="O737" s="17" t="str">
        <f aca="false">IF($C737="","",IF($E737="H",0,IF($E737="G",INDEX(Baseline!$I$3:$I$102,MIN(MAX(ROUND($F737,0),1),100)),IF($E737="T",IF($M737=3,INDEX(Baseline!$B$3:$B$122,MATCH(MIN(MAX(ROUND(($F737)/5,0)*5,5),600),Baseline!$A$3:$A$122,0))-Inputs!$B$9,INDEX(Course!$N$2:$N$19,MATCH($B737,Course!$A$2:$A$19,0))),INDEX(Baseline!$B$3:$E$122,MATCH(MIN(MAX(ROUND(($F737)/5,0)*5,5),600),Baseline!$A$3:$A$122,0),MATCH($E737,Baseline!$B$2:$E$2,0))))))</f>
        <v/>
      </c>
      <c r="P737" s="17" t="str">
        <f aca="false">IF($B737="","",INDEX(Course!$N$2:$N$19,MATCH($B737,Course!$A$2:$A$19,0)))</f>
        <v/>
      </c>
      <c r="Q737" s="17" t="str">
        <f aca="false">IF($B737="","",INDEX(Course!$P$2:$P$19,MATCH($B737,Course!$A$2:$A$19,0)))</f>
        <v/>
      </c>
      <c r="R737" s="17" t="str">
        <f aca="false">IF($C737="","",IF(OR($C737="G",$C737="H"),0,IF($C737="T",1,MIN(1,MAX(0,($N737-Inputs!$B$8)/MAX($P737-Inputs!$B$8,0.01))))))</f>
        <v/>
      </c>
      <c r="S737" s="17" t="str">
        <f aca="false">IF($C737="","",IF(OR($E737="G",$E737="H"),0,IF($E737="T",1,MIN(1,MAX(0,($O737-Inputs!$B$8)/MAX($P737-Inputs!$B$8,0.01))))))</f>
        <v/>
      </c>
    </row>
    <row r="738" customFormat="false" ht="15" hidden="false" customHeight="false" outlineLevel="0" collapsed="false">
      <c r="I738" s="7" t="str">
        <f aca="false">IF($C738="","",IF($C738="G","PUTT",IF(AND($C738="T",$M738&gt;3),"OTT",IF($D738&lt;=30,"ARG","APP"))))</f>
        <v/>
      </c>
      <c r="J738" s="17" t="str">
        <f aca="false">IF($C738="","",$N738+$Q738*$R738)</f>
        <v/>
      </c>
      <c r="K738" s="17" t="str">
        <f aca="false">IF($C738="","",$O738+$Q738*$S738)</f>
        <v/>
      </c>
      <c r="L738" s="17" t="str">
        <f aca="false">IF($C738="","",$J738-$K738-1-N($G738))</f>
        <v/>
      </c>
      <c r="M738" s="7" t="str">
        <f aca="false">IF($B738="","",INDEX(Course!$B$2:$B$19,MATCH($B738,Course!$A$2:$A$19,0)))</f>
        <v/>
      </c>
      <c r="N738" s="17" t="str">
        <f aca="false">IF($C738="","",IF($C738="H",0,IF($C738="G",INDEX(Baseline!$I$3:$I$102,MIN(MAX(ROUND($D738,0),1),100)),IF($C738="T",IF($M738=3,INDEX(Baseline!$B$3:$B$122,MATCH(MIN(MAX(ROUND(($D738)/5,0)*5,5),600),Baseline!$A$3:$A$122,0))-Inputs!$B$9,INDEX(Course!$N$2:$N$19,MATCH($B738,Course!$A$2:$A$19,0))),INDEX(Baseline!$B$3:$E$122,MATCH(MIN(MAX(ROUND(($D738)/5,0)*5,5),600),Baseline!$A$3:$A$122,0),MATCH($C738,Baseline!$B$2:$E$2,0))))))</f>
        <v/>
      </c>
      <c r="O738" s="17" t="str">
        <f aca="false">IF($C738="","",IF($E738="H",0,IF($E738="G",INDEX(Baseline!$I$3:$I$102,MIN(MAX(ROUND($F738,0),1),100)),IF($E738="T",IF($M738=3,INDEX(Baseline!$B$3:$B$122,MATCH(MIN(MAX(ROUND(($F738)/5,0)*5,5),600),Baseline!$A$3:$A$122,0))-Inputs!$B$9,INDEX(Course!$N$2:$N$19,MATCH($B738,Course!$A$2:$A$19,0))),INDEX(Baseline!$B$3:$E$122,MATCH(MIN(MAX(ROUND(($F738)/5,0)*5,5),600),Baseline!$A$3:$A$122,0),MATCH($E738,Baseline!$B$2:$E$2,0))))))</f>
        <v/>
      </c>
      <c r="P738" s="17" t="str">
        <f aca="false">IF($B738="","",INDEX(Course!$N$2:$N$19,MATCH($B738,Course!$A$2:$A$19,0)))</f>
        <v/>
      </c>
      <c r="Q738" s="17" t="str">
        <f aca="false">IF($B738="","",INDEX(Course!$P$2:$P$19,MATCH($B738,Course!$A$2:$A$19,0)))</f>
        <v/>
      </c>
      <c r="R738" s="17" t="str">
        <f aca="false">IF($C738="","",IF(OR($C738="G",$C738="H"),0,IF($C738="T",1,MIN(1,MAX(0,($N738-Inputs!$B$8)/MAX($P738-Inputs!$B$8,0.01))))))</f>
        <v/>
      </c>
      <c r="S738" s="17" t="str">
        <f aca="false">IF($C738="","",IF(OR($E738="G",$E738="H"),0,IF($E738="T",1,MIN(1,MAX(0,($O738-Inputs!$B$8)/MAX($P738-Inputs!$B$8,0.01))))))</f>
        <v/>
      </c>
    </row>
    <row r="739" customFormat="false" ht="15" hidden="false" customHeight="false" outlineLevel="0" collapsed="false">
      <c r="I739" s="7" t="str">
        <f aca="false">IF($C739="","",IF($C739="G","PUTT",IF(AND($C739="T",$M739&gt;3),"OTT",IF($D739&lt;=30,"ARG","APP"))))</f>
        <v/>
      </c>
      <c r="J739" s="17" t="str">
        <f aca="false">IF($C739="","",$N739+$Q739*$R739)</f>
        <v/>
      </c>
      <c r="K739" s="17" t="str">
        <f aca="false">IF($C739="","",$O739+$Q739*$S739)</f>
        <v/>
      </c>
      <c r="L739" s="17" t="str">
        <f aca="false">IF($C739="","",$J739-$K739-1-N($G739))</f>
        <v/>
      </c>
      <c r="M739" s="7" t="str">
        <f aca="false">IF($B739="","",INDEX(Course!$B$2:$B$19,MATCH($B739,Course!$A$2:$A$19,0)))</f>
        <v/>
      </c>
      <c r="N739" s="17" t="str">
        <f aca="false">IF($C739="","",IF($C739="H",0,IF($C739="G",INDEX(Baseline!$I$3:$I$102,MIN(MAX(ROUND($D739,0),1),100)),IF($C739="T",IF($M739=3,INDEX(Baseline!$B$3:$B$122,MATCH(MIN(MAX(ROUND(($D739)/5,0)*5,5),600),Baseline!$A$3:$A$122,0))-Inputs!$B$9,INDEX(Course!$N$2:$N$19,MATCH($B739,Course!$A$2:$A$19,0))),INDEX(Baseline!$B$3:$E$122,MATCH(MIN(MAX(ROUND(($D739)/5,0)*5,5),600),Baseline!$A$3:$A$122,0),MATCH($C739,Baseline!$B$2:$E$2,0))))))</f>
        <v/>
      </c>
      <c r="O739" s="17" t="str">
        <f aca="false">IF($C739="","",IF($E739="H",0,IF($E739="G",INDEX(Baseline!$I$3:$I$102,MIN(MAX(ROUND($F739,0),1),100)),IF($E739="T",IF($M739=3,INDEX(Baseline!$B$3:$B$122,MATCH(MIN(MAX(ROUND(($F739)/5,0)*5,5),600),Baseline!$A$3:$A$122,0))-Inputs!$B$9,INDEX(Course!$N$2:$N$19,MATCH($B739,Course!$A$2:$A$19,0))),INDEX(Baseline!$B$3:$E$122,MATCH(MIN(MAX(ROUND(($F739)/5,0)*5,5),600),Baseline!$A$3:$A$122,0),MATCH($E739,Baseline!$B$2:$E$2,0))))))</f>
        <v/>
      </c>
      <c r="P739" s="17" t="str">
        <f aca="false">IF($B739="","",INDEX(Course!$N$2:$N$19,MATCH($B739,Course!$A$2:$A$19,0)))</f>
        <v/>
      </c>
      <c r="Q739" s="17" t="str">
        <f aca="false">IF($B739="","",INDEX(Course!$P$2:$P$19,MATCH($B739,Course!$A$2:$A$19,0)))</f>
        <v/>
      </c>
      <c r="R739" s="17" t="str">
        <f aca="false">IF($C739="","",IF(OR($C739="G",$C739="H"),0,IF($C739="T",1,MIN(1,MAX(0,($N739-Inputs!$B$8)/MAX($P739-Inputs!$B$8,0.01))))))</f>
        <v/>
      </c>
      <c r="S739" s="17" t="str">
        <f aca="false">IF($C739="","",IF(OR($E739="G",$E739="H"),0,IF($E739="T",1,MIN(1,MAX(0,($O739-Inputs!$B$8)/MAX($P739-Inputs!$B$8,0.01))))))</f>
        <v/>
      </c>
    </row>
    <row r="740" customFormat="false" ht="15" hidden="false" customHeight="false" outlineLevel="0" collapsed="false">
      <c r="I740" s="7" t="str">
        <f aca="false">IF($C740="","",IF($C740="G","PUTT",IF(AND($C740="T",$M740&gt;3),"OTT",IF($D740&lt;=30,"ARG","APP"))))</f>
        <v/>
      </c>
      <c r="J740" s="17" t="str">
        <f aca="false">IF($C740="","",$N740+$Q740*$R740)</f>
        <v/>
      </c>
      <c r="K740" s="17" t="str">
        <f aca="false">IF($C740="","",$O740+$Q740*$S740)</f>
        <v/>
      </c>
      <c r="L740" s="17" t="str">
        <f aca="false">IF($C740="","",$J740-$K740-1-N($G740))</f>
        <v/>
      </c>
      <c r="M740" s="7" t="str">
        <f aca="false">IF($B740="","",INDEX(Course!$B$2:$B$19,MATCH($B740,Course!$A$2:$A$19,0)))</f>
        <v/>
      </c>
      <c r="N740" s="17" t="str">
        <f aca="false">IF($C740="","",IF($C740="H",0,IF($C740="G",INDEX(Baseline!$I$3:$I$102,MIN(MAX(ROUND($D740,0),1),100)),IF($C740="T",IF($M740=3,INDEX(Baseline!$B$3:$B$122,MATCH(MIN(MAX(ROUND(($D740)/5,0)*5,5),600),Baseline!$A$3:$A$122,0))-Inputs!$B$9,INDEX(Course!$N$2:$N$19,MATCH($B740,Course!$A$2:$A$19,0))),INDEX(Baseline!$B$3:$E$122,MATCH(MIN(MAX(ROUND(($D740)/5,0)*5,5),600),Baseline!$A$3:$A$122,0),MATCH($C740,Baseline!$B$2:$E$2,0))))))</f>
        <v/>
      </c>
      <c r="O740" s="17" t="str">
        <f aca="false">IF($C740="","",IF($E740="H",0,IF($E740="G",INDEX(Baseline!$I$3:$I$102,MIN(MAX(ROUND($F740,0),1),100)),IF($E740="T",IF($M740=3,INDEX(Baseline!$B$3:$B$122,MATCH(MIN(MAX(ROUND(($F740)/5,0)*5,5),600),Baseline!$A$3:$A$122,0))-Inputs!$B$9,INDEX(Course!$N$2:$N$19,MATCH($B740,Course!$A$2:$A$19,0))),INDEX(Baseline!$B$3:$E$122,MATCH(MIN(MAX(ROUND(($F740)/5,0)*5,5),600),Baseline!$A$3:$A$122,0),MATCH($E740,Baseline!$B$2:$E$2,0))))))</f>
        <v/>
      </c>
      <c r="P740" s="17" t="str">
        <f aca="false">IF($B740="","",INDEX(Course!$N$2:$N$19,MATCH($B740,Course!$A$2:$A$19,0)))</f>
        <v/>
      </c>
      <c r="Q740" s="17" t="str">
        <f aca="false">IF($B740="","",INDEX(Course!$P$2:$P$19,MATCH($B740,Course!$A$2:$A$19,0)))</f>
        <v/>
      </c>
      <c r="R740" s="17" t="str">
        <f aca="false">IF($C740="","",IF(OR($C740="G",$C740="H"),0,IF($C740="T",1,MIN(1,MAX(0,($N740-Inputs!$B$8)/MAX($P740-Inputs!$B$8,0.01))))))</f>
        <v/>
      </c>
      <c r="S740" s="17" t="str">
        <f aca="false">IF($C740="","",IF(OR($E740="G",$E740="H"),0,IF($E740="T",1,MIN(1,MAX(0,($O740-Inputs!$B$8)/MAX($P740-Inputs!$B$8,0.01))))))</f>
        <v/>
      </c>
    </row>
    <row r="741" customFormat="false" ht="15" hidden="false" customHeight="false" outlineLevel="0" collapsed="false">
      <c r="I741" s="7" t="str">
        <f aca="false">IF($C741="","",IF($C741="G","PUTT",IF(AND($C741="T",$M741&gt;3),"OTT",IF($D741&lt;=30,"ARG","APP"))))</f>
        <v/>
      </c>
      <c r="J741" s="17" t="str">
        <f aca="false">IF($C741="","",$N741+$Q741*$R741)</f>
        <v/>
      </c>
      <c r="K741" s="17" t="str">
        <f aca="false">IF($C741="","",$O741+$Q741*$S741)</f>
        <v/>
      </c>
      <c r="L741" s="17" t="str">
        <f aca="false">IF($C741="","",$J741-$K741-1-N($G741))</f>
        <v/>
      </c>
      <c r="M741" s="7" t="str">
        <f aca="false">IF($B741="","",INDEX(Course!$B$2:$B$19,MATCH($B741,Course!$A$2:$A$19,0)))</f>
        <v/>
      </c>
      <c r="N741" s="17" t="str">
        <f aca="false">IF($C741="","",IF($C741="H",0,IF($C741="G",INDEX(Baseline!$I$3:$I$102,MIN(MAX(ROUND($D741,0),1),100)),IF($C741="T",IF($M741=3,INDEX(Baseline!$B$3:$B$122,MATCH(MIN(MAX(ROUND(($D741)/5,0)*5,5),600),Baseline!$A$3:$A$122,0))-Inputs!$B$9,INDEX(Course!$N$2:$N$19,MATCH($B741,Course!$A$2:$A$19,0))),INDEX(Baseline!$B$3:$E$122,MATCH(MIN(MAX(ROUND(($D741)/5,0)*5,5),600),Baseline!$A$3:$A$122,0),MATCH($C741,Baseline!$B$2:$E$2,0))))))</f>
        <v/>
      </c>
      <c r="O741" s="17" t="str">
        <f aca="false">IF($C741="","",IF($E741="H",0,IF($E741="G",INDEX(Baseline!$I$3:$I$102,MIN(MAX(ROUND($F741,0),1),100)),IF($E741="T",IF($M741=3,INDEX(Baseline!$B$3:$B$122,MATCH(MIN(MAX(ROUND(($F741)/5,0)*5,5),600),Baseline!$A$3:$A$122,0))-Inputs!$B$9,INDEX(Course!$N$2:$N$19,MATCH($B741,Course!$A$2:$A$19,0))),INDEX(Baseline!$B$3:$E$122,MATCH(MIN(MAX(ROUND(($F741)/5,0)*5,5),600),Baseline!$A$3:$A$122,0),MATCH($E741,Baseline!$B$2:$E$2,0))))))</f>
        <v/>
      </c>
      <c r="P741" s="17" t="str">
        <f aca="false">IF($B741="","",INDEX(Course!$N$2:$N$19,MATCH($B741,Course!$A$2:$A$19,0)))</f>
        <v/>
      </c>
      <c r="Q741" s="17" t="str">
        <f aca="false">IF($B741="","",INDEX(Course!$P$2:$P$19,MATCH($B741,Course!$A$2:$A$19,0)))</f>
        <v/>
      </c>
      <c r="R741" s="17" t="str">
        <f aca="false">IF($C741="","",IF(OR($C741="G",$C741="H"),0,IF($C741="T",1,MIN(1,MAX(0,($N741-Inputs!$B$8)/MAX($P741-Inputs!$B$8,0.01))))))</f>
        <v/>
      </c>
      <c r="S741" s="17" t="str">
        <f aca="false">IF($C741="","",IF(OR($E741="G",$E741="H"),0,IF($E741="T",1,MIN(1,MAX(0,($O741-Inputs!$B$8)/MAX($P741-Inputs!$B$8,0.01))))))</f>
        <v/>
      </c>
    </row>
    <row r="742" customFormat="false" ht="15" hidden="false" customHeight="false" outlineLevel="0" collapsed="false">
      <c r="I742" s="7" t="str">
        <f aca="false">IF($C742="","",IF($C742="G","PUTT",IF(AND($C742="T",$M742&gt;3),"OTT",IF($D742&lt;=30,"ARG","APP"))))</f>
        <v/>
      </c>
      <c r="J742" s="17" t="str">
        <f aca="false">IF($C742="","",$N742+$Q742*$R742)</f>
        <v/>
      </c>
      <c r="K742" s="17" t="str">
        <f aca="false">IF($C742="","",$O742+$Q742*$S742)</f>
        <v/>
      </c>
      <c r="L742" s="17" t="str">
        <f aca="false">IF($C742="","",$J742-$K742-1-N($G742))</f>
        <v/>
      </c>
      <c r="M742" s="7" t="str">
        <f aca="false">IF($B742="","",INDEX(Course!$B$2:$B$19,MATCH($B742,Course!$A$2:$A$19,0)))</f>
        <v/>
      </c>
      <c r="N742" s="17" t="str">
        <f aca="false">IF($C742="","",IF($C742="H",0,IF($C742="G",INDEX(Baseline!$I$3:$I$102,MIN(MAX(ROUND($D742,0),1),100)),IF($C742="T",IF($M742=3,INDEX(Baseline!$B$3:$B$122,MATCH(MIN(MAX(ROUND(($D742)/5,0)*5,5),600),Baseline!$A$3:$A$122,0))-Inputs!$B$9,INDEX(Course!$N$2:$N$19,MATCH($B742,Course!$A$2:$A$19,0))),INDEX(Baseline!$B$3:$E$122,MATCH(MIN(MAX(ROUND(($D742)/5,0)*5,5),600),Baseline!$A$3:$A$122,0),MATCH($C742,Baseline!$B$2:$E$2,0))))))</f>
        <v/>
      </c>
      <c r="O742" s="17" t="str">
        <f aca="false">IF($C742="","",IF($E742="H",0,IF($E742="G",INDEX(Baseline!$I$3:$I$102,MIN(MAX(ROUND($F742,0),1),100)),IF($E742="T",IF($M742=3,INDEX(Baseline!$B$3:$B$122,MATCH(MIN(MAX(ROUND(($F742)/5,0)*5,5),600),Baseline!$A$3:$A$122,0))-Inputs!$B$9,INDEX(Course!$N$2:$N$19,MATCH($B742,Course!$A$2:$A$19,0))),INDEX(Baseline!$B$3:$E$122,MATCH(MIN(MAX(ROUND(($F742)/5,0)*5,5),600),Baseline!$A$3:$A$122,0),MATCH($E742,Baseline!$B$2:$E$2,0))))))</f>
        <v/>
      </c>
      <c r="P742" s="17" t="str">
        <f aca="false">IF($B742="","",INDEX(Course!$N$2:$N$19,MATCH($B742,Course!$A$2:$A$19,0)))</f>
        <v/>
      </c>
      <c r="Q742" s="17" t="str">
        <f aca="false">IF($B742="","",INDEX(Course!$P$2:$P$19,MATCH($B742,Course!$A$2:$A$19,0)))</f>
        <v/>
      </c>
      <c r="R742" s="17" t="str">
        <f aca="false">IF($C742="","",IF(OR($C742="G",$C742="H"),0,IF($C742="T",1,MIN(1,MAX(0,($N742-Inputs!$B$8)/MAX($P742-Inputs!$B$8,0.01))))))</f>
        <v/>
      </c>
      <c r="S742" s="17" t="str">
        <f aca="false">IF($C742="","",IF(OR($E742="G",$E742="H"),0,IF($E742="T",1,MIN(1,MAX(0,($O742-Inputs!$B$8)/MAX($P742-Inputs!$B$8,0.01))))))</f>
        <v/>
      </c>
    </row>
    <row r="743" customFormat="false" ht="15" hidden="false" customHeight="false" outlineLevel="0" collapsed="false">
      <c r="I743" s="7" t="str">
        <f aca="false">IF($C743="","",IF($C743="G","PUTT",IF(AND($C743="T",$M743&gt;3),"OTT",IF($D743&lt;=30,"ARG","APP"))))</f>
        <v/>
      </c>
      <c r="J743" s="17" t="str">
        <f aca="false">IF($C743="","",$N743+$Q743*$R743)</f>
        <v/>
      </c>
      <c r="K743" s="17" t="str">
        <f aca="false">IF($C743="","",$O743+$Q743*$S743)</f>
        <v/>
      </c>
      <c r="L743" s="17" t="str">
        <f aca="false">IF($C743="","",$J743-$K743-1-N($G743))</f>
        <v/>
      </c>
      <c r="M743" s="7" t="str">
        <f aca="false">IF($B743="","",INDEX(Course!$B$2:$B$19,MATCH($B743,Course!$A$2:$A$19,0)))</f>
        <v/>
      </c>
      <c r="N743" s="17" t="str">
        <f aca="false">IF($C743="","",IF($C743="H",0,IF($C743="G",INDEX(Baseline!$I$3:$I$102,MIN(MAX(ROUND($D743,0),1),100)),IF($C743="T",IF($M743=3,INDEX(Baseline!$B$3:$B$122,MATCH(MIN(MAX(ROUND(($D743)/5,0)*5,5),600),Baseline!$A$3:$A$122,0))-Inputs!$B$9,INDEX(Course!$N$2:$N$19,MATCH($B743,Course!$A$2:$A$19,0))),INDEX(Baseline!$B$3:$E$122,MATCH(MIN(MAX(ROUND(($D743)/5,0)*5,5),600),Baseline!$A$3:$A$122,0),MATCH($C743,Baseline!$B$2:$E$2,0))))))</f>
        <v/>
      </c>
      <c r="O743" s="17" t="str">
        <f aca="false">IF($C743="","",IF($E743="H",0,IF($E743="G",INDEX(Baseline!$I$3:$I$102,MIN(MAX(ROUND($F743,0),1),100)),IF($E743="T",IF($M743=3,INDEX(Baseline!$B$3:$B$122,MATCH(MIN(MAX(ROUND(($F743)/5,0)*5,5),600),Baseline!$A$3:$A$122,0))-Inputs!$B$9,INDEX(Course!$N$2:$N$19,MATCH($B743,Course!$A$2:$A$19,0))),INDEX(Baseline!$B$3:$E$122,MATCH(MIN(MAX(ROUND(($F743)/5,0)*5,5),600),Baseline!$A$3:$A$122,0),MATCH($E743,Baseline!$B$2:$E$2,0))))))</f>
        <v/>
      </c>
      <c r="P743" s="17" t="str">
        <f aca="false">IF($B743="","",INDEX(Course!$N$2:$N$19,MATCH($B743,Course!$A$2:$A$19,0)))</f>
        <v/>
      </c>
      <c r="Q743" s="17" t="str">
        <f aca="false">IF($B743="","",INDEX(Course!$P$2:$P$19,MATCH($B743,Course!$A$2:$A$19,0)))</f>
        <v/>
      </c>
      <c r="R743" s="17" t="str">
        <f aca="false">IF($C743="","",IF(OR($C743="G",$C743="H"),0,IF($C743="T",1,MIN(1,MAX(0,($N743-Inputs!$B$8)/MAX($P743-Inputs!$B$8,0.01))))))</f>
        <v/>
      </c>
      <c r="S743" s="17" t="str">
        <f aca="false">IF($C743="","",IF(OR($E743="G",$E743="H"),0,IF($E743="T",1,MIN(1,MAX(0,($O743-Inputs!$B$8)/MAX($P743-Inputs!$B$8,0.01))))))</f>
        <v/>
      </c>
    </row>
    <row r="744" customFormat="false" ht="15" hidden="false" customHeight="false" outlineLevel="0" collapsed="false">
      <c r="I744" s="7" t="str">
        <f aca="false">IF($C744="","",IF($C744="G","PUTT",IF(AND($C744="T",$M744&gt;3),"OTT",IF($D744&lt;=30,"ARG","APP"))))</f>
        <v/>
      </c>
      <c r="J744" s="17" t="str">
        <f aca="false">IF($C744="","",$N744+$Q744*$R744)</f>
        <v/>
      </c>
      <c r="K744" s="17" t="str">
        <f aca="false">IF($C744="","",$O744+$Q744*$S744)</f>
        <v/>
      </c>
      <c r="L744" s="17" t="str">
        <f aca="false">IF($C744="","",$J744-$K744-1-N($G744))</f>
        <v/>
      </c>
      <c r="M744" s="7" t="str">
        <f aca="false">IF($B744="","",INDEX(Course!$B$2:$B$19,MATCH($B744,Course!$A$2:$A$19,0)))</f>
        <v/>
      </c>
      <c r="N744" s="17" t="str">
        <f aca="false">IF($C744="","",IF($C744="H",0,IF($C744="G",INDEX(Baseline!$I$3:$I$102,MIN(MAX(ROUND($D744,0),1),100)),IF($C744="T",IF($M744=3,INDEX(Baseline!$B$3:$B$122,MATCH(MIN(MAX(ROUND(($D744)/5,0)*5,5),600),Baseline!$A$3:$A$122,0))-Inputs!$B$9,INDEX(Course!$N$2:$N$19,MATCH($B744,Course!$A$2:$A$19,0))),INDEX(Baseline!$B$3:$E$122,MATCH(MIN(MAX(ROUND(($D744)/5,0)*5,5),600),Baseline!$A$3:$A$122,0),MATCH($C744,Baseline!$B$2:$E$2,0))))))</f>
        <v/>
      </c>
      <c r="O744" s="17" t="str">
        <f aca="false">IF($C744="","",IF($E744="H",0,IF($E744="G",INDEX(Baseline!$I$3:$I$102,MIN(MAX(ROUND($F744,0),1),100)),IF($E744="T",IF($M744=3,INDEX(Baseline!$B$3:$B$122,MATCH(MIN(MAX(ROUND(($F744)/5,0)*5,5),600),Baseline!$A$3:$A$122,0))-Inputs!$B$9,INDEX(Course!$N$2:$N$19,MATCH($B744,Course!$A$2:$A$19,0))),INDEX(Baseline!$B$3:$E$122,MATCH(MIN(MAX(ROUND(($F744)/5,0)*5,5),600),Baseline!$A$3:$A$122,0),MATCH($E744,Baseline!$B$2:$E$2,0))))))</f>
        <v/>
      </c>
      <c r="P744" s="17" t="str">
        <f aca="false">IF($B744="","",INDEX(Course!$N$2:$N$19,MATCH($B744,Course!$A$2:$A$19,0)))</f>
        <v/>
      </c>
      <c r="Q744" s="17" t="str">
        <f aca="false">IF($B744="","",INDEX(Course!$P$2:$P$19,MATCH($B744,Course!$A$2:$A$19,0)))</f>
        <v/>
      </c>
      <c r="R744" s="17" t="str">
        <f aca="false">IF($C744="","",IF(OR($C744="G",$C744="H"),0,IF($C744="T",1,MIN(1,MAX(0,($N744-Inputs!$B$8)/MAX($P744-Inputs!$B$8,0.01))))))</f>
        <v/>
      </c>
      <c r="S744" s="17" t="str">
        <f aca="false">IF($C744="","",IF(OR($E744="G",$E744="H"),0,IF($E744="T",1,MIN(1,MAX(0,($O744-Inputs!$B$8)/MAX($P744-Inputs!$B$8,0.01))))))</f>
        <v/>
      </c>
    </row>
    <row r="745" customFormat="false" ht="15" hidden="false" customHeight="false" outlineLevel="0" collapsed="false">
      <c r="I745" s="7" t="str">
        <f aca="false">IF($C745="","",IF($C745="G","PUTT",IF(AND($C745="T",$M745&gt;3),"OTT",IF($D745&lt;=30,"ARG","APP"))))</f>
        <v/>
      </c>
      <c r="J745" s="17" t="str">
        <f aca="false">IF($C745="","",$N745+$Q745*$R745)</f>
        <v/>
      </c>
      <c r="K745" s="17" t="str">
        <f aca="false">IF($C745="","",$O745+$Q745*$S745)</f>
        <v/>
      </c>
      <c r="L745" s="17" t="str">
        <f aca="false">IF($C745="","",$J745-$K745-1-N($G745))</f>
        <v/>
      </c>
      <c r="M745" s="7" t="str">
        <f aca="false">IF($B745="","",INDEX(Course!$B$2:$B$19,MATCH($B745,Course!$A$2:$A$19,0)))</f>
        <v/>
      </c>
      <c r="N745" s="17" t="str">
        <f aca="false">IF($C745="","",IF($C745="H",0,IF($C745="G",INDEX(Baseline!$I$3:$I$102,MIN(MAX(ROUND($D745,0),1),100)),IF($C745="T",IF($M745=3,INDEX(Baseline!$B$3:$B$122,MATCH(MIN(MAX(ROUND(($D745)/5,0)*5,5),600),Baseline!$A$3:$A$122,0))-Inputs!$B$9,INDEX(Course!$N$2:$N$19,MATCH($B745,Course!$A$2:$A$19,0))),INDEX(Baseline!$B$3:$E$122,MATCH(MIN(MAX(ROUND(($D745)/5,0)*5,5),600),Baseline!$A$3:$A$122,0),MATCH($C745,Baseline!$B$2:$E$2,0))))))</f>
        <v/>
      </c>
      <c r="O745" s="17" t="str">
        <f aca="false">IF($C745="","",IF($E745="H",0,IF($E745="G",INDEX(Baseline!$I$3:$I$102,MIN(MAX(ROUND($F745,0),1),100)),IF($E745="T",IF($M745=3,INDEX(Baseline!$B$3:$B$122,MATCH(MIN(MAX(ROUND(($F745)/5,0)*5,5),600),Baseline!$A$3:$A$122,0))-Inputs!$B$9,INDEX(Course!$N$2:$N$19,MATCH($B745,Course!$A$2:$A$19,0))),INDEX(Baseline!$B$3:$E$122,MATCH(MIN(MAX(ROUND(($F745)/5,0)*5,5),600),Baseline!$A$3:$A$122,0),MATCH($E745,Baseline!$B$2:$E$2,0))))))</f>
        <v/>
      </c>
      <c r="P745" s="17" t="str">
        <f aca="false">IF($B745="","",INDEX(Course!$N$2:$N$19,MATCH($B745,Course!$A$2:$A$19,0)))</f>
        <v/>
      </c>
      <c r="Q745" s="17" t="str">
        <f aca="false">IF($B745="","",INDEX(Course!$P$2:$P$19,MATCH($B745,Course!$A$2:$A$19,0)))</f>
        <v/>
      </c>
      <c r="R745" s="17" t="str">
        <f aca="false">IF($C745="","",IF(OR($C745="G",$C745="H"),0,IF($C745="T",1,MIN(1,MAX(0,($N745-Inputs!$B$8)/MAX($P745-Inputs!$B$8,0.01))))))</f>
        <v/>
      </c>
      <c r="S745" s="17" t="str">
        <f aca="false">IF($C745="","",IF(OR($E745="G",$E745="H"),0,IF($E745="T",1,MIN(1,MAX(0,($O745-Inputs!$B$8)/MAX($P745-Inputs!$B$8,0.01))))))</f>
        <v/>
      </c>
    </row>
    <row r="746" customFormat="false" ht="15" hidden="false" customHeight="false" outlineLevel="0" collapsed="false">
      <c r="I746" s="7" t="str">
        <f aca="false">IF($C746="","",IF($C746="G","PUTT",IF(AND($C746="T",$M746&gt;3),"OTT",IF($D746&lt;=30,"ARG","APP"))))</f>
        <v/>
      </c>
      <c r="J746" s="17" t="str">
        <f aca="false">IF($C746="","",$N746+$Q746*$R746)</f>
        <v/>
      </c>
      <c r="K746" s="17" t="str">
        <f aca="false">IF($C746="","",$O746+$Q746*$S746)</f>
        <v/>
      </c>
      <c r="L746" s="17" t="str">
        <f aca="false">IF($C746="","",$J746-$K746-1-N($G746))</f>
        <v/>
      </c>
      <c r="M746" s="7" t="str">
        <f aca="false">IF($B746="","",INDEX(Course!$B$2:$B$19,MATCH($B746,Course!$A$2:$A$19,0)))</f>
        <v/>
      </c>
      <c r="N746" s="17" t="str">
        <f aca="false">IF($C746="","",IF($C746="H",0,IF($C746="G",INDEX(Baseline!$I$3:$I$102,MIN(MAX(ROUND($D746,0),1),100)),IF($C746="T",IF($M746=3,INDEX(Baseline!$B$3:$B$122,MATCH(MIN(MAX(ROUND(($D746)/5,0)*5,5),600),Baseline!$A$3:$A$122,0))-Inputs!$B$9,INDEX(Course!$N$2:$N$19,MATCH($B746,Course!$A$2:$A$19,0))),INDEX(Baseline!$B$3:$E$122,MATCH(MIN(MAX(ROUND(($D746)/5,0)*5,5),600),Baseline!$A$3:$A$122,0),MATCH($C746,Baseline!$B$2:$E$2,0))))))</f>
        <v/>
      </c>
      <c r="O746" s="17" t="str">
        <f aca="false">IF($C746="","",IF($E746="H",0,IF($E746="G",INDEX(Baseline!$I$3:$I$102,MIN(MAX(ROUND($F746,0),1),100)),IF($E746="T",IF($M746=3,INDEX(Baseline!$B$3:$B$122,MATCH(MIN(MAX(ROUND(($F746)/5,0)*5,5),600),Baseline!$A$3:$A$122,0))-Inputs!$B$9,INDEX(Course!$N$2:$N$19,MATCH($B746,Course!$A$2:$A$19,0))),INDEX(Baseline!$B$3:$E$122,MATCH(MIN(MAX(ROUND(($F746)/5,0)*5,5),600),Baseline!$A$3:$A$122,0),MATCH($E746,Baseline!$B$2:$E$2,0))))))</f>
        <v/>
      </c>
      <c r="P746" s="17" t="str">
        <f aca="false">IF($B746="","",INDEX(Course!$N$2:$N$19,MATCH($B746,Course!$A$2:$A$19,0)))</f>
        <v/>
      </c>
      <c r="Q746" s="17" t="str">
        <f aca="false">IF($B746="","",INDEX(Course!$P$2:$P$19,MATCH($B746,Course!$A$2:$A$19,0)))</f>
        <v/>
      </c>
      <c r="R746" s="17" t="str">
        <f aca="false">IF($C746="","",IF(OR($C746="G",$C746="H"),0,IF($C746="T",1,MIN(1,MAX(0,($N746-Inputs!$B$8)/MAX($P746-Inputs!$B$8,0.01))))))</f>
        <v/>
      </c>
      <c r="S746" s="17" t="str">
        <f aca="false">IF($C746="","",IF(OR($E746="G",$E746="H"),0,IF($E746="T",1,MIN(1,MAX(0,($O746-Inputs!$B$8)/MAX($P746-Inputs!$B$8,0.01))))))</f>
        <v/>
      </c>
    </row>
    <row r="747" customFormat="false" ht="15" hidden="false" customHeight="false" outlineLevel="0" collapsed="false">
      <c r="I747" s="7" t="str">
        <f aca="false">IF($C747="","",IF($C747="G","PUTT",IF(AND($C747="T",$M747&gt;3),"OTT",IF($D747&lt;=30,"ARG","APP"))))</f>
        <v/>
      </c>
      <c r="J747" s="17" t="str">
        <f aca="false">IF($C747="","",$N747+$Q747*$R747)</f>
        <v/>
      </c>
      <c r="K747" s="17" t="str">
        <f aca="false">IF($C747="","",$O747+$Q747*$S747)</f>
        <v/>
      </c>
      <c r="L747" s="17" t="str">
        <f aca="false">IF($C747="","",$J747-$K747-1-N($G747))</f>
        <v/>
      </c>
      <c r="M747" s="7" t="str">
        <f aca="false">IF($B747="","",INDEX(Course!$B$2:$B$19,MATCH($B747,Course!$A$2:$A$19,0)))</f>
        <v/>
      </c>
      <c r="N747" s="17" t="str">
        <f aca="false">IF($C747="","",IF($C747="H",0,IF($C747="G",INDEX(Baseline!$I$3:$I$102,MIN(MAX(ROUND($D747,0),1),100)),IF($C747="T",IF($M747=3,INDEX(Baseline!$B$3:$B$122,MATCH(MIN(MAX(ROUND(($D747)/5,0)*5,5),600),Baseline!$A$3:$A$122,0))-Inputs!$B$9,INDEX(Course!$N$2:$N$19,MATCH($B747,Course!$A$2:$A$19,0))),INDEX(Baseline!$B$3:$E$122,MATCH(MIN(MAX(ROUND(($D747)/5,0)*5,5),600),Baseline!$A$3:$A$122,0),MATCH($C747,Baseline!$B$2:$E$2,0))))))</f>
        <v/>
      </c>
      <c r="O747" s="17" t="str">
        <f aca="false">IF($C747="","",IF($E747="H",0,IF($E747="G",INDEX(Baseline!$I$3:$I$102,MIN(MAX(ROUND($F747,0),1),100)),IF($E747="T",IF($M747=3,INDEX(Baseline!$B$3:$B$122,MATCH(MIN(MAX(ROUND(($F747)/5,0)*5,5),600),Baseline!$A$3:$A$122,0))-Inputs!$B$9,INDEX(Course!$N$2:$N$19,MATCH($B747,Course!$A$2:$A$19,0))),INDEX(Baseline!$B$3:$E$122,MATCH(MIN(MAX(ROUND(($F747)/5,0)*5,5),600),Baseline!$A$3:$A$122,0),MATCH($E747,Baseline!$B$2:$E$2,0))))))</f>
        <v/>
      </c>
      <c r="P747" s="17" t="str">
        <f aca="false">IF($B747="","",INDEX(Course!$N$2:$N$19,MATCH($B747,Course!$A$2:$A$19,0)))</f>
        <v/>
      </c>
      <c r="Q747" s="17" t="str">
        <f aca="false">IF($B747="","",INDEX(Course!$P$2:$P$19,MATCH($B747,Course!$A$2:$A$19,0)))</f>
        <v/>
      </c>
      <c r="R747" s="17" t="str">
        <f aca="false">IF($C747="","",IF(OR($C747="G",$C747="H"),0,IF($C747="T",1,MIN(1,MAX(0,($N747-Inputs!$B$8)/MAX($P747-Inputs!$B$8,0.01))))))</f>
        <v/>
      </c>
      <c r="S747" s="17" t="str">
        <f aca="false">IF($C747="","",IF(OR($E747="G",$E747="H"),0,IF($E747="T",1,MIN(1,MAX(0,($O747-Inputs!$B$8)/MAX($P747-Inputs!$B$8,0.01))))))</f>
        <v/>
      </c>
    </row>
    <row r="748" customFormat="false" ht="15" hidden="false" customHeight="false" outlineLevel="0" collapsed="false">
      <c r="I748" s="7" t="str">
        <f aca="false">IF($C748="","",IF($C748="G","PUTT",IF(AND($C748="T",$M748&gt;3),"OTT",IF($D748&lt;=30,"ARG","APP"))))</f>
        <v/>
      </c>
      <c r="J748" s="17" t="str">
        <f aca="false">IF($C748="","",$N748+$Q748*$R748)</f>
        <v/>
      </c>
      <c r="K748" s="17" t="str">
        <f aca="false">IF($C748="","",$O748+$Q748*$S748)</f>
        <v/>
      </c>
      <c r="L748" s="17" t="str">
        <f aca="false">IF($C748="","",$J748-$K748-1-N($G748))</f>
        <v/>
      </c>
      <c r="M748" s="7" t="str">
        <f aca="false">IF($B748="","",INDEX(Course!$B$2:$B$19,MATCH($B748,Course!$A$2:$A$19,0)))</f>
        <v/>
      </c>
      <c r="N748" s="17" t="str">
        <f aca="false">IF($C748="","",IF($C748="H",0,IF($C748="G",INDEX(Baseline!$I$3:$I$102,MIN(MAX(ROUND($D748,0),1),100)),IF($C748="T",IF($M748=3,INDEX(Baseline!$B$3:$B$122,MATCH(MIN(MAX(ROUND(($D748)/5,0)*5,5),600),Baseline!$A$3:$A$122,0))-Inputs!$B$9,INDEX(Course!$N$2:$N$19,MATCH($B748,Course!$A$2:$A$19,0))),INDEX(Baseline!$B$3:$E$122,MATCH(MIN(MAX(ROUND(($D748)/5,0)*5,5),600),Baseline!$A$3:$A$122,0),MATCH($C748,Baseline!$B$2:$E$2,0))))))</f>
        <v/>
      </c>
      <c r="O748" s="17" t="str">
        <f aca="false">IF($C748="","",IF($E748="H",0,IF($E748="G",INDEX(Baseline!$I$3:$I$102,MIN(MAX(ROUND($F748,0),1),100)),IF($E748="T",IF($M748=3,INDEX(Baseline!$B$3:$B$122,MATCH(MIN(MAX(ROUND(($F748)/5,0)*5,5),600),Baseline!$A$3:$A$122,0))-Inputs!$B$9,INDEX(Course!$N$2:$N$19,MATCH($B748,Course!$A$2:$A$19,0))),INDEX(Baseline!$B$3:$E$122,MATCH(MIN(MAX(ROUND(($F748)/5,0)*5,5),600),Baseline!$A$3:$A$122,0),MATCH($E748,Baseline!$B$2:$E$2,0))))))</f>
        <v/>
      </c>
      <c r="P748" s="17" t="str">
        <f aca="false">IF($B748="","",INDEX(Course!$N$2:$N$19,MATCH($B748,Course!$A$2:$A$19,0)))</f>
        <v/>
      </c>
      <c r="Q748" s="17" t="str">
        <f aca="false">IF($B748="","",INDEX(Course!$P$2:$P$19,MATCH($B748,Course!$A$2:$A$19,0)))</f>
        <v/>
      </c>
      <c r="R748" s="17" t="str">
        <f aca="false">IF($C748="","",IF(OR($C748="G",$C748="H"),0,IF($C748="T",1,MIN(1,MAX(0,($N748-Inputs!$B$8)/MAX($P748-Inputs!$B$8,0.01))))))</f>
        <v/>
      </c>
      <c r="S748" s="17" t="str">
        <f aca="false">IF($C748="","",IF(OR($E748="G",$E748="H"),0,IF($E748="T",1,MIN(1,MAX(0,($O748-Inputs!$B$8)/MAX($P748-Inputs!$B$8,0.01))))))</f>
        <v/>
      </c>
    </row>
    <row r="749" customFormat="false" ht="15" hidden="false" customHeight="false" outlineLevel="0" collapsed="false">
      <c r="I749" s="7" t="str">
        <f aca="false">IF($C749="","",IF($C749="G","PUTT",IF(AND($C749="T",$M749&gt;3),"OTT",IF($D749&lt;=30,"ARG","APP"))))</f>
        <v/>
      </c>
      <c r="J749" s="17" t="str">
        <f aca="false">IF($C749="","",$N749+$Q749*$R749)</f>
        <v/>
      </c>
      <c r="K749" s="17" t="str">
        <f aca="false">IF($C749="","",$O749+$Q749*$S749)</f>
        <v/>
      </c>
      <c r="L749" s="17" t="str">
        <f aca="false">IF($C749="","",$J749-$K749-1-N($G749))</f>
        <v/>
      </c>
      <c r="M749" s="7" t="str">
        <f aca="false">IF($B749="","",INDEX(Course!$B$2:$B$19,MATCH($B749,Course!$A$2:$A$19,0)))</f>
        <v/>
      </c>
      <c r="N749" s="17" t="str">
        <f aca="false">IF($C749="","",IF($C749="H",0,IF($C749="G",INDEX(Baseline!$I$3:$I$102,MIN(MAX(ROUND($D749,0),1),100)),IF($C749="T",IF($M749=3,INDEX(Baseline!$B$3:$B$122,MATCH(MIN(MAX(ROUND(($D749)/5,0)*5,5),600),Baseline!$A$3:$A$122,0))-Inputs!$B$9,INDEX(Course!$N$2:$N$19,MATCH($B749,Course!$A$2:$A$19,0))),INDEX(Baseline!$B$3:$E$122,MATCH(MIN(MAX(ROUND(($D749)/5,0)*5,5),600),Baseline!$A$3:$A$122,0),MATCH($C749,Baseline!$B$2:$E$2,0))))))</f>
        <v/>
      </c>
      <c r="O749" s="17" t="str">
        <f aca="false">IF($C749="","",IF($E749="H",0,IF($E749="G",INDEX(Baseline!$I$3:$I$102,MIN(MAX(ROUND($F749,0),1),100)),IF($E749="T",IF($M749=3,INDEX(Baseline!$B$3:$B$122,MATCH(MIN(MAX(ROUND(($F749)/5,0)*5,5),600),Baseline!$A$3:$A$122,0))-Inputs!$B$9,INDEX(Course!$N$2:$N$19,MATCH($B749,Course!$A$2:$A$19,0))),INDEX(Baseline!$B$3:$E$122,MATCH(MIN(MAX(ROUND(($F749)/5,0)*5,5),600),Baseline!$A$3:$A$122,0),MATCH($E749,Baseline!$B$2:$E$2,0))))))</f>
        <v/>
      </c>
      <c r="P749" s="17" t="str">
        <f aca="false">IF($B749="","",INDEX(Course!$N$2:$N$19,MATCH($B749,Course!$A$2:$A$19,0)))</f>
        <v/>
      </c>
      <c r="Q749" s="17" t="str">
        <f aca="false">IF($B749="","",INDEX(Course!$P$2:$P$19,MATCH($B749,Course!$A$2:$A$19,0)))</f>
        <v/>
      </c>
      <c r="R749" s="17" t="str">
        <f aca="false">IF($C749="","",IF(OR($C749="G",$C749="H"),0,IF($C749="T",1,MIN(1,MAX(0,($N749-Inputs!$B$8)/MAX($P749-Inputs!$B$8,0.01))))))</f>
        <v/>
      </c>
      <c r="S749" s="17" t="str">
        <f aca="false">IF($C749="","",IF(OR($E749="G",$E749="H"),0,IF($E749="T",1,MIN(1,MAX(0,($O749-Inputs!$B$8)/MAX($P749-Inputs!$B$8,0.01))))))</f>
        <v/>
      </c>
    </row>
    <row r="750" customFormat="false" ht="15" hidden="false" customHeight="false" outlineLevel="0" collapsed="false">
      <c r="I750" s="7" t="str">
        <f aca="false">IF($C750="","",IF($C750="G","PUTT",IF(AND($C750="T",$M750&gt;3),"OTT",IF($D750&lt;=30,"ARG","APP"))))</f>
        <v/>
      </c>
      <c r="J750" s="17" t="str">
        <f aca="false">IF($C750="","",$N750+$Q750*$R750)</f>
        <v/>
      </c>
      <c r="K750" s="17" t="str">
        <f aca="false">IF($C750="","",$O750+$Q750*$S750)</f>
        <v/>
      </c>
      <c r="L750" s="17" t="str">
        <f aca="false">IF($C750="","",$J750-$K750-1-N($G750))</f>
        <v/>
      </c>
      <c r="M750" s="7" t="str">
        <f aca="false">IF($B750="","",INDEX(Course!$B$2:$B$19,MATCH($B750,Course!$A$2:$A$19,0)))</f>
        <v/>
      </c>
      <c r="N750" s="17" t="str">
        <f aca="false">IF($C750="","",IF($C750="H",0,IF($C750="G",INDEX(Baseline!$I$3:$I$102,MIN(MAX(ROUND($D750,0),1),100)),IF($C750="T",IF($M750=3,INDEX(Baseline!$B$3:$B$122,MATCH(MIN(MAX(ROUND(($D750)/5,0)*5,5),600),Baseline!$A$3:$A$122,0))-Inputs!$B$9,INDEX(Course!$N$2:$N$19,MATCH($B750,Course!$A$2:$A$19,0))),INDEX(Baseline!$B$3:$E$122,MATCH(MIN(MAX(ROUND(($D750)/5,0)*5,5),600),Baseline!$A$3:$A$122,0),MATCH($C750,Baseline!$B$2:$E$2,0))))))</f>
        <v/>
      </c>
      <c r="O750" s="17" t="str">
        <f aca="false">IF($C750="","",IF($E750="H",0,IF($E750="G",INDEX(Baseline!$I$3:$I$102,MIN(MAX(ROUND($F750,0),1),100)),IF($E750="T",IF($M750=3,INDEX(Baseline!$B$3:$B$122,MATCH(MIN(MAX(ROUND(($F750)/5,0)*5,5),600),Baseline!$A$3:$A$122,0))-Inputs!$B$9,INDEX(Course!$N$2:$N$19,MATCH($B750,Course!$A$2:$A$19,0))),INDEX(Baseline!$B$3:$E$122,MATCH(MIN(MAX(ROUND(($F750)/5,0)*5,5),600),Baseline!$A$3:$A$122,0),MATCH($E750,Baseline!$B$2:$E$2,0))))))</f>
        <v/>
      </c>
      <c r="P750" s="17" t="str">
        <f aca="false">IF($B750="","",INDEX(Course!$N$2:$N$19,MATCH($B750,Course!$A$2:$A$19,0)))</f>
        <v/>
      </c>
      <c r="Q750" s="17" t="str">
        <f aca="false">IF($B750="","",INDEX(Course!$P$2:$P$19,MATCH($B750,Course!$A$2:$A$19,0)))</f>
        <v/>
      </c>
      <c r="R750" s="17" t="str">
        <f aca="false">IF($C750="","",IF(OR($C750="G",$C750="H"),0,IF($C750="T",1,MIN(1,MAX(0,($N750-Inputs!$B$8)/MAX($P750-Inputs!$B$8,0.01))))))</f>
        <v/>
      </c>
      <c r="S750" s="17" t="str">
        <f aca="false">IF($C750="","",IF(OR($E750="G",$E750="H"),0,IF($E750="T",1,MIN(1,MAX(0,($O750-Inputs!$B$8)/MAX($P750-Inputs!$B$8,0.01))))))</f>
        <v/>
      </c>
    </row>
    <row r="751" customFormat="false" ht="15" hidden="false" customHeight="false" outlineLevel="0" collapsed="false">
      <c r="I751" s="7" t="str">
        <f aca="false">IF($C751="","",IF($C751="G","PUTT",IF(AND($C751="T",$M751&gt;3),"OTT",IF($D751&lt;=30,"ARG","APP"))))</f>
        <v/>
      </c>
      <c r="J751" s="17" t="str">
        <f aca="false">IF($C751="","",$N751+$Q751*$R751)</f>
        <v/>
      </c>
      <c r="K751" s="17" t="str">
        <f aca="false">IF($C751="","",$O751+$Q751*$S751)</f>
        <v/>
      </c>
      <c r="L751" s="17" t="str">
        <f aca="false">IF($C751="","",$J751-$K751-1-N($G751))</f>
        <v/>
      </c>
      <c r="M751" s="7" t="str">
        <f aca="false">IF($B751="","",INDEX(Course!$B$2:$B$19,MATCH($B751,Course!$A$2:$A$19,0)))</f>
        <v/>
      </c>
      <c r="N751" s="17" t="str">
        <f aca="false">IF($C751="","",IF($C751="H",0,IF($C751="G",INDEX(Baseline!$I$3:$I$102,MIN(MAX(ROUND($D751,0),1),100)),IF($C751="T",IF($M751=3,INDEX(Baseline!$B$3:$B$122,MATCH(MIN(MAX(ROUND(($D751)/5,0)*5,5),600),Baseline!$A$3:$A$122,0))-Inputs!$B$9,INDEX(Course!$N$2:$N$19,MATCH($B751,Course!$A$2:$A$19,0))),INDEX(Baseline!$B$3:$E$122,MATCH(MIN(MAX(ROUND(($D751)/5,0)*5,5),600),Baseline!$A$3:$A$122,0),MATCH($C751,Baseline!$B$2:$E$2,0))))))</f>
        <v/>
      </c>
      <c r="O751" s="17" t="str">
        <f aca="false">IF($C751="","",IF($E751="H",0,IF($E751="G",INDEX(Baseline!$I$3:$I$102,MIN(MAX(ROUND($F751,0),1),100)),IF($E751="T",IF($M751=3,INDEX(Baseline!$B$3:$B$122,MATCH(MIN(MAX(ROUND(($F751)/5,0)*5,5),600),Baseline!$A$3:$A$122,0))-Inputs!$B$9,INDEX(Course!$N$2:$N$19,MATCH($B751,Course!$A$2:$A$19,0))),INDEX(Baseline!$B$3:$E$122,MATCH(MIN(MAX(ROUND(($F751)/5,0)*5,5),600),Baseline!$A$3:$A$122,0),MATCH($E751,Baseline!$B$2:$E$2,0))))))</f>
        <v/>
      </c>
      <c r="P751" s="17" t="str">
        <f aca="false">IF($B751="","",INDEX(Course!$N$2:$N$19,MATCH($B751,Course!$A$2:$A$19,0)))</f>
        <v/>
      </c>
      <c r="Q751" s="17" t="str">
        <f aca="false">IF($B751="","",INDEX(Course!$P$2:$P$19,MATCH($B751,Course!$A$2:$A$19,0)))</f>
        <v/>
      </c>
      <c r="R751" s="17" t="str">
        <f aca="false">IF($C751="","",IF(OR($C751="G",$C751="H"),0,IF($C751="T",1,MIN(1,MAX(0,($N751-Inputs!$B$8)/MAX($P751-Inputs!$B$8,0.01))))))</f>
        <v/>
      </c>
      <c r="S751" s="17" t="str">
        <f aca="false">IF($C751="","",IF(OR($E751="G",$E751="H"),0,IF($E751="T",1,MIN(1,MAX(0,($O751-Inputs!$B$8)/MAX($P751-Inputs!$B$8,0.01))))))</f>
        <v/>
      </c>
    </row>
    <row r="752" customFormat="false" ht="15" hidden="false" customHeight="false" outlineLevel="0" collapsed="false">
      <c r="I752" s="7" t="str">
        <f aca="false">IF($C752="","",IF($C752="G","PUTT",IF(AND($C752="T",$M752&gt;3),"OTT",IF($D752&lt;=30,"ARG","APP"))))</f>
        <v/>
      </c>
      <c r="J752" s="17" t="str">
        <f aca="false">IF($C752="","",$N752+$Q752*$R752)</f>
        <v/>
      </c>
      <c r="K752" s="17" t="str">
        <f aca="false">IF($C752="","",$O752+$Q752*$S752)</f>
        <v/>
      </c>
      <c r="L752" s="17" t="str">
        <f aca="false">IF($C752="","",$J752-$K752-1-N($G752))</f>
        <v/>
      </c>
      <c r="M752" s="7" t="str">
        <f aca="false">IF($B752="","",INDEX(Course!$B$2:$B$19,MATCH($B752,Course!$A$2:$A$19,0)))</f>
        <v/>
      </c>
      <c r="N752" s="17" t="str">
        <f aca="false">IF($C752="","",IF($C752="H",0,IF($C752="G",INDEX(Baseline!$I$3:$I$102,MIN(MAX(ROUND($D752,0),1),100)),IF($C752="T",IF($M752=3,INDEX(Baseline!$B$3:$B$122,MATCH(MIN(MAX(ROUND(($D752)/5,0)*5,5),600),Baseline!$A$3:$A$122,0))-Inputs!$B$9,INDEX(Course!$N$2:$N$19,MATCH($B752,Course!$A$2:$A$19,0))),INDEX(Baseline!$B$3:$E$122,MATCH(MIN(MAX(ROUND(($D752)/5,0)*5,5),600),Baseline!$A$3:$A$122,0),MATCH($C752,Baseline!$B$2:$E$2,0))))))</f>
        <v/>
      </c>
      <c r="O752" s="17" t="str">
        <f aca="false">IF($C752="","",IF($E752="H",0,IF($E752="G",INDEX(Baseline!$I$3:$I$102,MIN(MAX(ROUND($F752,0),1),100)),IF($E752="T",IF($M752=3,INDEX(Baseline!$B$3:$B$122,MATCH(MIN(MAX(ROUND(($F752)/5,0)*5,5),600),Baseline!$A$3:$A$122,0))-Inputs!$B$9,INDEX(Course!$N$2:$N$19,MATCH($B752,Course!$A$2:$A$19,0))),INDEX(Baseline!$B$3:$E$122,MATCH(MIN(MAX(ROUND(($F752)/5,0)*5,5),600),Baseline!$A$3:$A$122,0),MATCH($E752,Baseline!$B$2:$E$2,0))))))</f>
        <v/>
      </c>
      <c r="P752" s="17" t="str">
        <f aca="false">IF($B752="","",INDEX(Course!$N$2:$N$19,MATCH($B752,Course!$A$2:$A$19,0)))</f>
        <v/>
      </c>
      <c r="Q752" s="17" t="str">
        <f aca="false">IF($B752="","",INDEX(Course!$P$2:$P$19,MATCH($B752,Course!$A$2:$A$19,0)))</f>
        <v/>
      </c>
      <c r="R752" s="17" t="str">
        <f aca="false">IF($C752="","",IF(OR($C752="G",$C752="H"),0,IF($C752="T",1,MIN(1,MAX(0,($N752-Inputs!$B$8)/MAX($P752-Inputs!$B$8,0.01))))))</f>
        <v/>
      </c>
      <c r="S752" s="17" t="str">
        <f aca="false">IF($C752="","",IF(OR($E752="G",$E752="H"),0,IF($E752="T",1,MIN(1,MAX(0,($O752-Inputs!$B$8)/MAX($P752-Inputs!$B$8,0.01))))))</f>
        <v/>
      </c>
    </row>
    <row r="753" customFormat="false" ht="15" hidden="false" customHeight="false" outlineLevel="0" collapsed="false">
      <c r="I753" s="7" t="str">
        <f aca="false">IF($C753="","",IF($C753="G","PUTT",IF(AND($C753="T",$M753&gt;3),"OTT",IF($D753&lt;=30,"ARG","APP"))))</f>
        <v/>
      </c>
      <c r="J753" s="17" t="str">
        <f aca="false">IF($C753="","",$N753+$Q753*$R753)</f>
        <v/>
      </c>
      <c r="K753" s="17" t="str">
        <f aca="false">IF($C753="","",$O753+$Q753*$S753)</f>
        <v/>
      </c>
      <c r="L753" s="17" t="str">
        <f aca="false">IF($C753="","",$J753-$K753-1-N($G753))</f>
        <v/>
      </c>
      <c r="M753" s="7" t="str">
        <f aca="false">IF($B753="","",INDEX(Course!$B$2:$B$19,MATCH($B753,Course!$A$2:$A$19,0)))</f>
        <v/>
      </c>
      <c r="N753" s="17" t="str">
        <f aca="false">IF($C753="","",IF($C753="H",0,IF($C753="G",INDEX(Baseline!$I$3:$I$102,MIN(MAX(ROUND($D753,0),1),100)),IF($C753="T",IF($M753=3,INDEX(Baseline!$B$3:$B$122,MATCH(MIN(MAX(ROUND(($D753)/5,0)*5,5),600),Baseline!$A$3:$A$122,0))-Inputs!$B$9,INDEX(Course!$N$2:$N$19,MATCH($B753,Course!$A$2:$A$19,0))),INDEX(Baseline!$B$3:$E$122,MATCH(MIN(MAX(ROUND(($D753)/5,0)*5,5),600),Baseline!$A$3:$A$122,0),MATCH($C753,Baseline!$B$2:$E$2,0))))))</f>
        <v/>
      </c>
      <c r="O753" s="17" t="str">
        <f aca="false">IF($C753="","",IF($E753="H",0,IF($E753="G",INDEX(Baseline!$I$3:$I$102,MIN(MAX(ROUND($F753,0),1),100)),IF($E753="T",IF($M753=3,INDEX(Baseline!$B$3:$B$122,MATCH(MIN(MAX(ROUND(($F753)/5,0)*5,5),600),Baseline!$A$3:$A$122,0))-Inputs!$B$9,INDEX(Course!$N$2:$N$19,MATCH($B753,Course!$A$2:$A$19,0))),INDEX(Baseline!$B$3:$E$122,MATCH(MIN(MAX(ROUND(($F753)/5,0)*5,5),600),Baseline!$A$3:$A$122,0),MATCH($E753,Baseline!$B$2:$E$2,0))))))</f>
        <v/>
      </c>
      <c r="P753" s="17" t="str">
        <f aca="false">IF($B753="","",INDEX(Course!$N$2:$N$19,MATCH($B753,Course!$A$2:$A$19,0)))</f>
        <v/>
      </c>
      <c r="Q753" s="17" t="str">
        <f aca="false">IF($B753="","",INDEX(Course!$P$2:$P$19,MATCH($B753,Course!$A$2:$A$19,0)))</f>
        <v/>
      </c>
      <c r="R753" s="17" t="str">
        <f aca="false">IF($C753="","",IF(OR($C753="G",$C753="H"),0,IF($C753="T",1,MIN(1,MAX(0,($N753-Inputs!$B$8)/MAX($P753-Inputs!$B$8,0.01))))))</f>
        <v/>
      </c>
      <c r="S753" s="17" t="str">
        <f aca="false">IF($C753="","",IF(OR($E753="G",$E753="H"),0,IF($E753="T",1,MIN(1,MAX(0,($O753-Inputs!$B$8)/MAX($P753-Inputs!$B$8,0.01))))))</f>
        <v/>
      </c>
    </row>
    <row r="754" customFormat="false" ht="15" hidden="false" customHeight="false" outlineLevel="0" collapsed="false">
      <c r="I754" s="7" t="str">
        <f aca="false">IF($C754="","",IF($C754="G","PUTT",IF(AND($C754="T",$M754&gt;3),"OTT",IF($D754&lt;=30,"ARG","APP"))))</f>
        <v/>
      </c>
      <c r="J754" s="17" t="str">
        <f aca="false">IF($C754="","",$N754+$Q754*$R754)</f>
        <v/>
      </c>
      <c r="K754" s="17" t="str">
        <f aca="false">IF($C754="","",$O754+$Q754*$S754)</f>
        <v/>
      </c>
      <c r="L754" s="17" t="str">
        <f aca="false">IF($C754="","",$J754-$K754-1-N($G754))</f>
        <v/>
      </c>
      <c r="M754" s="7" t="str">
        <f aca="false">IF($B754="","",INDEX(Course!$B$2:$B$19,MATCH($B754,Course!$A$2:$A$19,0)))</f>
        <v/>
      </c>
      <c r="N754" s="17" t="str">
        <f aca="false">IF($C754="","",IF($C754="H",0,IF($C754="G",INDEX(Baseline!$I$3:$I$102,MIN(MAX(ROUND($D754,0),1),100)),IF($C754="T",IF($M754=3,INDEX(Baseline!$B$3:$B$122,MATCH(MIN(MAX(ROUND(($D754)/5,0)*5,5),600),Baseline!$A$3:$A$122,0))-Inputs!$B$9,INDEX(Course!$N$2:$N$19,MATCH($B754,Course!$A$2:$A$19,0))),INDEX(Baseline!$B$3:$E$122,MATCH(MIN(MAX(ROUND(($D754)/5,0)*5,5),600),Baseline!$A$3:$A$122,0),MATCH($C754,Baseline!$B$2:$E$2,0))))))</f>
        <v/>
      </c>
      <c r="O754" s="17" t="str">
        <f aca="false">IF($C754="","",IF($E754="H",0,IF($E754="G",INDEX(Baseline!$I$3:$I$102,MIN(MAX(ROUND($F754,0),1),100)),IF($E754="T",IF($M754=3,INDEX(Baseline!$B$3:$B$122,MATCH(MIN(MAX(ROUND(($F754)/5,0)*5,5),600),Baseline!$A$3:$A$122,0))-Inputs!$B$9,INDEX(Course!$N$2:$N$19,MATCH($B754,Course!$A$2:$A$19,0))),INDEX(Baseline!$B$3:$E$122,MATCH(MIN(MAX(ROUND(($F754)/5,0)*5,5),600),Baseline!$A$3:$A$122,0),MATCH($E754,Baseline!$B$2:$E$2,0))))))</f>
        <v/>
      </c>
      <c r="P754" s="17" t="str">
        <f aca="false">IF($B754="","",INDEX(Course!$N$2:$N$19,MATCH($B754,Course!$A$2:$A$19,0)))</f>
        <v/>
      </c>
      <c r="Q754" s="17" t="str">
        <f aca="false">IF($B754="","",INDEX(Course!$P$2:$P$19,MATCH($B754,Course!$A$2:$A$19,0)))</f>
        <v/>
      </c>
      <c r="R754" s="17" t="str">
        <f aca="false">IF($C754="","",IF(OR($C754="G",$C754="H"),0,IF($C754="T",1,MIN(1,MAX(0,($N754-Inputs!$B$8)/MAX($P754-Inputs!$B$8,0.01))))))</f>
        <v/>
      </c>
      <c r="S754" s="17" t="str">
        <f aca="false">IF($C754="","",IF(OR($E754="G",$E754="H"),0,IF($E754="T",1,MIN(1,MAX(0,($O754-Inputs!$B$8)/MAX($P754-Inputs!$B$8,0.01))))))</f>
        <v/>
      </c>
    </row>
    <row r="755" customFormat="false" ht="15" hidden="false" customHeight="false" outlineLevel="0" collapsed="false">
      <c r="I755" s="7" t="str">
        <f aca="false">IF($C755="","",IF($C755="G","PUTT",IF(AND($C755="T",$M755&gt;3),"OTT",IF($D755&lt;=30,"ARG","APP"))))</f>
        <v/>
      </c>
      <c r="J755" s="17" t="str">
        <f aca="false">IF($C755="","",$N755+$Q755*$R755)</f>
        <v/>
      </c>
      <c r="K755" s="17" t="str">
        <f aca="false">IF($C755="","",$O755+$Q755*$S755)</f>
        <v/>
      </c>
      <c r="L755" s="17" t="str">
        <f aca="false">IF($C755="","",$J755-$K755-1-N($G755))</f>
        <v/>
      </c>
      <c r="M755" s="7" t="str">
        <f aca="false">IF($B755="","",INDEX(Course!$B$2:$B$19,MATCH($B755,Course!$A$2:$A$19,0)))</f>
        <v/>
      </c>
      <c r="N755" s="17" t="str">
        <f aca="false">IF($C755="","",IF($C755="H",0,IF($C755="G",INDEX(Baseline!$I$3:$I$102,MIN(MAX(ROUND($D755,0),1),100)),IF($C755="T",IF($M755=3,INDEX(Baseline!$B$3:$B$122,MATCH(MIN(MAX(ROUND(($D755)/5,0)*5,5),600),Baseline!$A$3:$A$122,0))-Inputs!$B$9,INDEX(Course!$N$2:$N$19,MATCH($B755,Course!$A$2:$A$19,0))),INDEX(Baseline!$B$3:$E$122,MATCH(MIN(MAX(ROUND(($D755)/5,0)*5,5),600),Baseline!$A$3:$A$122,0),MATCH($C755,Baseline!$B$2:$E$2,0))))))</f>
        <v/>
      </c>
      <c r="O755" s="17" t="str">
        <f aca="false">IF($C755="","",IF($E755="H",0,IF($E755="G",INDEX(Baseline!$I$3:$I$102,MIN(MAX(ROUND($F755,0),1),100)),IF($E755="T",IF($M755=3,INDEX(Baseline!$B$3:$B$122,MATCH(MIN(MAX(ROUND(($F755)/5,0)*5,5),600),Baseline!$A$3:$A$122,0))-Inputs!$B$9,INDEX(Course!$N$2:$N$19,MATCH($B755,Course!$A$2:$A$19,0))),INDEX(Baseline!$B$3:$E$122,MATCH(MIN(MAX(ROUND(($F755)/5,0)*5,5),600),Baseline!$A$3:$A$122,0),MATCH($E755,Baseline!$B$2:$E$2,0))))))</f>
        <v/>
      </c>
      <c r="P755" s="17" t="str">
        <f aca="false">IF($B755="","",INDEX(Course!$N$2:$N$19,MATCH($B755,Course!$A$2:$A$19,0)))</f>
        <v/>
      </c>
      <c r="Q755" s="17" t="str">
        <f aca="false">IF($B755="","",INDEX(Course!$P$2:$P$19,MATCH($B755,Course!$A$2:$A$19,0)))</f>
        <v/>
      </c>
      <c r="R755" s="17" t="str">
        <f aca="false">IF($C755="","",IF(OR($C755="G",$C755="H"),0,IF($C755="T",1,MIN(1,MAX(0,($N755-Inputs!$B$8)/MAX($P755-Inputs!$B$8,0.01))))))</f>
        <v/>
      </c>
      <c r="S755" s="17" t="str">
        <f aca="false">IF($C755="","",IF(OR($E755="G",$E755="H"),0,IF($E755="T",1,MIN(1,MAX(0,($O755-Inputs!$B$8)/MAX($P755-Inputs!$B$8,0.01))))))</f>
        <v/>
      </c>
    </row>
    <row r="756" customFormat="false" ht="15" hidden="false" customHeight="false" outlineLevel="0" collapsed="false">
      <c r="I756" s="7" t="str">
        <f aca="false">IF($C756="","",IF($C756="G","PUTT",IF(AND($C756="T",$M756&gt;3),"OTT",IF($D756&lt;=30,"ARG","APP"))))</f>
        <v/>
      </c>
      <c r="J756" s="17" t="str">
        <f aca="false">IF($C756="","",$N756+$Q756*$R756)</f>
        <v/>
      </c>
      <c r="K756" s="17" t="str">
        <f aca="false">IF($C756="","",$O756+$Q756*$S756)</f>
        <v/>
      </c>
      <c r="L756" s="17" t="str">
        <f aca="false">IF($C756="","",$J756-$K756-1-N($G756))</f>
        <v/>
      </c>
      <c r="M756" s="7" t="str">
        <f aca="false">IF($B756="","",INDEX(Course!$B$2:$B$19,MATCH($B756,Course!$A$2:$A$19,0)))</f>
        <v/>
      </c>
      <c r="N756" s="17" t="str">
        <f aca="false">IF($C756="","",IF($C756="H",0,IF($C756="G",INDEX(Baseline!$I$3:$I$102,MIN(MAX(ROUND($D756,0),1),100)),IF($C756="T",IF($M756=3,INDEX(Baseline!$B$3:$B$122,MATCH(MIN(MAX(ROUND(($D756)/5,0)*5,5),600),Baseline!$A$3:$A$122,0))-Inputs!$B$9,INDEX(Course!$N$2:$N$19,MATCH($B756,Course!$A$2:$A$19,0))),INDEX(Baseline!$B$3:$E$122,MATCH(MIN(MAX(ROUND(($D756)/5,0)*5,5),600),Baseline!$A$3:$A$122,0),MATCH($C756,Baseline!$B$2:$E$2,0))))))</f>
        <v/>
      </c>
      <c r="O756" s="17" t="str">
        <f aca="false">IF($C756="","",IF($E756="H",0,IF($E756="G",INDEX(Baseline!$I$3:$I$102,MIN(MAX(ROUND($F756,0),1),100)),IF($E756="T",IF($M756=3,INDEX(Baseline!$B$3:$B$122,MATCH(MIN(MAX(ROUND(($F756)/5,0)*5,5),600),Baseline!$A$3:$A$122,0))-Inputs!$B$9,INDEX(Course!$N$2:$N$19,MATCH($B756,Course!$A$2:$A$19,0))),INDEX(Baseline!$B$3:$E$122,MATCH(MIN(MAX(ROUND(($F756)/5,0)*5,5),600),Baseline!$A$3:$A$122,0),MATCH($E756,Baseline!$B$2:$E$2,0))))))</f>
        <v/>
      </c>
      <c r="P756" s="17" t="str">
        <f aca="false">IF($B756="","",INDEX(Course!$N$2:$N$19,MATCH($B756,Course!$A$2:$A$19,0)))</f>
        <v/>
      </c>
      <c r="Q756" s="17" t="str">
        <f aca="false">IF($B756="","",INDEX(Course!$P$2:$P$19,MATCH($B756,Course!$A$2:$A$19,0)))</f>
        <v/>
      </c>
      <c r="R756" s="17" t="str">
        <f aca="false">IF($C756="","",IF(OR($C756="G",$C756="H"),0,IF($C756="T",1,MIN(1,MAX(0,($N756-Inputs!$B$8)/MAX($P756-Inputs!$B$8,0.01))))))</f>
        <v/>
      </c>
      <c r="S756" s="17" t="str">
        <f aca="false">IF($C756="","",IF(OR($E756="G",$E756="H"),0,IF($E756="T",1,MIN(1,MAX(0,($O756-Inputs!$B$8)/MAX($P756-Inputs!$B$8,0.01))))))</f>
        <v/>
      </c>
    </row>
    <row r="757" customFormat="false" ht="15" hidden="false" customHeight="false" outlineLevel="0" collapsed="false">
      <c r="I757" s="7" t="str">
        <f aca="false">IF($C757="","",IF($C757="G","PUTT",IF(AND($C757="T",$M757&gt;3),"OTT",IF($D757&lt;=30,"ARG","APP"))))</f>
        <v/>
      </c>
      <c r="J757" s="17" t="str">
        <f aca="false">IF($C757="","",$N757+$Q757*$R757)</f>
        <v/>
      </c>
      <c r="K757" s="17" t="str">
        <f aca="false">IF($C757="","",$O757+$Q757*$S757)</f>
        <v/>
      </c>
      <c r="L757" s="17" t="str">
        <f aca="false">IF($C757="","",$J757-$K757-1-N($G757))</f>
        <v/>
      </c>
      <c r="M757" s="7" t="str">
        <f aca="false">IF($B757="","",INDEX(Course!$B$2:$B$19,MATCH($B757,Course!$A$2:$A$19,0)))</f>
        <v/>
      </c>
      <c r="N757" s="17" t="str">
        <f aca="false">IF($C757="","",IF($C757="H",0,IF($C757="G",INDEX(Baseline!$I$3:$I$102,MIN(MAX(ROUND($D757,0),1),100)),IF($C757="T",IF($M757=3,INDEX(Baseline!$B$3:$B$122,MATCH(MIN(MAX(ROUND(($D757)/5,0)*5,5),600),Baseline!$A$3:$A$122,0))-Inputs!$B$9,INDEX(Course!$N$2:$N$19,MATCH($B757,Course!$A$2:$A$19,0))),INDEX(Baseline!$B$3:$E$122,MATCH(MIN(MAX(ROUND(($D757)/5,0)*5,5),600),Baseline!$A$3:$A$122,0),MATCH($C757,Baseline!$B$2:$E$2,0))))))</f>
        <v/>
      </c>
      <c r="O757" s="17" t="str">
        <f aca="false">IF($C757="","",IF($E757="H",0,IF($E757="G",INDEX(Baseline!$I$3:$I$102,MIN(MAX(ROUND($F757,0),1),100)),IF($E757="T",IF($M757=3,INDEX(Baseline!$B$3:$B$122,MATCH(MIN(MAX(ROUND(($F757)/5,0)*5,5),600),Baseline!$A$3:$A$122,0))-Inputs!$B$9,INDEX(Course!$N$2:$N$19,MATCH($B757,Course!$A$2:$A$19,0))),INDEX(Baseline!$B$3:$E$122,MATCH(MIN(MAX(ROUND(($F757)/5,0)*5,5),600),Baseline!$A$3:$A$122,0),MATCH($E757,Baseline!$B$2:$E$2,0))))))</f>
        <v/>
      </c>
      <c r="P757" s="17" t="str">
        <f aca="false">IF($B757="","",INDEX(Course!$N$2:$N$19,MATCH($B757,Course!$A$2:$A$19,0)))</f>
        <v/>
      </c>
      <c r="Q757" s="17" t="str">
        <f aca="false">IF($B757="","",INDEX(Course!$P$2:$P$19,MATCH($B757,Course!$A$2:$A$19,0)))</f>
        <v/>
      </c>
      <c r="R757" s="17" t="str">
        <f aca="false">IF($C757="","",IF(OR($C757="G",$C757="H"),0,IF($C757="T",1,MIN(1,MAX(0,($N757-Inputs!$B$8)/MAX($P757-Inputs!$B$8,0.01))))))</f>
        <v/>
      </c>
      <c r="S757" s="17" t="str">
        <f aca="false">IF($C757="","",IF(OR($E757="G",$E757="H"),0,IF($E757="T",1,MIN(1,MAX(0,($O757-Inputs!$B$8)/MAX($P757-Inputs!$B$8,0.01))))))</f>
        <v/>
      </c>
    </row>
    <row r="758" customFormat="false" ht="15" hidden="false" customHeight="false" outlineLevel="0" collapsed="false">
      <c r="I758" s="7" t="str">
        <f aca="false">IF($C758="","",IF($C758="G","PUTT",IF(AND($C758="T",$M758&gt;3),"OTT",IF($D758&lt;=30,"ARG","APP"))))</f>
        <v/>
      </c>
      <c r="J758" s="17" t="str">
        <f aca="false">IF($C758="","",$N758+$Q758*$R758)</f>
        <v/>
      </c>
      <c r="K758" s="17" t="str">
        <f aca="false">IF($C758="","",$O758+$Q758*$S758)</f>
        <v/>
      </c>
      <c r="L758" s="17" t="str">
        <f aca="false">IF($C758="","",$J758-$K758-1-N($G758))</f>
        <v/>
      </c>
      <c r="M758" s="7" t="str">
        <f aca="false">IF($B758="","",INDEX(Course!$B$2:$B$19,MATCH($B758,Course!$A$2:$A$19,0)))</f>
        <v/>
      </c>
      <c r="N758" s="17" t="str">
        <f aca="false">IF($C758="","",IF($C758="H",0,IF($C758="G",INDEX(Baseline!$I$3:$I$102,MIN(MAX(ROUND($D758,0),1),100)),IF($C758="T",IF($M758=3,INDEX(Baseline!$B$3:$B$122,MATCH(MIN(MAX(ROUND(($D758)/5,0)*5,5),600),Baseline!$A$3:$A$122,0))-Inputs!$B$9,INDEX(Course!$N$2:$N$19,MATCH($B758,Course!$A$2:$A$19,0))),INDEX(Baseline!$B$3:$E$122,MATCH(MIN(MAX(ROUND(($D758)/5,0)*5,5),600),Baseline!$A$3:$A$122,0),MATCH($C758,Baseline!$B$2:$E$2,0))))))</f>
        <v/>
      </c>
      <c r="O758" s="17" t="str">
        <f aca="false">IF($C758="","",IF($E758="H",0,IF($E758="G",INDEX(Baseline!$I$3:$I$102,MIN(MAX(ROUND($F758,0),1),100)),IF($E758="T",IF($M758=3,INDEX(Baseline!$B$3:$B$122,MATCH(MIN(MAX(ROUND(($F758)/5,0)*5,5),600),Baseline!$A$3:$A$122,0))-Inputs!$B$9,INDEX(Course!$N$2:$N$19,MATCH($B758,Course!$A$2:$A$19,0))),INDEX(Baseline!$B$3:$E$122,MATCH(MIN(MAX(ROUND(($F758)/5,0)*5,5),600),Baseline!$A$3:$A$122,0),MATCH($E758,Baseline!$B$2:$E$2,0))))))</f>
        <v/>
      </c>
      <c r="P758" s="17" t="str">
        <f aca="false">IF($B758="","",INDEX(Course!$N$2:$N$19,MATCH($B758,Course!$A$2:$A$19,0)))</f>
        <v/>
      </c>
      <c r="Q758" s="17" t="str">
        <f aca="false">IF($B758="","",INDEX(Course!$P$2:$P$19,MATCH($B758,Course!$A$2:$A$19,0)))</f>
        <v/>
      </c>
      <c r="R758" s="17" t="str">
        <f aca="false">IF($C758="","",IF(OR($C758="G",$C758="H"),0,IF($C758="T",1,MIN(1,MAX(0,($N758-Inputs!$B$8)/MAX($P758-Inputs!$B$8,0.01))))))</f>
        <v/>
      </c>
      <c r="S758" s="17" t="str">
        <f aca="false">IF($C758="","",IF(OR($E758="G",$E758="H"),0,IF($E758="T",1,MIN(1,MAX(0,($O758-Inputs!$B$8)/MAX($P758-Inputs!$B$8,0.01))))))</f>
        <v/>
      </c>
    </row>
    <row r="759" customFormat="false" ht="15" hidden="false" customHeight="false" outlineLevel="0" collapsed="false">
      <c r="I759" s="7" t="str">
        <f aca="false">IF($C759="","",IF($C759="G","PUTT",IF(AND($C759="T",$M759&gt;3),"OTT",IF($D759&lt;=30,"ARG","APP"))))</f>
        <v/>
      </c>
      <c r="J759" s="17" t="str">
        <f aca="false">IF($C759="","",$N759+$Q759*$R759)</f>
        <v/>
      </c>
      <c r="K759" s="17" t="str">
        <f aca="false">IF($C759="","",$O759+$Q759*$S759)</f>
        <v/>
      </c>
      <c r="L759" s="17" t="str">
        <f aca="false">IF($C759="","",$J759-$K759-1-N($G759))</f>
        <v/>
      </c>
      <c r="M759" s="7" t="str">
        <f aca="false">IF($B759="","",INDEX(Course!$B$2:$B$19,MATCH($B759,Course!$A$2:$A$19,0)))</f>
        <v/>
      </c>
      <c r="N759" s="17" t="str">
        <f aca="false">IF($C759="","",IF($C759="H",0,IF($C759="G",INDEX(Baseline!$I$3:$I$102,MIN(MAX(ROUND($D759,0),1),100)),IF($C759="T",IF($M759=3,INDEX(Baseline!$B$3:$B$122,MATCH(MIN(MAX(ROUND(($D759)/5,0)*5,5),600),Baseline!$A$3:$A$122,0))-Inputs!$B$9,INDEX(Course!$N$2:$N$19,MATCH($B759,Course!$A$2:$A$19,0))),INDEX(Baseline!$B$3:$E$122,MATCH(MIN(MAX(ROUND(($D759)/5,0)*5,5),600),Baseline!$A$3:$A$122,0),MATCH($C759,Baseline!$B$2:$E$2,0))))))</f>
        <v/>
      </c>
      <c r="O759" s="17" t="str">
        <f aca="false">IF($C759="","",IF($E759="H",0,IF($E759="G",INDEX(Baseline!$I$3:$I$102,MIN(MAX(ROUND($F759,0),1),100)),IF($E759="T",IF($M759=3,INDEX(Baseline!$B$3:$B$122,MATCH(MIN(MAX(ROUND(($F759)/5,0)*5,5),600),Baseline!$A$3:$A$122,0))-Inputs!$B$9,INDEX(Course!$N$2:$N$19,MATCH($B759,Course!$A$2:$A$19,0))),INDEX(Baseline!$B$3:$E$122,MATCH(MIN(MAX(ROUND(($F759)/5,0)*5,5),600),Baseline!$A$3:$A$122,0),MATCH($E759,Baseline!$B$2:$E$2,0))))))</f>
        <v/>
      </c>
      <c r="P759" s="17" t="str">
        <f aca="false">IF($B759="","",INDEX(Course!$N$2:$N$19,MATCH($B759,Course!$A$2:$A$19,0)))</f>
        <v/>
      </c>
      <c r="Q759" s="17" t="str">
        <f aca="false">IF($B759="","",INDEX(Course!$P$2:$P$19,MATCH($B759,Course!$A$2:$A$19,0)))</f>
        <v/>
      </c>
      <c r="R759" s="17" t="str">
        <f aca="false">IF($C759="","",IF(OR($C759="G",$C759="H"),0,IF($C759="T",1,MIN(1,MAX(0,($N759-Inputs!$B$8)/MAX($P759-Inputs!$B$8,0.01))))))</f>
        <v/>
      </c>
      <c r="S759" s="17" t="str">
        <f aca="false">IF($C759="","",IF(OR($E759="G",$E759="H"),0,IF($E759="T",1,MIN(1,MAX(0,($O759-Inputs!$B$8)/MAX($P759-Inputs!$B$8,0.01))))))</f>
        <v/>
      </c>
    </row>
    <row r="760" customFormat="false" ht="15" hidden="false" customHeight="false" outlineLevel="0" collapsed="false">
      <c r="I760" s="7" t="str">
        <f aca="false">IF($C760="","",IF($C760="G","PUTT",IF(AND($C760="T",$M760&gt;3),"OTT",IF($D760&lt;=30,"ARG","APP"))))</f>
        <v/>
      </c>
      <c r="J760" s="17" t="str">
        <f aca="false">IF($C760="","",$N760+$Q760*$R760)</f>
        <v/>
      </c>
      <c r="K760" s="17" t="str">
        <f aca="false">IF($C760="","",$O760+$Q760*$S760)</f>
        <v/>
      </c>
      <c r="L760" s="17" t="str">
        <f aca="false">IF($C760="","",$J760-$K760-1-N($G760))</f>
        <v/>
      </c>
      <c r="M760" s="7" t="str">
        <f aca="false">IF($B760="","",INDEX(Course!$B$2:$B$19,MATCH($B760,Course!$A$2:$A$19,0)))</f>
        <v/>
      </c>
      <c r="N760" s="17" t="str">
        <f aca="false">IF($C760="","",IF($C760="H",0,IF($C760="G",INDEX(Baseline!$I$3:$I$102,MIN(MAX(ROUND($D760,0),1),100)),IF($C760="T",IF($M760=3,INDEX(Baseline!$B$3:$B$122,MATCH(MIN(MAX(ROUND(($D760)/5,0)*5,5),600),Baseline!$A$3:$A$122,0))-Inputs!$B$9,INDEX(Course!$N$2:$N$19,MATCH($B760,Course!$A$2:$A$19,0))),INDEX(Baseline!$B$3:$E$122,MATCH(MIN(MAX(ROUND(($D760)/5,0)*5,5),600),Baseline!$A$3:$A$122,0),MATCH($C760,Baseline!$B$2:$E$2,0))))))</f>
        <v/>
      </c>
      <c r="O760" s="17" t="str">
        <f aca="false">IF($C760="","",IF($E760="H",0,IF($E760="G",INDEX(Baseline!$I$3:$I$102,MIN(MAX(ROUND($F760,0),1),100)),IF($E760="T",IF($M760=3,INDEX(Baseline!$B$3:$B$122,MATCH(MIN(MAX(ROUND(($F760)/5,0)*5,5),600),Baseline!$A$3:$A$122,0))-Inputs!$B$9,INDEX(Course!$N$2:$N$19,MATCH($B760,Course!$A$2:$A$19,0))),INDEX(Baseline!$B$3:$E$122,MATCH(MIN(MAX(ROUND(($F760)/5,0)*5,5),600),Baseline!$A$3:$A$122,0),MATCH($E760,Baseline!$B$2:$E$2,0))))))</f>
        <v/>
      </c>
      <c r="P760" s="17" t="str">
        <f aca="false">IF($B760="","",INDEX(Course!$N$2:$N$19,MATCH($B760,Course!$A$2:$A$19,0)))</f>
        <v/>
      </c>
      <c r="Q760" s="17" t="str">
        <f aca="false">IF($B760="","",INDEX(Course!$P$2:$P$19,MATCH($B760,Course!$A$2:$A$19,0)))</f>
        <v/>
      </c>
      <c r="R760" s="17" t="str">
        <f aca="false">IF($C760="","",IF(OR($C760="G",$C760="H"),0,IF($C760="T",1,MIN(1,MAX(0,($N760-Inputs!$B$8)/MAX($P760-Inputs!$B$8,0.01))))))</f>
        <v/>
      </c>
      <c r="S760" s="17" t="str">
        <f aca="false">IF($C760="","",IF(OR($E760="G",$E760="H"),0,IF($E760="T",1,MIN(1,MAX(0,($O760-Inputs!$B$8)/MAX($P760-Inputs!$B$8,0.01))))))</f>
        <v/>
      </c>
    </row>
    <row r="761" customFormat="false" ht="15" hidden="false" customHeight="false" outlineLevel="0" collapsed="false">
      <c r="I761" s="7" t="str">
        <f aca="false">IF($C761="","",IF($C761="G","PUTT",IF(AND($C761="T",$M761&gt;3),"OTT",IF($D761&lt;=30,"ARG","APP"))))</f>
        <v/>
      </c>
      <c r="J761" s="17" t="str">
        <f aca="false">IF($C761="","",$N761+$Q761*$R761)</f>
        <v/>
      </c>
      <c r="K761" s="17" t="str">
        <f aca="false">IF($C761="","",$O761+$Q761*$S761)</f>
        <v/>
      </c>
      <c r="L761" s="17" t="str">
        <f aca="false">IF($C761="","",$J761-$K761-1-N($G761))</f>
        <v/>
      </c>
      <c r="M761" s="7" t="str">
        <f aca="false">IF($B761="","",INDEX(Course!$B$2:$B$19,MATCH($B761,Course!$A$2:$A$19,0)))</f>
        <v/>
      </c>
      <c r="N761" s="17" t="str">
        <f aca="false">IF($C761="","",IF($C761="H",0,IF($C761="G",INDEX(Baseline!$I$3:$I$102,MIN(MAX(ROUND($D761,0),1),100)),IF($C761="T",IF($M761=3,INDEX(Baseline!$B$3:$B$122,MATCH(MIN(MAX(ROUND(($D761)/5,0)*5,5),600),Baseline!$A$3:$A$122,0))-Inputs!$B$9,INDEX(Course!$N$2:$N$19,MATCH($B761,Course!$A$2:$A$19,0))),INDEX(Baseline!$B$3:$E$122,MATCH(MIN(MAX(ROUND(($D761)/5,0)*5,5),600),Baseline!$A$3:$A$122,0),MATCH($C761,Baseline!$B$2:$E$2,0))))))</f>
        <v/>
      </c>
      <c r="O761" s="17" t="str">
        <f aca="false">IF($C761="","",IF($E761="H",0,IF($E761="G",INDEX(Baseline!$I$3:$I$102,MIN(MAX(ROUND($F761,0),1),100)),IF($E761="T",IF($M761=3,INDEX(Baseline!$B$3:$B$122,MATCH(MIN(MAX(ROUND(($F761)/5,0)*5,5),600),Baseline!$A$3:$A$122,0))-Inputs!$B$9,INDEX(Course!$N$2:$N$19,MATCH($B761,Course!$A$2:$A$19,0))),INDEX(Baseline!$B$3:$E$122,MATCH(MIN(MAX(ROUND(($F761)/5,0)*5,5),600),Baseline!$A$3:$A$122,0),MATCH($E761,Baseline!$B$2:$E$2,0))))))</f>
        <v/>
      </c>
      <c r="P761" s="17" t="str">
        <f aca="false">IF($B761="","",INDEX(Course!$N$2:$N$19,MATCH($B761,Course!$A$2:$A$19,0)))</f>
        <v/>
      </c>
      <c r="Q761" s="17" t="str">
        <f aca="false">IF($B761="","",INDEX(Course!$P$2:$P$19,MATCH($B761,Course!$A$2:$A$19,0)))</f>
        <v/>
      </c>
      <c r="R761" s="17" t="str">
        <f aca="false">IF($C761="","",IF(OR($C761="G",$C761="H"),0,IF($C761="T",1,MIN(1,MAX(0,($N761-Inputs!$B$8)/MAX($P761-Inputs!$B$8,0.01))))))</f>
        <v/>
      </c>
      <c r="S761" s="17" t="str">
        <f aca="false">IF($C761="","",IF(OR($E761="G",$E761="H"),0,IF($E761="T",1,MIN(1,MAX(0,($O761-Inputs!$B$8)/MAX($P761-Inputs!$B$8,0.01))))))</f>
        <v/>
      </c>
    </row>
    <row r="762" customFormat="false" ht="15" hidden="false" customHeight="false" outlineLevel="0" collapsed="false">
      <c r="I762" s="7" t="str">
        <f aca="false">IF($C762="","",IF($C762="G","PUTT",IF(AND($C762="T",$M762&gt;3),"OTT",IF($D762&lt;=30,"ARG","APP"))))</f>
        <v/>
      </c>
      <c r="J762" s="17" t="str">
        <f aca="false">IF($C762="","",$N762+$Q762*$R762)</f>
        <v/>
      </c>
      <c r="K762" s="17" t="str">
        <f aca="false">IF($C762="","",$O762+$Q762*$S762)</f>
        <v/>
      </c>
      <c r="L762" s="17" t="str">
        <f aca="false">IF($C762="","",$J762-$K762-1-N($G762))</f>
        <v/>
      </c>
      <c r="M762" s="7" t="str">
        <f aca="false">IF($B762="","",INDEX(Course!$B$2:$B$19,MATCH($B762,Course!$A$2:$A$19,0)))</f>
        <v/>
      </c>
      <c r="N762" s="17" t="str">
        <f aca="false">IF($C762="","",IF($C762="H",0,IF($C762="G",INDEX(Baseline!$I$3:$I$102,MIN(MAX(ROUND($D762,0),1),100)),IF($C762="T",IF($M762=3,INDEX(Baseline!$B$3:$B$122,MATCH(MIN(MAX(ROUND(($D762)/5,0)*5,5),600),Baseline!$A$3:$A$122,0))-Inputs!$B$9,INDEX(Course!$N$2:$N$19,MATCH($B762,Course!$A$2:$A$19,0))),INDEX(Baseline!$B$3:$E$122,MATCH(MIN(MAX(ROUND(($D762)/5,0)*5,5),600),Baseline!$A$3:$A$122,0),MATCH($C762,Baseline!$B$2:$E$2,0))))))</f>
        <v/>
      </c>
      <c r="O762" s="17" t="str">
        <f aca="false">IF($C762="","",IF($E762="H",0,IF($E762="G",INDEX(Baseline!$I$3:$I$102,MIN(MAX(ROUND($F762,0),1),100)),IF($E762="T",IF($M762=3,INDEX(Baseline!$B$3:$B$122,MATCH(MIN(MAX(ROUND(($F762)/5,0)*5,5),600),Baseline!$A$3:$A$122,0))-Inputs!$B$9,INDEX(Course!$N$2:$N$19,MATCH($B762,Course!$A$2:$A$19,0))),INDEX(Baseline!$B$3:$E$122,MATCH(MIN(MAX(ROUND(($F762)/5,0)*5,5),600),Baseline!$A$3:$A$122,0),MATCH($E762,Baseline!$B$2:$E$2,0))))))</f>
        <v/>
      </c>
      <c r="P762" s="17" t="str">
        <f aca="false">IF($B762="","",INDEX(Course!$N$2:$N$19,MATCH($B762,Course!$A$2:$A$19,0)))</f>
        <v/>
      </c>
      <c r="Q762" s="17" t="str">
        <f aca="false">IF($B762="","",INDEX(Course!$P$2:$P$19,MATCH($B762,Course!$A$2:$A$19,0)))</f>
        <v/>
      </c>
      <c r="R762" s="17" t="str">
        <f aca="false">IF($C762="","",IF(OR($C762="G",$C762="H"),0,IF($C762="T",1,MIN(1,MAX(0,($N762-Inputs!$B$8)/MAX($P762-Inputs!$B$8,0.01))))))</f>
        <v/>
      </c>
      <c r="S762" s="17" t="str">
        <f aca="false">IF($C762="","",IF(OR($E762="G",$E762="H"),0,IF($E762="T",1,MIN(1,MAX(0,($O762-Inputs!$B$8)/MAX($P762-Inputs!$B$8,0.01))))))</f>
        <v/>
      </c>
    </row>
    <row r="763" customFormat="false" ht="15" hidden="false" customHeight="false" outlineLevel="0" collapsed="false">
      <c r="I763" s="7" t="str">
        <f aca="false">IF($C763="","",IF($C763="G","PUTT",IF(AND($C763="T",$M763&gt;3),"OTT",IF($D763&lt;=30,"ARG","APP"))))</f>
        <v/>
      </c>
      <c r="J763" s="17" t="str">
        <f aca="false">IF($C763="","",$N763+$Q763*$R763)</f>
        <v/>
      </c>
      <c r="K763" s="17" t="str">
        <f aca="false">IF($C763="","",$O763+$Q763*$S763)</f>
        <v/>
      </c>
      <c r="L763" s="17" t="str">
        <f aca="false">IF($C763="","",$J763-$K763-1-N($G763))</f>
        <v/>
      </c>
      <c r="M763" s="7" t="str">
        <f aca="false">IF($B763="","",INDEX(Course!$B$2:$B$19,MATCH($B763,Course!$A$2:$A$19,0)))</f>
        <v/>
      </c>
      <c r="N763" s="17" t="str">
        <f aca="false">IF($C763="","",IF($C763="H",0,IF($C763="G",INDEX(Baseline!$I$3:$I$102,MIN(MAX(ROUND($D763,0),1),100)),IF($C763="T",IF($M763=3,INDEX(Baseline!$B$3:$B$122,MATCH(MIN(MAX(ROUND(($D763)/5,0)*5,5),600),Baseline!$A$3:$A$122,0))-Inputs!$B$9,INDEX(Course!$N$2:$N$19,MATCH($B763,Course!$A$2:$A$19,0))),INDEX(Baseline!$B$3:$E$122,MATCH(MIN(MAX(ROUND(($D763)/5,0)*5,5),600),Baseline!$A$3:$A$122,0),MATCH($C763,Baseline!$B$2:$E$2,0))))))</f>
        <v/>
      </c>
      <c r="O763" s="17" t="str">
        <f aca="false">IF($C763="","",IF($E763="H",0,IF($E763="G",INDEX(Baseline!$I$3:$I$102,MIN(MAX(ROUND($F763,0),1),100)),IF($E763="T",IF($M763=3,INDEX(Baseline!$B$3:$B$122,MATCH(MIN(MAX(ROUND(($F763)/5,0)*5,5),600),Baseline!$A$3:$A$122,0))-Inputs!$B$9,INDEX(Course!$N$2:$N$19,MATCH($B763,Course!$A$2:$A$19,0))),INDEX(Baseline!$B$3:$E$122,MATCH(MIN(MAX(ROUND(($F763)/5,0)*5,5),600),Baseline!$A$3:$A$122,0),MATCH($E763,Baseline!$B$2:$E$2,0))))))</f>
        <v/>
      </c>
      <c r="P763" s="17" t="str">
        <f aca="false">IF($B763="","",INDEX(Course!$N$2:$N$19,MATCH($B763,Course!$A$2:$A$19,0)))</f>
        <v/>
      </c>
      <c r="Q763" s="17" t="str">
        <f aca="false">IF($B763="","",INDEX(Course!$P$2:$P$19,MATCH($B763,Course!$A$2:$A$19,0)))</f>
        <v/>
      </c>
      <c r="R763" s="17" t="str">
        <f aca="false">IF($C763="","",IF(OR($C763="G",$C763="H"),0,IF($C763="T",1,MIN(1,MAX(0,($N763-Inputs!$B$8)/MAX($P763-Inputs!$B$8,0.01))))))</f>
        <v/>
      </c>
      <c r="S763" s="17" t="str">
        <f aca="false">IF($C763="","",IF(OR($E763="G",$E763="H"),0,IF($E763="T",1,MIN(1,MAX(0,($O763-Inputs!$B$8)/MAX($P763-Inputs!$B$8,0.01))))))</f>
        <v/>
      </c>
    </row>
    <row r="764" customFormat="false" ht="15" hidden="false" customHeight="false" outlineLevel="0" collapsed="false">
      <c r="I764" s="7" t="str">
        <f aca="false">IF($C764="","",IF($C764="G","PUTT",IF(AND($C764="T",$M764&gt;3),"OTT",IF($D764&lt;=30,"ARG","APP"))))</f>
        <v/>
      </c>
      <c r="J764" s="17" t="str">
        <f aca="false">IF($C764="","",$N764+$Q764*$R764)</f>
        <v/>
      </c>
      <c r="K764" s="17" t="str">
        <f aca="false">IF($C764="","",$O764+$Q764*$S764)</f>
        <v/>
      </c>
      <c r="L764" s="17" t="str">
        <f aca="false">IF($C764="","",$J764-$K764-1-N($G764))</f>
        <v/>
      </c>
      <c r="M764" s="7" t="str">
        <f aca="false">IF($B764="","",INDEX(Course!$B$2:$B$19,MATCH($B764,Course!$A$2:$A$19,0)))</f>
        <v/>
      </c>
      <c r="N764" s="17" t="str">
        <f aca="false">IF($C764="","",IF($C764="H",0,IF($C764="G",INDEX(Baseline!$I$3:$I$102,MIN(MAX(ROUND($D764,0),1),100)),IF($C764="T",IF($M764=3,INDEX(Baseline!$B$3:$B$122,MATCH(MIN(MAX(ROUND(($D764)/5,0)*5,5),600),Baseline!$A$3:$A$122,0))-Inputs!$B$9,INDEX(Course!$N$2:$N$19,MATCH($B764,Course!$A$2:$A$19,0))),INDEX(Baseline!$B$3:$E$122,MATCH(MIN(MAX(ROUND(($D764)/5,0)*5,5),600),Baseline!$A$3:$A$122,0),MATCH($C764,Baseline!$B$2:$E$2,0))))))</f>
        <v/>
      </c>
      <c r="O764" s="17" t="str">
        <f aca="false">IF($C764="","",IF($E764="H",0,IF($E764="G",INDEX(Baseline!$I$3:$I$102,MIN(MAX(ROUND($F764,0),1),100)),IF($E764="T",IF($M764=3,INDEX(Baseline!$B$3:$B$122,MATCH(MIN(MAX(ROUND(($F764)/5,0)*5,5),600),Baseline!$A$3:$A$122,0))-Inputs!$B$9,INDEX(Course!$N$2:$N$19,MATCH($B764,Course!$A$2:$A$19,0))),INDEX(Baseline!$B$3:$E$122,MATCH(MIN(MAX(ROUND(($F764)/5,0)*5,5),600),Baseline!$A$3:$A$122,0),MATCH($E764,Baseline!$B$2:$E$2,0))))))</f>
        <v/>
      </c>
      <c r="P764" s="17" t="str">
        <f aca="false">IF($B764="","",INDEX(Course!$N$2:$N$19,MATCH($B764,Course!$A$2:$A$19,0)))</f>
        <v/>
      </c>
      <c r="Q764" s="17" t="str">
        <f aca="false">IF($B764="","",INDEX(Course!$P$2:$P$19,MATCH($B764,Course!$A$2:$A$19,0)))</f>
        <v/>
      </c>
      <c r="R764" s="17" t="str">
        <f aca="false">IF($C764="","",IF(OR($C764="G",$C764="H"),0,IF($C764="T",1,MIN(1,MAX(0,($N764-Inputs!$B$8)/MAX($P764-Inputs!$B$8,0.01))))))</f>
        <v/>
      </c>
      <c r="S764" s="17" t="str">
        <f aca="false">IF($C764="","",IF(OR($E764="G",$E764="H"),0,IF($E764="T",1,MIN(1,MAX(0,($O764-Inputs!$B$8)/MAX($P764-Inputs!$B$8,0.01))))))</f>
        <v/>
      </c>
    </row>
    <row r="765" customFormat="false" ht="15" hidden="false" customHeight="false" outlineLevel="0" collapsed="false">
      <c r="I765" s="7" t="str">
        <f aca="false">IF($C765="","",IF($C765="G","PUTT",IF(AND($C765="T",$M765&gt;3),"OTT",IF($D765&lt;=30,"ARG","APP"))))</f>
        <v/>
      </c>
      <c r="J765" s="17" t="str">
        <f aca="false">IF($C765="","",$N765+$Q765*$R765)</f>
        <v/>
      </c>
      <c r="K765" s="17" t="str">
        <f aca="false">IF($C765="","",$O765+$Q765*$S765)</f>
        <v/>
      </c>
      <c r="L765" s="17" t="str">
        <f aca="false">IF($C765="","",$J765-$K765-1-N($G765))</f>
        <v/>
      </c>
      <c r="M765" s="7" t="str">
        <f aca="false">IF($B765="","",INDEX(Course!$B$2:$B$19,MATCH($B765,Course!$A$2:$A$19,0)))</f>
        <v/>
      </c>
      <c r="N765" s="17" t="str">
        <f aca="false">IF($C765="","",IF($C765="H",0,IF($C765="G",INDEX(Baseline!$I$3:$I$102,MIN(MAX(ROUND($D765,0),1),100)),IF($C765="T",IF($M765=3,INDEX(Baseline!$B$3:$B$122,MATCH(MIN(MAX(ROUND(($D765)/5,0)*5,5),600),Baseline!$A$3:$A$122,0))-Inputs!$B$9,INDEX(Course!$N$2:$N$19,MATCH($B765,Course!$A$2:$A$19,0))),INDEX(Baseline!$B$3:$E$122,MATCH(MIN(MAX(ROUND(($D765)/5,0)*5,5),600),Baseline!$A$3:$A$122,0),MATCH($C765,Baseline!$B$2:$E$2,0))))))</f>
        <v/>
      </c>
      <c r="O765" s="17" t="str">
        <f aca="false">IF($C765="","",IF($E765="H",0,IF($E765="G",INDEX(Baseline!$I$3:$I$102,MIN(MAX(ROUND($F765,0),1),100)),IF($E765="T",IF($M765=3,INDEX(Baseline!$B$3:$B$122,MATCH(MIN(MAX(ROUND(($F765)/5,0)*5,5),600),Baseline!$A$3:$A$122,0))-Inputs!$B$9,INDEX(Course!$N$2:$N$19,MATCH($B765,Course!$A$2:$A$19,0))),INDEX(Baseline!$B$3:$E$122,MATCH(MIN(MAX(ROUND(($F765)/5,0)*5,5),600),Baseline!$A$3:$A$122,0),MATCH($E765,Baseline!$B$2:$E$2,0))))))</f>
        <v/>
      </c>
      <c r="P765" s="17" t="str">
        <f aca="false">IF($B765="","",INDEX(Course!$N$2:$N$19,MATCH($B765,Course!$A$2:$A$19,0)))</f>
        <v/>
      </c>
      <c r="Q765" s="17" t="str">
        <f aca="false">IF($B765="","",INDEX(Course!$P$2:$P$19,MATCH($B765,Course!$A$2:$A$19,0)))</f>
        <v/>
      </c>
      <c r="R765" s="17" t="str">
        <f aca="false">IF($C765="","",IF(OR($C765="G",$C765="H"),0,IF($C765="T",1,MIN(1,MAX(0,($N765-Inputs!$B$8)/MAX($P765-Inputs!$B$8,0.01))))))</f>
        <v/>
      </c>
      <c r="S765" s="17" t="str">
        <f aca="false">IF($C765="","",IF(OR($E765="G",$E765="H"),0,IF($E765="T",1,MIN(1,MAX(0,($O765-Inputs!$B$8)/MAX($P765-Inputs!$B$8,0.01))))))</f>
        <v/>
      </c>
    </row>
    <row r="766" customFormat="false" ht="15" hidden="false" customHeight="false" outlineLevel="0" collapsed="false">
      <c r="I766" s="7" t="str">
        <f aca="false">IF($C766="","",IF($C766="G","PUTT",IF(AND($C766="T",$M766&gt;3),"OTT",IF($D766&lt;=30,"ARG","APP"))))</f>
        <v/>
      </c>
      <c r="J766" s="17" t="str">
        <f aca="false">IF($C766="","",$N766+$Q766*$R766)</f>
        <v/>
      </c>
      <c r="K766" s="17" t="str">
        <f aca="false">IF($C766="","",$O766+$Q766*$S766)</f>
        <v/>
      </c>
      <c r="L766" s="17" t="str">
        <f aca="false">IF($C766="","",$J766-$K766-1-N($G766))</f>
        <v/>
      </c>
      <c r="M766" s="7" t="str">
        <f aca="false">IF($B766="","",INDEX(Course!$B$2:$B$19,MATCH($B766,Course!$A$2:$A$19,0)))</f>
        <v/>
      </c>
      <c r="N766" s="17" t="str">
        <f aca="false">IF($C766="","",IF($C766="H",0,IF($C766="G",INDEX(Baseline!$I$3:$I$102,MIN(MAX(ROUND($D766,0),1),100)),IF($C766="T",IF($M766=3,INDEX(Baseline!$B$3:$B$122,MATCH(MIN(MAX(ROUND(($D766)/5,0)*5,5),600),Baseline!$A$3:$A$122,0))-Inputs!$B$9,INDEX(Course!$N$2:$N$19,MATCH($B766,Course!$A$2:$A$19,0))),INDEX(Baseline!$B$3:$E$122,MATCH(MIN(MAX(ROUND(($D766)/5,0)*5,5),600),Baseline!$A$3:$A$122,0),MATCH($C766,Baseline!$B$2:$E$2,0))))))</f>
        <v/>
      </c>
      <c r="O766" s="17" t="str">
        <f aca="false">IF($C766="","",IF($E766="H",0,IF($E766="G",INDEX(Baseline!$I$3:$I$102,MIN(MAX(ROUND($F766,0),1),100)),IF($E766="T",IF($M766=3,INDEX(Baseline!$B$3:$B$122,MATCH(MIN(MAX(ROUND(($F766)/5,0)*5,5),600),Baseline!$A$3:$A$122,0))-Inputs!$B$9,INDEX(Course!$N$2:$N$19,MATCH($B766,Course!$A$2:$A$19,0))),INDEX(Baseline!$B$3:$E$122,MATCH(MIN(MAX(ROUND(($F766)/5,0)*5,5),600),Baseline!$A$3:$A$122,0),MATCH($E766,Baseline!$B$2:$E$2,0))))))</f>
        <v/>
      </c>
      <c r="P766" s="17" t="str">
        <f aca="false">IF($B766="","",INDEX(Course!$N$2:$N$19,MATCH($B766,Course!$A$2:$A$19,0)))</f>
        <v/>
      </c>
      <c r="Q766" s="17" t="str">
        <f aca="false">IF($B766="","",INDEX(Course!$P$2:$P$19,MATCH($B766,Course!$A$2:$A$19,0)))</f>
        <v/>
      </c>
      <c r="R766" s="17" t="str">
        <f aca="false">IF($C766="","",IF(OR($C766="G",$C766="H"),0,IF($C766="T",1,MIN(1,MAX(0,($N766-Inputs!$B$8)/MAX($P766-Inputs!$B$8,0.01))))))</f>
        <v/>
      </c>
      <c r="S766" s="17" t="str">
        <f aca="false">IF($C766="","",IF(OR($E766="G",$E766="H"),0,IF($E766="T",1,MIN(1,MAX(0,($O766-Inputs!$B$8)/MAX($P766-Inputs!$B$8,0.01))))))</f>
        <v/>
      </c>
    </row>
    <row r="767" customFormat="false" ht="15" hidden="false" customHeight="false" outlineLevel="0" collapsed="false">
      <c r="I767" s="7" t="str">
        <f aca="false">IF($C767="","",IF($C767="G","PUTT",IF(AND($C767="T",$M767&gt;3),"OTT",IF($D767&lt;=30,"ARG","APP"))))</f>
        <v/>
      </c>
      <c r="J767" s="17" t="str">
        <f aca="false">IF($C767="","",$N767+$Q767*$R767)</f>
        <v/>
      </c>
      <c r="K767" s="17" t="str">
        <f aca="false">IF($C767="","",$O767+$Q767*$S767)</f>
        <v/>
      </c>
      <c r="L767" s="17" t="str">
        <f aca="false">IF($C767="","",$J767-$K767-1-N($G767))</f>
        <v/>
      </c>
      <c r="M767" s="7" t="str">
        <f aca="false">IF($B767="","",INDEX(Course!$B$2:$B$19,MATCH($B767,Course!$A$2:$A$19,0)))</f>
        <v/>
      </c>
      <c r="N767" s="17" t="str">
        <f aca="false">IF($C767="","",IF($C767="H",0,IF($C767="G",INDEX(Baseline!$I$3:$I$102,MIN(MAX(ROUND($D767,0),1),100)),IF($C767="T",IF($M767=3,INDEX(Baseline!$B$3:$B$122,MATCH(MIN(MAX(ROUND(($D767)/5,0)*5,5),600),Baseline!$A$3:$A$122,0))-Inputs!$B$9,INDEX(Course!$N$2:$N$19,MATCH($B767,Course!$A$2:$A$19,0))),INDEX(Baseline!$B$3:$E$122,MATCH(MIN(MAX(ROUND(($D767)/5,0)*5,5),600),Baseline!$A$3:$A$122,0),MATCH($C767,Baseline!$B$2:$E$2,0))))))</f>
        <v/>
      </c>
      <c r="O767" s="17" t="str">
        <f aca="false">IF($C767="","",IF($E767="H",0,IF($E767="G",INDEX(Baseline!$I$3:$I$102,MIN(MAX(ROUND($F767,0),1),100)),IF($E767="T",IF($M767=3,INDEX(Baseline!$B$3:$B$122,MATCH(MIN(MAX(ROUND(($F767)/5,0)*5,5),600),Baseline!$A$3:$A$122,0))-Inputs!$B$9,INDEX(Course!$N$2:$N$19,MATCH($B767,Course!$A$2:$A$19,0))),INDEX(Baseline!$B$3:$E$122,MATCH(MIN(MAX(ROUND(($F767)/5,0)*5,5),600),Baseline!$A$3:$A$122,0),MATCH($E767,Baseline!$B$2:$E$2,0))))))</f>
        <v/>
      </c>
      <c r="P767" s="17" t="str">
        <f aca="false">IF($B767="","",INDEX(Course!$N$2:$N$19,MATCH($B767,Course!$A$2:$A$19,0)))</f>
        <v/>
      </c>
      <c r="Q767" s="17" t="str">
        <f aca="false">IF($B767="","",INDEX(Course!$P$2:$P$19,MATCH($B767,Course!$A$2:$A$19,0)))</f>
        <v/>
      </c>
      <c r="R767" s="17" t="str">
        <f aca="false">IF($C767="","",IF(OR($C767="G",$C767="H"),0,IF($C767="T",1,MIN(1,MAX(0,($N767-Inputs!$B$8)/MAX($P767-Inputs!$B$8,0.01))))))</f>
        <v/>
      </c>
      <c r="S767" s="17" t="str">
        <f aca="false">IF($C767="","",IF(OR($E767="G",$E767="H"),0,IF($E767="T",1,MIN(1,MAX(0,($O767-Inputs!$B$8)/MAX($P767-Inputs!$B$8,0.01))))))</f>
        <v/>
      </c>
    </row>
    <row r="768" customFormat="false" ht="15" hidden="false" customHeight="false" outlineLevel="0" collapsed="false">
      <c r="I768" s="7" t="str">
        <f aca="false">IF($C768="","",IF($C768="G","PUTT",IF(AND($C768="T",$M768&gt;3),"OTT",IF($D768&lt;=30,"ARG","APP"))))</f>
        <v/>
      </c>
      <c r="J768" s="17" t="str">
        <f aca="false">IF($C768="","",$N768+$Q768*$R768)</f>
        <v/>
      </c>
      <c r="K768" s="17" t="str">
        <f aca="false">IF($C768="","",$O768+$Q768*$S768)</f>
        <v/>
      </c>
      <c r="L768" s="17" t="str">
        <f aca="false">IF($C768="","",$J768-$K768-1-N($G768))</f>
        <v/>
      </c>
      <c r="M768" s="7" t="str">
        <f aca="false">IF($B768="","",INDEX(Course!$B$2:$B$19,MATCH($B768,Course!$A$2:$A$19,0)))</f>
        <v/>
      </c>
      <c r="N768" s="17" t="str">
        <f aca="false">IF($C768="","",IF($C768="H",0,IF($C768="G",INDEX(Baseline!$I$3:$I$102,MIN(MAX(ROUND($D768,0),1),100)),IF($C768="T",IF($M768=3,INDEX(Baseline!$B$3:$B$122,MATCH(MIN(MAX(ROUND(($D768)/5,0)*5,5),600),Baseline!$A$3:$A$122,0))-Inputs!$B$9,INDEX(Course!$N$2:$N$19,MATCH($B768,Course!$A$2:$A$19,0))),INDEX(Baseline!$B$3:$E$122,MATCH(MIN(MAX(ROUND(($D768)/5,0)*5,5),600),Baseline!$A$3:$A$122,0),MATCH($C768,Baseline!$B$2:$E$2,0))))))</f>
        <v/>
      </c>
      <c r="O768" s="17" t="str">
        <f aca="false">IF($C768="","",IF($E768="H",0,IF($E768="G",INDEX(Baseline!$I$3:$I$102,MIN(MAX(ROUND($F768,0),1),100)),IF($E768="T",IF($M768=3,INDEX(Baseline!$B$3:$B$122,MATCH(MIN(MAX(ROUND(($F768)/5,0)*5,5),600),Baseline!$A$3:$A$122,0))-Inputs!$B$9,INDEX(Course!$N$2:$N$19,MATCH($B768,Course!$A$2:$A$19,0))),INDEX(Baseline!$B$3:$E$122,MATCH(MIN(MAX(ROUND(($F768)/5,0)*5,5),600),Baseline!$A$3:$A$122,0),MATCH($E768,Baseline!$B$2:$E$2,0))))))</f>
        <v/>
      </c>
      <c r="P768" s="17" t="str">
        <f aca="false">IF($B768="","",INDEX(Course!$N$2:$N$19,MATCH($B768,Course!$A$2:$A$19,0)))</f>
        <v/>
      </c>
      <c r="Q768" s="17" t="str">
        <f aca="false">IF($B768="","",INDEX(Course!$P$2:$P$19,MATCH($B768,Course!$A$2:$A$19,0)))</f>
        <v/>
      </c>
      <c r="R768" s="17" t="str">
        <f aca="false">IF($C768="","",IF(OR($C768="G",$C768="H"),0,IF($C768="T",1,MIN(1,MAX(0,($N768-Inputs!$B$8)/MAX($P768-Inputs!$B$8,0.01))))))</f>
        <v/>
      </c>
      <c r="S768" s="17" t="str">
        <f aca="false">IF($C768="","",IF(OR($E768="G",$E768="H"),0,IF($E768="T",1,MIN(1,MAX(0,($O768-Inputs!$B$8)/MAX($P768-Inputs!$B$8,0.01))))))</f>
        <v/>
      </c>
    </row>
    <row r="769" customFormat="false" ht="15" hidden="false" customHeight="false" outlineLevel="0" collapsed="false">
      <c r="I769" s="7" t="str">
        <f aca="false">IF($C769="","",IF($C769="G","PUTT",IF(AND($C769="T",$M769&gt;3),"OTT",IF($D769&lt;=30,"ARG","APP"))))</f>
        <v/>
      </c>
      <c r="J769" s="17" t="str">
        <f aca="false">IF($C769="","",$N769+$Q769*$R769)</f>
        <v/>
      </c>
      <c r="K769" s="17" t="str">
        <f aca="false">IF($C769="","",$O769+$Q769*$S769)</f>
        <v/>
      </c>
      <c r="L769" s="17" t="str">
        <f aca="false">IF($C769="","",$J769-$K769-1-N($G769))</f>
        <v/>
      </c>
      <c r="M769" s="7" t="str">
        <f aca="false">IF($B769="","",INDEX(Course!$B$2:$B$19,MATCH($B769,Course!$A$2:$A$19,0)))</f>
        <v/>
      </c>
      <c r="N769" s="17" t="str">
        <f aca="false">IF($C769="","",IF($C769="H",0,IF($C769="G",INDEX(Baseline!$I$3:$I$102,MIN(MAX(ROUND($D769,0),1),100)),IF($C769="T",IF($M769=3,INDEX(Baseline!$B$3:$B$122,MATCH(MIN(MAX(ROUND(($D769)/5,0)*5,5),600),Baseline!$A$3:$A$122,0))-Inputs!$B$9,INDEX(Course!$N$2:$N$19,MATCH($B769,Course!$A$2:$A$19,0))),INDEX(Baseline!$B$3:$E$122,MATCH(MIN(MAX(ROUND(($D769)/5,0)*5,5),600),Baseline!$A$3:$A$122,0),MATCH($C769,Baseline!$B$2:$E$2,0))))))</f>
        <v/>
      </c>
      <c r="O769" s="17" t="str">
        <f aca="false">IF($C769="","",IF($E769="H",0,IF($E769="G",INDEX(Baseline!$I$3:$I$102,MIN(MAX(ROUND($F769,0),1),100)),IF($E769="T",IF($M769=3,INDEX(Baseline!$B$3:$B$122,MATCH(MIN(MAX(ROUND(($F769)/5,0)*5,5),600),Baseline!$A$3:$A$122,0))-Inputs!$B$9,INDEX(Course!$N$2:$N$19,MATCH($B769,Course!$A$2:$A$19,0))),INDEX(Baseline!$B$3:$E$122,MATCH(MIN(MAX(ROUND(($F769)/5,0)*5,5),600),Baseline!$A$3:$A$122,0),MATCH($E769,Baseline!$B$2:$E$2,0))))))</f>
        <v/>
      </c>
      <c r="P769" s="17" t="str">
        <f aca="false">IF($B769="","",INDEX(Course!$N$2:$N$19,MATCH($B769,Course!$A$2:$A$19,0)))</f>
        <v/>
      </c>
      <c r="Q769" s="17" t="str">
        <f aca="false">IF($B769="","",INDEX(Course!$P$2:$P$19,MATCH($B769,Course!$A$2:$A$19,0)))</f>
        <v/>
      </c>
      <c r="R769" s="17" t="str">
        <f aca="false">IF($C769="","",IF(OR($C769="G",$C769="H"),0,IF($C769="T",1,MIN(1,MAX(0,($N769-Inputs!$B$8)/MAX($P769-Inputs!$B$8,0.01))))))</f>
        <v/>
      </c>
      <c r="S769" s="17" t="str">
        <f aca="false">IF($C769="","",IF(OR($E769="G",$E769="H"),0,IF($E769="T",1,MIN(1,MAX(0,($O769-Inputs!$B$8)/MAX($P769-Inputs!$B$8,0.01))))))</f>
        <v/>
      </c>
    </row>
    <row r="770" customFormat="false" ht="15" hidden="false" customHeight="false" outlineLevel="0" collapsed="false">
      <c r="I770" s="7" t="str">
        <f aca="false">IF($C770="","",IF($C770="G","PUTT",IF(AND($C770="T",$M770&gt;3),"OTT",IF($D770&lt;=30,"ARG","APP"))))</f>
        <v/>
      </c>
      <c r="J770" s="17" t="str">
        <f aca="false">IF($C770="","",$N770+$Q770*$R770)</f>
        <v/>
      </c>
      <c r="K770" s="17" t="str">
        <f aca="false">IF($C770="","",$O770+$Q770*$S770)</f>
        <v/>
      </c>
      <c r="L770" s="17" t="str">
        <f aca="false">IF($C770="","",$J770-$K770-1-N($G770))</f>
        <v/>
      </c>
      <c r="M770" s="7" t="str">
        <f aca="false">IF($B770="","",INDEX(Course!$B$2:$B$19,MATCH($B770,Course!$A$2:$A$19,0)))</f>
        <v/>
      </c>
      <c r="N770" s="17" t="str">
        <f aca="false">IF($C770="","",IF($C770="H",0,IF($C770="G",INDEX(Baseline!$I$3:$I$102,MIN(MAX(ROUND($D770,0),1),100)),IF($C770="T",IF($M770=3,INDEX(Baseline!$B$3:$B$122,MATCH(MIN(MAX(ROUND(($D770)/5,0)*5,5),600),Baseline!$A$3:$A$122,0))-Inputs!$B$9,INDEX(Course!$N$2:$N$19,MATCH($B770,Course!$A$2:$A$19,0))),INDEX(Baseline!$B$3:$E$122,MATCH(MIN(MAX(ROUND(($D770)/5,0)*5,5),600),Baseline!$A$3:$A$122,0),MATCH($C770,Baseline!$B$2:$E$2,0))))))</f>
        <v/>
      </c>
      <c r="O770" s="17" t="str">
        <f aca="false">IF($C770="","",IF($E770="H",0,IF($E770="G",INDEX(Baseline!$I$3:$I$102,MIN(MAX(ROUND($F770,0),1),100)),IF($E770="T",IF($M770=3,INDEX(Baseline!$B$3:$B$122,MATCH(MIN(MAX(ROUND(($F770)/5,0)*5,5),600),Baseline!$A$3:$A$122,0))-Inputs!$B$9,INDEX(Course!$N$2:$N$19,MATCH($B770,Course!$A$2:$A$19,0))),INDEX(Baseline!$B$3:$E$122,MATCH(MIN(MAX(ROUND(($F770)/5,0)*5,5),600),Baseline!$A$3:$A$122,0),MATCH($E770,Baseline!$B$2:$E$2,0))))))</f>
        <v/>
      </c>
      <c r="P770" s="17" t="str">
        <f aca="false">IF($B770="","",INDEX(Course!$N$2:$N$19,MATCH($B770,Course!$A$2:$A$19,0)))</f>
        <v/>
      </c>
      <c r="Q770" s="17" t="str">
        <f aca="false">IF($B770="","",INDEX(Course!$P$2:$P$19,MATCH($B770,Course!$A$2:$A$19,0)))</f>
        <v/>
      </c>
      <c r="R770" s="17" t="str">
        <f aca="false">IF($C770="","",IF(OR($C770="G",$C770="H"),0,IF($C770="T",1,MIN(1,MAX(0,($N770-Inputs!$B$8)/MAX($P770-Inputs!$B$8,0.01))))))</f>
        <v/>
      </c>
      <c r="S770" s="17" t="str">
        <f aca="false">IF($C770="","",IF(OR($E770="G",$E770="H"),0,IF($E770="T",1,MIN(1,MAX(0,($O770-Inputs!$B$8)/MAX($P770-Inputs!$B$8,0.01))))))</f>
        <v/>
      </c>
    </row>
    <row r="771" customFormat="false" ht="15" hidden="false" customHeight="false" outlineLevel="0" collapsed="false">
      <c r="I771" s="7" t="str">
        <f aca="false">IF($C771="","",IF($C771="G","PUTT",IF(AND($C771="T",$M771&gt;3),"OTT",IF($D771&lt;=30,"ARG","APP"))))</f>
        <v/>
      </c>
      <c r="J771" s="17" t="str">
        <f aca="false">IF($C771="","",$N771+$Q771*$R771)</f>
        <v/>
      </c>
      <c r="K771" s="17" t="str">
        <f aca="false">IF($C771="","",$O771+$Q771*$S771)</f>
        <v/>
      </c>
      <c r="L771" s="17" t="str">
        <f aca="false">IF($C771="","",$J771-$K771-1-N($G771))</f>
        <v/>
      </c>
      <c r="M771" s="7" t="str">
        <f aca="false">IF($B771="","",INDEX(Course!$B$2:$B$19,MATCH($B771,Course!$A$2:$A$19,0)))</f>
        <v/>
      </c>
      <c r="N771" s="17" t="str">
        <f aca="false">IF($C771="","",IF($C771="H",0,IF($C771="G",INDEX(Baseline!$I$3:$I$102,MIN(MAX(ROUND($D771,0),1),100)),IF($C771="T",IF($M771=3,INDEX(Baseline!$B$3:$B$122,MATCH(MIN(MAX(ROUND(($D771)/5,0)*5,5),600),Baseline!$A$3:$A$122,0))-Inputs!$B$9,INDEX(Course!$N$2:$N$19,MATCH($B771,Course!$A$2:$A$19,0))),INDEX(Baseline!$B$3:$E$122,MATCH(MIN(MAX(ROUND(($D771)/5,0)*5,5),600),Baseline!$A$3:$A$122,0),MATCH($C771,Baseline!$B$2:$E$2,0))))))</f>
        <v/>
      </c>
      <c r="O771" s="17" t="str">
        <f aca="false">IF($C771="","",IF($E771="H",0,IF($E771="G",INDEX(Baseline!$I$3:$I$102,MIN(MAX(ROUND($F771,0),1),100)),IF($E771="T",IF($M771=3,INDEX(Baseline!$B$3:$B$122,MATCH(MIN(MAX(ROUND(($F771)/5,0)*5,5),600),Baseline!$A$3:$A$122,0))-Inputs!$B$9,INDEX(Course!$N$2:$N$19,MATCH($B771,Course!$A$2:$A$19,0))),INDEX(Baseline!$B$3:$E$122,MATCH(MIN(MAX(ROUND(($F771)/5,0)*5,5),600),Baseline!$A$3:$A$122,0),MATCH($E771,Baseline!$B$2:$E$2,0))))))</f>
        <v/>
      </c>
      <c r="P771" s="17" t="str">
        <f aca="false">IF($B771="","",INDEX(Course!$N$2:$N$19,MATCH($B771,Course!$A$2:$A$19,0)))</f>
        <v/>
      </c>
      <c r="Q771" s="17" t="str">
        <f aca="false">IF($B771="","",INDEX(Course!$P$2:$P$19,MATCH($B771,Course!$A$2:$A$19,0)))</f>
        <v/>
      </c>
      <c r="R771" s="17" t="str">
        <f aca="false">IF($C771="","",IF(OR($C771="G",$C771="H"),0,IF($C771="T",1,MIN(1,MAX(0,($N771-Inputs!$B$8)/MAX($P771-Inputs!$B$8,0.01))))))</f>
        <v/>
      </c>
      <c r="S771" s="17" t="str">
        <f aca="false">IF($C771="","",IF(OR($E771="G",$E771="H"),0,IF($E771="T",1,MIN(1,MAX(0,($O771-Inputs!$B$8)/MAX($P771-Inputs!$B$8,0.01))))))</f>
        <v/>
      </c>
    </row>
    <row r="772" customFormat="false" ht="15" hidden="false" customHeight="false" outlineLevel="0" collapsed="false">
      <c r="I772" s="7" t="str">
        <f aca="false">IF($C772="","",IF($C772="G","PUTT",IF(AND($C772="T",$M772&gt;3),"OTT",IF($D772&lt;=30,"ARG","APP"))))</f>
        <v/>
      </c>
      <c r="J772" s="17" t="str">
        <f aca="false">IF($C772="","",$N772+$Q772*$R772)</f>
        <v/>
      </c>
      <c r="K772" s="17" t="str">
        <f aca="false">IF($C772="","",$O772+$Q772*$S772)</f>
        <v/>
      </c>
      <c r="L772" s="17" t="str">
        <f aca="false">IF($C772="","",$J772-$K772-1-N($G772))</f>
        <v/>
      </c>
      <c r="M772" s="7" t="str">
        <f aca="false">IF($B772="","",INDEX(Course!$B$2:$B$19,MATCH($B772,Course!$A$2:$A$19,0)))</f>
        <v/>
      </c>
      <c r="N772" s="17" t="str">
        <f aca="false">IF($C772="","",IF($C772="H",0,IF($C772="G",INDEX(Baseline!$I$3:$I$102,MIN(MAX(ROUND($D772,0),1),100)),IF($C772="T",IF($M772=3,INDEX(Baseline!$B$3:$B$122,MATCH(MIN(MAX(ROUND(($D772)/5,0)*5,5),600),Baseline!$A$3:$A$122,0))-Inputs!$B$9,INDEX(Course!$N$2:$N$19,MATCH($B772,Course!$A$2:$A$19,0))),INDEX(Baseline!$B$3:$E$122,MATCH(MIN(MAX(ROUND(($D772)/5,0)*5,5),600),Baseline!$A$3:$A$122,0),MATCH($C772,Baseline!$B$2:$E$2,0))))))</f>
        <v/>
      </c>
      <c r="O772" s="17" t="str">
        <f aca="false">IF($C772="","",IF($E772="H",0,IF($E772="G",INDEX(Baseline!$I$3:$I$102,MIN(MAX(ROUND($F772,0),1),100)),IF($E772="T",IF($M772=3,INDEX(Baseline!$B$3:$B$122,MATCH(MIN(MAX(ROUND(($F772)/5,0)*5,5),600),Baseline!$A$3:$A$122,0))-Inputs!$B$9,INDEX(Course!$N$2:$N$19,MATCH($B772,Course!$A$2:$A$19,0))),INDEX(Baseline!$B$3:$E$122,MATCH(MIN(MAX(ROUND(($F772)/5,0)*5,5),600),Baseline!$A$3:$A$122,0),MATCH($E772,Baseline!$B$2:$E$2,0))))))</f>
        <v/>
      </c>
      <c r="P772" s="17" t="str">
        <f aca="false">IF($B772="","",INDEX(Course!$N$2:$N$19,MATCH($B772,Course!$A$2:$A$19,0)))</f>
        <v/>
      </c>
      <c r="Q772" s="17" t="str">
        <f aca="false">IF($B772="","",INDEX(Course!$P$2:$P$19,MATCH($B772,Course!$A$2:$A$19,0)))</f>
        <v/>
      </c>
      <c r="R772" s="17" t="str">
        <f aca="false">IF($C772="","",IF(OR($C772="G",$C772="H"),0,IF($C772="T",1,MIN(1,MAX(0,($N772-Inputs!$B$8)/MAX($P772-Inputs!$B$8,0.01))))))</f>
        <v/>
      </c>
      <c r="S772" s="17" t="str">
        <f aca="false">IF($C772="","",IF(OR($E772="G",$E772="H"),0,IF($E772="T",1,MIN(1,MAX(0,($O772-Inputs!$B$8)/MAX($P772-Inputs!$B$8,0.01))))))</f>
        <v/>
      </c>
    </row>
    <row r="773" customFormat="false" ht="15" hidden="false" customHeight="false" outlineLevel="0" collapsed="false">
      <c r="I773" s="7" t="str">
        <f aca="false">IF($C773="","",IF($C773="G","PUTT",IF(AND($C773="T",$M773&gt;3),"OTT",IF($D773&lt;=30,"ARG","APP"))))</f>
        <v/>
      </c>
      <c r="J773" s="17" t="str">
        <f aca="false">IF($C773="","",$N773+$Q773*$R773)</f>
        <v/>
      </c>
      <c r="K773" s="17" t="str">
        <f aca="false">IF($C773="","",$O773+$Q773*$S773)</f>
        <v/>
      </c>
      <c r="L773" s="17" t="str">
        <f aca="false">IF($C773="","",$J773-$K773-1-N($G773))</f>
        <v/>
      </c>
      <c r="M773" s="7" t="str">
        <f aca="false">IF($B773="","",INDEX(Course!$B$2:$B$19,MATCH($B773,Course!$A$2:$A$19,0)))</f>
        <v/>
      </c>
      <c r="N773" s="17" t="str">
        <f aca="false">IF($C773="","",IF($C773="H",0,IF($C773="G",INDEX(Baseline!$I$3:$I$102,MIN(MAX(ROUND($D773,0),1),100)),IF($C773="T",IF($M773=3,INDEX(Baseline!$B$3:$B$122,MATCH(MIN(MAX(ROUND(($D773)/5,0)*5,5),600),Baseline!$A$3:$A$122,0))-Inputs!$B$9,INDEX(Course!$N$2:$N$19,MATCH($B773,Course!$A$2:$A$19,0))),INDEX(Baseline!$B$3:$E$122,MATCH(MIN(MAX(ROUND(($D773)/5,0)*5,5),600),Baseline!$A$3:$A$122,0),MATCH($C773,Baseline!$B$2:$E$2,0))))))</f>
        <v/>
      </c>
      <c r="O773" s="17" t="str">
        <f aca="false">IF($C773="","",IF($E773="H",0,IF($E773="G",INDEX(Baseline!$I$3:$I$102,MIN(MAX(ROUND($F773,0),1),100)),IF($E773="T",IF($M773=3,INDEX(Baseline!$B$3:$B$122,MATCH(MIN(MAX(ROUND(($F773)/5,0)*5,5),600),Baseline!$A$3:$A$122,0))-Inputs!$B$9,INDEX(Course!$N$2:$N$19,MATCH($B773,Course!$A$2:$A$19,0))),INDEX(Baseline!$B$3:$E$122,MATCH(MIN(MAX(ROUND(($F773)/5,0)*5,5),600),Baseline!$A$3:$A$122,0),MATCH($E773,Baseline!$B$2:$E$2,0))))))</f>
        <v/>
      </c>
      <c r="P773" s="17" t="str">
        <f aca="false">IF($B773="","",INDEX(Course!$N$2:$N$19,MATCH($B773,Course!$A$2:$A$19,0)))</f>
        <v/>
      </c>
      <c r="Q773" s="17" t="str">
        <f aca="false">IF($B773="","",INDEX(Course!$P$2:$P$19,MATCH($B773,Course!$A$2:$A$19,0)))</f>
        <v/>
      </c>
      <c r="R773" s="17" t="str">
        <f aca="false">IF($C773="","",IF(OR($C773="G",$C773="H"),0,IF($C773="T",1,MIN(1,MAX(0,($N773-Inputs!$B$8)/MAX($P773-Inputs!$B$8,0.01))))))</f>
        <v/>
      </c>
      <c r="S773" s="17" t="str">
        <f aca="false">IF($C773="","",IF(OR($E773="G",$E773="H"),0,IF($E773="T",1,MIN(1,MAX(0,($O773-Inputs!$B$8)/MAX($P773-Inputs!$B$8,0.01))))))</f>
        <v/>
      </c>
    </row>
    <row r="774" customFormat="false" ht="15" hidden="false" customHeight="false" outlineLevel="0" collapsed="false">
      <c r="I774" s="7" t="str">
        <f aca="false">IF($C774="","",IF($C774="G","PUTT",IF(AND($C774="T",$M774&gt;3),"OTT",IF($D774&lt;=30,"ARG","APP"))))</f>
        <v/>
      </c>
      <c r="J774" s="17" t="str">
        <f aca="false">IF($C774="","",$N774+$Q774*$R774)</f>
        <v/>
      </c>
      <c r="K774" s="17" t="str">
        <f aca="false">IF($C774="","",$O774+$Q774*$S774)</f>
        <v/>
      </c>
      <c r="L774" s="17" t="str">
        <f aca="false">IF($C774="","",$J774-$K774-1-N($G774))</f>
        <v/>
      </c>
      <c r="M774" s="7" t="str">
        <f aca="false">IF($B774="","",INDEX(Course!$B$2:$B$19,MATCH($B774,Course!$A$2:$A$19,0)))</f>
        <v/>
      </c>
      <c r="N774" s="17" t="str">
        <f aca="false">IF($C774="","",IF($C774="H",0,IF($C774="G",INDEX(Baseline!$I$3:$I$102,MIN(MAX(ROUND($D774,0),1),100)),IF($C774="T",IF($M774=3,INDEX(Baseline!$B$3:$B$122,MATCH(MIN(MAX(ROUND(($D774)/5,0)*5,5),600),Baseline!$A$3:$A$122,0))-Inputs!$B$9,INDEX(Course!$N$2:$N$19,MATCH($B774,Course!$A$2:$A$19,0))),INDEX(Baseline!$B$3:$E$122,MATCH(MIN(MAX(ROUND(($D774)/5,0)*5,5),600),Baseline!$A$3:$A$122,0),MATCH($C774,Baseline!$B$2:$E$2,0))))))</f>
        <v/>
      </c>
      <c r="O774" s="17" t="str">
        <f aca="false">IF($C774="","",IF($E774="H",0,IF($E774="G",INDEX(Baseline!$I$3:$I$102,MIN(MAX(ROUND($F774,0),1),100)),IF($E774="T",IF($M774=3,INDEX(Baseline!$B$3:$B$122,MATCH(MIN(MAX(ROUND(($F774)/5,0)*5,5),600),Baseline!$A$3:$A$122,0))-Inputs!$B$9,INDEX(Course!$N$2:$N$19,MATCH($B774,Course!$A$2:$A$19,0))),INDEX(Baseline!$B$3:$E$122,MATCH(MIN(MAX(ROUND(($F774)/5,0)*5,5),600),Baseline!$A$3:$A$122,0),MATCH($E774,Baseline!$B$2:$E$2,0))))))</f>
        <v/>
      </c>
      <c r="P774" s="17" t="str">
        <f aca="false">IF($B774="","",INDEX(Course!$N$2:$N$19,MATCH($B774,Course!$A$2:$A$19,0)))</f>
        <v/>
      </c>
      <c r="Q774" s="17" t="str">
        <f aca="false">IF($B774="","",INDEX(Course!$P$2:$P$19,MATCH($B774,Course!$A$2:$A$19,0)))</f>
        <v/>
      </c>
      <c r="R774" s="17" t="str">
        <f aca="false">IF($C774="","",IF(OR($C774="G",$C774="H"),0,IF($C774="T",1,MIN(1,MAX(0,($N774-Inputs!$B$8)/MAX($P774-Inputs!$B$8,0.01))))))</f>
        <v/>
      </c>
      <c r="S774" s="17" t="str">
        <f aca="false">IF($C774="","",IF(OR($E774="G",$E774="H"),0,IF($E774="T",1,MIN(1,MAX(0,($O774-Inputs!$B$8)/MAX($P774-Inputs!$B$8,0.01))))))</f>
        <v/>
      </c>
    </row>
    <row r="775" customFormat="false" ht="15" hidden="false" customHeight="false" outlineLevel="0" collapsed="false">
      <c r="I775" s="7" t="str">
        <f aca="false">IF($C775="","",IF($C775="G","PUTT",IF(AND($C775="T",$M775&gt;3),"OTT",IF($D775&lt;=30,"ARG","APP"))))</f>
        <v/>
      </c>
      <c r="J775" s="17" t="str">
        <f aca="false">IF($C775="","",$N775+$Q775*$R775)</f>
        <v/>
      </c>
      <c r="K775" s="17" t="str">
        <f aca="false">IF($C775="","",$O775+$Q775*$S775)</f>
        <v/>
      </c>
      <c r="L775" s="17" t="str">
        <f aca="false">IF($C775="","",$J775-$K775-1-N($G775))</f>
        <v/>
      </c>
      <c r="M775" s="7" t="str">
        <f aca="false">IF($B775="","",INDEX(Course!$B$2:$B$19,MATCH($B775,Course!$A$2:$A$19,0)))</f>
        <v/>
      </c>
      <c r="N775" s="17" t="str">
        <f aca="false">IF($C775="","",IF($C775="H",0,IF($C775="G",INDEX(Baseline!$I$3:$I$102,MIN(MAX(ROUND($D775,0),1),100)),IF($C775="T",IF($M775=3,INDEX(Baseline!$B$3:$B$122,MATCH(MIN(MAX(ROUND(($D775)/5,0)*5,5),600),Baseline!$A$3:$A$122,0))-Inputs!$B$9,INDEX(Course!$N$2:$N$19,MATCH($B775,Course!$A$2:$A$19,0))),INDEX(Baseline!$B$3:$E$122,MATCH(MIN(MAX(ROUND(($D775)/5,0)*5,5),600),Baseline!$A$3:$A$122,0),MATCH($C775,Baseline!$B$2:$E$2,0))))))</f>
        <v/>
      </c>
      <c r="O775" s="17" t="str">
        <f aca="false">IF($C775="","",IF($E775="H",0,IF($E775="G",INDEX(Baseline!$I$3:$I$102,MIN(MAX(ROUND($F775,0),1),100)),IF($E775="T",IF($M775=3,INDEX(Baseline!$B$3:$B$122,MATCH(MIN(MAX(ROUND(($F775)/5,0)*5,5),600),Baseline!$A$3:$A$122,0))-Inputs!$B$9,INDEX(Course!$N$2:$N$19,MATCH($B775,Course!$A$2:$A$19,0))),INDEX(Baseline!$B$3:$E$122,MATCH(MIN(MAX(ROUND(($F775)/5,0)*5,5),600),Baseline!$A$3:$A$122,0),MATCH($E775,Baseline!$B$2:$E$2,0))))))</f>
        <v/>
      </c>
      <c r="P775" s="17" t="str">
        <f aca="false">IF($B775="","",INDEX(Course!$N$2:$N$19,MATCH($B775,Course!$A$2:$A$19,0)))</f>
        <v/>
      </c>
      <c r="Q775" s="17" t="str">
        <f aca="false">IF($B775="","",INDEX(Course!$P$2:$P$19,MATCH($B775,Course!$A$2:$A$19,0)))</f>
        <v/>
      </c>
      <c r="R775" s="17" t="str">
        <f aca="false">IF($C775="","",IF(OR($C775="G",$C775="H"),0,IF($C775="T",1,MIN(1,MAX(0,($N775-Inputs!$B$8)/MAX($P775-Inputs!$B$8,0.01))))))</f>
        <v/>
      </c>
      <c r="S775" s="17" t="str">
        <f aca="false">IF($C775="","",IF(OR($E775="G",$E775="H"),0,IF($E775="T",1,MIN(1,MAX(0,($O775-Inputs!$B$8)/MAX($P775-Inputs!$B$8,0.01))))))</f>
        <v/>
      </c>
    </row>
    <row r="776" customFormat="false" ht="15" hidden="false" customHeight="false" outlineLevel="0" collapsed="false">
      <c r="I776" s="7" t="str">
        <f aca="false">IF($C776="","",IF($C776="G","PUTT",IF(AND($C776="T",$M776&gt;3),"OTT",IF($D776&lt;=30,"ARG","APP"))))</f>
        <v/>
      </c>
      <c r="J776" s="17" t="str">
        <f aca="false">IF($C776="","",$N776+$Q776*$R776)</f>
        <v/>
      </c>
      <c r="K776" s="17" t="str">
        <f aca="false">IF($C776="","",$O776+$Q776*$S776)</f>
        <v/>
      </c>
      <c r="L776" s="17" t="str">
        <f aca="false">IF($C776="","",$J776-$K776-1-N($G776))</f>
        <v/>
      </c>
      <c r="M776" s="7" t="str">
        <f aca="false">IF($B776="","",INDEX(Course!$B$2:$B$19,MATCH($B776,Course!$A$2:$A$19,0)))</f>
        <v/>
      </c>
      <c r="N776" s="17" t="str">
        <f aca="false">IF($C776="","",IF($C776="H",0,IF($C776="G",INDEX(Baseline!$I$3:$I$102,MIN(MAX(ROUND($D776,0),1),100)),IF($C776="T",IF($M776=3,INDEX(Baseline!$B$3:$B$122,MATCH(MIN(MAX(ROUND(($D776)/5,0)*5,5),600),Baseline!$A$3:$A$122,0))-Inputs!$B$9,INDEX(Course!$N$2:$N$19,MATCH($B776,Course!$A$2:$A$19,0))),INDEX(Baseline!$B$3:$E$122,MATCH(MIN(MAX(ROUND(($D776)/5,0)*5,5),600),Baseline!$A$3:$A$122,0),MATCH($C776,Baseline!$B$2:$E$2,0))))))</f>
        <v/>
      </c>
      <c r="O776" s="17" t="str">
        <f aca="false">IF($C776="","",IF($E776="H",0,IF($E776="G",INDEX(Baseline!$I$3:$I$102,MIN(MAX(ROUND($F776,0),1),100)),IF($E776="T",IF($M776=3,INDEX(Baseline!$B$3:$B$122,MATCH(MIN(MAX(ROUND(($F776)/5,0)*5,5),600),Baseline!$A$3:$A$122,0))-Inputs!$B$9,INDEX(Course!$N$2:$N$19,MATCH($B776,Course!$A$2:$A$19,0))),INDEX(Baseline!$B$3:$E$122,MATCH(MIN(MAX(ROUND(($F776)/5,0)*5,5),600),Baseline!$A$3:$A$122,0),MATCH($E776,Baseline!$B$2:$E$2,0))))))</f>
        <v/>
      </c>
      <c r="P776" s="17" t="str">
        <f aca="false">IF($B776="","",INDEX(Course!$N$2:$N$19,MATCH($B776,Course!$A$2:$A$19,0)))</f>
        <v/>
      </c>
      <c r="Q776" s="17" t="str">
        <f aca="false">IF($B776="","",INDEX(Course!$P$2:$P$19,MATCH($B776,Course!$A$2:$A$19,0)))</f>
        <v/>
      </c>
      <c r="R776" s="17" t="str">
        <f aca="false">IF($C776="","",IF(OR($C776="G",$C776="H"),0,IF($C776="T",1,MIN(1,MAX(0,($N776-Inputs!$B$8)/MAX($P776-Inputs!$B$8,0.01))))))</f>
        <v/>
      </c>
      <c r="S776" s="17" t="str">
        <f aca="false">IF($C776="","",IF(OR($E776="G",$E776="H"),0,IF($E776="T",1,MIN(1,MAX(0,($O776-Inputs!$B$8)/MAX($P776-Inputs!$B$8,0.01))))))</f>
        <v/>
      </c>
    </row>
    <row r="777" customFormat="false" ht="15" hidden="false" customHeight="false" outlineLevel="0" collapsed="false">
      <c r="I777" s="7" t="str">
        <f aca="false">IF($C777="","",IF($C777="G","PUTT",IF(AND($C777="T",$M777&gt;3),"OTT",IF($D777&lt;=30,"ARG","APP"))))</f>
        <v/>
      </c>
      <c r="J777" s="17" t="str">
        <f aca="false">IF($C777="","",$N777+$Q777*$R777)</f>
        <v/>
      </c>
      <c r="K777" s="17" t="str">
        <f aca="false">IF($C777="","",$O777+$Q777*$S777)</f>
        <v/>
      </c>
      <c r="L777" s="17" t="str">
        <f aca="false">IF($C777="","",$J777-$K777-1-N($G777))</f>
        <v/>
      </c>
      <c r="M777" s="7" t="str">
        <f aca="false">IF($B777="","",INDEX(Course!$B$2:$B$19,MATCH($B777,Course!$A$2:$A$19,0)))</f>
        <v/>
      </c>
      <c r="N777" s="17" t="str">
        <f aca="false">IF($C777="","",IF($C777="H",0,IF($C777="G",INDEX(Baseline!$I$3:$I$102,MIN(MAX(ROUND($D777,0),1),100)),IF($C777="T",IF($M777=3,INDEX(Baseline!$B$3:$B$122,MATCH(MIN(MAX(ROUND(($D777)/5,0)*5,5),600),Baseline!$A$3:$A$122,0))-Inputs!$B$9,INDEX(Course!$N$2:$N$19,MATCH($B777,Course!$A$2:$A$19,0))),INDEX(Baseline!$B$3:$E$122,MATCH(MIN(MAX(ROUND(($D777)/5,0)*5,5),600),Baseline!$A$3:$A$122,0),MATCH($C777,Baseline!$B$2:$E$2,0))))))</f>
        <v/>
      </c>
      <c r="O777" s="17" t="str">
        <f aca="false">IF($C777="","",IF($E777="H",0,IF($E777="G",INDEX(Baseline!$I$3:$I$102,MIN(MAX(ROUND($F777,0),1),100)),IF($E777="T",IF($M777=3,INDEX(Baseline!$B$3:$B$122,MATCH(MIN(MAX(ROUND(($F777)/5,0)*5,5),600),Baseline!$A$3:$A$122,0))-Inputs!$B$9,INDEX(Course!$N$2:$N$19,MATCH($B777,Course!$A$2:$A$19,0))),INDEX(Baseline!$B$3:$E$122,MATCH(MIN(MAX(ROUND(($F777)/5,0)*5,5),600),Baseline!$A$3:$A$122,0),MATCH($E777,Baseline!$B$2:$E$2,0))))))</f>
        <v/>
      </c>
      <c r="P777" s="17" t="str">
        <f aca="false">IF($B777="","",INDEX(Course!$N$2:$N$19,MATCH($B777,Course!$A$2:$A$19,0)))</f>
        <v/>
      </c>
      <c r="Q777" s="17" t="str">
        <f aca="false">IF($B777="","",INDEX(Course!$P$2:$P$19,MATCH($B777,Course!$A$2:$A$19,0)))</f>
        <v/>
      </c>
      <c r="R777" s="17" t="str">
        <f aca="false">IF($C777="","",IF(OR($C777="G",$C777="H"),0,IF($C777="T",1,MIN(1,MAX(0,($N777-Inputs!$B$8)/MAX($P777-Inputs!$B$8,0.01))))))</f>
        <v/>
      </c>
      <c r="S777" s="17" t="str">
        <f aca="false">IF($C777="","",IF(OR($E777="G",$E777="H"),0,IF($E777="T",1,MIN(1,MAX(0,($O777-Inputs!$B$8)/MAX($P777-Inputs!$B$8,0.01))))))</f>
        <v/>
      </c>
    </row>
    <row r="778" customFormat="false" ht="15" hidden="false" customHeight="false" outlineLevel="0" collapsed="false">
      <c r="I778" s="7" t="str">
        <f aca="false">IF($C778="","",IF($C778="G","PUTT",IF(AND($C778="T",$M778&gt;3),"OTT",IF($D778&lt;=30,"ARG","APP"))))</f>
        <v/>
      </c>
      <c r="J778" s="17" t="str">
        <f aca="false">IF($C778="","",$N778+$Q778*$R778)</f>
        <v/>
      </c>
      <c r="K778" s="17" t="str">
        <f aca="false">IF($C778="","",$O778+$Q778*$S778)</f>
        <v/>
      </c>
      <c r="L778" s="17" t="str">
        <f aca="false">IF($C778="","",$J778-$K778-1-N($G778))</f>
        <v/>
      </c>
      <c r="M778" s="7" t="str">
        <f aca="false">IF($B778="","",INDEX(Course!$B$2:$B$19,MATCH($B778,Course!$A$2:$A$19,0)))</f>
        <v/>
      </c>
      <c r="N778" s="17" t="str">
        <f aca="false">IF($C778="","",IF($C778="H",0,IF($C778="G",INDEX(Baseline!$I$3:$I$102,MIN(MAX(ROUND($D778,0),1),100)),IF($C778="T",IF($M778=3,INDEX(Baseline!$B$3:$B$122,MATCH(MIN(MAX(ROUND(($D778)/5,0)*5,5),600),Baseline!$A$3:$A$122,0))-Inputs!$B$9,INDEX(Course!$N$2:$N$19,MATCH($B778,Course!$A$2:$A$19,0))),INDEX(Baseline!$B$3:$E$122,MATCH(MIN(MAX(ROUND(($D778)/5,0)*5,5),600),Baseline!$A$3:$A$122,0),MATCH($C778,Baseline!$B$2:$E$2,0))))))</f>
        <v/>
      </c>
      <c r="O778" s="17" t="str">
        <f aca="false">IF($C778="","",IF($E778="H",0,IF($E778="G",INDEX(Baseline!$I$3:$I$102,MIN(MAX(ROUND($F778,0),1),100)),IF($E778="T",IF($M778=3,INDEX(Baseline!$B$3:$B$122,MATCH(MIN(MAX(ROUND(($F778)/5,0)*5,5),600),Baseline!$A$3:$A$122,0))-Inputs!$B$9,INDEX(Course!$N$2:$N$19,MATCH($B778,Course!$A$2:$A$19,0))),INDEX(Baseline!$B$3:$E$122,MATCH(MIN(MAX(ROUND(($F778)/5,0)*5,5),600),Baseline!$A$3:$A$122,0),MATCH($E778,Baseline!$B$2:$E$2,0))))))</f>
        <v/>
      </c>
      <c r="P778" s="17" t="str">
        <f aca="false">IF($B778="","",INDEX(Course!$N$2:$N$19,MATCH($B778,Course!$A$2:$A$19,0)))</f>
        <v/>
      </c>
      <c r="Q778" s="17" t="str">
        <f aca="false">IF($B778="","",INDEX(Course!$P$2:$P$19,MATCH($B778,Course!$A$2:$A$19,0)))</f>
        <v/>
      </c>
      <c r="R778" s="17" t="str">
        <f aca="false">IF($C778="","",IF(OR($C778="G",$C778="H"),0,IF($C778="T",1,MIN(1,MAX(0,($N778-Inputs!$B$8)/MAX($P778-Inputs!$B$8,0.01))))))</f>
        <v/>
      </c>
      <c r="S778" s="17" t="str">
        <f aca="false">IF($C778="","",IF(OR($E778="G",$E778="H"),0,IF($E778="T",1,MIN(1,MAX(0,($O778-Inputs!$B$8)/MAX($P778-Inputs!$B$8,0.01))))))</f>
        <v/>
      </c>
    </row>
    <row r="779" customFormat="false" ht="15" hidden="false" customHeight="false" outlineLevel="0" collapsed="false">
      <c r="I779" s="7" t="str">
        <f aca="false">IF($C779="","",IF($C779="G","PUTT",IF(AND($C779="T",$M779&gt;3),"OTT",IF($D779&lt;=30,"ARG","APP"))))</f>
        <v/>
      </c>
      <c r="J779" s="17" t="str">
        <f aca="false">IF($C779="","",$N779+$Q779*$R779)</f>
        <v/>
      </c>
      <c r="K779" s="17" t="str">
        <f aca="false">IF($C779="","",$O779+$Q779*$S779)</f>
        <v/>
      </c>
      <c r="L779" s="17" t="str">
        <f aca="false">IF($C779="","",$J779-$K779-1-N($G779))</f>
        <v/>
      </c>
      <c r="M779" s="7" t="str">
        <f aca="false">IF($B779="","",INDEX(Course!$B$2:$B$19,MATCH($B779,Course!$A$2:$A$19,0)))</f>
        <v/>
      </c>
      <c r="N779" s="17" t="str">
        <f aca="false">IF($C779="","",IF($C779="H",0,IF($C779="G",INDEX(Baseline!$I$3:$I$102,MIN(MAX(ROUND($D779,0),1),100)),IF($C779="T",IF($M779=3,INDEX(Baseline!$B$3:$B$122,MATCH(MIN(MAX(ROUND(($D779)/5,0)*5,5),600),Baseline!$A$3:$A$122,0))-Inputs!$B$9,INDEX(Course!$N$2:$N$19,MATCH($B779,Course!$A$2:$A$19,0))),INDEX(Baseline!$B$3:$E$122,MATCH(MIN(MAX(ROUND(($D779)/5,0)*5,5),600),Baseline!$A$3:$A$122,0),MATCH($C779,Baseline!$B$2:$E$2,0))))))</f>
        <v/>
      </c>
      <c r="O779" s="17" t="str">
        <f aca="false">IF($C779="","",IF($E779="H",0,IF($E779="G",INDEX(Baseline!$I$3:$I$102,MIN(MAX(ROUND($F779,0),1),100)),IF($E779="T",IF($M779=3,INDEX(Baseline!$B$3:$B$122,MATCH(MIN(MAX(ROUND(($F779)/5,0)*5,5),600),Baseline!$A$3:$A$122,0))-Inputs!$B$9,INDEX(Course!$N$2:$N$19,MATCH($B779,Course!$A$2:$A$19,0))),INDEX(Baseline!$B$3:$E$122,MATCH(MIN(MAX(ROUND(($F779)/5,0)*5,5),600),Baseline!$A$3:$A$122,0),MATCH($E779,Baseline!$B$2:$E$2,0))))))</f>
        <v/>
      </c>
      <c r="P779" s="17" t="str">
        <f aca="false">IF($B779="","",INDEX(Course!$N$2:$N$19,MATCH($B779,Course!$A$2:$A$19,0)))</f>
        <v/>
      </c>
      <c r="Q779" s="17" t="str">
        <f aca="false">IF($B779="","",INDEX(Course!$P$2:$P$19,MATCH($B779,Course!$A$2:$A$19,0)))</f>
        <v/>
      </c>
      <c r="R779" s="17" t="str">
        <f aca="false">IF($C779="","",IF(OR($C779="G",$C779="H"),0,IF($C779="T",1,MIN(1,MAX(0,($N779-Inputs!$B$8)/MAX($P779-Inputs!$B$8,0.01))))))</f>
        <v/>
      </c>
      <c r="S779" s="17" t="str">
        <f aca="false">IF($C779="","",IF(OR($E779="G",$E779="H"),0,IF($E779="T",1,MIN(1,MAX(0,($O779-Inputs!$B$8)/MAX($P779-Inputs!$B$8,0.01))))))</f>
        <v/>
      </c>
    </row>
    <row r="780" customFormat="false" ht="15" hidden="false" customHeight="false" outlineLevel="0" collapsed="false">
      <c r="I780" s="7" t="str">
        <f aca="false">IF($C780="","",IF($C780="G","PUTT",IF(AND($C780="T",$M780&gt;3),"OTT",IF($D780&lt;=30,"ARG","APP"))))</f>
        <v/>
      </c>
      <c r="J780" s="17" t="str">
        <f aca="false">IF($C780="","",$N780+$Q780*$R780)</f>
        <v/>
      </c>
      <c r="K780" s="17" t="str">
        <f aca="false">IF($C780="","",$O780+$Q780*$S780)</f>
        <v/>
      </c>
      <c r="L780" s="17" t="str">
        <f aca="false">IF($C780="","",$J780-$K780-1-N($G780))</f>
        <v/>
      </c>
      <c r="M780" s="7" t="str">
        <f aca="false">IF($B780="","",INDEX(Course!$B$2:$B$19,MATCH($B780,Course!$A$2:$A$19,0)))</f>
        <v/>
      </c>
      <c r="N780" s="17" t="str">
        <f aca="false">IF($C780="","",IF($C780="H",0,IF($C780="G",INDEX(Baseline!$I$3:$I$102,MIN(MAX(ROUND($D780,0),1),100)),IF($C780="T",IF($M780=3,INDEX(Baseline!$B$3:$B$122,MATCH(MIN(MAX(ROUND(($D780)/5,0)*5,5),600),Baseline!$A$3:$A$122,0))-Inputs!$B$9,INDEX(Course!$N$2:$N$19,MATCH($B780,Course!$A$2:$A$19,0))),INDEX(Baseline!$B$3:$E$122,MATCH(MIN(MAX(ROUND(($D780)/5,0)*5,5),600),Baseline!$A$3:$A$122,0),MATCH($C780,Baseline!$B$2:$E$2,0))))))</f>
        <v/>
      </c>
      <c r="O780" s="17" t="str">
        <f aca="false">IF($C780="","",IF($E780="H",0,IF($E780="G",INDEX(Baseline!$I$3:$I$102,MIN(MAX(ROUND($F780,0),1),100)),IF($E780="T",IF($M780=3,INDEX(Baseline!$B$3:$B$122,MATCH(MIN(MAX(ROUND(($F780)/5,0)*5,5),600),Baseline!$A$3:$A$122,0))-Inputs!$B$9,INDEX(Course!$N$2:$N$19,MATCH($B780,Course!$A$2:$A$19,0))),INDEX(Baseline!$B$3:$E$122,MATCH(MIN(MAX(ROUND(($F780)/5,0)*5,5),600),Baseline!$A$3:$A$122,0),MATCH($E780,Baseline!$B$2:$E$2,0))))))</f>
        <v/>
      </c>
      <c r="P780" s="17" t="str">
        <f aca="false">IF($B780="","",INDEX(Course!$N$2:$N$19,MATCH($B780,Course!$A$2:$A$19,0)))</f>
        <v/>
      </c>
      <c r="Q780" s="17" t="str">
        <f aca="false">IF($B780="","",INDEX(Course!$P$2:$P$19,MATCH($B780,Course!$A$2:$A$19,0)))</f>
        <v/>
      </c>
      <c r="R780" s="17" t="str">
        <f aca="false">IF($C780="","",IF(OR($C780="G",$C780="H"),0,IF($C780="T",1,MIN(1,MAX(0,($N780-Inputs!$B$8)/MAX($P780-Inputs!$B$8,0.01))))))</f>
        <v/>
      </c>
      <c r="S780" s="17" t="str">
        <f aca="false">IF($C780="","",IF(OR($E780="G",$E780="H"),0,IF($E780="T",1,MIN(1,MAX(0,($O780-Inputs!$B$8)/MAX($P780-Inputs!$B$8,0.01))))))</f>
        <v/>
      </c>
    </row>
    <row r="781" customFormat="false" ht="15" hidden="false" customHeight="false" outlineLevel="0" collapsed="false">
      <c r="I781" s="7" t="str">
        <f aca="false">IF($C781="","",IF($C781="G","PUTT",IF(AND($C781="T",$M781&gt;3),"OTT",IF($D781&lt;=30,"ARG","APP"))))</f>
        <v/>
      </c>
      <c r="J781" s="17" t="str">
        <f aca="false">IF($C781="","",$N781+$Q781*$R781)</f>
        <v/>
      </c>
      <c r="K781" s="17" t="str">
        <f aca="false">IF($C781="","",$O781+$Q781*$S781)</f>
        <v/>
      </c>
      <c r="L781" s="17" t="str">
        <f aca="false">IF($C781="","",$J781-$K781-1-N($G781))</f>
        <v/>
      </c>
      <c r="M781" s="7" t="str">
        <f aca="false">IF($B781="","",INDEX(Course!$B$2:$B$19,MATCH($B781,Course!$A$2:$A$19,0)))</f>
        <v/>
      </c>
      <c r="N781" s="17" t="str">
        <f aca="false">IF($C781="","",IF($C781="H",0,IF($C781="G",INDEX(Baseline!$I$3:$I$102,MIN(MAX(ROUND($D781,0),1),100)),IF($C781="T",IF($M781=3,INDEX(Baseline!$B$3:$B$122,MATCH(MIN(MAX(ROUND(($D781)/5,0)*5,5),600),Baseline!$A$3:$A$122,0))-Inputs!$B$9,INDEX(Course!$N$2:$N$19,MATCH($B781,Course!$A$2:$A$19,0))),INDEX(Baseline!$B$3:$E$122,MATCH(MIN(MAX(ROUND(($D781)/5,0)*5,5),600),Baseline!$A$3:$A$122,0),MATCH($C781,Baseline!$B$2:$E$2,0))))))</f>
        <v/>
      </c>
      <c r="O781" s="17" t="str">
        <f aca="false">IF($C781="","",IF($E781="H",0,IF($E781="G",INDEX(Baseline!$I$3:$I$102,MIN(MAX(ROUND($F781,0),1),100)),IF($E781="T",IF($M781=3,INDEX(Baseline!$B$3:$B$122,MATCH(MIN(MAX(ROUND(($F781)/5,0)*5,5),600),Baseline!$A$3:$A$122,0))-Inputs!$B$9,INDEX(Course!$N$2:$N$19,MATCH($B781,Course!$A$2:$A$19,0))),INDEX(Baseline!$B$3:$E$122,MATCH(MIN(MAX(ROUND(($F781)/5,0)*5,5),600),Baseline!$A$3:$A$122,0),MATCH($E781,Baseline!$B$2:$E$2,0))))))</f>
        <v/>
      </c>
      <c r="P781" s="17" t="str">
        <f aca="false">IF($B781="","",INDEX(Course!$N$2:$N$19,MATCH($B781,Course!$A$2:$A$19,0)))</f>
        <v/>
      </c>
      <c r="Q781" s="17" t="str">
        <f aca="false">IF($B781="","",INDEX(Course!$P$2:$P$19,MATCH($B781,Course!$A$2:$A$19,0)))</f>
        <v/>
      </c>
      <c r="R781" s="17" t="str">
        <f aca="false">IF($C781="","",IF(OR($C781="G",$C781="H"),0,IF($C781="T",1,MIN(1,MAX(0,($N781-Inputs!$B$8)/MAX($P781-Inputs!$B$8,0.01))))))</f>
        <v/>
      </c>
      <c r="S781" s="17" t="str">
        <f aca="false">IF($C781="","",IF(OR($E781="G",$E781="H"),0,IF($E781="T",1,MIN(1,MAX(0,($O781-Inputs!$B$8)/MAX($P781-Inputs!$B$8,0.01))))))</f>
        <v/>
      </c>
    </row>
    <row r="782" customFormat="false" ht="15" hidden="false" customHeight="false" outlineLevel="0" collapsed="false">
      <c r="I782" s="7" t="str">
        <f aca="false">IF($C782="","",IF($C782="G","PUTT",IF(AND($C782="T",$M782&gt;3),"OTT",IF($D782&lt;=30,"ARG","APP"))))</f>
        <v/>
      </c>
      <c r="J782" s="17" t="str">
        <f aca="false">IF($C782="","",$N782+$Q782*$R782)</f>
        <v/>
      </c>
      <c r="K782" s="17" t="str">
        <f aca="false">IF($C782="","",$O782+$Q782*$S782)</f>
        <v/>
      </c>
      <c r="L782" s="17" t="str">
        <f aca="false">IF($C782="","",$J782-$K782-1-N($G782))</f>
        <v/>
      </c>
      <c r="M782" s="7" t="str">
        <f aca="false">IF($B782="","",INDEX(Course!$B$2:$B$19,MATCH($B782,Course!$A$2:$A$19,0)))</f>
        <v/>
      </c>
      <c r="N782" s="17" t="str">
        <f aca="false">IF($C782="","",IF($C782="H",0,IF($C782="G",INDEX(Baseline!$I$3:$I$102,MIN(MAX(ROUND($D782,0),1),100)),IF($C782="T",IF($M782=3,INDEX(Baseline!$B$3:$B$122,MATCH(MIN(MAX(ROUND(($D782)/5,0)*5,5),600),Baseline!$A$3:$A$122,0))-Inputs!$B$9,INDEX(Course!$N$2:$N$19,MATCH($B782,Course!$A$2:$A$19,0))),INDEX(Baseline!$B$3:$E$122,MATCH(MIN(MAX(ROUND(($D782)/5,0)*5,5),600),Baseline!$A$3:$A$122,0),MATCH($C782,Baseline!$B$2:$E$2,0))))))</f>
        <v/>
      </c>
      <c r="O782" s="17" t="str">
        <f aca="false">IF($C782="","",IF($E782="H",0,IF($E782="G",INDEX(Baseline!$I$3:$I$102,MIN(MAX(ROUND($F782,0),1),100)),IF($E782="T",IF($M782=3,INDEX(Baseline!$B$3:$B$122,MATCH(MIN(MAX(ROUND(($F782)/5,0)*5,5),600),Baseline!$A$3:$A$122,0))-Inputs!$B$9,INDEX(Course!$N$2:$N$19,MATCH($B782,Course!$A$2:$A$19,0))),INDEX(Baseline!$B$3:$E$122,MATCH(MIN(MAX(ROUND(($F782)/5,0)*5,5),600),Baseline!$A$3:$A$122,0),MATCH($E782,Baseline!$B$2:$E$2,0))))))</f>
        <v/>
      </c>
      <c r="P782" s="17" t="str">
        <f aca="false">IF($B782="","",INDEX(Course!$N$2:$N$19,MATCH($B782,Course!$A$2:$A$19,0)))</f>
        <v/>
      </c>
      <c r="Q782" s="17" t="str">
        <f aca="false">IF($B782="","",INDEX(Course!$P$2:$P$19,MATCH($B782,Course!$A$2:$A$19,0)))</f>
        <v/>
      </c>
      <c r="R782" s="17" t="str">
        <f aca="false">IF($C782="","",IF(OR($C782="G",$C782="H"),0,IF($C782="T",1,MIN(1,MAX(0,($N782-Inputs!$B$8)/MAX($P782-Inputs!$B$8,0.01))))))</f>
        <v/>
      </c>
      <c r="S782" s="17" t="str">
        <f aca="false">IF($C782="","",IF(OR($E782="G",$E782="H"),0,IF($E782="T",1,MIN(1,MAX(0,($O782-Inputs!$B$8)/MAX($P782-Inputs!$B$8,0.01))))))</f>
        <v/>
      </c>
    </row>
    <row r="783" customFormat="false" ht="15" hidden="false" customHeight="false" outlineLevel="0" collapsed="false">
      <c r="I783" s="7" t="str">
        <f aca="false">IF($C783="","",IF($C783="G","PUTT",IF(AND($C783="T",$M783&gt;3),"OTT",IF($D783&lt;=30,"ARG","APP"))))</f>
        <v/>
      </c>
      <c r="J783" s="17" t="str">
        <f aca="false">IF($C783="","",$N783+$Q783*$R783)</f>
        <v/>
      </c>
      <c r="K783" s="17" t="str">
        <f aca="false">IF($C783="","",$O783+$Q783*$S783)</f>
        <v/>
      </c>
      <c r="L783" s="17" t="str">
        <f aca="false">IF($C783="","",$J783-$K783-1-N($G783))</f>
        <v/>
      </c>
      <c r="M783" s="7" t="str">
        <f aca="false">IF($B783="","",INDEX(Course!$B$2:$B$19,MATCH($B783,Course!$A$2:$A$19,0)))</f>
        <v/>
      </c>
      <c r="N783" s="17" t="str">
        <f aca="false">IF($C783="","",IF($C783="H",0,IF($C783="G",INDEX(Baseline!$I$3:$I$102,MIN(MAX(ROUND($D783,0),1),100)),IF($C783="T",IF($M783=3,INDEX(Baseline!$B$3:$B$122,MATCH(MIN(MAX(ROUND(($D783)/5,0)*5,5),600),Baseline!$A$3:$A$122,0))-Inputs!$B$9,INDEX(Course!$N$2:$N$19,MATCH($B783,Course!$A$2:$A$19,0))),INDEX(Baseline!$B$3:$E$122,MATCH(MIN(MAX(ROUND(($D783)/5,0)*5,5),600),Baseline!$A$3:$A$122,0),MATCH($C783,Baseline!$B$2:$E$2,0))))))</f>
        <v/>
      </c>
      <c r="O783" s="17" t="str">
        <f aca="false">IF($C783="","",IF($E783="H",0,IF($E783="G",INDEX(Baseline!$I$3:$I$102,MIN(MAX(ROUND($F783,0),1),100)),IF($E783="T",IF($M783=3,INDEX(Baseline!$B$3:$B$122,MATCH(MIN(MAX(ROUND(($F783)/5,0)*5,5),600),Baseline!$A$3:$A$122,0))-Inputs!$B$9,INDEX(Course!$N$2:$N$19,MATCH($B783,Course!$A$2:$A$19,0))),INDEX(Baseline!$B$3:$E$122,MATCH(MIN(MAX(ROUND(($F783)/5,0)*5,5),600),Baseline!$A$3:$A$122,0),MATCH($E783,Baseline!$B$2:$E$2,0))))))</f>
        <v/>
      </c>
      <c r="P783" s="17" t="str">
        <f aca="false">IF($B783="","",INDEX(Course!$N$2:$N$19,MATCH($B783,Course!$A$2:$A$19,0)))</f>
        <v/>
      </c>
      <c r="Q783" s="17" t="str">
        <f aca="false">IF($B783="","",INDEX(Course!$P$2:$P$19,MATCH($B783,Course!$A$2:$A$19,0)))</f>
        <v/>
      </c>
      <c r="R783" s="17" t="str">
        <f aca="false">IF($C783="","",IF(OR($C783="G",$C783="H"),0,IF($C783="T",1,MIN(1,MAX(0,($N783-Inputs!$B$8)/MAX($P783-Inputs!$B$8,0.01))))))</f>
        <v/>
      </c>
      <c r="S783" s="17" t="str">
        <f aca="false">IF($C783="","",IF(OR($E783="G",$E783="H"),0,IF($E783="T",1,MIN(1,MAX(0,($O783-Inputs!$B$8)/MAX($P783-Inputs!$B$8,0.01))))))</f>
        <v/>
      </c>
    </row>
    <row r="784" customFormat="false" ht="15" hidden="false" customHeight="false" outlineLevel="0" collapsed="false">
      <c r="I784" s="7" t="str">
        <f aca="false">IF($C784="","",IF($C784="G","PUTT",IF(AND($C784="T",$M784&gt;3),"OTT",IF($D784&lt;=30,"ARG","APP"))))</f>
        <v/>
      </c>
      <c r="J784" s="17" t="str">
        <f aca="false">IF($C784="","",$N784+$Q784*$R784)</f>
        <v/>
      </c>
      <c r="K784" s="17" t="str">
        <f aca="false">IF($C784="","",$O784+$Q784*$S784)</f>
        <v/>
      </c>
      <c r="L784" s="17" t="str">
        <f aca="false">IF($C784="","",$J784-$K784-1-N($G784))</f>
        <v/>
      </c>
      <c r="M784" s="7" t="str">
        <f aca="false">IF($B784="","",INDEX(Course!$B$2:$B$19,MATCH($B784,Course!$A$2:$A$19,0)))</f>
        <v/>
      </c>
      <c r="N784" s="17" t="str">
        <f aca="false">IF($C784="","",IF($C784="H",0,IF($C784="G",INDEX(Baseline!$I$3:$I$102,MIN(MAX(ROUND($D784,0),1),100)),IF($C784="T",IF($M784=3,INDEX(Baseline!$B$3:$B$122,MATCH(MIN(MAX(ROUND(($D784)/5,0)*5,5),600),Baseline!$A$3:$A$122,0))-Inputs!$B$9,INDEX(Course!$N$2:$N$19,MATCH($B784,Course!$A$2:$A$19,0))),INDEX(Baseline!$B$3:$E$122,MATCH(MIN(MAX(ROUND(($D784)/5,0)*5,5),600),Baseline!$A$3:$A$122,0),MATCH($C784,Baseline!$B$2:$E$2,0))))))</f>
        <v/>
      </c>
      <c r="O784" s="17" t="str">
        <f aca="false">IF($C784="","",IF($E784="H",0,IF($E784="G",INDEX(Baseline!$I$3:$I$102,MIN(MAX(ROUND($F784,0),1),100)),IF($E784="T",IF($M784=3,INDEX(Baseline!$B$3:$B$122,MATCH(MIN(MAX(ROUND(($F784)/5,0)*5,5),600),Baseline!$A$3:$A$122,0))-Inputs!$B$9,INDEX(Course!$N$2:$N$19,MATCH($B784,Course!$A$2:$A$19,0))),INDEX(Baseline!$B$3:$E$122,MATCH(MIN(MAX(ROUND(($F784)/5,0)*5,5),600),Baseline!$A$3:$A$122,0),MATCH($E784,Baseline!$B$2:$E$2,0))))))</f>
        <v/>
      </c>
      <c r="P784" s="17" t="str">
        <f aca="false">IF($B784="","",INDEX(Course!$N$2:$N$19,MATCH($B784,Course!$A$2:$A$19,0)))</f>
        <v/>
      </c>
      <c r="Q784" s="17" t="str">
        <f aca="false">IF($B784="","",INDEX(Course!$P$2:$P$19,MATCH($B784,Course!$A$2:$A$19,0)))</f>
        <v/>
      </c>
      <c r="R784" s="17" t="str">
        <f aca="false">IF($C784="","",IF(OR($C784="G",$C784="H"),0,IF($C784="T",1,MIN(1,MAX(0,($N784-Inputs!$B$8)/MAX($P784-Inputs!$B$8,0.01))))))</f>
        <v/>
      </c>
      <c r="S784" s="17" t="str">
        <f aca="false">IF($C784="","",IF(OR($E784="G",$E784="H"),0,IF($E784="T",1,MIN(1,MAX(0,($O784-Inputs!$B$8)/MAX($P784-Inputs!$B$8,0.01))))))</f>
        <v/>
      </c>
    </row>
    <row r="785" customFormat="false" ht="15" hidden="false" customHeight="false" outlineLevel="0" collapsed="false">
      <c r="I785" s="7" t="str">
        <f aca="false">IF($C785="","",IF($C785="G","PUTT",IF(AND($C785="T",$M785&gt;3),"OTT",IF($D785&lt;=30,"ARG","APP"))))</f>
        <v/>
      </c>
      <c r="J785" s="17" t="str">
        <f aca="false">IF($C785="","",$N785+$Q785*$R785)</f>
        <v/>
      </c>
      <c r="K785" s="17" t="str">
        <f aca="false">IF($C785="","",$O785+$Q785*$S785)</f>
        <v/>
      </c>
      <c r="L785" s="17" t="str">
        <f aca="false">IF($C785="","",$J785-$K785-1-N($G785))</f>
        <v/>
      </c>
      <c r="M785" s="7" t="str">
        <f aca="false">IF($B785="","",INDEX(Course!$B$2:$B$19,MATCH($B785,Course!$A$2:$A$19,0)))</f>
        <v/>
      </c>
      <c r="N785" s="17" t="str">
        <f aca="false">IF($C785="","",IF($C785="H",0,IF($C785="G",INDEX(Baseline!$I$3:$I$102,MIN(MAX(ROUND($D785,0),1),100)),IF($C785="T",IF($M785=3,INDEX(Baseline!$B$3:$B$122,MATCH(MIN(MAX(ROUND(($D785)/5,0)*5,5),600),Baseline!$A$3:$A$122,0))-Inputs!$B$9,INDEX(Course!$N$2:$N$19,MATCH($B785,Course!$A$2:$A$19,0))),INDEX(Baseline!$B$3:$E$122,MATCH(MIN(MAX(ROUND(($D785)/5,0)*5,5),600),Baseline!$A$3:$A$122,0),MATCH($C785,Baseline!$B$2:$E$2,0))))))</f>
        <v/>
      </c>
      <c r="O785" s="17" t="str">
        <f aca="false">IF($C785="","",IF($E785="H",0,IF($E785="G",INDEX(Baseline!$I$3:$I$102,MIN(MAX(ROUND($F785,0),1),100)),IF($E785="T",IF($M785=3,INDEX(Baseline!$B$3:$B$122,MATCH(MIN(MAX(ROUND(($F785)/5,0)*5,5),600),Baseline!$A$3:$A$122,0))-Inputs!$B$9,INDEX(Course!$N$2:$N$19,MATCH($B785,Course!$A$2:$A$19,0))),INDEX(Baseline!$B$3:$E$122,MATCH(MIN(MAX(ROUND(($F785)/5,0)*5,5),600),Baseline!$A$3:$A$122,0),MATCH($E785,Baseline!$B$2:$E$2,0))))))</f>
        <v/>
      </c>
      <c r="P785" s="17" t="str">
        <f aca="false">IF($B785="","",INDEX(Course!$N$2:$N$19,MATCH($B785,Course!$A$2:$A$19,0)))</f>
        <v/>
      </c>
      <c r="Q785" s="17" t="str">
        <f aca="false">IF($B785="","",INDEX(Course!$P$2:$P$19,MATCH($B785,Course!$A$2:$A$19,0)))</f>
        <v/>
      </c>
      <c r="R785" s="17" t="str">
        <f aca="false">IF($C785="","",IF(OR($C785="G",$C785="H"),0,IF($C785="T",1,MIN(1,MAX(0,($N785-Inputs!$B$8)/MAX($P785-Inputs!$B$8,0.01))))))</f>
        <v/>
      </c>
      <c r="S785" s="17" t="str">
        <f aca="false">IF($C785="","",IF(OR($E785="G",$E785="H"),0,IF($E785="T",1,MIN(1,MAX(0,($O785-Inputs!$B$8)/MAX($P785-Inputs!$B$8,0.01))))))</f>
        <v/>
      </c>
    </row>
    <row r="786" customFormat="false" ht="15" hidden="false" customHeight="false" outlineLevel="0" collapsed="false">
      <c r="I786" s="7" t="str">
        <f aca="false">IF($C786="","",IF($C786="G","PUTT",IF(AND($C786="T",$M786&gt;3),"OTT",IF($D786&lt;=30,"ARG","APP"))))</f>
        <v/>
      </c>
      <c r="J786" s="17" t="str">
        <f aca="false">IF($C786="","",$N786+$Q786*$R786)</f>
        <v/>
      </c>
      <c r="K786" s="17" t="str">
        <f aca="false">IF($C786="","",$O786+$Q786*$S786)</f>
        <v/>
      </c>
      <c r="L786" s="17" t="str">
        <f aca="false">IF($C786="","",$J786-$K786-1-N($G786))</f>
        <v/>
      </c>
      <c r="M786" s="7" t="str">
        <f aca="false">IF($B786="","",INDEX(Course!$B$2:$B$19,MATCH($B786,Course!$A$2:$A$19,0)))</f>
        <v/>
      </c>
      <c r="N786" s="17" t="str">
        <f aca="false">IF($C786="","",IF($C786="H",0,IF($C786="G",INDEX(Baseline!$I$3:$I$102,MIN(MAX(ROUND($D786,0),1),100)),IF($C786="T",IF($M786=3,INDEX(Baseline!$B$3:$B$122,MATCH(MIN(MAX(ROUND(($D786)/5,0)*5,5),600),Baseline!$A$3:$A$122,0))-Inputs!$B$9,INDEX(Course!$N$2:$N$19,MATCH($B786,Course!$A$2:$A$19,0))),INDEX(Baseline!$B$3:$E$122,MATCH(MIN(MAX(ROUND(($D786)/5,0)*5,5),600),Baseline!$A$3:$A$122,0),MATCH($C786,Baseline!$B$2:$E$2,0))))))</f>
        <v/>
      </c>
      <c r="O786" s="17" t="str">
        <f aca="false">IF($C786="","",IF($E786="H",0,IF($E786="G",INDEX(Baseline!$I$3:$I$102,MIN(MAX(ROUND($F786,0),1),100)),IF($E786="T",IF($M786=3,INDEX(Baseline!$B$3:$B$122,MATCH(MIN(MAX(ROUND(($F786)/5,0)*5,5),600),Baseline!$A$3:$A$122,0))-Inputs!$B$9,INDEX(Course!$N$2:$N$19,MATCH($B786,Course!$A$2:$A$19,0))),INDEX(Baseline!$B$3:$E$122,MATCH(MIN(MAX(ROUND(($F786)/5,0)*5,5),600),Baseline!$A$3:$A$122,0),MATCH($E786,Baseline!$B$2:$E$2,0))))))</f>
        <v/>
      </c>
      <c r="P786" s="17" t="str">
        <f aca="false">IF($B786="","",INDEX(Course!$N$2:$N$19,MATCH($B786,Course!$A$2:$A$19,0)))</f>
        <v/>
      </c>
      <c r="Q786" s="17" t="str">
        <f aca="false">IF($B786="","",INDEX(Course!$P$2:$P$19,MATCH($B786,Course!$A$2:$A$19,0)))</f>
        <v/>
      </c>
      <c r="R786" s="17" t="str">
        <f aca="false">IF($C786="","",IF(OR($C786="G",$C786="H"),0,IF($C786="T",1,MIN(1,MAX(0,($N786-Inputs!$B$8)/MAX($P786-Inputs!$B$8,0.01))))))</f>
        <v/>
      </c>
      <c r="S786" s="17" t="str">
        <f aca="false">IF($C786="","",IF(OR($E786="G",$E786="H"),0,IF($E786="T",1,MIN(1,MAX(0,($O786-Inputs!$B$8)/MAX($P786-Inputs!$B$8,0.01))))))</f>
        <v/>
      </c>
    </row>
    <row r="787" customFormat="false" ht="15" hidden="false" customHeight="false" outlineLevel="0" collapsed="false">
      <c r="I787" s="7" t="str">
        <f aca="false">IF($C787="","",IF($C787="G","PUTT",IF(AND($C787="T",$M787&gt;3),"OTT",IF($D787&lt;=30,"ARG","APP"))))</f>
        <v/>
      </c>
      <c r="J787" s="17" t="str">
        <f aca="false">IF($C787="","",$N787+$Q787*$R787)</f>
        <v/>
      </c>
      <c r="K787" s="17" t="str">
        <f aca="false">IF($C787="","",$O787+$Q787*$S787)</f>
        <v/>
      </c>
      <c r="L787" s="17" t="str">
        <f aca="false">IF($C787="","",$J787-$K787-1-N($G787))</f>
        <v/>
      </c>
      <c r="M787" s="7" t="str">
        <f aca="false">IF($B787="","",INDEX(Course!$B$2:$B$19,MATCH($B787,Course!$A$2:$A$19,0)))</f>
        <v/>
      </c>
      <c r="N787" s="17" t="str">
        <f aca="false">IF($C787="","",IF($C787="H",0,IF($C787="G",INDEX(Baseline!$I$3:$I$102,MIN(MAX(ROUND($D787,0),1),100)),IF($C787="T",IF($M787=3,INDEX(Baseline!$B$3:$B$122,MATCH(MIN(MAX(ROUND(($D787)/5,0)*5,5),600),Baseline!$A$3:$A$122,0))-Inputs!$B$9,INDEX(Course!$N$2:$N$19,MATCH($B787,Course!$A$2:$A$19,0))),INDEX(Baseline!$B$3:$E$122,MATCH(MIN(MAX(ROUND(($D787)/5,0)*5,5),600),Baseline!$A$3:$A$122,0),MATCH($C787,Baseline!$B$2:$E$2,0))))))</f>
        <v/>
      </c>
      <c r="O787" s="17" t="str">
        <f aca="false">IF($C787="","",IF($E787="H",0,IF($E787="G",INDEX(Baseline!$I$3:$I$102,MIN(MAX(ROUND($F787,0),1),100)),IF($E787="T",IF($M787=3,INDEX(Baseline!$B$3:$B$122,MATCH(MIN(MAX(ROUND(($F787)/5,0)*5,5),600),Baseline!$A$3:$A$122,0))-Inputs!$B$9,INDEX(Course!$N$2:$N$19,MATCH($B787,Course!$A$2:$A$19,0))),INDEX(Baseline!$B$3:$E$122,MATCH(MIN(MAX(ROUND(($F787)/5,0)*5,5),600),Baseline!$A$3:$A$122,0),MATCH($E787,Baseline!$B$2:$E$2,0))))))</f>
        <v/>
      </c>
      <c r="P787" s="17" t="str">
        <f aca="false">IF($B787="","",INDEX(Course!$N$2:$N$19,MATCH($B787,Course!$A$2:$A$19,0)))</f>
        <v/>
      </c>
      <c r="Q787" s="17" t="str">
        <f aca="false">IF($B787="","",INDEX(Course!$P$2:$P$19,MATCH($B787,Course!$A$2:$A$19,0)))</f>
        <v/>
      </c>
      <c r="R787" s="17" t="str">
        <f aca="false">IF($C787="","",IF(OR($C787="G",$C787="H"),0,IF($C787="T",1,MIN(1,MAX(0,($N787-Inputs!$B$8)/MAX($P787-Inputs!$B$8,0.01))))))</f>
        <v/>
      </c>
      <c r="S787" s="17" t="str">
        <f aca="false">IF($C787="","",IF(OR($E787="G",$E787="H"),0,IF($E787="T",1,MIN(1,MAX(0,($O787-Inputs!$B$8)/MAX($P787-Inputs!$B$8,0.01))))))</f>
        <v/>
      </c>
    </row>
    <row r="788" customFormat="false" ht="15" hidden="false" customHeight="false" outlineLevel="0" collapsed="false">
      <c r="I788" s="7" t="str">
        <f aca="false">IF($C788="","",IF($C788="G","PUTT",IF(AND($C788="T",$M788&gt;3),"OTT",IF($D788&lt;=30,"ARG","APP"))))</f>
        <v/>
      </c>
      <c r="J788" s="17" t="str">
        <f aca="false">IF($C788="","",$N788+$Q788*$R788)</f>
        <v/>
      </c>
      <c r="K788" s="17" t="str">
        <f aca="false">IF($C788="","",$O788+$Q788*$S788)</f>
        <v/>
      </c>
      <c r="L788" s="17" t="str">
        <f aca="false">IF($C788="","",$J788-$K788-1-N($G788))</f>
        <v/>
      </c>
      <c r="M788" s="7" t="str">
        <f aca="false">IF($B788="","",INDEX(Course!$B$2:$B$19,MATCH($B788,Course!$A$2:$A$19,0)))</f>
        <v/>
      </c>
      <c r="N788" s="17" t="str">
        <f aca="false">IF($C788="","",IF($C788="H",0,IF($C788="G",INDEX(Baseline!$I$3:$I$102,MIN(MAX(ROUND($D788,0),1),100)),IF($C788="T",IF($M788=3,INDEX(Baseline!$B$3:$B$122,MATCH(MIN(MAX(ROUND(($D788)/5,0)*5,5),600),Baseline!$A$3:$A$122,0))-Inputs!$B$9,INDEX(Course!$N$2:$N$19,MATCH($B788,Course!$A$2:$A$19,0))),INDEX(Baseline!$B$3:$E$122,MATCH(MIN(MAX(ROUND(($D788)/5,0)*5,5),600),Baseline!$A$3:$A$122,0),MATCH($C788,Baseline!$B$2:$E$2,0))))))</f>
        <v/>
      </c>
      <c r="O788" s="17" t="str">
        <f aca="false">IF($C788="","",IF($E788="H",0,IF($E788="G",INDEX(Baseline!$I$3:$I$102,MIN(MAX(ROUND($F788,0),1),100)),IF($E788="T",IF($M788=3,INDEX(Baseline!$B$3:$B$122,MATCH(MIN(MAX(ROUND(($F788)/5,0)*5,5),600),Baseline!$A$3:$A$122,0))-Inputs!$B$9,INDEX(Course!$N$2:$N$19,MATCH($B788,Course!$A$2:$A$19,0))),INDEX(Baseline!$B$3:$E$122,MATCH(MIN(MAX(ROUND(($F788)/5,0)*5,5),600),Baseline!$A$3:$A$122,0),MATCH($E788,Baseline!$B$2:$E$2,0))))))</f>
        <v/>
      </c>
      <c r="P788" s="17" t="str">
        <f aca="false">IF($B788="","",INDEX(Course!$N$2:$N$19,MATCH($B788,Course!$A$2:$A$19,0)))</f>
        <v/>
      </c>
      <c r="Q788" s="17" t="str">
        <f aca="false">IF($B788="","",INDEX(Course!$P$2:$P$19,MATCH($B788,Course!$A$2:$A$19,0)))</f>
        <v/>
      </c>
      <c r="R788" s="17" t="str">
        <f aca="false">IF($C788="","",IF(OR($C788="G",$C788="H"),0,IF($C788="T",1,MIN(1,MAX(0,($N788-Inputs!$B$8)/MAX($P788-Inputs!$B$8,0.01))))))</f>
        <v/>
      </c>
      <c r="S788" s="17" t="str">
        <f aca="false">IF($C788="","",IF(OR($E788="G",$E788="H"),0,IF($E788="T",1,MIN(1,MAX(0,($O788-Inputs!$B$8)/MAX($P788-Inputs!$B$8,0.01))))))</f>
        <v/>
      </c>
    </row>
    <row r="789" customFormat="false" ht="15" hidden="false" customHeight="false" outlineLevel="0" collapsed="false">
      <c r="I789" s="7" t="str">
        <f aca="false">IF($C789="","",IF($C789="G","PUTT",IF(AND($C789="T",$M789&gt;3),"OTT",IF($D789&lt;=30,"ARG","APP"))))</f>
        <v/>
      </c>
      <c r="J789" s="17" t="str">
        <f aca="false">IF($C789="","",$N789+$Q789*$R789)</f>
        <v/>
      </c>
      <c r="K789" s="17" t="str">
        <f aca="false">IF($C789="","",$O789+$Q789*$S789)</f>
        <v/>
      </c>
      <c r="L789" s="17" t="str">
        <f aca="false">IF($C789="","",$J789-$K789-1-N($G789))</f>
        <v/>
      </c>
      <c r="M789" s="7" t="str">
        <f aca="false">IF($B789="","",INDEX(Course!$B$2:$B$19,MATCH($B789,Course!$A$2:$A$19,0)))</f>
        <v/>
      </c>
      <c r="N789" s="17" t="str">
        <f aca="false">IF($C789="","",IF($C789="H",0,IF($C789="G",INDEX(Baseline!$I$3:$I$102,MIN(MAX(ROUND($D789,0),1),100)),IF($C789="T",IF($M789=3,INDEX(Baseline!$B$3:$B$122,MATCH(MIN(MAX(ROUND(($D789)/5,0)*5,5),600),Baseline!$A$3:$A$122,0))-Inputs!$B$9,INDEX(Course!$N$2:$N$19,MATCH($B789,Course!$A$2:$A$19,0))),INDEX(Baseline!$B$3:$E$122,MATCH(MIN(MAX(ROUND(($D789)/5,0)*5,5),600),Baseline!$A$3:$A$122,0),MATCH($C789,Baseline!$B$2:$E$2,0))))))</f>
        <v/>
      </c>
      <c r="O789" s="17" t="str">
        <f aca="false">IF($C789="","",IF($E789="H",0,IF($E789="G",INDEX(Baseline!$I$3:$I$102,MIN(MAX(ROUND($F789,0),1),100)),IF($E789="T",IF($M789=3,INDEX(Baseline!$B$3:$B$122,MATCH(MIN(MAX(ROUND(($F789)/5,0)*5,5),600),Baseline!$A$3:$A$122,0))-Inputs!$B$9,INDEX(Course!$N$2:$N$19,MATCH($B789,Course!$A$2:$A$19,0))),INDEX(Baseline!$B$3:$E$122,MATCH(MIN(MAX(ROUND(($F789)/5,0)*5,5),600),Baseline!$A$3:$A$122,0),MATCH($E789,Baseline!$B$2:$E$2,0))))))</f>
        <v/>
      </c>
      <c r="P789" s="17" t="str">
        <f aca="false">IF($B789="","",INDEX(Course!$N$2:$N$19,MATCH($B789,Course!$A$2:$A$19,0)))</f>
        <v/>
      </c>
      <c r="Q789" s="17" t="str">
        <f aca="false">IF($B789="","",INDEX(Course!$P$2:$P$19,MATCH($B789,Course!$A$2:$A$19,0)))</f>
        <v/>
      </c>
      <c r="R789" s="17" t="str">
        <f aca="false">IF($C789="","",IF(OR($C789="G",$C789="H"),0,IF($C789="T",1,MIN(1,MAX(0,($N789-Inputs!$B$8)/MAX($P789-Inputs!$B$8,0.01))))))</f>
        <v/>
      </c>
      <c r="S789" s="17" t="str">
        <f aca="false">IF($C789="","",IF(OR($E789="G",$E789="H"),0,IF($E789="T",1,MIN(1,MAX(0,($O789-Inputs!$B$8)/MAX($P789-Inputs!$B$8,0.01))))))</f>
        <v/>
      </c>
    </row>
    <row r="790" customFormat="false" ht="15" hidden="false" customHeight="false" outlineLevel="0" collapsed="false">
      <c r="I790" s="7" t="str">
        <f aca="false">IF($C790="","",IF($C790="G","PUTT",IF(AND($C790="T",$M790&gt;3),"OTT",IF($D790&lt;=30,"ARG","APP"))))</f>
        <v/>
      </c>
      <c r="J790" s="17" t="str">
        <f aca="false">IF($C790="","",$N790+$Q790*$R790)</f>
        <v/>
      </c>
      <c r="K790" s="17" t="str">
        <f aca="false">IF($C790="","",$O790+$Q790*$S790)</f>
        <v/>
      </c>
      <c r="L790" s="17" t="str">
        <f aca="false">IF($C790="","",$J790-$K790-1-N($G790))</f>
        <v/>
      </c>
      <c r="M790" s="7" t="str">
        <f aca="false">IF($B790="","",INDEX(Course!$B$2:$B$19,MATCH($B790,Course!$A$2:$A$19,0)))</f>
        <v/>
      </c>
      <c r="N790" s="17" t="str">
        <f aca="false">IF($C790="","",IF($C790="H",0,IF($C790="G",INDEX(Baseline!$I$3:$I$102,MIN(MAX(ROUND($D790,0),1),100)),IF($C790="T",IF($M790=3,INDEX(Baseline!$B$3:$B$122,MATCH(MIN(MAX(ROUND(($D790)/5,0)*5,5),600),Baseline!$A$3:$A$122,0))-Inputs!$B$9,INDEX(Course!$N$2:$N$19,MATCH($B790,Course!$A$2:$A$19,0))),INDEX(Baseline!$B$3:$E$122,MATCH(MIN(MAX(ROUND(($D790)/5,0)*5,5),600),Baseline!$A$3:$A$122,0),MATCH($C790,Baseline!$B$2:$E$2,0))))))</f>
        <v/>
      </c>
      <c r="O790" s="17" t="str">
        <f aca="false">IF($C790="","",IF($E790="H",0,IF($E790="G",INDEX(Baseline!$I$3:$I$102,MIN(MAX(ROUND($F790,0),1),100)),IF($E790="T",IF($M790=3,INDEX(Baseline!$B$3:$B$122,MATCH(MIN(MAX(ROUND(($F790)/5,0)*5,5),600),Baseline!$A$3:$A$122,0))-Inputs!$B$9,INDEX(Course!$N$2:$N$19,MATCH($B790,Course!$A$2:$A$19,0))),INDEX(Baseline!$B$3:$E$122,MATCH(MIN(MAX(ROUND(($F790)/5,0)*5,5),600),Baseline!$A$3:$A$122,0),MATCH($E790,Baseline!$B$2:$E$2,0))))))</f>
        <v/>
      </c>
      <c r="P790" s="17" t="str">
        <f aca="false">IF($B790="","",INDEX(Course!$N$2:$N$19,MATCH($B790,Course!$A$2:$A$19,0)))</f>
        <v/>
      </c>
      <c r="Q790" s="17" t="str">
        <f aca="false">IF($B790="","",INDEX(Course!$P$2:$P$19,MATCH($B790,Course!$A$2:$A$19,0)))</f>
        <v/>
      </c>
      <c r="R790" s="17" t="str">
        <f aca="false">IF($C790="","",IF(OR($C790="G",$C790="H"),0,IF($C790="T",1,MIN(1,MAX(0,($N790-Inputs!$B$8)/MAX($P790-Inputs!$B$8,0.01))))))</f>
        <v/>
      </c>
      <c r="S790" s="17" t="str">
        <f aca="false">IF($C790="","",IF(OR($E790="G",$E790="H"),0,IF($E790="T",1,MIN(1,MAX(0,($O790-Inputs!$B$8)/MAX($P790-Inputs!$B$8,0.01))))))</f>
        <v/>
      </c>
    </row>
    <row r="791" customFormat="false" ht="15" hidden="false" customHeight="false" outlineLevel="0" collapsed="false">
      <c r="I791" s="7" t="str">
        <f aca="false">IF($C791="","",IF($C791="G","PUTT",IF(AND($C791="T",$M791&gt;3),"OTT",IF($D791&lt;=30,"ARG","APP"))))</f>
        <v/>
      </c>
      <c r="J791" s="17" t="str">
        <f aca="false">IF($C791="","",$N791+$Q791*$R791)</f>
        <v/>
      </c>
      <c r="K791" s="17" t="str">
        <f aca="false">IF($C791="","",$O791+$Q791*$S791)</f>
        <v/>
      </c>
      <c r="L791" s="17" t="str">
        <f aca="false">IF($C791="","",$J791-$K791-1-N($G791))</f>
        <v/>
      </c>
      <c r="M791" s="7" t="str">
        <f aca="false">IF($B791="","",INDEX(Course!$B$2:$B$19,MATCH($B791,Course!$A$2:$A$19,0)))</f>
        <v/>
      </c>
      <c r="N791" s="17" t="str">
        <f aca="false">IF($C791="","",IF($C791="H",0,IF($C791="G",INDEX(Baseline!$I$3:$I$102,MIN(MAX(ROUND($D791,0),1),100)),IF($C791="T",IF($M791=3,INDEX(Baseline!$B$3:$B$122,MATCH(MIN(MAX(ROUND(($D791)/5,0)*5,5),600),Baseline!$A$3:$A$122,0))-Inputs!$B$9,INDEX(Course!$N$2:$N$19,MATCH($B791,Course!$A$2:$A$19,0))),INDEX(Baseline!$B$3:$E$122,MATCH(MIN(MAX(ROUND(($D791)/5,0)*5,5),600),Baseline!$A$3:$A$122,0),MATCH($C791,Baseline!$B$2:$E$2,0))))))</f>
        <v/>
      </c>
      <c r="O791" s="17" t="str">
        <f aca="false">IF($C791="","",IF($E791="H",0,IF($E791="G",INDEX(Baseline!$I$3:$I$102,MIN(MAX(ROUND($F791,0),1),100)),IF($E791="T",IF($M791=3,INDEX(Baseline!$B$3:$B$122,MATCH(MIN(MAX(ROUND(($F791)/5,0)*5,5),600),Baseline!$A$3:$A$122,0))-Inputs!$B$9,INDEX(Course!$N$2:$N$19,MATCH($B791,Course!$A$2:$A$19,0))),INDEX(Baseline!$B$3:$E$122,MATCH(MIN(MAX(ROUND(($F791)/5,0)*5,5),600),Baseline!$A$3:$A$122,0),MATCH($E791,Baseline!$B$2:$E$2,0))))))</f>
        <v/>
      </c>
      <c r="P791" s="17" t="str">
        <f aca="false">IF($B791="","",INDEX(Course!$N$2:$N$19,MATCH($B791,Course!$A$2:$A$19,0)))</f>
        <v/>
      </c>
      <c r="Q791" s="17" t="str">
        <f aca="false">IF($B791="","",INDEX(Course!$P$2:$P$19,MATCH($B791,Course!$A$2:$A$19,0)))</f>
        <v/>
      </c>
      <c r="R791" s="17" t="str">
        <f aca="false">IF($C791="","",IF(OR($C791="G",$C791="H"),0,IF($C791="T",1,MIN(1,MAX(0,($N791-Inputs!$B$8)/MAX($P791-Inputs!$B$8,0.01))))))</f>
        <v/>
      </c>
      <c r="S791" s="17" t="str">
        <f aca="false">IF($C791="","",IF(OR($E791="G",$E791="H"),0,IF($E791="T",1,MIN(1,MAX(0,($O791-Inputs!$B$8)/MAX($P791-Inputs!$B$8,0.01))))))</f>
        <v/>
      </c>
    </row>
    <row r="792" customFormat="false" ht="15" hidden="false" customHeight="false" outlineLevel="0" collapsed="false">
      <c r="I792" s="7" t="str">
        <f aca="false">IF($C792="","",IF($C792="G","PUTT",IF(AND($C792="T",$M792&gt;3),"OTT",IF($D792&lt;=30,"ARG","APP"))))</f>
        <v/>
      </c>
      <c r="J792" s="17" t="str">
        <f aca="false">IF($C792="","",$N792+$Q792*$R792)</f>
        <v/>
      </c>
      <c r="K792" s="17" t="str">
        <f aca="false">IF($C792="","",$O792+$Q792*$S792)</f>
        <v/>
      </c>
      <c r="L792" s="17" t="str">
        <f aca="false">IF($C792="","",$J792-$K792-1-N($G792))</f>
        <v/>
      </c>
      <c r="M792" s="7" t="str">
        <f aca="false">IF($B792="","",INDEX(Course!$B$2:$B$19,MATCH($B792,Course!$A$2:$A$19,0)))</f>
        <v/>
      </c>
      <c r="N792" s="17" t="str">
        <f aca="false">IF($C792="","",IF($C792="H",0,IF($C792="G",INDEX(Baseline!$I$3:$I$102,MIN(MAX(ROUND($D792,0),1),100)),IF($C792="T",IF($M792=3,INDEX(Baseline!$B$3:$B$122,MATCH(MIN(MAX(ROUND(($D792)/5,0)*5,5),600),Baseline!$A$3:$A$122,0))-Inputs!$B$9,INDEX(Course!$N$2:$N$19,MATCH($B792,Course!$A$2:$A$19,0))),INDEX(Baseline!$B$3:$E$122,MATCH(MIN(MAX(ROUND(($D792)/5,0)*5,5),600),Baseline!$A$3:$A$122,0),MATCH($C792,Baseline!$B$2:$E$2,0))))))</f>
        <v/>
      </c>
      <c r="O792" s="17" t="str">
        <f aca="false">IF($C792="","",IF($E792="H",0,IF($E792="G",INDEX(Baseline!$I$3:$I$102,MIN(MAX(ROUND($F792,0),1),100)),IF($E792="T",IF($M792=3,INDEX(Baseline!$B$3:$B$122,MATCH(MIN(MAX(ROUND(($F792)/5,0)*5,5),600),Baseline!$A$3:$A$122,0))-Inputs!$B$9,INDEX(Course!$N$2:$N$19,MATCH($B792,Course!$A$2:$A$19,0))),INDEX(Baseline!$B$3:$E$122,MATCH(MIN(MAX(ROUND(($F792)/5,0)*5,5),600),Baseline!$A$3:$A$122,0),MATCH($E792,Baseline!$B$2:$E$2,0))))))</f>
        <v/>
      </c>
      <c r="P792" s="17" t="str">
        <f aca="false">IF($B792="","",INDEX(Course!$N$2:$N$19,MATCH($B792,Course!$A$2:$A$19,0)))</f>
        <v/>
      </c>
      <c r="Q792" s="17" t="str">
        <f aca="false">IF($B792="","",INDEX(Course!$P$2:$P$19,MATCH($B792,Course!$A$2:$A$19,0)))</f>
        <v/>
      </c>
      <c r="R792" s="17" t="str">
        <f aca="false">IF($C792="","",IF(OR($C792="G",$C792="H"),0,IF($C792="T",1,MIN(1,MAX(0,($N792-Inputs!$B$8)/MAX($P792-Inputs!$B$8,0.01))))))</f>
        <v/>
      </c>
      <c r="S792" s="17" t="str">
        <f aca="false">IF($C792="","",IF(OR($E792="G",$E792="H"),0,IF($E792="T",1,MIN(1,MAX(0,($O792-Inputs!$B$8)/MAX($P792-Inputs!$B$8,0.01))))))</f>
        <v/>
      </c>
    </row>
    <row r="793" customFormat="false" ht="15" hidden="false" customHeight="false" outlineLevel="0" collapsed="false">
      <c r="I793" s="7" t="str">
        <f aca="false">IF($C793="","",IF($C793="G","PUTT",IF(AND($C793="T",$M793&gt;3),"OTT",IF($D793&lt;=30,"ARG","APP"))))</f>
        <v/>
      </c>
      <c r="J793" s="17" t="str">
        <f aca="false">IF($C793="","",$N793+$Q793*$R793)</f>
        <v/>
      </c>
      <c r="K793" s="17" t="str">
        <f aca="false">IF($C793="","",$O793+$Q793*$S793)</f>
        <v/>
      </c>
      <c r="L793" s="17" t="str">
        <f aca="false">IF($C793="","",$J793-$K793-1-N($G793))</f>
        <v/>
      </c>
      <c r="M793" s="7" t="str">
        <f aca="false">IF($B793="","",INDEX(Course!$B$2:$B$19,MATCH($B793,Course!$A$2:$A$19,0)))</f>
        <v/>
      </c>
      <c r="N793" s="17" t="str">
        <f aca="false">IF($C793="","",IF($C793="H",0,IF($C793="G",INDEX(Baseline!$I$3:$I$102,MIN(MAX(ROUND($D793,0),1),100)),IF($C793="T",IF($M793=3,INDEX(Baseline!$B$3:$B$122,MATCH(MIN(MAX(ROUND(($D793)/5,0)*5,5),600),Baseline!$A$3:$A$122,0))-Inputs!$B$9,INDEX(Course!$N$2:$N$19,MATCH($B793,Course!$A$2:$A$19,0))),INDEX(Baseline!$B$3:$E$122,MATCH(MIN(MAX(ROUND(($D793)/5,0)*5,5),600),Baseline!$A$3:$A$122,0),MATCH($C793,Baseline!$B$2:$E$2,0))))))</f>
        <v/>
      </c>
      <c r="O793" s="17" t="str">
        <f aca="false">IF($C793="","",IF($E793="H",0,IF($E793="G",INDEX(Baseline!$I$3:$I$102,MIN(MAX(ROUND($F793,0),1),100)),IF($E793="T",IF($M793=3,INDEX(Baseline!$B$3:$B$122,MATCH(MIN(MAX(ROUND(($F793)/5,0)*5,5),600),Baseline!$A$3:$A$122,0))-Inputs!$B$9,INDEX(Course!$N$2:$N$19,MATCH($B793,Course!$A$2:$A$19,0))),INDEX(Baseline!$B$3:$E$122,MATCH(MIN(MAX(ROUND(($F793)/5,0)*5,5),600),Baseline!$A$3:$A$122,0),MATCH($E793,Baseline!$B$2:$E$2,0))))))</f>
        <v/>
      </c>
      <c r="P793" s="17" t="str">
        <f aca="false">IF($B793="","",INDEX(Course!$N$2:$N$19,MATCH($B793,Course!$A$2:$A$19,0)))</f>
        <v/>
      </c>
      <c r="Q793" s="17" t="str">
        <f aca="false">IF($B793="","",INDEX(Course!$P$2:$P$19,MATCH($B793,Course!$A$2:$A$19,0)))</f>
        <v/>
      </c>
      <c r="R793" s="17" t="str">
        <f aca="false">IF($C793="","",IF(OR($C793="G",$C793="H"),0,IF($C793="T",1,MIN(1,MAX(0,($N793-Inputs!$B$8)/MAX($P793-Inputs!$B$8,0.01))))))</f>
        <v/>
      </c>
      <c r="S793" s="17" t="str">
        <f aca="false">IF($C793="","",IF(OR($E793="G",$E793="H"),0,IF($E793="T",1,MIN(1,MAX(0,($O793-Inputs!$B$8)/MAX($P793-Inputs!$B$8,0.01))))))</f>
        <v/>
      </c>
    </row>
    <row r="794" customFormat="false" ht="15" hidden="false" customHeight="false" outlineLevel="0" collapsed="false">
      <c r="I794" s="7" t="str">
        <f aca="false">IF($C794="","",IF($C794="G","PUTT",IF(AND($C794="T",$M794&gt;3),"OTT",IF($D794&lt;=30,"ARG","APP"))))</f>
        <v/>
      </c>
      <c r="J794" s="17" t="str">
        <f aca="false">IF($C794="","",$N794+$Q794*$R794)</f>
        <v/>
      </c>
      <c r="K794" s="17" t="str">
        <f aca="false">IF($C794="","",$O794+$Q794*$S794)</f>
        <v/>
      </c>
      <c r="L794" s="17" t="str">
        <f aca="false">IF($C794="","",$J794-$K794-1-N($G794))</f>
        <v/>
      </c>
      <c r="M794" s="7" t="str">
        <f aca="false">IF($B794="","",INDEX(Course!$B$2:$B$19,MATCH($B794,Course!$A$2:$A$19,0)))</f>
        <v/>
      </c>
      <c r="N794" s="17" t="str">
        <f aca="false">IF($C794="","",IF($C794="H",0,IF($C794="G",INDEX(Baseline!$I$3:$I$102,MIN(MAX(ROUND($D794,0),1),100)),IF($C794="T",IF($M794=3,INDEX(Baseline!$B$3:$B$122,MATCH(MIN(MAX(ROUND(($D794)/5,0)*5,5),600),Baseline!$A$3:$A$122,0))-Inputs!$B$9,INDEX(Course!$N$2:$N$19,MATCH($B794,Course!$A$2:$A$19,0))),INDEX(Baseline!$B$3:$E$122,MATCH(MIN(MAX(ROUND(($D794)/5,0)*5,5),600),Baseline!$A$3:$A$122,0),MATCH($C794,Baseline!$B$2:$E$2,0))))))</f>
        <v/>
      </c>
      <c r="O794" s="17" t="str">
        <f aca="false">IF($C794="","",IF($E794="H",0,IF($E794="G",INDEX(Baseline!$I$3:$I$102,MIN(MAX(ROUND($F794,0),1),100)),IF($E794="T",IF($M794=3,INDEX(Baseline!$B$3:$B$122,MATCH(MIN(MAX(ROUND(($F794)/5,0)*5,5),600),Baseline!$A$3:$A$122,0))-Inputs!$B$9,INDEX(Course!$N$2:$N$19,MATCH($B794,Course!$A$2:$A$19,0))),INDEX(Baseline!$B$3:$E$122,MATCH(MIN(MAX(ROUND(($F794)/5,0)*5,5),600),Baseline!$A$3:$A$122,0),MATCH($E794,Baseline!$B$2:$E$2,0))))))</f>
        <v/>
      </c>
      <c r="P794" s="17" t="str">
        <f aca="false">IF($B794="","",INDEX(Course!$N$2:$N$19,MATCH($B794,Course!$A$2:$A$19,0)))</f>
        <v/>
      </c>
      <c r="Q794" s="17" t="str">
        <f aca="false">IF($B794="","",INDEX(Course!$P$2:$P$19,MATCH($B794,Course!$A$2:$A$19,0)))</f>
        <v/>
      </c>
      <c r="R794" s="17" t="str">
        <f aca="false">IF($C794="","",IF(OR($C794="G",$C794="H"),0,IF($C794="T",1,MIN(1,MAX(0,($N794-Inputs!$B$8)/MAX($P794-Inputs!$B$8,0.01))))))</f>
        <v/>
      </c>
      <c r="S794" s="17" t="str">
        <f aca="false">IF($C794="","",IF(OR($E794="G",$E794="H"),0,IF($E794="T",1,MIN(1,MAX(0,($O794-Inputs!$B$8)/MAX($P794-Inputs!$B$8,0.01))))))</f>
        <v/>
      </c>
    </row>
    <row r="795" customFormat="false" ht="15" hidden="false" customHeight="false" outlineLevel="0" collapsed="false">
      <c r="I795" s="7" t="str">
        <f aca="false">IF($C795="","",IF($C795="G","PUTT",IF(AND($C795="T",$M795&gt;3),"OTT",IF($D795&lt;=30,"ARG","APP"))))</f>
        <v/>
      </c>
      <c r="J795" s="17" t="str">
        <f aca="false">IF($C795="","",$N795+$Q795*$R795)</f>
        <v/>
      </c>
      <c r="K795" s="17" t="str">
        <f aca="false">IF($C795="","",$O795+$Q795*$S795)</f>
        <v/>
      </c>
      <c r="L795" s="17" t="str">
        <f aca="false">IF($C795="","",$J795-$K795-1-N($G795))</f>
        <v/>
      </c>
      <c r="M795" s="7" t="str">
        <f aca="false">IF($B795="","",INDEX(Course!$B$2:$B$19,MATCH($B795,Course!$A$2:$A$19,0)))</f>
        <v/>
      </c>
      <c r="N795" s="17" t="str">
        <f aca="false">IF($C795="","",IF($C795="H",0,IF($C795="G",INDEX(Baseline!$I$3:$I$102,MIN(MAX(ROUND($D795,0),1),100)),IF($C795="T",IF($M795=3,INDEX(Baseline!$B$3:$B$122,MATCH(MIN(MAX(ROUND(($D795)/5,0)*5,5),600),Baseline!$A$3:$A$122,0))-Inputs!$B$9,INDEX(Course!$N$2:$N$19,MATCH($B795,Course!$A$2:$A$19,0))),INDEX(Baseline!$B$3:$E$122,MATCH(MIN(MAX(ROUND(($D795)/5,0)*5,5),600),Baseline!$A$3:$A$122,0),MATCH($C795,Baseline!$B$2:$E$2,0))))))</f>
        <v/>
      </c>
      <c r="O795" s="17" t="str">
        <f aca="false">IF($C795="","",IF($E795="H",0,IF($E795="G",INDEX(Baseline!$I$3:$I$102,MIN(MAX(ROUND($F795,0),1),100)),IF($E795="T",IF($M795=3,INDEX(Baseline!$B$3:$B$122,MATCH(MIN(MAX(ROUND(($F795)/5,0)*5,5),600),Baseline!$A$3:$A$122,0))-Inputs!$B$9,INDEX(Course!$N$2:$N$19,MATCH($B795,Course!$A$2:$A$19,0))),INDEX(Baseline!$B$3:$E$122,MATCH(MIN(MAX(ROUND(($F795)/5,0)*5,5),600),Baseline!$A$3:$A$122,0),MATCH($E795,Baseline!$B$2:$E$2,0))))))</f>
        <v/>
      </c>
      <c r="P795" s="17" t="str">
        <f aca="false">IF($B795="","",INDEX(Course!$N$2:$N$19,MATCH($B795,Course!$A$2:$A$19,0)))</f>
        <v/>
      </c>
      <c r="Q795" s="17" t="str">
        <f aca="false">IF($B795="","",INDEX(Course!$P$2:$P$19,MATCH($B795,Course!$A$2:$A$19,0)))</f>
        <v/>
      </c>
      <c r="R795" s="17" t="str">
        <f aca="false">IF($C795="","",IF(OR($C795="G",$C795="H"),0,IF($C795="T",1,MIN(1,MAX(0,($N795-Inputs!$B$8)/MAX($P795-Inputs!$B$8,0.01))))))</f>
        <v/>
      </c>
      <c r="S795" s="17" t="str">
        <f aca="false">IF($C795="","",IF(OR($E795="G",$E795="H"),0,IF($E795="T",1,MIN(1,MAX(0,($O795-Inputs!$B$8)/MAX($P795-Inputs!$B$8,0.01))))))</f>
        <v/>
      </c>
    </row>
    <row r="796" customFormat="false" ht="15" hidden="false" customHeight="false" outlineLevel="0" collapsed="false">
      <c r="I796" s="7" t="str">
        <f aca="false">IF($C796="","",IF($C796="G","PUTT",IF(AND($C796="T",$M796&gt;3),"OTT",IF($D796&lt;=30,"ARG","APP"))))</f>
        <v/>
      </c>
      <c r="J796" s="17" t="str">
        <f aca="false">IF($C796="","",$N796+$Q796*$R796)</f>
        <v/>
      </c>
      <c r="K796" s="17" t="str">
        <f aca="false">IF($C796="","",$O796+$Q796*$S796)</f>
        <v/>
      </c>
      <c r="L796" s="17" t="str">
        <f aca="false">IF($C796="","",$J796-$K796-1-N($G796))</f>
        <v/>
      </c>
      <c r="M796" s="7" t="str">
        <f aca="false">IF($B796="","",INDEX(Course!$B$2:$B$19,MATCH($B796,Course!$A$2:$A$19,0)))</f>
        <v/>
      </c>
      <c r="N796" s="17" t="str">
        <f aca="false">IF($C796="","",IF($C796="H",0,IF($C796="G",INDEX(Baseline!$I$3:$I$102,MIN(MAX(ROUND($D796,0),1),100)),IF($C796="T",IF($M796=3,INDEX(Baseline!$B$3:$B$122,MATCH(MIN(MAX(ROUND(($D796)/5,0)*5,5),600),Baseline!$A$3:$A$122,0))-Inputs!$B$9,INDEX(Course!$N$2:$N$19,MATCH($B796,Course!$A$2:$A$19,0))),INDEX(Baseline!$B$3:$E$122,MATCH(MIN(MAX(ROUND(($D796)/5,0)*5,5),600),Baseline!$A$3:$A$122,0),MATCH($C796,Baseline!$B$2:$E$2,0))))))</f>
        <v/>
      </c>
      <c r="O796" s="17" t="str">
        <f aca="false">IF($C796="","",IF($E796="H",0,IF($E796="G",INDEX(Baseline!$I$3:$I$102,MIN(MAX(ROUND($F796,0),1),100)),IF($E796="T",IF($M796=3,INDEX(Baseline!$B$3:$B$122,MATCH(MIN(MAX(ROUND(($F796)/5,0)*5,5),600),Baseline!$A$3:$A$122,0))-Inputs!$B$9,INDEX(Course!$N$2:$N$19,MATCH($B796,Course!$A$2:$A$19,0))),INDEX(Baseline!$B$3:$E$122,MATCH(MIN(MAX(ROUND(($F796)/5,0)*5,5),600),Baseline!$A$3:$A$122,0),MATCH($E796,Baseline!$B$2:$E$2,0))))))</f>
        <v/>
      </c>
      <c r="P796" s="17" t="str">
        <f aca="false">IF($B796="","",INDEX(Course!$N$2:$N$19,MATCH($B796,Course!$A$2:$A$19,0)))</f>
        <v/>
      </c>
      <c r="Q796" s="17" t="str">
        <f aca="false">IF($B796="","",INDEX(Course!$P$2:$P$19,MATCH($B796,Course!$A$2:$A$19,0)))</f>
        <v/>
      </c>
      <c r="R796" s="17" t="str">
        <f aca="false">IF($C796="","",IF(OR($C796="G",$C796="H"),0,IF($C796="T",1,MIN(1,MAX(0,($N796-Inputs!$B$8)/MAX($P796-Inputs!$B$8,0.01))))))</f>
        <v/>
      </c>
      <c r="S796" s="17" t="str">
        <f aca="false">IF($C796="","",IF(OR($E796="G",$E796="H"),0,IF($E796="T",1,MIN(1,MAX(0,($O796-Inputs!$B$8)/MAX($P796-Inputs!$B$8,0.01))))))</f>
        <v/>
      </c>
    </row>
    <row r="797" customFormat="false" ht="15" hidden="false" customHeight="false" outlineLevel="0" collapsed="false">
      <c r="I797" s="7" t="str">
        <f aca="false">IF($C797="","",IF($C797="G","PUTT",IF(AND($C797="T",$M797&gt;3),"OTT",IF($D797&lt;=30,"ARG","APP"))))</f>
        <v/>
      </c>
      <c r="J797" s="17" t="str">
        <f aca="false">IF($C797="","",$N797+$Q797*$R797)</f>
        <v/>
      </c>
      <c r="K797" s="17" t="str">
        <f aca="false">IF($C797="","",$O797+$Q797*$S797)</f>
        <v/>
      </c>
      <c r="L797" s="17" t="str">
        <f aca="false">IF($C797="","",$J797-$K797-1-N($G797))</f>
        <v/>
      </c>
      <c r="M797" s="7" t="str">
        <f aca="false">IF($B797="","",INDEX(Course!$B$2:$B$19,MATCH($B797,Course!$A$2:$A$19,0)))</f>
        <v/>
      </c>
      <c r="N797" s="17" t="str">
        <f aca="false">IF($C797="","",IF($C797="H",0,IF($C797="G",INDEX(Baseline!$I$3:$I$102,MIN(MAX(ROUND($D797,0),1),100)),IF($C797="T",IF($M797=3,INDEX(Baseline!$B$3:$B$122,MATCH(MIN(MAX(ROUND(($D797)/5,0)*5,5),600),Baseline!$A$3:$A$122,0))-Inputs!$B$9,INDEX(Course!$N$2:$N$19,MATCH($B797,Course!$A$2:$A$19,0))),INDEX(Baseline!$B$3:$E$122,MATCH(MIN(MAX(ROUND(($D797)/5,0)*5,5),600),Baseline!$A$3:$A$122,0),MATCH($C797,Baseline!$B$2:$E$2,0))))))</f>
        <v/>
      </c>
      <c r="O797" s="17" t="str">
        <f aca="false">IF($C797="","",IF($E797="H",0,IF($E797="G",INDEX(Baseline!$I$3:$I$102,MIN(MAX(ROUND($F797,0),1),100)),IF($E797="T",IF($M797=3,INDEX(Baseline!$B$3:$B$122,MATCH(MIN(MAX(ROUND(($F797)/5,0)*5,5),600),Baseline!$A$3:$A$122,0))-Inputs!$B$9,INDEX(Course!$N$2:$N$19,MATCH($B797,Course!$A$2:$A$19,0))),INDEX(Baseline!$B$3:$E$122,MATCH(MIN(MAX(ROUND(($F797)/5,0)*5,5),600),Baseline!$A$3:$A$122,0),MATCH($E797,Baseline!$B$2:$E$2,0))))))</f>
        <v/>
      </c>
      <c r="P797" s="17" t="str">
        <f aca="false">IF($B797="","",INDEX(Course!$N$2:$N$19,MATCH($B797,Course!$A$2:$A$19,0)))</f>
        <v/>
      </c>
      <c r="Q797" s="17" t="str">
        <f aca="false">IF($B797="","",INDEX(Course!$P$2:$P$19,MATCH($B797,Course!$A$2:$A$19,0)))</f>
        <v/>
      </c>
      <c r="R797" s="17" t="str">
        <f aca="false">IF($C797="","",IF(OR($C797="G",$C797="H"),0,IF($C797="T",1,MIN(1,MAX(0,($N797-Inputs!$B$8)/MAX($P797-Inputs!$B$8,0.01))))))</f>
        <v/>
      </c>
      <c r="S797" s="17" t="str">
        <f aca="false">IF($C797="","",IF(OR($E797="G",$E797="H"),0,IF($E797="T",1,MIN(1,MAX(0,($O797-Inputs!$B$8)/MAX($P797-Inputs!$B$8,0.01))))))</f>
        <v/>
      </c>
    </row>
    <row r="798" customFormat="false" ht="15" hidden="false" customHeight="false" outlineLevel="0" collapsed="false">
      <c r="I798" s="7" t="str">
        <f aca="false">IF($C798="","",IF($C798="G","PUTT",IF(AND($C798="T",$M798&gt;3),"OTT",IF($D798&lt;=30,"ARG","APP"))))</f>
        <v/>
      </c>
      <c r="J798" s="17" t="str">
        <f aca="false">IF($C798="","",$N798+$Q798*$R798)</f>
        <v/>
      </c>
      <c r="K798" s="17" t="str">
        <f aca="false">IF($C798="","",$O798+$Q798*$S798)</f>
        <v/>
      </c>
      <c r="L798" s="17" t="str">
        <f aca="false">IF($C798="","",$J798-$K798-1-N($G798))</f>
        <v/>
      </c>
      <c r="M798" s="7" t="str">
        <f aca="false">IF($B798="","",INDEX(Course!$B$2:$B$19,MATCH($B798,Course!$A$2:$A$19,0)))</f>
        <v/>
      </c>
      <c r="N798" s="17" t="str">
        <f aca="false">IF($C798="","",IF($C798="H",0,IF($C798="G",INDEX(Baseline!$I$3:$I$102,MIN(MAX(ROUND($D798,0),1),100)),IF($C798="T",IF($M798=3,INDEX(Baseline!$B$3:$B$122,MATCH(MIN(MAX(ROUND(($D798)/5,0)*5,5),600),Baseline!$A$3:$A$122,0))-Inputs!$B$9,INDEX(Course!$N$2:$N$19,MATCH($B798,Course!$A$2:$A$19,0))),INDEX(Baseline!$B$3:$E$122,MATCH(MIN(MAX(ROUND(($D798)/5,0)*5,5),600),Baseline!$A$3:$A$122,0),MATCH($C798,Baseline!$B$2:$E$2,0))))))</f>
        <v/>
      </c>
      <c r="O798" s="17" t="str">
        <f aca="false">IF($C798="","",IF($E798="H",0,IF($E798="G",INDEX(Baseline!$I$3:$I$102,MIN(MAX(ROUND($F798,0),1),100)),IF($E798="T",IF($M798=3,INDEX(Baseline!$B$3:$B$122,MATCH(MIN(MAX(ROUND(($F798)/5,0)*5,5),600),Baseline!$A$3:$A$122,0))-Inputs!$B$9,INDEX(Course!$N$2:$N$19,MATCH($B798,Course!$A$2:$A$19,0))),INDEX(Baseline!$B$3:$E$122,MATCH(MIN(MAX(ROUND(($F798)/5,0)*5,5),600),Baseline!$A$3:$A$122,0),MATCH($E798,Baseline!$B$2:$E$2,0))))))</f>
        <v/>
      </c>
      <c r="P798" s="17" t="str">
        <f aca="false">IF($B798="","",INDEX(Course!$N$2:$N$19,MATCH($B798,Course!$A$2:$A$19,0)))</f>
        <v/>
      </c>
      <c r="Q798" s="17" t="str">
        <f aca="false">IF($B798="","",INDEX(Course!$P$2:$P$19,MATCH($B798,Course!$A$2:$A$19,0)))</f>
        <v/>
      </c>
      <c r="R798" s="17" t="str">
        <f aca="false">IF($C798="","",IF(OR($C798="G",$C798="H"),0,IF($C798="T",1,MIN(1,MAX(0,($N798-Inputs!$B$8)/MAX($P798-Inputs!$B$8,0.01))))))</f>
        <v/>
      </c>
      <c r="S798" s="17" t="str">
        <f aca="false">IF($C798="","",IF(OR($E798="G",$E798="H"),0,IF($E798="T",1,MIN(1,MAX(0,($O798-Inputs!$B$8)/MAX($P798-Inputs!$B$8,0.01))))))</f>
        <v/>
      </c>
    </row>
    <row r="799" customFormat="false" ht="15" hidden="false" customHeight="false" outlineLevel="0" collapsed="false">
      <c r="I799" s="7" t="str">
        <f aca="false">IF($C799="","",IF($C799="G","PUTT",IF(AND($C799="T",$M799&gt;3),"OTT",IF($D799&lt;=30,"ARG","APP"))))</f>
        <v/>
      </c>
      <c r="J799" s="17" t="str">
        <f aca="false">IF($C799="","",$N799+$Q799*$R799)</f>
        <v/>
      </c>
      <c r="K799" s="17" t="str">
        <f aca="false">IF($C799="","",$O799+$Q799*$S799)</f>
        <v/>
      </c>
      <c r="L799" s="17" t="str">
        <f aca="false">IF($C799="","",$J799-$K799-1-N($G799))</f>
        <v/>
      </c>
      <c r="M799" s="7" t="str">
        <f aca="false">IF($B799="","",INDEX(Course!$B$2:$B$19,MATCH($B799,Course!$A$2:$A$19,0)))</f>
        <v/>
      </c>
      <c r="N799" s="17" t="str">
        <f aca="false">IF($C799="","",IF($C799="H",0,IF($C799="G",INDEX(Baseline!$I$3:$I$102,MIN(MAX(ROUND($D799,0),1),100)),IF($C799="T",IF($M799=3,INDEX(Baseline!$B$3:$B$122,MATCH(MIN(MAX(ROUND(($D799)/5,0)*5,5),600),Baseline!$A$3:$A$122,0))-Inputs!$B$9,INDEX(Course!$N$2:$N$19,MATCH($B799,Course!$A$2:$A$19,0))),INDEX(Baseline!$B$3:$E$122,MATCH(MIN(MAX(ROUND(($D799)/5,0)*5,5),600),Baseline!$A$3:$A$122,0),MATCH($C799,Baseline!$B$2:$E$2,0))))))</f>
        <v/>
      </c>
      <c r="O799" s="17" t="str">
        <f aca="false">IF($C799="","",IF($E799="H",0,IF($E799="G",INDEX(Baseline!$I$3:$I$102,MIN(MAX(ROUND($F799,0),1),100)),IF($E799="T",IF($M799=3,INDEX(Baseline!$B$3:$B$122,MATCH(MIN(MAX(ROUND(($F799)/5,0)*5,5),600),Baseline!$A$3:$A$122,0))-Inputs!$B$9,INDEX(Course!$N$2:$N$19,MATCH($B799,Course!$A$2:$A$19,0))),INDEX(Baseline!$B$3:$E$122,MATCH(MIN(MAX(ROUND(($F799)/5,0)*5,5),600),Baseline!$A$3:$A$122,0),MATCH($E799,Baseline!$B$2:$E$2,0))))))</f>
        <v/>
      </c>
      <c r="P799" s="17" t="str">
        <f aca="false">IF($B799="","",INDEX(Course!$N$2:$N$19,MATCH($B799,Course!$A$2:$A$19,0)))</f>
        <v/>
      </c>
      <c r="Q799" s="17" t="str">
        <f aca="false">IF($B799="","",INDEX(Course!$P$2:$P$19,MATCH($B799,Course!$A$2:$A$19,0)))</f>
        <v/>
      </c>
      <c r="R799" s="17" t="str">
        <f aca="false">IF($C799="","",IF(OR($C799="G",$C799="H"),0,IF($C799="T",1,MIN(1,MAX(0,($N799-Inputs!$B$8)/MAX($P799-Inputs!$B$8,0.01))))))</f>
        <v/>
      </c>
      <c r="S799" s="17" t="str">
        <f aca="false">IF($C799="","",IF(OR($E799="G",$E799="H"),0,IF($E799="T",1,MIN(1,MAX(0,($O799-Inputs!$B$8)/MAX($P799-Inputs!$B$8,0.01))))))</f>
        <v/>
      </c>
    </row>
    <row r="800" customFormat="false" ht="15" hidden="false" customHeight="false" outlineLevel="0" collapsed="false">
      <c r="I800" s="7" t="str">
        <f aca="false">IF($C800="","",IF($C800="G","PUTT",IF(AND($C800="T",$M800&gt;3),"OTT",IF($D800&lt;=30,"ARG","APP"))))</f>
        <v/>
      </c>
      <c r="J800" s="17" t="str">
        <f aca="false">IF($C800="","",$N800+$Q800*$R800)</f>
        <v/>
      </c>
      <c r="K800" s="17" t="str">
        <f aca="false">IF($C800="","",$O800+$Q800*$S800)</f>
        <v/>
      </c>
      <c r="L800" s="17" t="str">
        <f aca="false">IF($C800="","",$J800-$K800-1-N($G800))</f>
        <v/>
      </c>
      <c r="M800" s="7" t="str">
        <f aca="false">IF($B800="","",INDEX(Course!$B$2:$B$19,MATCH($B800,Course!$A$2:$A$19,0)))</f>
        <v/>
      </c>
      <c r="N800" s="17" t="str">
        <f aca="false">IF($C800="","",IF($C800="H",0,IF($C800="G",INDEX(Baseline!$I$3:$I$102,MIN(MAX(ROUND($D800,0),1),100)),IF($C800="T",IF($M800=3,INDEX(Baseline!$B$3:$B$122,MATCH(MIN(MAX(ROUND(($D800)/5,0)*5,5),600),Baseline!$A$3:$A$122,0))-Inputs!$B$9,INDEX(Course!$N$2:$N$19,MATCH($B800,Course!$A$2:$A$19,0))),INDEX(Baseline!$B$3:$E$122,MATCH(MIN(MAX(ROUND(($D800)/5,0)*5,5),600),Baseline!$A$3:$A$122,0),MATCH($C800,Baseline!$B$2:$E$2,0))))))</f>
        <v/>
      </c>
      <c r="O800" s="17" t="str">
        <f aca="false">IF($C800="","",IF($E800="H",0,IF($E800="G",INDEX(Baseline!$I$3:$I$102,MIN(MAX(ROUND($F800,0),1),100)),IF($E800="T",IF($M800=3,INDEX(Baseline!$B$3:$B$122,MATCH(MIN(MAX(ROUND(($F800)/5,0)*5,5),600),Baseline!$A$3:$A$122,0))-Inputs!$B$9,INDEX(Course!$N$2:$N$19,MATCH($B800,Course!$A$2:$A$19,0))),INDEX(Baseline!$B$3:$E$122,MATCH(MIN(MAX(ROUND(($F800)/5,0)*5,5),600),Baseline!$A$3:$A$122,0),MATCH($E800,Baseline!$B$2:$E$2,0))))))</f>
        <v/>
      </c>
      <c r="P800" s="17" t="str">
        <f aca="false">IF($B800="","",INDEX(Course!$N$2:$N$19,MATCH($B800,Course!$A$2:$A$19,0)))</f>
        <v/>
      </c>
      <c r="Q800" s="17" t="str">
        <f aca="false">IF($B800="","",INDEX(Course!$P$2:$P$19,MATCH($B800,Course!$A$2:$A$19,0)))</f>
        <v/>
      </c>
      <c r="R800" s="17" t="str">
        <f aca="false">IF($C800="","",IF(OR($C800="G",$C800="H"),0,IF($C800="T",1,MIN(1,MAX(0,($N800-Inputs!$B$8)/MAX($P800-Inputs!$B$8,0.01))))))</f>
        <v/>
      </c>
      <c r="S800" s="17" t="str">
        <f aca="false">IF($C800="","",IF(OR($E800="G",$E800="H"),0,IF($E800="T",1,MIN(1,MAX(0,($O800-Inputs!$B$8)/MAX($P800-Inputs!$B$8,0.01))))))</f>
        <v/>
      </c>
    </row>
    <row r="801" customFormat="false" ht="15" hidden="false" customHeight="false" outlineLevel="0" collapsed="false">
      <c r="I801" s="7" t="str">
        <f aca="false">IF($C801="","",IF($C801="G","PUTT",IF(AND($C801="T",$M801&gt;3),"OTT",IF($D801&lt;=30,"ARG","APP"))))</f>
        <v/>
      </c>
      <c r="J801" s="17" t="str">
        <f aca="false">IF($C801="","",$N801+$Q801*$R801)</f>
        <v/>
      </c>
      <c r="K801" s="17" t="str">
        <f aca="false">IF($C801="","",$O801+$Q801*$S801)</f>
        <v/>
      </c>
      <c r="L801" s="17" t="str">
        <f aca="false">IF($C801="","",$J801-$K801-1-N($G801))</f>
        <v/>
      </c>
      <c r="M801" s="7" t="str">
        <f aca="false">IF($B801="","",INDEX(Course!$B$2:$B$19,MATCH($B801,Course!$A$2:$A$19,0)))</f>
        <v/>
      </c>
      <c r="N801" s="17" t="str">
        <f aca="false">IF($C801="","",IF($C801="H",0,IF($C801="G",INDEX(Baseline!$I$3:$I$102,MIN(MAX(ROUND($D801,0),1),100)),IF($C801="T",IF($M801=3,INDEX(Baseline!$B$3:$B$122,MATCH(MIN(MAX(ROUND(($D801)/5,0)*5,5),600),Baseline!$A$3:$A$122,0))-Inputs!$B$9,INDEX(Course!$N$2:$N$19,MATCH($B801,Course!$A$2:$A$19,0))),INDEX(Baseline!$B$3:$E$122,MATCH(MIN(MAX(ROUND(($D801)/5,0)*5,5),600),Baseline!$A$3:$A$122,0),MATCH($C801,Baseline!$B$2:$E$2,0))))))</f>
        <v/>
      </c>
      <c r="O801" s="17" t="str">
        <f aca="false">IF($C801="","",IF($E801="H",0,IF($E801="G",INDEX(Baseline!$I$3:$I$102,MIN(MAX(ROUND($F801,0),1),100)),IF($E801="T",IF($M801=3,INDEX(Baseline!$B$3:$B$122,MATCH(MIN(MAX(ROUND(($F801)/5,0)*5,5),600),Baseline!$A$3:$A$122,0))-Inputs!$B$9,INDEX(Course!$N$2:$N$19,MATCH($B801,Course!$A$2:$A$19,0))),INDEX(Baseline!$B$3:$E$122,MATCH(MIN(MAX(ROUND(($F801)/5,0)*5,5),600),Baseline!$A$3:$A$122,0),MATCH($E801,Baseline!$B$2:$E$2,0))))))</f>
        <v/>
      </c>
      <c r="P801" s="17" t="str">
        <f aca="false">IF($B801="","",INDEX(Course!$N$2:$N$19,MATCH($B801,Course!$A$2:$A$19,0)))</f>
        <v/>
      </c>
      <c r="Q801" s="17" t="str">
        <f aca="false">IF($B801="","",INDEX(Course!$P$2:$P$19,MATCH($B801,Course!$A$2:$A$19,0)))</f>
        <v/>
      </c>
      <c r="R801" s="17" t="str">
        <f aca="false">IF($C801="","",IF(OR($C801="G",$C801="H"),0,IF($C801="T",1,MIN(1,MAX(0,($N801-Inputs!$B$8)/MAX($P801-Inputs!$B$8,0.01))))))</f>
        <v/>
      </c>
      <c r="S801" s="17" t="str">
        <f aca="false">IF($C801="","",IF(OR($E801="G",$E801="H"),0,IF($E801="T",1,MIN(1,MAX(0,($O801-Inputs!$B$8)/MAX($P801-Inputs!$B$8,0.01))))))</f>
        <v/>
      </c>
    </row>
    <row r="802" customFormat="false" ht="15" hidden="false" customHeight="false" outlineLevel="0" collapsed="false">
      <c r="I802" s="7" t="str">
        <f aca="false">IF($C802="","",IF($C802="G","PUTT",IF(AND($C802="T",$M802&gt;3),"OTT",IF($D802&lt;=30,"ARG","APP"))))</f>
        <v/>
      </c>
      <c r="J802" s="17" t="str">
        <f aca="false">IF($C802="","",$N802+$Q802*$R802)</f>
        <v/>
      </c>
      <c r="K802" s="17" t="str">
        <f aca="false">IF($C802="","",$O802+$Q802*$S802)</f>
        <v/>
      </c>
      <c r="L802" s="17" t="str">
        <f aca="false">IF($C802="","",$J802-$K802-1-N($G802))</f>
        <v/>
      </c>
      <c r="M802" s="7" t="str">
        <f aca="false">IF($B802="","",INDEX(Course!$B$2:$B$19,MATCH($B802,Course!$A$2:$A$19,0)))</f>
        <v/>
      </c>
      <c r="N802" s="17" t="str">
        <f aca="false">IF($C802="","",IF($C802="H",0,IF($C802="G",INDEX(Baseline!$I$3:$I$102,MIN(MAX(ROUND($D802,0),1),100)),IF($C802="T",IF($M802=3,INDEX(Baseline!$B$3:$B$122,MATCH(MIN(MAX(ROUND(($D802)/5,0)*5,5),600),Baseline!$A$3:$A$122,0))-Inputs!$B$9,INDEX(Course!$N$2:$N$19,MATCH($B802,Course!$A$2:$A$19,0))),INDEX(Baseline!$B$3:$E$122,MATCH(MIN(MAX(ROUND(($D802)/5,0)*5,5),600),Baseline!$A$3:$A$122,0),MATCH($C802,Baseline!$B$2:$E$2,0))))))</f>
        <v/>
      </c>
      <c r="O802" s="17" t="str">
        <f aca="false">IF($C802="","",IF($E802="H",0,IF($E802="G",INDEX(Baseline!$I$3:$I$102,MIN(MAX(ROUND($F802,0),1),100)),IF($E802="T",IF($M802=3,INDEX(Baseline!$B$3:$B$122,MATCH(MIN(MAX(ROUND(($F802)/5,0)*5,5),600),Baseline!$A$3:$A$122,0))-Inputs!$B$9,INDEX(Course!$N$2:$N$19,MATCH($B802,Course!$A$2:$A$19,0))),INDEX(Baseline!$B$3:$E$122,MATCH(MIN(MAX(ROUND(($F802)/5,0)*5,5),600),Baseline!$A$3:$A$122,0),MATCH($E802,Baseline!$B$2:$E$2,0))))))</f>
        <v/>
      </c>
      <c r="P802" s="17" t="str">
        <f aca="false">IF($B802="","",INDEX(Course!$N$2:$N$19,MATCH($B802,Course!$A$2:$A$19,0)))</f>
        <v/>
      </c>
      <c r="Q802" s="17" t="str">
        <f aca="false">IF($B802="","",INDEX(Course!$P$2:$P$19,MATCH($B802,Course!$A$2:$A$19,0)))</f>
        <v/>
      </c>
      <c r="R802" s="17" t="str">
        <f aca="false">IF($C802="","",IF(OR($C802="G",$C802="H"),0,IF($C802="T",1,MIN(1,MAX(0,($N802-Inputs!$B$8)/MAX($P802-Inputs!$B$8,0.01))))))</f>
        <v/>
      </c>
      <c r="S802" s="17" t="str">
        <f aca="false">IF($C802="","",IF(OR($E802="G",$E802="H"),0,IF($E802="T",1,MIN(1,MAX(0,($O802-Inputs!$B$8)/MAX($P802-Inputs!$B$8,0.01))))))</f>
        <v/>
      </c>
    </row>
    <row r="803" customFormat="false" ht="15" hidden="false" customHeight="false" outlineLevel="0" collapsed="false">
      <c r="I803" s="7" t="str">
        <f aca="false">IF($C803="","",IF($C803="G","PUTT",IF(AND($C803="T",$M803&gt;3),"OTT",IF($D803&lt;=30,"ARG","APP"))))</f>
        <v/>
      </c>
      <c r="J803" s="17" t="str">
        <f aca="false">IF($C803="","",$N803+$Q803*$R803)</f>
        <v/>
      </c>
      <c r="K803" s="17" t="str">
        <f aca="false">IF($C803="","",$O803+$Q803*$S803)</f>
        <v/>
      </c>
      <c r="L803" s="17" t="str">
        <f aca="false">IF($C803="","",$J803-$K803-1-N($G803))</f>
        <v/>
      </c>
      <c r="M803" s="7" t="str">
        <f aca="false">IF($B803="","",INDEX(Course!$B$2:$B$19,MATCH($B803,Course!$A$2:$A$19,0)))</f>
        <v/>
      </c>
      <c r="N803" s="17" t="str">
        <f aca="false">IF($C803="","",IF($C803="H",0,IF($C803="G",INDEX(Baseline!$I$3:$I$102,MIN(MAX(ROUND($D803,0),1),100)),IF($C803="T",IF($M803=3,INDEX(Baseline!$B$3:$B$122,MATCH(MIN(MAX(ROUND(($D803)/5,0)*5,5),600),Baseline!$A$3:$A$122,0))-Inputs!$B$9,INDEX(Course!$N$2:$N$19,MATCH($B803,Course!$A$2:$A$19,0))),INDEX(Baseline!$B$3:$E$122,MATCH(MIN(MAX(ROUND(($D803)/5,0)*5,5),600),Baseline!$A$3:$A$122,0),MATCH($C803,Baseline!$B$2:$E$2,0))))))</f>
        <v/>
      </c>
      <c r="O803" s="17" t="str">
        <f aca="false">IF($C803="","",IF($E803="H",0,IF($E803="G",INDEX(Baseline!$I$3:$I$102,MIN(MAX(ROUND($F803,0),1),100)),IF($E803="T",IF($M803=3,INDEX(Baseline!$B$3:$B$122,MATCH(MIN(MAX(ROUND(($F803)/5,0)*5,5),600),Baseline!$A$3:$A$122,0))-Inputs!$B$9,INDEX(Course!$N$2:$N$19,MATCH($B803,Course!$A$2:$A$19,0))),INDEX(Baseline!$B$3:$E$122,MATCH(MIN(MAX(ROUND(($F803)/5,0)*5,5),600),Baseline!$A$3:$A$122,0),MATCH($E803,Baseline!$B$2:$E$2,0))))))</f>
        <v/>
      </c>
      <c r="P803" s="17" t="str">
        <f aca="false">IF($B803="","",INDEX(Course!$N$2:$N$19,MATCH($B803,Course!$A$2:$A$19,0)))</f>
        <v/>
      </c>
      <c r="Q803" s="17" t="str">
        <f aca="false">IF($B803="","",INDEX(Course!$P$2:$P$19,MATCH($B803,Course!$A$2:$A$19,0)))</f>
        <v/>
      </c>
      <c r="R803" s="17" t="str">
        <f aca="false">IF($C803="","",IF(OR($C803="G",$C803="H"),0,IF($C803="T",1,MIN(1,MAX(0,($N803-Inputs!$B$8)/MAX($P803-Inputs!$B$8,0.01))))))</f>
        <v/>
      </c>
      <c r="S803" s="17" t="str">
        <f aca="false">IF($C803="","",IF(OR($E803="G",$E803="H"),0,IF($E803="T",1,MIN(1,MAX(0,($O803-Inputs!$B$8)/MAX($P803-Inputs!$B$8,0.01))))))</f>
        <v/>
      </c>
    </row>
    <row r="804" customFormat="false" ht="15" hidden="false" customHeight="false" outlineLevel="0" collapsed="false">
      <c r="I804" s="7" t="str">
        <f aca="false">IF($C804="","",IF($C804="G","PUTT",IF(AND($C804="T",$M804&gt;3),"OTT",IF($D804&lt;=30,"ARG","APP"))))</f>
        <v/>
      </c>
      <c r="J804" s="17" t="str">
        <f aca="false">IF($C804="","",$N804+$Q804*$R804)</f>
        <v/>
      </c>
      <c r="K804" s="17" t="str">
        <f aca="false">IF($C804="","",$O804+$Q804*$S804)</f>
        <v/>
      </c>
      <c r="L804" s="17" t="str">
        <f aca="false">IF($C804="","",$J804-$K804-1-N($G804))</f>
        <v/>
      </c>
      <c r="M804" s="7" t="str">
        <f aca="false">IF($B804="","",INDEX(Course!$B$2:$B$19,MATCH($B804,Course!$A$2:$A$19,0)))</f>
        <v/>
      </c>
      <c r="N804" s="17" t="str">
        <f aca="false">IF($C804="","",IF($C804="H",0,IF($C804="G",INDEX(Baseline!$I$3:$I$102,MIN(MAX(ROUND($D804,0),1),100)),IF($C804="T",IF($M804=3,INDEX(Baseline!$B$3:$B$122,MATCH(MIN(MAX(ROUND(($D804)/5,0)*5,5),600),Baseline!$A$3:$A$122,0))-Inputs!$B$9,INDEX(Course!$N$2:$N$19,MATCH($B804,Course!$A$2:$A$19,0))),INDEX(Baseline!$B$3:$E$122,MATCH(MIN(MAX(ROUND(($D804)/5,0)*5,5),600),Baseline!$A$3:$A$122,0),MATCH($C804,Baseline!$B$2:$E$2,0))))))</f>
        <v/>
      </c>
      <c r="O804" s="17" t="str">
        <f aca="false">IF($C804="","",IF($E804="H",0,IF($E804="G",INDEX(Baseline!$I$3:$I$102,MIN(MAX(ROUND($F804,0),1),100)),IF($E804="T",IF($M804=3,INDEX(Baseline!$B$3:$B$122,MATCH(MIN(MAX(ROUND(($F804)/5,0)*5,5),600),Baseline!$A$3:$A$122,0))-Inputs!$B$9,INDEX(Course!$N$2:$N$19,MATCH($B804,Course!$A$2:$A$19,0))),INDEX(Baseline!$B$3:$E$122,MATCH(MIN(MAX(ROUND(($F804)/5,0)*5,5),600),Baseline!$A$3:$A$122,0),MATCH($E804,Baseline!$B$2:$E$2,0))))))</f>
        <v/>
      </c>
      <c r="P804" s="17" t="str">
        <f aca="false">IF($B804="","",INDEX(Course!$N$2:$N$19,MATCH($B804,Course!$A$2:$A$19,0)))</f>
        <v/>
      </c>
      <c r="Q804" s="17" t="str">
        <f aca="false">IF($B804="","",INDEX(Course!$P$2:$P$19,MATCH($B804,Course!$A$2:$A$19,0)))</f>
        <v/>
      </c>
      <c r="R804" s="17" t="str">
        <f aca="false">IF($C804="","",IF(OR($C804="G",$C804="H"),0,IF($C804="T",1,MIN(1,MAX(0,($N804-Inputs!$B$8)/MAX($P804-Inputs!$B$8,0.01))))))</f>
        <v/>
      </c>
      <c r="S804" s="17" t="str">
        <f aca="false">IF($C804="","",IF(OR($E804="G",$E804="H"),0,IF($E804="T",1,MIN(1,MAX(0,($O804-Inputs!$B$8)/MAX($P804-Inputs!$B$8,0.01))))))</f>
        <v/>
      </c>
    </row>
    <row r="805" customFormat="false" ht="15" hidden="false" customHeight="false" outlineLevel="0" collapsed="false">
      <c r="I805" s="7" t="str">
        <f aca="false">IF($C805="","",IF($C805="G","PUTT",IF(AND($C805="T",$M805&gt;3),"OTT",IF($D805&lt;=30,"ARG","APP"))))</f>
        <v/>
      </c>
      <c r="J805" s="17" t="str">
        <f aca="false">IF($C805="","",$N805+$Q805*$R805)</f>
        <v/>
      </c>
      <c r="K805" s="17" t="str">
        <f aca="false">IF($C805="","",$O805+$Q805*$S805)</f>
        <v/>
      </c>
      <c r="L805" s="17" t="str">
        <f aca="false">IF($C805="","",$J805-$K805-1-N($G805))</f>
        <v/>
      </c>
      <c r="M805" s="7" t="str">
        <f aca="false">IF($B805="","",INDEX(Course!$B$2:$B$19,MATCH($B805,Course!$A$2:$A$19,0)))</f>
        <v/>
      </c>
      <c r="N805" s="17" t="str">
        <f aca="false">IF($C805="","",IF($C805="H",0,IF($C805="G",INDEX(Baseline!$I$3:$I$102,MIN(MAX(ROUND($D805,0),1),100)),IF($C805="T",IF($M805=3,INDEX(Baseline!$B$3:$B$122,MATCH(MIN(MAX(ROUND(($D805)/5,0)*5,5),600),Baseline!$A$3:$A$122,0))-Inputs!$B$9,INDEX(Course!$N$2:$N$19,MATCH($B805,Course!$A$2:$A$19,0))),INDEX(Baseline!$B$3:$E$122,MATCH(MIN(MAX(ROUND(($D805)/5,0)*5,5),600),Baseline!$A$3:$A$122,0),MATCH($C805,Baseline!$B$2:$E$2,0))))))</f>
        <v/>
      </c>
      <c r="O805" s="17" t="str">
        <f aca="false">IF($C805="","",IF($E805="H",0,IF($E805="G",INDEX(Baseline!$I$3:$I$102,MIN(MAX(ROUND($F805,0),1),100)),IF($E805="T",IF($M805=3,INDEX(Baseline!$B$3:$B$122,MATCH(MIN(MAX(ROUND(($F805)/5,0)*5,5),600),Baseline!$A$3:$A$122,0))-Inputs!$B$9,INDEX(Course!$N$2:$N$19,MATCH($B805,Course!$A$2:$A$19,0))),INDEX(Baseline!$B$3:$E$122,MATCH(MIN(MAX(ROUND(($F805)/5,0)*5,5),600),Baseline!$A$3:$A$122,0),MATCH($E805,Baseline!$B$2:$E$2,0))))))</f>
        <v/>
      </c>
      <c r="P805" s="17" t="str">
        <f aca="false">IF($B805="","",INDEX(Course!$N$2:$N$19,MATCH($B805,Course!$A$2:$A$19,0)))</f>
        <v/>
      </c>
      <c r="Q805" s="17" t="str">
        <f aca="false">IF($B805="","",INDEX(Course!$P$2:$P$19,MATCH($B805,Course!$A$2:$A$19,0)))</f>
        <v/>
      </c>
      <c r="R805" s="17" t="str">
        <f aca="false">IF($C805="","",IF(OR($C805="G",$C805="H"),0,IF($C805="T",1,MIN(1,MAX(0,($N805-Inputs!$B$8)/MAX($P805-Inputs!$B$8,0.01))))))</f>
        <v/>
      </c>
      <c r="S805" s="17" t="str">
        <f aca="false">IF($C805="","",IF(OR($E805="G",$E805="H"),0,IF($E805="T",1,MIN(1,MAX(0,($O805-Inputs!$B$8)/MAX($P805-Inputs!$B$8,0.01))))))</f>
        <v/>
      </c>
    </row>
    <row r="806" customFormat="false" ht="15" hidden="false" customHeight="false" outlineLevel="0" collapsed="false">
      <c r="I806" s="7" t="str">
        <f aca="false">IF($C806="","",IF($C806="G","PUTT",IF(AND($C806="T",$M806&gt;3),"OTT",IF($D806&lt;=30,"ARG","APP"))))</f>
        <v/>
      </c>
      <c r="J806" s="17" t="str">
        <f aca="false">IF($C806="","",$N806+$Q806*$R806)</f>
        <v/>
      </c>
      <c r="K806" s="17" t="str">
        <f aca="false">IF($C806="","",$O806+$Q806*$S806)</f>
        <v/>
      </c>
      <c r="L806" s="17" t="str">
        <f aca="false">IF($C806="","",$J806-$K806-1-N($G806))</f>
        <v/>
      </c>
      <c r="M806" s="7" t="str">
        <f aca="false">IF($B806="","",INDEX(Course!$B$2:$B$19,MATCH($B806,Course!$A$2:$A$19,0)))</f>
        <v/>
      </c>
      <c r="N806" s="17" t="str">
        <f aca="false">IF($C806="","",IF($C806="H",0,IF($C806="G",INDEX(Baseline!$I$3:$I$102,MIN(MAX(ROUND($D806,0),1),100)),IF($C806="T",IF($M806=3,INDEX(Baseline!$B$3:$B$122,MATCH(MIN(MAX(ROUND(($D806)/5,0)*5,5),600),Baseline!$A$3:$A$122,0))-Inputs!$B$9,INDEX(Course!$N$2:$N$19,MATCH($B806,Course!$A$2:$A$19,0))),INDEX(Baseline!$B$3:$E$122,MATCH(MIN(MAX(ROUND(($D806)/5,0)*5,5),600),Baseline!$A$3:$A$122,0),MATCH($C806,Baseline!$B$2:$E$2,0))))))</f>
        <v/>
      </c>
      <c r="O806" s="17" t="str">
        <f aca="false">IF($C806="","",IF($E806="H",0,IF($E806="G",INDEX(Baseline!$I$3:$I$102,MIN(MAX(ROUND($F806,0),1),100)),IF($E806="T",IF($M806=3,INDEX(Baseline!$B$3:$B$122,MATCH(MIN(MAX(ROUND(($F806)/5,0)*5,5),600),Baseline!$A$3:$A$122,0))-Inputs!$B$9,INDEX(Course!$N$2:$N$19,MATCH($B806,Course!$A$2:$A$19,0))),INDEX(Baseline!$B$3:$E$122,MATCH(MIN(MAX(ROUND(($F806)/5,0)*5,5),600),Baseline!$A$3:$A$122,0),MATCH($E806,Baseline!$B$2:$E$2,0))))))</f>
        <v/>
      </c>
      <c r="P806" s="17" t="str">
        <f aca="false">IF($B806="","",INDEX(Course!$N$2:$N$19,MATCH($B806,Course!$A$2:$A$19,0)))</f>
        <v/>
      </c>
      <c r="Q806" s="17" t="str">
        <f aca="false">IF($B806="","",INDEX(Course!$P$2:$P$19,MATCH($B806,Course!$A$2:$A$19,0)))</f>
        <v/>
      </c>
      <c r="R806" s="17" t="str">
        <f aca="false">IF($C806="","",IF(OR($C806="G",$C806="H"),0,IF($C806="T",1,MIN(1,MAX(0,($N806-Inputs!$B$8)/MAX($P806-Inputs!$B$8,0.01))))))</f>
        <v/>
      </c>
      <c r="S806" s="17" t="str">
        <f aca="false">IF($C806="","",IF(OR($E806="G",$E806="H"),0,IF($E806="T",1,MIN(1,MAX(0,($O806-Inputs!$B$8)/MAX($P806-Inputs!$B$8,0.01))))))</f>
        <v/>
      </c>
    </row>
    <row r="807" customFormat="false" ht="15" hidden="false" customHeight="false" outlineLevel="0" collapsed="false">
      <c r="I807" s="7" t="str">
        <f aca="false">IF($C807="","",IF($C807="G","PUTT",IF(AND($C807="T",$M807&gt;3),"OTT",IF($D807&lt;=30,"ARG","APP"))))</f>
        <v/>
      </c>
      <c r="J807" s="17" t="str">
        <f aca="false">IF($C807="","",$N807+$Q807*$R807)</f>
        <v/>
      </c>
      <c r="K807" s="17" t="str">
        <f aca="false">IF($C807="","",$O807+$Q807*$S807)</f>
        <v/>
      </c>
      <c r="L807" s="17" t="str">
        <f aca="false">IF($C807="","",$J807-$K807-1-N($G807))</f>
        <v/>
      </c>
      <c r="M807" s="7" t="str">
        <f aca="false">IF($B807="","",INDEX(Course!$B$2:$B$19,MATCH($B807,Course!$A$2:$A$19,0)))</f>
        <v/>
      </c>
      <c r="N807" s="17" t="str">
        <f aca="false">IF($C807="","",IF($C807="H",0,IF($C807="G",INDEX(Baseline!$I$3:$I$102,MIN(MAX(ROUND($D807,0),1),100)),IF($C807="T",IF($M807=3,INDEX(Baseline!$B$3:$B$122,MATCH(MIN(MAX(ROUND(($D807)/5,0)*5,5),600),Baseline!$A$3:$A$122,0))-Inputs!$B$9,INDEX(Course!$N$2:$N$19,MATCH($B807,Course!$A$2:$A$19,0))),INDEX(Baseline!$B$3:$E$122,MATCH(MIN(MAX(ROUND(($D807)/5,0)*5,5),600),Baseline!$A$3:$A$122,0),MATCH($C807,Baseline!$B$2:$E$2,0))))))</f>
        <v/>
      </c>
      <c r="O807" s="17" t="str">
        <f aca="false">IF($C807="","",IF($E807="H",0,IF($E807="G",INDEX(Baseline!$I$3:$I$102,MIN(MAX(ROUND($F807,0),1),100)),IF($E807="T",IF($M807=3,INDEX(Baseline!$B$3:$B$122,MATCH(MIN(MAX(ROUND(($F807)/5,0)*5,5),600),Baseline!$A$3:$A$122,0))-Inputs!$B$9,INDEX(Course!$N$2:$N$19,MATCH($B807,Course!$A$2:$A$19,0))),INDEX(Baseline!$B$3:$E$122,MATCH(MIN(MAX(ROUND(($F807)/5,0)*5,5),600),Baseline!$A$3:$A$122,0),MATCH($E807,Baseline!$B$2:$E$2,0))))))</f>
        <v/>
      </c>
      <c r="P807" s="17" t="str">
        <f aca="false">IF($B807="","",INDEX(Course!$N$2:$N$19,MATCH($B807,Course!$A$2:$A$19,0)))</f>
        <v/>
      </c>
      <c r="Q807" s="17" t="str">
        <f aca="false">IF($B807="","",INDEX(Course!$P$2:$P$19,MATCH($B807,Course!$A$2:$A$19,0)))</f>
        <v/>
      </c>
      <c r="R807" s="17" t="str">
        <f aca="false">IF($C807="","",IF(OR($C807="G",$C807="H"),0,IF($C807="T",1,MIN(1,MAX(0,($N807-Inputs!$B$8)/MAX($P807-Inputs!$B$8,0.01))))))</f>
        <v/>
      </c>
      <c r="S807" s="17" t="str">
        <f aca="false">IF($C807="","",IF(OR($E807="G",$E807="H"),0,IF($E807="T",1,MIN(1,MAX(0,($O807-Inputs!$B$8)/MAX($P807-Inputs!$B$8,0.01))))))</f>
        <v/>
      </c>
    </row>
    <row r="808" customFormat="false" ht="15" hidden="false" customHeight="false" outlineLevel="0" collapsed="false">
      <c r="I808" s="7" t="str">
        <f aca="false">IF($C808="","",IF($C808="G","PUTT",IF(AND($C808="T",$M808&gt;3),"OTT",IF($D808&lt;=30,"ARG","APP"))))</f>
        <v/>
      </c>
      <c r="J808" s="17" t="str">
        <f aca="false">IF($C808="","",$N808+$Q808*$R808)</f>
        <v/>
      </c>
      <c r="K808" s="17" t="str">
        <f aca="false">IF($C808="","",$O808+$Q808*$S808)</f>
        <v/>
      </c>
      <c r="L808" s="17" t="str">
        <f aca="false">IF($C808="","",$J808-$K808-1-N($G808))</f>
        <v/>
      </c>
      <c r="M808" s="7" t="str">
        <f aca="false">IF($B808="","",INDEX(Course!$B$2:$B$19,MATCH($B808,Course!$A$2:$A$19,0)))</f>
        <v/>
      </c>
      <c r="N808" s="17" t="str">
        <f aca="false">IF($C808="","",IF($C808="H",0,IF($C808="G",INDEX(Baseline!$I$3:$I$102,MIN(MAX(ROUND($D808,0),1),100)),IF($C808="T",IF($M808=3,INDEX(Baseline!$B$3:$B$122,MATCH(MIN(MAX(ROUND(($D808)/5,0)*5,5),600),Baseline!$A$3:$A$122,0))-Inputs!$B$9,INDEX(Course!$N$2:$N$19,MATCH($B808,Course!$A$2:$A$19,0))),INDEX(Baseline!$B$3:$E$122,MATCH(MIN(MAX(ROUND(($D808)/5,0)*5,5),600),Baseline!$A$3:$A$122,0),MATCH($C808,Baseline!$B$2:$E$2,0))))))</f>
        <v/>
      </c>
      <c r="O808" s="17" t="str">
        <f aca="false">IF($C808="","",IF($E808="H",0,IF($E808="G",INDEX(Baseline!$I$3:$I$102,MIN(MAX(ROUND($F808,0),1),100)),IF($E808="T",IF($M808=3,INDEX(Baseline!$B$3:$B$122,MATCH(MIN(MAX(ROUND(($F808)/5,0)*5,5),600),Baseline!$A$3:$A$122,0))-Inputs!$B$9,INDEX(Course!$N$2:$N$19,MATCH($B808,Course!$A$2:$A$19,0))),INDEX(Baseline!$B$3:$E$122,MATCH(MIN(MAX(ROUND(($F808)/5,0)*5,5),600),Baseline!$A$3:$A$122,0),MATCH($E808,Baseline!$B$2:$E$2,0))))))</f>
        <v/>
      </c>
      <c r="P808" s="17" t="str">
        <f aca="false">IF($B808="","",INDEX(Course!$N$2:$N$19,MATCH($B808,Course!$A$2:$A$19,0)))</f>
        <v/>
      </c>
      <c r="Q808" s="17" t="str">
        <f aca="false">IF($B808="","",INDEX(Course!$P$2:$P$19,MATCH($B808,Course!$A$2:$A$19,0)))</f>
        <v/>
      </c>
      <c r="R808" s="17" t="str">
        <f aca="false">IF($C808="","",IF(OR($C808="G",$C808="H"),0,IF($C808="T",1,MIN(1,MAX(0,($N808-Inputs!$B$8)/MAX($P808-Inputs!$B$8,0.01))))))</f>
        <v/>
      </c>
      <c r="S808" s="17" t="str">
        <f aca="false">IF($C808="","",IF(OR($E808="G",$E808="H"),0,IF($E808="T",1,MIN(1,MAX(0,($O808-Inputs!$B$8)/MAX($P808-Inputs!$B$8,0.01))))))</f>
        <v/>
      </c>
    </row>
    <row r="809" customFormat="false" ht="15" hidden="false" customHeight="false" outlineLevel="0" collapsed="false">
      <c r="I809" s="7" t="str">
        <f aca="false">IF($C809="","",IF($C809="G","PUTT",IF(AND($C809="T",$M809&gt;3),"OTT",IF($D809&lt;=30,"ARG","APP"))))</f>
        <v/>
      </c>
      <c r="J809" s="17" t="str">
        <f aca="false">IF($C809="","",$N809+$Q809*$R809)</f>
        <v/>
      </c>
      <c r="K809" s="17" t="str">
        <f aca="false">IF($C809="","",$O809+$Q809*$S809)</f>
        <v/>
      </c>
      <c r="L809" s="17" t="str">
        <f aca="false">IF($C809="","",$J809-$K809-1-N($G809))</f>
        <v/>
      </c>
      <c r="M809" s="7" t="str">
        <f aca="false">IF($B809="","",INDEX(Course!$B$2:$B$19,MATCH($B809,Course!$A$2:$A$19,0)))</f>
        <v/>
      </c>
      <c r="N809" s="17" t="str">
        <f aca="false">IF($C809="","",IF($C809="H",0,IF($C809="G",INDEX(Baseline!$I$3:$I$102,MIN(MAX(ROUND($D809,0),1),100)),IF($C809="T",IF($M809=3,INDEX(Baseline!$B$3:$B$122,MATCH(MIN(MAX(ROUND(($D809)/5,0)*5,5),600),Baseline!$A$3:$A$122,0))-Inputs!$B$9,INDEX(Course!$N$2:$N$19,MATCH($B809,Course!$A$2:$A$19,0))),INDEX(Baseline!$B$3:$E$122,MATCH(MIN(MAX(ROUND(($D809)/5,0)*5,5),600),Baseline!$A$3:$A$122,0),MATCH($C809,Baseline!$B$2:$E$2,0))))))</f>
        <v/>
      </c>
      <c r="O809" s="17" t="str">
        <f aca="false">IF($C809="","",IF($E809="H",0,IF($E809="G",INDEX(Baseline!$I$3:$I$102,MIN(MAX(ROUND($F809,0),1),100)),IF($E809="T",IF($M809=3,INDEX(Baseline!$B$3:$B$122,MATCH(MIN(MAX(ROUND(($F809)/5,0)*5,5),600),Baseline!$A$3:$A$122,0))-Inputs!$B$9,INDEX(Course!$N$2:$N$19,MATCH($B809,Course!$A$2:$A$19,0))),INDEX(Baseline!$B$3:$E$122,MATCH(MIN(MAX(ROUND(($F809)/5,0)*5,5),600),Baseline!$A$3:$A$122,0),MATCH($E809,Baseline!$B$2:$E$2,0))))))</f>
        <v/>
      </c>
      <c r="P809" s="17" t="str">
        <f aca="false">IF($B809="","",INDEX(Course!$N$2:$N$19,MATCH($B809,Course!$A$2:$A$19,0)))</f>
        <v/>
      </c>
      <c r="Q809" s="17" t="str">
        <f aca="false">IF($B809="","",INDEX(Course!$P$2:$P$19,MATCH($B809,Course!$A$2:$A$19,0)))</f>
        <v/>
      </c>
      <c r="R809" s="17" t="str">
        <f aca="false">IF($C809="","",IF(OR($C809="G",$C809="H"),0,IF($C809="T",1,MIN(1,MAX(0,($N809-Inputs!$B$8)/MAX($P809-Inputs!$B$8,0.01))))))</f>
        <v/>
      </c>
      <c r="S809" s="17" t="str">
        <f aca="false">IF($C809="","",IF(OR($E809="G",$E809="H"),0,IF($E809="T",1,MIN(1,MAX(0,($O809-Inputs!$B$8)/MAX($P809-Inputs!$B$8,0.01))))))</f>
        <v/>
      </c>
    </row>
    <row r="810" customFormat="false" ht="15" hidden="false" customHeight="false" outlineLevel="0" collapsed="false">
      <c r="I810" s="7" t="str">
        <f aca="false">IF($C810="","",IF($C810="G","PUTT",IF(AND($C810="T",$M810&gt;3),"OTT",IF($D810&lt;=30,"ARG","APP"))))</f>
        <v/>
      </c>
      <c r="J810" s="17" t="str">
        <f aca="false">IF($C810="","",$N810+$Q810*$R810)</f>
        <v/>
      </c>
      <c r="K810" s="17" t="str">
        <f aca="false">IF($C810="","",$O810+$Q810*$S810)</f>
        <v/>
      </c>
      <c r="L810" s="17" t="str">
        <f aca="false">IF($C810="","",$J810-$K810-1-N($G810))</f>
        <v/>
      </c>
      <c r="M810" s="7" t="str">
        <f aca="false">IF($B810="","",INDEX(Course!$B$2:$B$19,MATCH($B810,Course!$A$2:$A$19,0)))</f>
        <v/>
      </c>
      <c r="N810" s="17" t="str">
        <f aca="false">IF($C810="","",IF($C810="H",0,IF($C810="G",INDEX(Baseline!$I$3:$I$102,MIN(MAX(ROUND($D810,0),1),100)),IF($C810="T",IF($M810=3,INDEX(Baseline!$B$3:$B$122,MATCH(MIN(MAX(ROUND(($D810)/5,0)*5,5),600),Baseline!$A$3:$A$122,0))-Inputs!$B$9,INDEX(Course!$N$2:$N$19,MATCH($B810,Course!$A$2:$A$19,0))),INDEX(Baseline!$B$3:$E$122,MATCH(MIN(MAX(ROUND(($D810)/5,0)*5,5),600),Baseline!$A$3:$A$122,0),MATCH($C810,Baseline!$B$2:$E$2,0))))))</f>
        <v/>
      </c>
      <c r="O810" s="17" t="str">
        <f aca="false">IF($C810="","",IF($E810="H",0,IF($E810="G",INDEX(Baseline!$I$3:$I$102,MIN(MAX(ROUND($F810,0),1),100)),IF($E810="T",IF($M810=3,INDEX(Baseline!$B$3:$B$122,MATCH(MIN(MAX(ROUND(($F810)/5,0)*5,5),600),Baseline!$A$3:$A$122,0))-Inputs!$B$9,INDEX(Course!$N$2:$N$19,MATCH($B810,Course!$A$2:$A$19,0))),INDEX(Baseline!$B$3:$E$122,MATCH(MIN(MAX(ROUND(($F810)/5,0)*5,5),600),Baseline!$A$3:$A$122,0),MATCH($E810,Baseline!$B$2:$E$2,0))))))</f>
        <v/>
      </c>
      <c r="P810" s="17" t="str">
        <f aca="false">IF($B810="","",INDEX(Course!$N$2:$N$19,MATCH($B810,Course!$A$2:$A$19,0)))</f>
        <v/>
      </c>
      <c r="Q810" s="17" t="str">
        <f aca="false">IF($B810="","",INDEX(Course!$P$2:$P$19,MATCH($B810,Course!$A$2:$A$19,0)))</f>
        <v/>
      </c>
      <c r="R810" s="17" t="str">
        <f aca="false">IF($C810="","",IF(OR($C810="G",$C810="H"),0,IF($C810="T",1,MIN(1,MAX(0,($N810-Inputs!$B$8)/MAX($P810-Inputs!$B$8,0.01))))))</f>
        <v/>
      </c>
      <c r="S810" s="17" t="str">
        <f aca="false">IF($C810="","",IF(OR($E810="G",$E810="H"),0,IF($E810="T",1,MIN(1,MAX(0,($O810-Inputs!$B$8)/MAX($P810-Inputs!$B$8,0.01))))))</f>
        <v/>
      </c>
    </row>
    <row r="811" customFormat="false" ht="15" hidden="false" customHeight="false" outlineLevel="0" collapsed="false">
      <c r="I811" s="7" t="str">
        <f aca="false">IF($C811="","",IF($C811="G","PUTT",IF(AND($C811="T",$M811&gt;3),"OTT",IF($D811&lt;=30,"ARG","APP"))))</f>
        <v/>
      </c>
      <c r="J811" s="17" t="str">
        <f aca="false">IF($C811="","",$N811+$Q811*$R811)</f>
        <v/>
      </c>
      <c r="K811" s="17" t="str">
        <f aca="false">IF($C811="","",$O811+$Q811*$S811)</f>
        <v/>
      </c>
      <c r="L811" s="17" t="str">
        <f aca="false">IF($C811="","",$J811-$K811-1-N($G811))</f>
        <v/>
      </c>
      <c r="M811" s="7" t="str">
        <f aca="false">IF($B811="","",INDEX(Course!$B$2:$B$19,MATCH($B811,Course!$A$2:$A$19,0)))</f>
        <v/>
      </c>
      <c r="N811" s="17" t="str">
        <f aca="false">IF($C811="","",IF($C811="H",0,IF($C811="G",INDEX(Baseline!$I$3:$I$102,MIN(MAX(ROUND($D811,0),1),100)),IF($C811="T",IF($M811=3,INDEX(Baseline!$B$3:$B$122,MATCH(MIN(MAX(ROUND(($D811)/5,0)*5,5),600),Baseline!$A$3:$A$122,0))-Inputs!$B$9,INDEX(Course!$N$2:$N$19,MATCH($B811,Course!$A$2:$A$19,0))),INDEX(Baseline!$B$3:$E$122,MATCH(MIN(MAX(ROUND(($D811)/5,0)*5,5),600),Baseline!$A$3:$A$122,0),MATCH($C811,Baseline!$B$2:$E$2,0))))))</f>
        <v/>
      </c>
      <c r="O811" s="17" t="str">
        <f aca="false">IF($C811="","",IF($E811="H",0,IF($E811="G",INDEX(Baseline!$I$3:$I$102,MIN(MAX(ROUND($F811,0),1),100)),IF($E811="T",IF($M811=3,INDEX(Baseline!$B$3:$B$122,MATCH(MIN(MAX(ROUND(($F811)/5,0)*5,5),600),Baseline!$A$3:$A$122,0))-Inputs!$B$9,INDEX(Course!$N$2:$N$19,MATCH($B811,Course!$A$2:$A$19,0))),INDEX(Baseline!$B$3:$E$122,MATCH(MIN(MAX(ROUND(($F811)/5,0)*5,5),600),Baseline!$A$3:$A$122,0),MATCH($E811,Baseline!$B$2:$E$2,0))))))</f>
        <v/>
      </c>
      <c r="P811" s="17" t="str">
        <f aca="false">IF($B811="","",INDEX(Course!$N$2:$N$19,MATCH($B811,Course!$A$2:$A$19,0)))</f>
        <v/>
      </c>
      <c r="Q811" s="17" t="str">
        <f aca="false">IF($B811="","",INDEX(Course!$P$2:$P$19,MATCH($B811,Course!$A$2:$A$19,0)))</f>
        <v/>
      </c>
      <c r="R811" s="17" t="str">
        <f aca="false">IF($C811="","",IF(OR($C811="G",$C811="H"),0,IF($C811="T",1,MIN(1,MAX(0,($N811-Inputs!$B$8)/MAX($P811-Inputs!$B$8,0.01))))))</f>
        <v/>
      </c>
      <c r="S811" s="17" t="str">
        <f aca="false">IF($C811="","",IF(OR($E811="G",$E811="H"),0,IF($E811="T",1,MIN(1,MAX(0,($O811-Inputs!$B$8)/MAX($P811-Inputs!$B$8,0.01))))))</f>
        <v/>
      </c>
    </row>
    <row r="812" customFormat="false" ht="15" hidden="false" customHeight="false" outlineLevel="0" collapsed="false">
      <c r="I812" s="7" t="str">
        <f aca="false">IF($C812="","",IF($C812="G","PUTT",IF(AND($C812="T",$M812&gt;3),"OTT",IF($D812&lt;=30,"ARG","APP"))))</f>
        <v/>
      </c>
      <c r="J812" s="17" t="str">
        <f aca="false">IF($C812="","",$N812+$Q812*$R812)</f>
        <v/>
      </c>
      <c r="K812" s="17" t="str">
        <f aca="false">IF($C812="","",$O812+$Q812*$S812)</f>
        <v/>
      </c>
      <c r="L812" s="17" t="str">
        <f aca="false">IF($C812="","",$J812-$K812-1-N($G812))</f>
        <v/>
      </c>
      <c r="M812" s="7" t="str">
        <f aca="false">IF($B812="","",INDEX(Course!$B$2:$B$19,MATCH($B812,Course!$A$2:$A$19,0)))</f>
        <v/>
      </c>
      <c r="N812" s="17" t="str">
        <f aca="false">IF($C812="","",IF($C812="H",0,IF($C812="G",INDEX(Baseline!$I$3:$I$102,MIN(MAX(ROUND($D812,0),1),100)),IF($C812="T",IF($M812=3,INDEX(Baseline!$B$3:$B$122,MATCH(MIN(MAX(ROUND(($D812)/5,0)*5,5),600),Baseline!$A$3:$A$122,0))-Inputs!$B$9,INDEX(Course!$N$2:$N$19,MATCH($B812,Course!$A$2:$A$19,0))),INDEX(Baseline!$B$3:$E$122,MATCH(MIN(MAX(ROUND(($D812)/5,0)*5,5),600),Baseline!$A$3:$A$122,0),MATCH($C812,Baseline!$B$2:$E$2,0))))))</f>
        <v/>
      </c>
      <c r="O812" s="17" t="str">
        <f aca="false">IF($C812="","",IF($E812="H",0,IF($E812="G",INDEX(Baseline!$I$3:$I$102,MIN(MAX(ROUND($F812,0),1),100)),IF($E812="T",IF($M812=3,INDEX(Baseline!$B$3:$B$122,MATCH(MIN(MAX(ROUND(($F812)/5,0)*5,5),600),Baseline!$A$3:$A$122,0))-Inputs!$B$9,INDEX(Course!$N$2:$N$19,MATCH($B812,Course!$A$2:$A$19,0))),INDEX(Baseline!$B$3:$E$122,MATCH(MIN(MAX(ROUND(($F812)/5,0)*5,5),600),Baseline!$A$3:$A$122,0),MATCH($E812,Baseline!$B$2:$E$2,0))))))</f>
        <v/>
      </c>
      <c r="P812" s="17" t="str">
        <f aca="false">IF($B812="","",INDEX(Course!$N$2:$N$19,MATCH($B812,Course!$A$2:$A$19,0)))</f>
        <v/>
      </c>
      <c r="Q812" s="17" t="str">
        <f aca="false">IF($B812="","",INDEX(Course!$P$2:$P$19,MATCH($B812,Course!$A$2:$A$19,0)))</f>
        <v/>
      </c>
      <c r="R812" s="17" t="str">
        <f aca="false">IF($C812="","",IF(OR($C812="G",$C812="H"),0,IF($C812="T",1,MIN(1,MAX(0,($N812-Inputs!$B$8)/MAX($P812-Inputs!$B$8,0.01))))))</f>
        <v/>
      </c>
      <c r="S812" s="17" t="str">
        <f aca="false">IF($C812="","",IF(OR($E812="G",$E812="H"),0,IF($E812="T",1,MIN(1,MAX(0,($O812-Inputs!$B$8)/MAX($P812-Inputs!$B$8,0.01))))))</f>
        <v/>
      </c>
    </row>
    <row r="813" customFormat="false" ht="15" hidden="false" customHeight="false" outlineLevel="0" collapsed="false">
      <c r="I813" s="7" t="str">
        <f aca="false">IF($C813="","",IF($C813="G","PUTT",IF(AND($C813="T",$M813&gt;3),"OTT",IF($D813&lt;=30,"ARG","APP"))))</f>
        <v/>
      </c>
      <c r="J813" s="17" t="str">
        <f aca="false">IF($C813="","",$N813+$Q813*$R813)</f>
        <v/>
      </c>
      <c r="K813" s="17" t="str">
        <f aca="false">IF($C813="","",$O813+$Q813*$S813)</f>
        <v/>
      </c>
      <c r="L813" s="17" t="str">
        <f aca="false">IF($C813="","",$J813-$K813-1-N($G813))</f>
        <v/>
      </c>
      <c r="M813" s="7" t="str">
        <f aca="false">IF($B813="","",INDEX(Course!$B$2:$B$19,MATCH($B813,Course!$A$2:$A$19,0)))</f>
        <v/>
      </c>
      <c r="N813" s="17" t="str">
        <f aca="false">IF($C813="","",IF($C813="H",0,IF($C813="G",INDEX(Baseline!$I$3:$I$102,MIN(MAX(ROUND($D813,0),1),100)),IF($C813="T",IF($M813=3,INDEX(Baseline!$B$3:$B$122,MATCH(MIN(MAX(ROUND(($D813)/5,0)*5,5),600),Baseline!$A$3:$A$122,0))-Inputs!$B$9,INDEX(Course!$N$2:$N$19,MATCH($B813,Course!$A$2:$A$19,0))),INDEX(Baseline!$B$3:$E$122,MATCH(MIN(MAX(ROUND(($D813)/5,0)*5,5),600),Baseline!$A$3:$A$122,0),MATCH($C813,Baseline!$B$2:$E$2,0))))))</f>
        <v/>
      </c>
      <c r="O813" s="17" t="str">
        <f aca="false">IF($C813="","",IF($E813="H",0,IF($E813="G",INDEX(Baseline!$I$3:$I$102,MIN(MAX(ROUND($F813,0),1),100)),IF($E813="T",IF($M813=3,INDEX(Baseline!$B$3:$B$122,MATCH(MIN(MAX(ROUND(($F813)/5,0)*5,5),600),Baseline!$A$3:$A$122,0))-Inputs!$B$9,INDEX(Course!$N$2:$N$19,MATCH($B813,Course!$A$2:$A$19,0))),INDEX(Baseline!$B$3:$E$122,MATCH(MIN(MAX(ROUND(($F813)/5,0)*5,5),600),Baseline!$A$3:$A$122,0),MATCH($E813,Baseline!$B$2:$E$2,0))))))</f>
        <v/>
      </c>
      <c r="P813" s="17" t="str">
        <f aca="false">IF($B813="","",INDEX(Course!$N$2:$N$19,MATCH($B813,Course!$A$2:$A$19,0)))</f>
        <v/>
      </c>
      <c r="Q813" s="17" t="str">
        <f aca="false">IF($B813="","",INDEX(Course!$P$2:$P$19,MATCH($B813,Course!$A$2:$A$19,0)))</f>
        <v/>
      </c>
      <c r="R813" s="17" t="str">
        <f aca="false">IF($C813="","",IF(OR($C813="G",$C813="H"),0,IF($C813="T",1,MIN(1,MAX(0,($N813-Inputs!$B$8)/MAX($P813-Inputs!$B$8,0.01))))))</f>
        <v/>
      </c>
      <c r="S813" s="17" t="str">
        <f aca="false">IF($C813="","",IF(OR($E813="G",$E813="H"),0,IF($E813="T",1,MIN(1,MAX(0,($O813-Inputs!$B$8)/MAX($P813-Inputs!$B$8,0.01))))))</f>
        <v/>
      </c>
    </row>
    <row r="814" customFormat="false" ht="15" hidden="false" customHeight="false" outlineLevel="0" collapsed="false">
      <c r="I814" s="7" t="str">
        <f aca="false">IF($C814="","",IF($C814="G","PUTT",IF(AND($C814="T",$M814&gt;3),"OTT",IF($D814&lt;=30,"ARG","APP"))))</f>
        <v/>
      </c>
      <c r="J814" s="17" t="str">
        <f aca="false">IF($C814="","",$N814+$Q814*$R814)</f>
        <v/>
      </c>
      <c r="K814" s="17" t="str">
        <f aca="false">IF($C814="","",$O814+$Q814*$S814)</f>
        <v/>
      </c>
      <c r="L814" s="17" t="str">
        <f aca="false">IF($C814="","",$J814-$K814-1-N($G814))</f>
        <v/>
      </c>
      <c r="M814" s="7" t="str">
        <f aca="false">IF($B814="","",INDEX(Course!$B$2:$B$19,MATCH($B814,Course!$A$2:$A$19,0)))</f>
        <v/>
      </c>
      <c r="N814" s="17" t="str">
        <f aca="false">IF($C814="","",IF($C814="H",0,IF($C814="G",INDEX(Baseline!$I$3:$I$102,MIN(MAX(ROUND($D814,0),1),100)),IF($C814="T",IF($M814=3,INDEX(Baseline!$B$3:$B$122,MATCH(MIN(MAX(ROUND(($D814)/5,0)*5,5),600),Baseline!$A$3:$A$122,0))-Inputs!$B$9,INDEX(Course!$N$2:$N$19,MATCH($B814,Course!$A$2:$A$19,0))),INDEX(Baseline!$B$3:$E$122,MATCH(MIN(MAX(ROUND(($D814)/5,0)*5,5),600),Baseline!$A$3:$A$122,0),MATCH($C814,Baseline!$B$2:$E$2,0))))))</f>
        <v/>
      </c>
      <c r="O814" s="17" t="str">
        <f aca="false">IF($C814="","",IF($E814="H",0,IF($E814="G",INDEX(Baseline!$I$3:$I$102,MIN(MAX(ROUND($F814,0),1),100)),IF($E814="T",IF($M814=3,INDEX(Baseline!$B$3:$B$122,MATCH(MIN(MAX(ROUND(($F814)/5,0)*5,5),600),Baseline!$A$3:$A$122,0))-Inputs!$B$9,INDEX(Course!$N$2:$N$19,MATCH($B814,Course!$A$2:$A$19,0))),INDEX(Baseline!$B$3:$E$122,MATCH(MIN(MAX(ROUND(($F814)/5,0)*5,5),600),Baseline!$A$3:$A$122,0),MATCH($E814,Baseline!$B$2:$E$2,0))))))</f>
        <v/>
      </c>
      <c r="P814" s="17" t="str">
        <f aca="false">IF($B814="","",INDEX(Course!$N$2:$N$19,MATCH($B814,Course!$A$2:$A$19,0)))</f>
        <v/>
      </c>
      <c r="Q814" s="17" t="str">
        <f aca="false">IF($B814="","",INDEX(Course!$P$2:$P$19,MATCH($B814,Course!$A$2:$A$19,0)))</f>
        <v/>
      </c>
      <c r="R814" s="17" t="str">
        <f aca="false">IF($C814="","",IF(OR($C814="G",$C814="H"),0,IF($C814="T",1,MIN(1,MAX(0,($N814-Inputs!$B$8)/MAX($P814-Inputs!$B$8,0.01))))))</f>
        <v/>
      </c>
      <c r="S814" s="17" t="str">
        <f aca="false">IF($C814="","",IF(OR($E814="G",$E814="H"),0,IF($E814="T",1,MIN(1,MAX(0,($O814-Inputs!$B$8)/MAX($P814-Inputs!$B$8,0.01))))))</f>
        <v/>
      </c>
    </row>
    <row r="815" customFormat="false" ht="15" hidden="false" customHeight="false" outlineLevel="0" collapsed="false">
      <c r="I815" s="7" t="str">
        <f aca="false">IF($C815="","",IF($C815="G","PUTT",IF(AND($C815="T",$M815&gt;3),"OTT",IF($D815&lt;=30,"ARG","APP"))))</f>
        <v/>
      </c>
      <c r="J815" s="17" t="str">
        <f aca="false">IF($C815="","",$N815+$Q815*$R815)</f>
        <v/>
      </c>
      <c r="K815" s="17" t="str">
        <f aca="false">IF($C815="","",$O815+$Q815*$S815)</f>
        <v/>
      </c>
      <c r="L815" s="17" t="str">
        <f aca="false">IF($C815="","",$J815-$K815-1-N($G815))</f>
        <v/>
      </c>
      <c r="M815" s="7" t="str">
        <f aca="false">IF($B815="","",INDEX(Course!$B$2:$B$19,MATCH($B815,Course!$A$2:$A$19,0)))</f>
        <v/>
      </c>
      <c r="N815" s="17" t="str">
        <f aca="false">IF($C815="","",IF($C815="H",0,IF($C815="G",INDEX(Baseline!$I$3:$I$102,MIN(MAX(ROUND($D815,0),1),100)),IF($C815="T",IF($M815=3,INDEX(Baseline!$B$3:$B$122,MATCH(MIN(MAX(ROUND(($D815)/5,0)*5,5),600),Baseline!$A$3:$A$122,0))-Inputs!$B$9,INDEX(Course!$N$2:$N$19,MATCH($B815,Course!$A$2:$A$19,0))),INDEX(Baseline!$B$3:$E$122,MATCH(MIN(MAX(ROUND(($D815)/5,0)*5,5),600),Baseline!$A$3:$A$122,0),MATCH($C815,Baseline!$B$2:$E$2,0))))))</f>
        <v/>
      </c>
      <c r="O815" s="17" t="str">
        <f aca="false">IF($C815="","",IF($E815="H",0,IF($E815="G",INDEX(Baseline!$I$3:$I$102,MIN(MAX(ROUND($F815,0),1),100)),IF($E815="T",IF($M815=3,INDEX(Baseline!$B$3:$B$122,MATCH(MIN(MAX(ROUND(($F815)/5,0)*5,5),600),Baseline!$A$3:$A$122,0))-Inputs!$B$9,INDEX(Course!$N$2:$N$19,MATCH($B815,Course!$A$2:$A$19,0))),INDEX(Baseline!$B$3:$E$122,MATCH(MIN(MAX(ROUND(($F815)/5,0)*5,5),600),Baseline!$A$3:$A$122,0),MATCH($E815,Baseline!$B$2:$E$2,0))))))</f>
        <v/>
      </c>
      <c r="P815" s="17" t="str">
        <f aca="false">IF($B815="","",INDEX(Course!$N$2:$N$19,MATCH($B815,Course!$A$2:$A$19,0)))</f>
        <v/>
      </c>
      <c r="Q815" s="17" t="str">
        <f aca="false">IF($B815="","",INDEX(Course!$P$2:$P$19,MATCH($B815,Course!$A$2:$A$19,0)))</f>
        <v/>
      </c>
      <c r="R815" s="17" t="str">
        <f aca="false">IF($C815="","",IF(OR($C815="G",$C815="H"),0,IF($C815="T",1,MIN(1,MAX(0,($N815-Inputs!$B$8)/MAX($P815-Inputs!$B$8,0.01))))))</f>
        <v/>
      </c>
      <c r="S815" s="17" t="str">
        <f aca="false">IF($C815="","",IF(OR($E815="G",$E815="H"),0,IF($E815="T",1,MIN(1,MAX(0,($O815-Inputs!$B$8)/MAX($P815-Inputs!$B$8,0.01))))))</f>
        <v/>
      </c>
    </row>
    <row r="816" customFormat="false" ht="15" hidden="false" customHeight="false" outlineLevel="0" collapsed="false">
      <c r="I816" s="7" t="str">
        <f aca="false">IF($C816="","",IF($C816="G","PUTT",IF(AND($C816="T",$M816&gt;3),"OTT",IF($D816&lt;=30,"ARG","APP"))))</f>
        <v/>
      </c>
      <c r="J816" s="17" t="str">
        <f aca="false">IF($C816="","",$N816+$Q816*$R816)</f>
        <v/>
      </c>
      <c r="K816" s="17" t="str">
        <f aca="false">IF($C816="","",$O816+$Q816*$S816)</f>
        <v/>
      </c>
      <c r="L816" s="17" t="str">
        <f aca="false">IF($C816="","",$J816-$K816-1-N($G816))</f>
        <v/>
      </c>
      <c r="M816" s="7" t="str">
        <f aca="false">IF($B816="","",INDEX(Course!$B$2:$B$19,MATCH($B816,Course!$A$2:$A$19,0)))</f>
        <v/>
      </c>
      <c r="N816" s="17" t="str">
        <f aca="false">IF($C816="","",IF($C816="H",0,IF($C816="G",INDEX(Baseline!$I$3:$I$102,MIN(MAX(ROUND($D816,0),1),100)),IF($C816="T",IF($M816=3,INDEX(Baseline!$B$3:$B$122,MATCH(MIN(MAX(ROUND(($D816)/5,0)*5,5),600),Baseline!$A$3:$A$122,0))-Inputs!$B$9,INDEX(Course!$N$2:$N$19,MATCH($B816,Course!$A$2:$A$19,0))),INDEX(Baseline!$B$3:$E$122,MATCH(MIN(MAX(ROUND(($D816)/5,0)*5,5),600),Baseline!$A$3:$A$122,0),MATCH($C816,Baseline!$B$2:$E$2,0))))))</f>
        <v/>
      </c>
      <c r="O816" s="17" t="str">
        <f aca="false">IF($C816="","",IF($E816="H",0,IF($E816="G",INDEX(Baseline!$I$3:$I$102,MIN(MAX(ROUND($F816,0),1),100)),IF($E816="T",IF($M816=3,INDEX(Baseline!$B$3:$B$122,MATCH(MIN(MAX(ROUND(($F816)/5,0)*5,5),600),Baseline!$A$3:$A$122,0))-Inputs!$B$9,INDEX(Course!$N$2:$N$19,MATCH($B816,Course!$A$2:$A$19,0))),INDEX(Baseline!$B$3:$E$122,MATCH(MIN(MAX(ROUND(($F816)/5,0)*5,5),600),Baseline!$A$3:$A$122,0),MATCH($E816,Baseline!$B$2:$E$2,0))))))</f>
        <v/>
      </c>
      <c r="P816" s="17" t="str">
        <f aca="false">IF($B816="","",INDEX(Course!$N$2:$N$19,MATCH($B816,Course!$A$2:$A$19,0)))</f>
        <v/>
      </c>
      <c r="Q816" s="17" t="str">
        <f aca="false">IF($B816="","",INDEX(Course!$P$2:$P$19,MATCH($B816,Course!$A$2:$A$19,0)))</f>
        <v/>
      </c>
      <c r="R816" s="17" t="str">
        <f aca="false">IF($C816="","",IF(OR($C816="G",$C816="H"),0,IF($C816="T",1,MIN(1,MAX(0,($N816-Inputs!$B$8)/MAX($P816-Inputs!$B$8,0.01))))))</f>
        <v/>
      </c>
      <c r="S816" s="17" t="str">
        <f aca="false">IF($C816="","",IF(OR($E816="G",$E816="H"),0,IF($E816="T",1,MIN(1,MAX(0,($O816-Inputs!$B$8)/MAX($P816-Inputs!$B$8,0.01))))))</f>
        <v/>
      </c>
    </row>
    <row r="817" customFormat="false" ht="15" hidden="false" customHeight="false" outlineLevel="0" collapsed="false">
      <c r="I817" s="7" t="str">
        <f aca="false">IF($C817="","",IF($C817="G","PUTT",IF(AND($C817="T",$M817&gt;3),"OTT",IF($D817&lt;=30,"ARG","APP"))))</f>
        <v/>
      </c>
      <c r="J817" s="17" t="str">
        <f aca="false">IF($C817="","",$N817+$Q817*$R817)</f>
        <v/>
      </c>
      <c r="K817" s="17" t="str">
        <f aca="false">IF($C817="","",$O817+$Q817*$S817)</f>
        <v/>
      </c>
      <c r="L817" s="17" t="str">
        <f aca="false">IF($C817="","",$J817-$K817-1-N($G817))</f>
        <v/>
      </c>
      <c r="M817" s="7" t="str">
        <f aca="false">IF($B817="","",INDEX(Course!$B$2:$B$19,MATCH($B817,Course!$A$2:$A$19,0)))</f>
        <v/>
      </c>
      <c r="N817" s="17" t="str">
        <f aca="false">IF($C817="","",IF($C817="H",0,IF($C817="G",INDEX(Baseline!$I$3:$I$102,MIN(MAX(ROUND($D817,0),1),100)),IF($C817="T",IF($M817=3,INDEX(Baseline!$B$3:$B$122,MATCH(MIN(MAX(ROUND(($D817)/5,0)*5,5),600),Baseline!$A$3:$A$122,0))-Inputs!$B$9,INDEX(Course!$N$2:$N$19,MATCH($B817,Course!$A$2:$A$19,0))),INDEX(Baseline!$B$3:$E$122,MATCH(MIN(MAX(ROUND(($D817)/5,0)*5,5),600),Baseline!$A$3:$A$122,0),MATCH($C817,Baseline!$B$2:$E$2,0))))))</f>
        <v/>
      </c>
      <c r="O817" s="17" t="str">
        <f aca="false">IF($C817="","",IF($E817="H",0,IF($E817="G",INDEX(Baseline!$I$3:$I$102,MIN(MAX(ROUND($F817,0),1),100)),IF($E817="T",IF($M817=3,INDEX(Baseline!$B$3:$B$122,MATCH(MIN(MAX(ROUND(($F817)/5,0)*5,5),600),Baseline!$A$3:$A$122,0))-Inputs!$B$9,INDEX(Course!$N$2:$N$19,MATCH($B817,Course!$A$2:$A$19,0))),INDEX(Baseline!$B$3:$E$122,MATCH(MIN(MAX(ROUND(($F817)/5,0)*5,5),600),Baseline!$A$3:$A$122,0),MATCH($E817,Baseline!$B$2:$E$2,0))))))</f>
        <v/>
      </c>
      <c r="P817" s="17" t="str">
        <f aca="false">IF($B817="","",INDEX(Course!$N$2:$N$19,MATCH($B817,Course!$A$2:$A$19,0)))</f>
        <v/>
      </c>
      <c r="Q817" s="17" t="str">
        <f aca="false">IF($B817="","",INDEX(Course!$P$2:$P$19,MATCH($B817,Course!$A$2:$A$19,0)))</f>
        <v/>
      </c>
      <c r="R817" s="17" t="str">
        <f aca="false">IF($C817="","",IF(OR($C817="G",$C817="H"),0,IF($C817="T",1,MIN(1,MAX(0,($N817-Inputs!$B$8)/MAX($P817-Inputs!$B$8,0.01))))))</f>
        <v/>
      </c>
      <c r="S817" s="17" t="str">
        <f aca="false">IF($C817="","",IF(OR($E817="G",$E817="H"),0,IF($E817="T",1,MIN(1,MAX(0,($O817-Inputs!$B$8)/MAX($P817-Inputs!$B$8,0.01))))))</f>
        <v/>
      </c>
    </row>
    <row r="818" customFormat="false" ht="15" hidden="false" customHeight="false" outlineLevel="0" collapsed="false">
      <c r="I818" s="7" t="str">
        <f aca="false">IF($C818="","",IF($C818="G","PUTT",IF(AND($C818="T",$M818&gt;3),"OTT",IF($D818&lt;=30,"ARG","APP"))))</f>
        <v/>
      </c>
      <c r="J818" s="17" t="str">
        <f aca="false">IF($C818="","",$N818+$Q818*$R818)</f>
        <v/>
      </c>
      <c r="K818" s="17" t="str">
        <f aca="false">IF($C818="","",$O818+$Q818*$S818)</f>
        <v/>
      </c>
      <c r="L818" s="17" t="str">
        <f aca="false">IF($C818="","",$J818-$K818-1-N($G818))</f>
        <v/>
      </c>
      <c r="M818" s="7" t="str">
        <f aca="false">IF($B818="","",INDEX(Course!$B$2:$B$19,MATCH($B818,Course!$A$2:$A$19,0)))</f>
        <v/>
      </c>
      <c r="N818" s="17" t="str">
        <f aca="false">IF($C818="","",IF($C818="H",0,IF($C818="G",INDEX(Baseline!$I$3:$I$102,MIN(MAX(ROUND($D818,0),1),100)),IF($C818="T",IF($M818=3,INDEX(Baseline!$B$3:$B$122,MATCH(MIN(MAX(ROUND(($D818)/5,0)*5,5),600),Baseline!$A$3:$A$122,0))-Inputs!$B$9,INDEX(Course!$N$2:$N$19,MATCH($B818,Course!$A$2:$A$19,0))),INDEX(Baseline!$B$3:$E$122,MATCH(MIN(MAX(ROUND(($D818)/5,0)*5,5),600),Baseline!$A$3:$A$122,0),MATCH($C818,Baseline!$B$2:$E$2,0))))))</f>
        <v/>
      </c>
      <c r="O818" s="17" t="str">
        <f aca="false">IF($C818="","",IF($E818="H",0,IF($E818="G",INDEX(Baseline!$I$3:$I$102,MIN(MAX(ROUND($F818,0),1),100)),IF($E818="T",IF($M818=3,INDEX(Baseline!$B$3:$B$122,MATCH(MIN(MAX(ROUND(($F818)/5,0)*5,5),600),Baseline!$A$3:$A$122,0))-Inputs!$B$9,INDEX(Course!$N$2:$N$19,MATCH($B818,Course!$A$2:$A$19,0))),INDEX(Baseline!$B$3:$E$122,MATCH(MIN(MAX(ROUND(($F818)/5,0)*5,5),600),Baseline!$A$3:$A$122,0),MATCH($E818,Baseline!$B$2:$E$2,0))))))</f>
        <v/>
      </c>
      <c r="P818" s="17" t="str">
        <f aca="false">IF($B818="","",INDEX(Course!$N$2:$N$19,MATCH($B818,Course!$A$2:$A$19,0)))</f>
        <v/>
      </c>
      <c r="Q818" s="17" t="str">
        <f aca="false">IF($B818="","",INDEX(Course!$P$2:$P$19,MATCH($B818,Course!$A$2:$A$19,0)))</f>
        <v/>
      </c>
      <c r="R818" s="17" t="str">
        <f aca="false">IF($C818="","",IF(OR($C818="G",$C818="H"),0,IF($C818="T",1,MIN(1,MAX(0,($N818-Inputs!$B$8)/MAX($P818-Inputs!$B$8,0.01))))))</f>
        <v/>
      </c>
      <c r="S818" s="17" t="str">
        <f aca="false">IF($C818="","",IF(OR($E818="G",$E818="H"),0,IF($E818="T",1,MIN(1,MAX(0,($O818-Inputs!$B$8)/MAX($P818-Inputs!$B$8,0.01))))))</f>
        <v/>
      </c>
    </row>
    <row r="819" customFormat="false" ht="15" hidden="false" customHeight="false" outlineLevel="0" collapsed="false">
      <c r="I819" s="7" t="str">
        <f aca="false">IF($C819="","",IF($C819="G","PUTT",IF(AND($C819="T",$M819&gt;3),"OTT",IF($D819&lt;=30,"ARG","APP"))))</f>
        <v/>
      </c>
      <c r="J819" s="17" t="str">
        <f aca="false">IF($C819="","",$N819+$Q819*$R819)</f>
        <v/>
      </c>
      <c r="K819" s="17" t="str">
        <f aca="false">IF($C819="","",$O819+$Q819*$S819)</f>
        <v/>
      </c>
      <c r="L819" s="17" t="str">
        <f aca="false">IF($C819="","",$J819-$K819-1-N($G819))</f>
        <v/>
      </c>
      <c r="M819" s="7" t="str">
        <f aca="false">IF($B819="","",INDEX(Course!$B$2:$B$19,MATCH($B819,Course!$A$2:$A$19,0)))</f>
        <v/>
      </c>
      <c r="N819" s="17" t="str">
        <f aca="false">IF($C819="","",IF($C819="H",0,IF($C819="G",INDEX(Baseline!$I$3:$I$102,MIN(MAX(ROUND($D819,0),1),100)),IF($C819="T",IF($M819=3,INDEX(Baseline!$B$3:$B$122,MATCH(MIN(MAX(ROUND(($D819)/5,0)*5,5),600),Baseline!$A$3:$A$122,0))-Inputs!$B$9,INDEX(Course!$N$2:$N$19,MATCH($B819,Course!$A$2:$A$19,0))),INDEX(Baseline!$B$3:$E$122,MATCH(MIN(MAX(ROUND(($D819)/5,0)*5,5),600),Baseline!$A$3:$A$122,0),MATCH($C819,Baseline!$B$2:$E$2,0))))))</f>
        <v/>
      </c>
      <c r="O819" s="17" t="str">
        <f aca="false">IF($C819="","",IF($E819="H",0,IF($E819="G",INDEX(Baseline!$I$3:$I$102,MIN(MAX(ROUND($F819,0),1),100)),IF($E819="T",IF($M819=3,INDEX(Baseline!$B$3:$B$122,MATCH(MIN(MAX(ROUND(($F819)/5,0)*5,5),600),Baseline!$A$3:$A$122,0))-Inputs!$B$9,INDEX(Course!$N$2:$N$19,MATCH($B819,Course!$A$2:$A$19,0))),INDEX(Baseline!$B$3:$E$122,MATCH(MIN(MAX(ROUND(($F819)/5,0)*5,5),600),Baseline!$A$3:$A$122,0),MATCH($E819,Baseline!$B$2:$E$2,0))))))</f>
        <v/>
      </c>
      <c r="P819" s="17" t="str">
        <f aca="false">IF($B819="","",INDEX(Course!$N$2:$N$19,MATCH($B819,Course!$A$2:$A$19,0)))</f>
        <v/>
      </c>
      <c r="Q819" s="17" t="str">
        <f aca="false">IF($B819="","",INDEX(Course!$P$2:$P$19,MATCH($B819,Course!$A$2:$A$19,0)))</f>
        <v/>
      </c>
      <c r="R819" s="17" t="str">
        <f aca="false">IF($C819="","",IF(OR($C819="G",$C819="H"),0,IF($C819="T",1,MIN(1,MAX(0,($N819-Inputs!$B$8)/MAX($P819-Inputs!$B$8,0.01))))))</f>
        <v/>
      </c>
      <c r="S819" s="17" t="str">
        <f aca="false">IF($C819="","",IF(OR($E819="G",$E819="H"),0,IF($E819="T",1,MIN(1,MAX(0,($O819-Inputs!$B$8)/MAX($P819-Inputs!$B$8,0.01))))))</f>
        <v/>
      </c>
    </row>
    <row r="820" customFormat="false" ht="15" hidden="false" customHeight="false" outlineLevel="0" collapsed="false">
      <c r="I820" s="7" t="str">
        <f aca="false">IF($C820="","",IF($C820="G","PUTT",IF(AND($C820="T",$M820&gt;3),"OTT",IF($D820&lt;=30,"ARG","APP"))))</f>
        <v/>
      </c>
      <c r="J820" s="17" t="str">
        <f aca="false">IF($C820="","",$N820+$Q820*$R820)</f>
        <v/>
      </c>
      <c r="K820" s="17" t="str">
        <f aca="false">IF($C820="","",$O820+$Q820*$S820)</f>
        <v/>
      </c>
      <c r="L820" s="17" t="str">
        <f aca="false">IF($C820="","",$J820-$K820-1-N($G820))</f>
        <v/>
      </c>
      <c r="M820" s="7" t="str">
        <f aca="false">IF($B820="","",INDEX(Course!$B$2:$B$19,MATCH($B820,Course!$A$2:$A$19,0)))</f>
        <v/>
      </c>
      <c r="N820" s="17" t="str">
        <f aca="false">IF($C820="","",IF($C820="H",0,IF($C820="G",INDEX(Baseline!$I$3:$I$102,MIN(MAX(ROUND($D820,0),1),100)),IF($C820="T",IF($M820=3,INDEX(Baseline!$B$3:$B$122,MATCH(MIN(MAX(ROUND(($D820)/5,0)*5,5),600),Baseline!$A$3:$A$122,0))-Inputs!$B$9,INDEX(Course!$N$2:$N$19,MATCH($B820,Course!$A$2:$A$19,0))),INDEX(Baseline!$B$3:$E$122,MATCH(MIN(MAX(ROUND(($D820)/5,0)*5,5),600),Baseline!$A$3:$A$122,0),MATCH($C820,Baseline!$B$2:$E$2,0))))))</f>
        <v/>
      </c>
      <c r="O820" s="17" t="str">
        <f aca="false">IF($C820="","",IF($E820="H",0,IF($E820="G",INDEX(Baseline!$I$3:$I$102,MIN(MAX(ROUND($F820,0),1),100)),IF($E820="T",IF($M820=3,INDEX(Baseline!$B$3:$B$122,MATCH(MIN(MAX(ROUND(($F820)/5,0)*5,5),600),Baseline!$A$3:$A$122,0))-Inputs!$B$9,INDEX(Course!$N$2:$N$19,MATCH($B820,Course!$A$2:$A$19,0))),INDEX(Baseline!$B$3:$E$122,MATCH(MIN(MAX(ROUND(($F820)/5,0)*5,5),600),Baseline!$A$3:$A$122,0),MATCH($E820,Baseline!$B$2:$E$2,0))))))</f>
        <v/>
      </c>
      <c r="P820" s="17" t="str">
        <f aca="false">IF($B820="","",INDEX(Course!$N$2:$N$19,MATCH($B820,Course!$A$2:$A$19,0)))</f>
        <v/>
      </c>
      <c r="Q820" s="17" t="str">
        <f aca="false">IF($B820="","",INDEX(Course!$P$2:$P$19,MATCH($B820,Course!$A$2:$A$19,0)))</f>
        <v/>
      </c>
      <c r="R820" s="17" t="str">
        <f aca="false">IF($C820="","",IF(OR($C820="G",$C820="H"),0,IF($C820="T",1,MIN(1,MAX(0,($N820-Inputs!$B$8)/MAX($P820-Inputs!$B$8,0.01))))))</f>
        <v/>
      </c>
      <c r="S820" s="17" t="str">
        <f aca="false">IF($C820="","",IF(OR($E820="G",$E820="H"),0,IF($E820="T",1,MIN(1,MAX(0,($O820-Inputs!$B$8)/MAX($P820-Inputs!$B$8,0.01))))))</f>
        <v/>
      </c>
    </row>
    <row r="821" customFormat="false" ht="15" hidden="false" customHeight="false" outlineLevel="0" collapsed="false">
      <c r="I821" s="7" t="str">
        <f aca="false">IF($C821="","",IF($C821="G","PUTT",IF(AND($C821="T",$M821&gt;3),"OTT",IF($D821&lt;=30,"ARG","APP"))))</f>
        <v/>
      </c>
      <c r="J821" s="17" t="str">
        <f aca="false">IF($C821="","",$N821+$Q821*$R821)</f>
        <v/>
      </c>
      <c r="K821" s="17" t="str">
        <f aca="false">IF($C821="","",$O821+$Q821*$S821)</f>
        <v/>
      </c>
      <c r="L821" s="17" t="str">
        <f aca="false">IF($C821="","",$J821-$K821-1-N($G821))</f>
        <v/>
      </c>
      <c r="M821" s="7" t="str">
        <f aca="false">IF($B821="","",INDEX(Course!$B$2:$B$19,MATCH($B821,Course!$A$2:$A$19,0)))</f>
        <v/>
      </c>
      <c r="N821" s="17" t="str">
        <f aca="false">IF($C821="","",IF($C821="H",0,IF($C821="G",INDEX(Baseline!$I$3:$I$102,MIN(MAX(ROUND($D821,0),1),100)),IF($C821="T",IF($M821=3,INDEX(Baseline!$B$3:$B$122,MATCH(MIN(MAX(ROUND(($D821)/5,0)*5,5),600),Baseline!$A$3:$A$122,0))-Inputs!$B$9,INDEX(Course!$N$2:$N$19,MATCH($B821,Course!$A$2:$A$19,0))),INDEX(Baseline!$B$3:$E$122,MATCH(MIN(MAX(ROUND(($D821)/5,0)*5,5),600),Baseline!$A$3:$A$122,0),MATCH($C821,Baseline!$B$2:$E$2,0))))))</f>
        <v/>
      </c>
      <c r="O821" s="17" t="str">
        <f aca="false">IF($C821="","",IF($E821="H",0,IF($E821="G",INDEX(Baseline!$I$3:$I$102,MIN(MAX(ROUND($F821,0),1),100)),IF($E821="T",IF($M821=3,INDEX(Baseline!$B$3:$B$122,MATCH(MIN(MAX(ROUND(($F821)/5,0)*5,5),600),Baseline!$A$3:$A$122,0))-Inputs!$B$9,INDEX(Course!$N$2:$N$19,MATCH($B821,Course!$A$2:$A$19,0))),INDEX(Baseline!$B$3:$E$122,MATCH(MIN(MAX(ROUND(($F821)/5,0)*5,5),600),Baseline!$A$3:$A$122,0),MATCH($E821,Baseline!$B$2:$E$2,0))))))</f>
        <v/>
      </c>
      <c r="P821" s="17" t="str">
        <f aca="false">IF($B821="","",INDEX(Course!$N$2:$N$19,MATCH($B821,Course!$A$2:$A$19,0)))</f>
        <v/>
      </c>
      <c r="Q821" s="17" t="str">
        <f aca="false">IF($B821="","",INDEX(Course!$P$2:$P$19,MATCH($B821,Course!$A$2:$A$19,0)))</f>
        <v/>
      </c>
      <c r="R821" s="17" t="str">
        <f aca="false">IF($C821="","",IF(OR($C821="G",$C821="H"),0,IF($C821="T",1,MIN(1,MAX(0,($N821-Inputs!$B$8)/MAX($P821-Inputs!$B$8,0.01))))))</f>
        <v/>
      </c>
      <c r="S821" s="17" t="str">
        <f aca="false">IF($C821="","",IF(OR($E821="G",$E821="H"),0,IF($E821="T",1,MIN(1,MAX(0,($O821-Inputs!$B$8)/MAX($P821-Inputs!$B$8,0.01))))))</f>
        <v/>
      </c>
    </row>
    <row r="822" customFormat="false" ht="15" hidden="false" customHeight="false" outlineLevel="0" collapsed="false">
      <c r="I822" s="7" t="str">
        <f aca="false">IF($C822="","",IF($C822="G","PUTT",IF(AND($C822="T",$M822&gt;3),"OTT",IF($D822&lt;=30,"ARG","APP"))))</f>
        <v/>
      </c>
      <c r="J822" s="17" t="str">
        <f aca="false">IF($C822="","",$N822+$Q822*$R822)</f>
        <v/>
      </c>
      <c r="K822" s="17" t="str">
        <f aca="false">IF($C822="","",$O822+$Q822*$S822)</f>
        <v/>
      </c>
      <c r="L822" s="17" t="str">
        <f aca="false">IF($C822="","",$J822-$K822-1-N($G822))</f>
        <v/>
      </c>
      <c r="M822" s="7" t="str">
        <f aca="false">IF($B822="","",INDEX(Course!$B$2:$B$19,MATCH($B822,Course!$A$2:$A$19,0)))</f>
        <v/>
      </c>
      <c r="N822" s="17" t="str">
        <f aca="false">IF($C822="","",IF($C822="H",0,IF($C822="G",INDEX(Baseline!$I$3:$I$102,MIN(MAX(ROUND($D822,0),1),100)),IF($C822="T",IF($M822=3,INDEX(Baseline!$B$3:$B$122,MATCH(MIN(MAX(ROUND(($D822)/5,0)*5,5),600),Baseline!$A$3:$A$122,0))-Inputs!$B$9,INDEX(Course!$N$2:$N$19,MATCH($B822,Course!$A$2:$A$19,0))),INDEX(Baseline!$B$3:$E$122,MATCH(MIN(MAX(ROUND(($D822)/5,0)*5,5),600),Baseline!$A$3:$A$122,0),MATCH($C822,Baseline!$B$2:$E$2,0))))))</f>
        <v/>
      </c>
      <c r="O822" s="17" t="str">
        <f aca="false">IF($C822="","",IF($E822="H",0,IF($E822="G",INDEX(Baseline!$I$3:$I$102,MIN(MAX(ROUND($F822,0),1),100)),IF($E822="T",IF($M822=3,INDEX(Baseline!$B$3:$B$122,MATCH(MIN(MAX(ROUND(($F822)/5,0)*5,5),600),Baseline!$A$3:$A$122,0))-Inputs!$B$9,INDEX(Course!$N$2:$N$19,MATCH($B822,Course!$A$2:$A$19,0))),INDEX(Baseline!$B$3:$E$122,MATCH(MIN(MAX(ROUND(($F822)/5,0)*5,5),600),Baseline!$A$3:$A$122,0),MATCH($E822,Baseline!$B$2:$E$2,0))))))</f>
        <v/>
      </c>
      <c r="P822" s="17" t="str">
        <f aca="false">IF($B822="","",INDEX(Course!$N$2:$N$19,MATCH($B822,Course!$A$2:$A$19,0)))</f>
        <v/>
      </c>
      <c r="Q822" s="17" t="str">
        <f aca="false">IF($B822="","",INDEX(Course!$P$2:$P$19,MATCH($B822,Course!$A$2:$A$19,0)))</f>
        <v/>
      </c>
      <c r="R822" s="17" t="str">
        <f aca="false">IF($C822="","",IF(OR($C822="G",$C822="H"),0,IF($C822="T",1,MIN(1,MAX(0,($N822-Inputs!$B$8)/MAX($P822-Inputs!$B$8,0.01))))))</f>
        <v/>
      </c>
      <c r="S822" s="17" t="str">
        <f aca="false">IF($C822="","",IF(OR($E822="G",$E822="H"),0,IF($E822="T",1,MIN(1,MAX(0,($O822-Inputs!$B$8)/MAX($P822-Inputs!$B$8,0.01))))))</f>
        <v/>
      </c>
    </row>
    <row r="823" customFormat="false" ht="15" hidden="false" customHeight="false" outlineLevel="0" collapsed="false">
      <c r="I823" s="7" t="str">
        <f aca="false">IF($C823="","",IF($C823="G","PUTT",IF(AND($C823="T",$M823&gt;3),"OTT",IF($D823&lt;=30,"ARG","APP"))))</f>
        <v/>
      </c>
      <c r="J823" s="17" t="str">
        <f aca="false">IF($C823="","",$N823+$Q823*$R823)</f>
        <v/>
      </c>
      <c r="K823" s="17" t="str">
        <f aca="false">IF($C823="","",$O823+$Q823*$S823)</f>
        <v/>
      </c>
      <c r="L823" s="17" t="str">
        <f aca="false">IF($C823="","",$J823-$K823-1-N($G823))</f>
        <v/>
      </c>
      <c r="M823" s="7" t="str">
        <f aca="false">IF($B823="","",INDEX(Course!$B$2:$B$19,MATCH($B823,Course!$A$2:$A$19,0)))</f>
        <v/>
      </c>
      <c r="N823" s="17" t="str">
        <f aca="false">IF($C823="","",IF($C823="H",0,IF($C823="G",INDEX(Baseline!$I$3:$I$102,MIN(MAX(ROUND($D823,0),1),100)),IF($C823="T",IF($M823=3,INDEX(Baseline!$B$3:$B$122,MATCH(MIN(MAX(ROUND(($D823)/5,0)*5,5),600),Baseline!$A$3:$A$122,0))-Inputs!$B$9,INDEX(Course!$N$2:$N$19,MATCH($B823,Course!$A$2:$A$19,0))),INDEX(Baseline!$B$3:$E$122,MATCH(MIN(MAX(ROUND(($D823)/5,0)*5,5),600),Baseline!$A$3:$A$122,0),MATCH($C823,Baseline!$B$2:$E$2,0))))))</f>
        <v/>
      </c>
      <c r="O823" s="17" t="str">
        <f aca="false">IF($C823="","",IF($E823="H",0,IF($E823="G",INDEX(Baseline!$I$3:$I$102,MIN(MAX(ROUND($F823,0),1),100)),IF($E823="T",IF($M823=3,INDEX(Baseline!$B$3:$B$122,MATCH(MIN(MAX(ROUND(($F823)/5,0)*5,5),600),Baseline!$A$3:$A$122,0))-Inputs!$B$9,INDEX(Course!$N$2:$N$19,MATCH($B823,Course!$A$2:$A$19,0))),INDEX(Baseline!$B$3:$E$122,MATCH(MIN(MAX(ROUND(($F823)/5,0)*5,5),600),Baseline!$A$3:$A$122,0),MATCH($E823,Baseline!$B$2:$E$2,0))))))</f>
        <v/>
      </c>
      <c r="P823" s="17" t="str">
        <f aca="false">IF($B823="","",INDEX(Course!$N$2:$N$19,MATCH($B823,Course!$A$2:$A$19,0)))</f>
        <v/>
      </c>
      <c r="Q823" s="17" t="str">
        <f aca="false">IF($B823="","",INDEX(Course!$P$2:$P$19,MATCH($B823,Course!$A$2:$A$19,0)))</f>
        <v/>
      </c>
      <c r="R823" s="17" t="str">
        <f aca="false">IF($C823="","",IF(OR($C823="G",$C823="H"),0,IF($C823="T",1,MIN(1,MAX(0,($N823-Inputs!$B$8)/MAX($P823-Inputs!$B$8,0.01))))))</f>
        <v/>
      </c>
      <c r="S823" s="17" t="str">
        <f aca="false">IF($C823="","",IF(OR($E823="G",$E823="H"),0,IF($E823="T",1,MIN(1,MAX(0,($O823-Inputs!$B$8)/MAX($P823-Inputs!$B$8,0.01))))))</f>
        <v/>
      </c>
    </row>
    <row r="824" customFormat="false" ht="15" hidden="false" customHeight="false" outlineLevel="0" collapsed="false">
      <c r="I824" s="7" t="str">
        <f aca="false">IF($C824="","",IF($C824="G","PUTT",IF(AND($C824="T",$M824&gt;3),"OTT",IF($D824&lt;=30,"ARG","APP"))))</f>
        <v/>
      </c>
      <c r="J824" s="17" t="str">
        <f aca="false">IF($C824="","",$N824+$Q824*$R824)</f>
        <v/>
      </c>
      <c r="K824" s="17" t="str">
        <f aca="false">IF($C824="","",$O824+$Q824*$S824)</f>
        <v/>
      </c>
      <c r="L824" s="17" t="str">
        <f aca="false">IF($C824="","",$J824-$K824-1-N($G824))</f>
        <v/>
      </c>
      <c r="M824" s="7" t="str">
        <f aca="false">IF($B824="","",INDEX(Course!$B$2:$B$19,MATCH($B824,Course!$A$2:$A$19,0)))</f>
        <v/>
      </c>
      <c r="N824" s="17" t="str">
        <f aca="false">IF($C824="","",IF($C824="H",0,IF($C824="G",INDEX(Baseline!$I$3:$I$102,MIN(MAX(ROUND($D824,0),1),100)),IF($C824="T",IF($M824=3,INDEX(Baseline!$B$3:$B$122,MATCH(MIN(MAX(ROUND(($D824)/5,0)*5,5),600),Baseline!$A$3:$A$122,0))-Inputs!$B$9,INDEX(Course!$N$2:$N$19,MATCH($B824,Course!$A$2:$A$19,0))),INDEX(Baseline!$B$3:$E$122,MATCH(MIN(MAX(ROUND(($D824)/5,0)*5,5),600),Baseline!$A$3:$A$122,0),MATCH($C824,Baseline!$B$2:$E$2,0))))))</f>
        <v/>
      </c>
      <c r="O824" s="17" t="str">
        <f aca="false">IF($C824="","",IF($E824="H",0,IF($E824="G",INDEX(Baseline!$I$3:$I$102,MIN(MAX(ROUND($F824,0),1),100)),IF($E824="T",IF($M824=3,INDEX(Baseline!$B$3:$B$122,MATCH(MIN(MAX(ROUND(($F824)/5,0)*5,5),600),Baseline!$A$3:$A$122,0))-Inputs!$B$9,INDEX(Course!$N$2:$N$19,MATCH($B824,Course!$A$2:$A$19,0))),INDEX(Baseline!$B$3:$E$122,MATCH(MIN(MAX(ROUND(($F824)/5,0)*5,5),600),Baseline!$A$3:$A$122,0),MATCH($E824,Baseline!$B$2:$E$2,0))))))</f>
        <v/>
      </c>
      <c r="P824" s="17" t="str">
        <f aca="false">IF($B824="","",INDEX(Course!$N$2:$N$19,MATCH($B824,Course!$A$2:$A$19,0)))</f>
        <v/>
      </c>
      <c r="Q824" s="17" t="str">
        <f aca="false">IF($B824="","",INDEX(Course!$P$2:$P$19,MATCH($B824,Course!$A$2:$A$19,0)))</f>
        <v/>
      </c>
      <c r="R824" s="17" t="str">
        <f aca="false">IF($C824="","",IF(OR($C824="G",$C824="H"),0,IF($C824="T",1,MIN(1,MAX(0,($N824-Inputs!$B$8)/MAX($P824-Inputs!$B$8,0.01))))))</f>
        <v/>
      </c>
      <c r="S824" s="17" t="str">
        <f aca="false">IF($C824="","",IF(OR($E824="G",$E824="H"),0,IF($E824="T",1,MIN(1,MAX(0,($O824-Inputs!$B$8)/MAX($P824-Inputs!$B$8,0.01))))))</f>
        <v/>
      </c>
    </row>
    <row r="825" customFormat="false" ht="15" hidden="false" customHeight="false" outlineLevel="0" collapsed="false">
      <c r="I825" s="7" t="str">
        <f aca="false">IF($C825="","",IF($C825="G","PUTT",IF(AND($C825="T",$M825&gt;3),"OTT",IF($D825&lt;=30,"ARG","APP"))))</f>
        <v/>
      </c>
      <c r="J825" s="17" t="str">
        <f aca="false">IF($C825="","",$N825+$Q825*$R825)</f>
        <v/>
      </c>
      <c r="K825" s="17" t="str">
        <f aca="false">IF($C825="","",$O825+$Q825*$S825)</f>
        <v/>
      </c>
      <c r="L825" s="17" t="str">
        <f aca="false">IF($C825="","",$J825-$K825-1-N($G825))</f>
        <v/>
      </c>
      <c r="M825" s="7" t="str">
        <f aca="false">IF($B825="","",INDEX(Course!$B$2:$B$19,MATCH($B825,Course!$A$2:$A$19,0)))</f>
        <v/>
      </c>
      <c r="N825" s="17" t="str">
        <f aca="false">IF($C825="","",IF($C825="H",0,IF($C825="G",INDEX(Baseline!$I$3:$I$102,MIN(MAX(ROUND($D825,0),1),100)),IF($C825="T",IF($M825=3,INDEX(Baseline!$B$3:$B$122,MATCH(MIN(MAX(ROUND(($D825)/5,0)*5,5),600),Baseline!$A$3:$A$122,0))-Inputs!$B$9,INDEX(Course!$N$2:$N$19,MATCH($B825,Course!$A$2:$A$19,0))),INDEX(Baseline!$B$3:$E$122,MATCH(MIN(MAX(ROUND(($D825)/5,0)*5,5),600),Baseline!$A$3:$A$122,0),MATCH($C825,Baseline!$B$2:$E$2,0))))))</f>
        <v/>
      </c>
      <c r="O825" s="17" t="str">
        <f aca="false">IF($C825="","",IF($E825="H",0,IF($E825="G",INDEX(Baseline!$I$3:$I$102,MIN(MAX(ROUND($F825,0),1),100)),IF($E825="T",IF($M825=3,INDEX(Baseline!$B$3:$B$122,MATCH(MIN(MAX(ROUND(($F825)/5,0)*5,5),600),Baseline!$A$3:$A$122,0))-Inputs!$B$9,INDEX(Course!$N$2:$N$19,MATCH($B825,Course!$A$2:$A$19,0))),INDEX(Baseline!$B$3:$E$122,MATCH(MIN(MAX(ROUND(($F825)/5,0)*5,5),600),Baseline!$A$3:$A$122,0),MATCH($E825,Baseline!$B$2:$E$2,0))))))</f>
        <v/>
      </c>
      <c r="P825" s="17" t="str">
        <f aca="false">IF($B825="","",INDEX(Course!$N$2:$N$19,MATCH($B825,Course!$A$2:$A$19,0)))</f>
        <v/>
      </c>
      <c r="Q825" s="17" t="str">
        <f aca="false">IF($B825="","",INDEX(Course!$P$2:$P$19,MATCH($B825,Course!$A$2:$A$19,0)))</f>
        <v/>
      </c>
      <c r="R825" s="17" t="str">
        <f aca="false">IF($C825="","",IF(OR($C825="G",$C825="H"),0,IF($C825="T",1,MIN(1,MAX(0,($N825-Inputs!$B$8)/MAX($P825-Inputs!$B$8,0.01))))))</f>
        <v/>
      </c>
      <c r="S825" s="17" t="str">
        <f aca="false">IF($C825="","",IF(OR($E825="G",$E825="H"),0,IF($E825="T",1,MIN(1,MAX(0,($O825-Inputs!$B$8)/MAX($P825-Inputs!$B$8,0.01))))))</f>
        <v/>
      </c>
    </row>
    <row r="826" customFormat="false" ht="15" hidden="false" customHeight="false" outlineLevel="0" collapsed="false">
      <c r="I826" s="7" t="str">
        <f aca="false">IF($C826="","",IF($C826="G","PUTT",IF(AND($C826="T",$M826&gt;3),"OTT",IF($D826&lt;=30,"ARG","APP"))))</f>
        <v/>
      </c>
      <c r="J826" s="17" t="str">
        <f aca="false">IF($C826="","",$N826+$Q826*$R826)</f>
        <v/>
      </c>
      <c r="K826" s="17" t="str">
        <f aca="false">IF($C826="","",$O826+$Q826*$S826)</f>
        <v/>
      </c>
      <c r="L826" s="17" t="str">
        <f aca="false">IF($C826="","",$J826-$K826-1-N($G826))</f>
        <v/>
      </c>
      <c r="M826" s="7" t="str">
        <f aca="false">IF($B826="","",INDEX(Course!$B$2:$B$19,MATCH($B826,Course!$A$2:$A$19,0)))</f>
        <v/>
      </c>
      <c r="N826" s="17" t="str">
        <f aca="false">IF($C826="","",IF($C826="H",0,IF($C826="G",INDEX(Baseline!$I$3:$I$102,MIN(MAX(ROUND($D826,0),1),100)),IF($C826="T",IF($M826=3,INDEX(Baseline!$B$3:$B$122,MATCH(MIN(MAX(ROUND(($D826)/5,0)*5,5),600),Baseline!$A$3:$A$122,0))-Inputs!$B$9,INDEX(Course!$N$2:$N$19,MATCH($B826,Course!$A$2:$A$19,0))),INDEX(Baseline!$B$3:$E$122,MATCH(MIN(MAX(ROUND(($D826)/5,0)*5,5),600),Baseline!$A$3:$A$122,0),MATCH($C826,Baseline!$B$2:$E$2,0))))))</f>
        <v/>
      </c>
      <c r="O826" s="17" t="str">
        <f aca="false">IF($C826="","",IF($E826="H",0,IF($E826="G",INDEX(Baseline!$I$3:$I$102,MIN(MAX(ROUND($F826,0),1),100)),IF($E826="T",IF($M826=3,INDEX(Baseline!$B$3:$B$122,MATCH(MIN(MAX(ROUND(($F826)/5,0)*5,5),600),Baseline!$A$3:$A$122,0))-Inputs!$B$9,INDEX(Course!$N$2:$N$19,MATCH($B826,Course!$A$2:$A$19,0))),INDEX(Baseline!$B$3:$E$122,MATCH(MIN(MAX(ROUND(($F826)/5,0)*5,5),600),Baseline!$A$3:$A$122,0),MATCH($E826,Baseline!$B$2:$E$2,0))))))</f>
        <v/>
      </c>
      <c r="P826" s="17" t="str">
        <f aca="false">IF($B826="","",INDEX(Course!$N$2:$N$19,MATCH($B826,Course!$A$2:$A$19,0)))</f>
        <v/>
      </c>
      <c r="Q826" s="17" t="str">
        <f aca="false">IF($B826="","",INDEX(Course!$P$2:$P$19,MATCH($B826,Course!$A$2:$A$19,0)))</f>
        <v/>
      </c>
      <c r="R826" s="17" t="str">
        <f aca="false">IF($C826="","",IF(OR($C826="G",$C826="H"),0,IF($C826="T",1,MIN(1,MAX(0,($N826-Inputs!$B$8)/MAX($P826-Inputs!$B$8,0.01))))))</f>
        <v/>
      </c>
      <c r="S826" s="17" t="str">
        <f aca="false">IF($C826="","",IF(OR($E826="G",$E826="H"),0,IF($E826="T",1,MIN(1,MAX(0,($O826-Inputs!$B$8)/MAX($P826-Inputs!$B$8,0.01))))))</f>
        <v/>
      </c>
    </row>
    <row r="827" customFormat="false" ht="15" hidden="false" customHeight="false" outlineLevel="0" collapsed="false">
      <c r="I827" s="7" t="str">
        <f aca="false">IF($C827="","",IF($C827="G","PUTT",IF(AND($C827="T",$M827&gt;3),"OTT",IF($D827&lt;=30,"ARG","APP"))))</f>
        <v/>
      </c>
      <c r="J827" s="17" t="str">
        <f aca="false">IF($C827="","",$N827+$Q827*$R827)</f>
        <v/>
      </c>
      <c r="K827" s="17" t="str">
        <f aca="false">IF($C827="","",$O827+$Q827*$S827)</f>
        <v/>
      </c>
      <c r="L827" s="17" t="str">
        <f aca="false">IF($C827="","",$J827-$K827-1-N($G827))</f>
        <v/>
      </c>
      <c r="M827" s="7" t="str">
        <f aca="false">IF($B827="","",INDEX(Course!$B$2:$B$19,MATCH($B827,Course!$A$2:$A$19,0)))</f>
        <v/>
      </c>
      <c r="N827" s="17" t="str">
        <f aca="false">IF($C827="","",IF($C827="H",0,IF($C827="G",INDEX(Baseline!$I$3:$I$102,MIN(MAX(ROUND($D827,0),1),100)),IF($C827="T",IF($M827=3,INDEX(Baseline!$B$3:$B$122,MATCH(MIN(MAX(ROUND(($D827)/5,0)*5,5),600),Baseline!$A$3:$A$122,0))-Inputs!$B$9,INDEX(Course!$N$2:$N$19,MATCH($B827,Course!$A$2:$A$19,0))),INDEX(Baseline!$B$3:$E$122,MATCH(MIN(MAX(ROUND(($D827)/5,0)*5,5),600),Baseline!$A$3:$A$122,0),MATCH($C827,Baseline!$B$2:$E$2,0))))))</f>
        <v/>
      </c>
      <c r="O827" s="17" t="str">
        <f aca="false">IF($C827="","",IF($E827="H",0,IF($E827="G",INDEX(Baseline!$I$3:$I$102,MIN(MAX(ROUND($F827,0),1),100)),IF($E827="T",IF($M827=3,INDEX(Baseline!$B$3:$B$122,MATCH(MIN(MAX(ROUND(($F827)/5,0)*5,5),600),Baseline!$A$3:$A$122,0))-Inputs!$B$9,INDEX(Course!$N$2:$N$19,MATCH($B827,Course!$A$2:$A$19,0))),INDEX(Baseline!$B$3:$E$122,MATCH(MIN(MAX(ROUND(($F827)/5,0)*5,5),600),Baseline!$A$3:$A$122,0),MATCH($E827,Baseline!$B$2:$E$2,0))))))</f>
        <v/>
      </c>
      <c r="P827" s="17" t="str">
        <f aca="false">IF($B827="","",INDEX(Course!$N$2:$N$19,MATCH($B827,Course!$A$2:$A$19,0)))</f>
        <v/>
      </c>
      <c r="Q827" s="17" t="str">
        <f aca="false">IF($B827="","",INDEX(Course!$P$2:$P$19,MATCH($B827,Course!$A$2:$A$19,0)))</f>
        <v/>
      </c>
      <c r="R827" s="17" t="str">
        <f aca="false">IF($C827="","",IF(OR($C827="G",$C827="H"),0,IF($C827="T",1,MIN(1,MAX(0,($N827-Inputs!$B$8)/MAX($P827-Inputs!$B$8,0.01))))))</f>
        <v/>
      </c>
      <c r="S827" s="17" t="str">
        <f aca="false">IF($C827="","",IF(OR($E827="G",$E827="H"),0,IF($E827="T",1,MIN(1,MAX(0,($O827-Inputs!$B$8)/MAX($P827-Inputs!$B$8,0.01))))))</f>
        <v/>
      </c>
    </row>
    <row r="828" customFormat="false" ht="15" hidden="false" customHeight="false" outlineLevel="0" collapsed="false">
      <c r="I828" s="7" t="str">
        <f aca="false">IF($C828="","",IF($C828="G","PUTT",IF(AND($C828="T",$M828&gt;3),"OTT",IF($D828&lt;=30,"ARG","APP"))))</f>
        <v/>
      </c>
      <c r="J828" s="17" t="str">
        <f aca="false">IF($C828="","",$N828+$Q828*$R828)</f>
        <v/>
      </c>
      <c r="K828" s="17" t="str">
        <f aca="false">IF($C828="","",$O828+$Q828*$S828)</f>
        <v/>
      </c>
      <c r="L828" s="17" t="str">
        <f aca="false">IF($C828="","",$J828-$K828-1-N($G828))</f>
        <v/>
      </c>
      <c r="M828" s="7" t="str">
        <f aca="false">IF($B828="","",INDEX(Course!$B$2:$B$19,MATCH($B828,Course!$A$2:$A$19,0)))</f>
        <v/>
      </c>
      <c r="N828" s="17" t="str">
        <f aca="false">IF($C828="","",IF($C828="H",0,IF($C828="G",INDEX(Baseline!$I$3:$I$102,MIN(MAX(ROUND($D828,0),1),100)),IF($C828="T",IF($M828=3,INDEX(Baseline!$B$3:$B$122,MATCH(MIN(MAX(ROUND(($D828)/5,0)*5,5),600),Baseline!$A$3:$A$122,0))-Inputs!$B$9,INDEX(Course!$N$2:$N$19,MATCH($B828,Course!$A$2:$A$19,0))),INDEX(Baseline!$B$3:$E$122,MATCH(MIN(MAX(ROUND(($D828)/5,0)*5,5),600),Baseline!$A$3:$A$122,0),MATCH($C828,Baseline!$B$2:$E$2,0))))))</f>
        <v/>
      </c>
      <c r="O828" s="17" t="str">
        <f aca="false">IF($C828="","",IF($E828="H",0,IF($E828="G",INDEX(Baseline!$I$3:$I$102,MIN(MAX(ROUND($F828,0),1),100)),IF($E828="T",IF($M828=3,INDEX(Baseline!$B$3:$B$122,MATCH(MIN(MAX(ROUND(($F828)/5,0)*5,5),600),Baseline!$A$3:$A$122,0))-Inputs!$B$9,INDEX(Course!$N$2:$N$19,MATCH($B828,Course!$A$2:$A$19,0))),INDEX(Baseline!$B$3:$E$122,MATCH(MIN(MAX(ROUND(($F828)/5,0)*5,5),600),Baseline!$A$3:$A$122,0),MATCH($E828,Baseline!$B$2:$E$2,0))))))</f>
        <v/>
      </c>
      <c r="P828" s="17" t="str">
        <f aca="false">IF($B828="","",INDEX(Course!$N$2:$N$19,MATCH($B828,Course!$A$2:$A$19,0)))</f>
        <v/>
      </c>
      <c r="Q828" s="17" t="str">
        <f aca="false">IF($B828="","",INDEX(Course!$P$2:$P$19,MATCH($B828,Course!$A$2:$A$19,0)))</f>
        <v/>
      </c>
      <c r="R828" s="17" t="str">
        <f aca="false">IF($C828="","",IF(OR($C828="G",$C828="H"),0,IF($C828="T",1,MIN(1,MAX(0,($N828-Inputs!$B$8)/MAX($P828-Inputs!$B$8,0.01))))))</f>
        <v/>
      </c>
      <c r="S828" s="17" t="str">
        <f aca="false">IF($C828="","",IF(OR($E828="G",$E828="H"),0,IF($E828="T",1,MIN(1,MAX(0,($O828-Inputs!$B$8)/MAX($P828-Inputs!$B$8,0.01))))))</f>
        <v/>
      </c>
    </row>
    <row r="829" customFormat="false" ht="15" hidden="false" customHeight="false" outlineLevel="0" collapsed="false">
      <c r="I829" s="7" t="str">
        <f aca="false">IF($C829="","",IF($C829="G","PUTT",IF(AND($C829="T",$M829&gt;3),"OTT",IF($D829&lt;=30,"ARG","APP"))))</f>
        <v/>
      </c>
      <c r="J829" s="17" t="str">
        <f aca="false">IF($C829="","",$N829+$Q829*$R829)</f>
        <v/>
      </c>
      <c r="K829" s="17" t="str">
        <f aca="false">IF($C829="","",$O829+$Q829*$S829)</f>
        <v/>
      </c>
      <c r="L829" s="17" t="str">
        <f aca="false">IF($C829="","",$J829-$K829-1-N($G829))</f>
        <v/>
      </c>
      <c r="M829" s="7" t="str">
        <f aca="false">IF($B829="","",INDEX(Course!$B$2:$B$19,MATCH($B829,Course!$A$2:$A$19,0)))</f>
        <v/>
      </c>
      <c r="N829" s="17" t="str">
        <f aca="false">IF($C829="","",IF($C829="H",0,IF($C829="G",INDEX(Baseline!$I$3:$I$102,MIN(MAX(ROUND($D829,0),1),100)),IF($C829="T",IF($M829=3,INDEX(Baseline!$B$3:$B$122,MATCH(MIN(MAX(ROUND(($D829)/5,0)*5,5),600),Baseline!$A$3:$A$122,0))-Inputs!$B$9,INDEX(Course!$N$2:$N$19,MATCH($B829,Course!$A$2:$A$19,0))),INDEX(Baseline!$B$3:$E$122,MATCH(MIN(MAX(ROUND(($D829)/5,0)*5,5),600),Baseline!$A$3:$A$122,0),MATCH($C829,Baseline!$B$2:$E$2,0))))))</f>
        <v/>
      </c>
      <c r="O829" s="17" t="str">
        <f aca="false">IF($C829="","",IF($E829="H",0,IF($E829="G",INDEX(Baseline!$I$3:$I$102,MIN(MAX(ROUND($F829,0),1),100)),IF($E829="T",IF($M829=3,INDEX(Baseline!$B$3:$B$122,MATCH(MIN(MAX(ROUND(($F829)/5,0)*5,5),600),Baseline!$A$3:$A$122,0))-Inputs!$B$9,INDEX(Course!$N$2:$N$19,MATCH($B829,Course!$A$2:$A$19,0))),INDEX(Baseline!$B$3:$E$122,MATCH(MIN(MAX(ROUND(($F829)/5,0)*5,5),600),Baseline!$A$3:$A$122,0),MATCH($E829,Baseline!$B$2:$E$2,0))))))</f>
        <v/>
      </c>
      <c r="P829" s="17" t="str">
        <f aca="false">IF($B829="","",INDEX(Course!$N$2:$N$19,MATCH($B829,Course!$A$2:$A$19,0)))</f>
        <v/>
      </c>
      <c r="Q829" s="17" t="str">
        <f aca="false">IF($B829="","",INDEX(Course!$P$2:$P$19,MATCH($B829,Course!$A$2:$A$19,0)))</f>
        <v/>
      </c>
      <c r="R829" s="17" t="str">
        <f aca="false">IF($C829="","",IF(OR($C829="G",$C829="H"),0,IF($C829="T",1,MIN(1,MAX(0,($N829-Inputs!$B$8)/MAX($P829-Inputs!$B$8,0.01))))))</f>
        <v/>
      </c>
      <c r="S829" s="17" t="str">
        <f aca="false">IF($C829="","",IF(OR($E829="G",$E829="H"),0,IF($E829="T",1,MIN(1,MAX(0,($O829-Inputs!$B$8)/MAX($P829-Inputs!$B$8,0.01))))))</f>
        <v/>
      </c>
    </row>
    <row r="830" customFormat="false" ht="15" hidden="false" customHeight="false" outlineLevel="0" collapsed="false">
      <c r="I830" s="7" t="str">
        <f aca="false">IF($C830="","",IF($C830="G","PUTT",IF(AND($C830="T",$M830&gt;3),"OTT",IF($D830&lt;=30,"ARG","APP"))))</f>
        <v/>
      </c>
      <c r="J830" s="17" t="str">
        <f aca="false">IF($C830="","",$N830+$Q830*$R830)</f>
        <v/>
      </c>
      <c r="K830" s="17" t="str">
        <f aca="false">IF($C830="","",$O830+$Q830*$S830)</f>
        <v/>
      </c>
      <c r="L830" s="17" t="str">
        <f aca="false">IF($C830="","",$J830-$K830-1-N($G830))</f>
        <v/>
      </c>
      <c r="M830" s="7" t="str">
        <f aca="false">IF($B830="","",INDEX(Course!$B$2:$B$19,MATCH($B830,Course!$A$2:$A$19,0)))</f>
        <v/>
      </c>
      <c r="N830" s="17" t="str">
        <f aca="false">IF($C830="","",IF($C830="H",0,IF($C830="G",INDEX(Baseline!$I$3:$I$102,MIN(MAX(ROUND($D830,0),1),100)),IF($C830="T",IF($M830=3,INDEX(Baseline!$B$3:$B$122,MATCH(MIN(MAX(ROUND(($D830)/5,0)*5,5),600),Baseline!$A$3:$A$122,0))-Inputs!$B$9,INDEX(Course!$N$2:$N$19,MATCH($B830,Course!$A$2:$A$19,0))),INDEX(Baseline!$B$3:$E$122,MATCH(MIN(MAX(ROUND(($D830)/5,0)*5,5),600),Baseline!$A$3:$A$122,0),MATCH($C830,Baseline!$B$2:$E$2,0))))))</f>
        <v/>
      </c>
      <c r="O830" s="17" t="str">
        <f aca="false">IF($C830="","",IF($E830="H",0,IF($E830="G",INDEX(Baseline!$I$3:$I$102,MIN(MAX(ROUND($F830,0),1),100)),IF($E830="T",IF($M830=3,INDEX(Baseline!$B$3:$B$122,MATCH(MIN(MAX(ROUND(($F830)/5,0)*5,5),600),Baseline!$A$3:$A$122,0))-Inputs!$B$9,INDEX(Course!$N$2:$N$19,MATCH($B830,Course!$A$2:$A$19,0))),INDEX(Baseline!$B$3:$E$122,MATCH(MIN(MAX(ROUND(($F830)/5,0)*5,5),600),Baseline!$A$3:$A$122,0),MATCH($E830,Baseline!$B$2:$E$2,0))))))</f>
        <v/>
      </c>
      <c r="P830" s="17" t="str">
        <f aca="false">IF($B830="","",INDEX(Course!$N$2:$N$19,MATCH($B830,Course!$A$2:$A$19,0)))</f>
        <v/>
      </c>
      <c r="Q830" s="17" t="str">
        <f aca="false">IF($B830="","",INDEX(Course!$P$2:$P$19,MATCH($B830,Course!$A$2:$A$19,0)))</f>
        <v/>
      </c>
      <c r="R830" s="17" t="str">
        <f aca="false">IF($C830="","",IF(OR($C830="G",$C830="H"),0,IF($C830="T",1,MIN(1,MAX(0,($N830-Inputs!$B$8)/MAX($P830-Inputs!$B$8,0.01))))))</f>
        <v/>
      </c>
      <c r="S830" s="17" t="str">
        <f aca="false">IF($C830="","",IF(OR($E830="G",$E830="H"),0,IF($E830="T",1,MIN(1,MAX(0,($O830-Inputs!$B$8)/MAX($P830-Inputs!$B$8,0.01))))))</f>
        <v/>
      </c>
    </row>
    <row r="831" customFormat="false" ht="15" hidden="false" customHeight="false" outlineLevel="0" collapsed="false">
      <c r="I831" s="7" t="str">
        <f aca="false">IF($C831="","",IF($C831="G","PUTT",IF(AND($C831="T",$M831&gt;3),"OTT",IF($D831&lt;=30,"ARG","APP"))))</f>
        <v/>
      </c>
      <c r="J831" s="17" t="str">
        <f aca="false">IF($C831="","",$N831+$Q831*$R831)</f>
        <v/>
      </c>
      <c r="K831" s="17" t="str">
        <f aca="false">IF($C831="","",$O831+$Q831*$S831)</f>
        <v/>
      </c>
      <c r="L831" s="17" t="str">
        <f aca="false">IF($C831="","",$J831-$K831-1-N($G831))</f>
        <v/>
      </c>
      <c r="M831" s="7" t="str">
        <f aca="false">IF($B831="","",INDEX(Course!$B$2:$B$19,MATCH($B831,Course!$A$2:$A$19,0)))</f>
        <v/>
      </c>
      <c r="N831" s="17" t="str">
        <f aca="false">IF($C831="","",IF($C831="H",0,IF($C831="G",INDEX(Baseline!$I$3:$I$102,MIN(MAX(ROUND($D831,0),1),100)),IF($C831="T",IF($M831=3,INDEX(Baseline!$B$3:$B$122,MATCH(MIN(MAX(ROUND(($D831)/5,0)*5,5),600),Baseline!$A$3:$A$122,0))-Inputs!$B$9,INDEX(Course!$N$2:$N$19,MATCH($B831,Course!$A$2:$A$19,0))),INDEX(Baseline!$B$3:$E$122,MATCH(MIN(MAX(ROUND(($D831)/5,0)*5,5),600),Baseline!$A$3:$A$122,0),MATCH($C831,Baseline!$B$2:$E$2,0))))))</f>
        <v/>
      </c>
      <c r="O831" s="17" t="str">
        <f aca="false">IF($C831="","",IF($E831="H",0,IF($E831="G",INDEX(Baseline!$I$3:$I$102,MIN(MAX(ROUND($F831,0),1),100)),IF($E831="T",IF($M831=3,INDEX(Baseline!$B$3:$B$122,MATCH(MIN(MAX(ROUND(($F831)/5,0)*5,5),600),Baseline!$A$3:$A$122,0))-Inputs!$B$9,INDEX(Course!$N$2:$N$19,MATCH($B831,Course!$A$2:$A$19,0))),INDEX(Baseline!$B$3:$E$122,MATCH(MIN(MAX(ROUND(($F831)/5,0)*5,5),600),Baseline!$A$3:$A$122,0),MATCH($E831,Baseline!$B$2:$E$2,0))))))</f>
        <v/>
      </c>
      <c r="P831" s="17" t="str">
        <f aca="false">IF($B831="","",INDEX(Course!$N$2:$N$19,MATCH($B831,Course!$A$2:$A$19,0)))</f>
        <v/>
      </c>
      <c r="Q831" s="17" t="str">
        <f aca="false">IF($B831="","",INDEX(Course!$P$2:$P$19,MATCH($B831,Course!$A$2:$A$19,0)))</f>
        <v/>
      </c>
      <c r="R831" s="17" t="str">
        <f aca="false">IF($C831="","",IF(OR($C831="G",$C831="H"),0,IF($C831="T",1,MIN(1,MAX(0,($N831-Inputs!$B$8)/MAX($P831-Inputs!$B$8,0.01))))))</f>
        <v/>
      </c>
      <c r="S831" s="17" t="str">
        <f aca="false">IF($C831="","",IF(OR($E831="G",$E831="H"),0,IF($E831="T",1,MIN(1,MAX(0,($O831-Inputs!$B$8)/MAX($P831-Inputs!$B$8,0.01))))))</f>
        <v/>
      </c>
    </row>
    <row r="832" customFormat="false" ht="15" hidden="false" customHeight="false" outlineLevel="0" collapsed="false">
      <c r="I832" s="7" t="str">
        <f aca="false">IF($C832="","",IF($C832="G","PUTT",IF(AND($C832="T",$M832&gt;3),"OTT",IF($D832&lt;=30,"ARG","APP"))))</f>
        <v/>
      </c>
      <c r="J832" s="17" t="str">
        <f aca="false">IF($C832="","",$N832+$Q832*$R832)</f>
        <v/>
      </c>
      <c r="K832" s="17" t="str">
        <f aca="false">IF($C832="","",$O832+$Q832*$S832)</f>
        <v/>
      </c>
      <c r="L832" s="17" t="str">
        <f aca="false">IF($C832="","",$J832-$K832-1-N($G832))</f>
        <v/>
      </c>
      <c r="M832" s="7" t="str">
        <f aca="false">IF($B832="","",INDEX(Course!$B$2:$B$19,MATCH($B832,Course!$A$2:$A$19,0)))</f>
        <v/>
      </c>
      <c r="N832" s="17" t="str">
        <f aca="false">IF($C832="","",IF($C832="H",0,IF($C832="G",INDEX(Baseline!$I$3:$I$102,MIN(MAX(ROUND($D832,0),1),100)),IF($C832="T",IF($M832=3,INDEX(Baseline!$B$3:$B$122,MATCH(MIN(MAX(ROUND(($D832)/5,0)*5,5),600),Baseline!$A$3:$A$122,0))-Inputs!$B$9,INDEX(Course!$N$2:$N$19,MATCH($B832,Course!$A$2:$A$19,0))),INDEX(Baseline!$B$3:$E$122,MATCH(MIN(MAX(ROUND(($D832)/5,0)*5,5),600),Baseline!$A$3:$A$122,0),MATCH($C832,Baseline!$B$2:$E$2,0))))))</f>
        <v/>
      </c>
      <c r="O832" s="17" t="str">
        <f aca="false">IF($C832="","",IF($E832="H",0,IF($E832="G",INDEX(Baseline!$I$3:$I$102,MIN(MAX(ROUND($F832,0),1),100)),IF($E832="T",IF($M832=3,INDEX(Baseline!$B$3:$B$122,MATCH(MIN(MAX(ROUND(($F832)/5,0)*5,5),600),Baseline!$A$3:$A$122,0))-Inputs!$B$9,INDEX(Course!$N$2:$N$19,MATCH($B832,Course!$A$2:$A$19,0))),INDEX(Baseline!$B$3:$E$122,MATCH(MIN(MAX(ROUND(($F832)/5,0)*5,5),600),Baseline!$A$3:$A$122,0),MATCH($E832,Baseline!$B$2:$E$2,0))))))</f>
        <v/>
      </c>
      <c r="P832" s="17" t="str">
        <f aca="false">IF($B832="","",INDEX(Course!$N$2:$N$19,MATCH($B832,Course!$A$2:$A$19,0)))</f>
        <v/>
      </c>
      <c r="Q832" s="17" t="str">
        <f aca="false">IF($B832="","",INDEX(Course!$P$2:$P$19,MATCH($B832,Course!$A$2:$A$19,0)))</f>
        <v/>
      </c>
      <c r="R832" s="17" t="str">
        <f aca="false">IF($C832="","",IF(OR($C832="G",$C832="H"),0,IF($C832="T",1,MIN(1,MAX(0,($N832-Inputs!$B$8)/MAX($P832-Inputs!$B$8,0.01))))))</f>
        <v/>
      </c>
      <c r="S832" s="17" t="str">
        <f aca="false">IF($C832="","",IF(OR($E832="G",$E832="H"),0,IF($E832="T",1,MIN(1,MAX(0,($O832-Inputs!$B$8)/MAX($P832-Inputs!$B$8,0.01))))))</f>
        <v/>
      </c>
    </row>
    <row r="833" customFormat="false" ht="15" hidden="false" customHeight="false" outlineLevel="0" collapsed="false">
      <c r="I833" s="7" t="str">
        <f aca="false">IF($C833="","",IF($C833="G","PUTT",IF(AND($C833="T",$M833&gt;3),"OTT",IF($D833&lt;=30,"ARG","APP"))))</f>
        <v/>
      </c>
      <c r="J833" s="17" t="str">
        <f aca="false">IF($C833="","",$N833+$Q833*$R833)</f>
        <v/>
      </c>
      <c r="K833" s="17" t="str">
        <f aca="false">IF($C833="","",$O833+$Q833*$S833)</f>
        <v/>
      </c>
      <c r="L833" s="17" t="str">
        <f aca="false">IF($C833="","",$J833-$K833-1-N($G833))</f>
        <v/>
      </c>
      <c r="M833" s="7" t="str">
        <f aca="false">IF($B833="","",INDEX(Course!$B$2:$B$19,MATCH($B833,Course!$A$2:$A$19,0)))</f>
        <v/>
      </c>
      <c r="N833" s="17" t="str">
        <f aca="false">IF($C833="","",IF($C833="H",0,IF($C833="G",INDEX(Baseline!$I$3:$I$102,MIN(MAX(ROUND($D833,0),1),100)),IF($C833="T",IF($M833=3,INDEX(Baseline!$B$3:$B$122,MATCH(MIN(MAX(ROUND(($D833)/5,0)*5,5),600),Baseline!$A$3:$A$122,0))-Inputs!$B$9,INDEX(Course!$N$2:$N$19,MATCH($B833,Course!$A$2:$A$19,0))),INDEX(Baseline!$B$3:$E$122,MATCH(MIN(MAX(ROUND(($D833)/5,0)*5,5),600),Baseline!$A$3:$A$122,0),MATCH($C833,Baseline!$B$2:$E$2,0))))))</f>
        <v/>
      </c>
      <c r="O833" s="17" t="str">
        <f aca="false">IF($C833="","",IF($E833="H",0,IF($E833="G",INDEX(Baseline!$I$3:$I$102,MIN(MAX(ROUND($F833,0),1),100)),IF($E833="T",IF($M833=3,INDEX(Baseline!$B$3:$B$122,MATCH(MIN(MAX(ROUND(($F833)/5,0)*5,5),600),Baseline!$A$3:$A$122,0))-Inputs!$B$9,INDEX(Course!$N$2:$N$19,MATCH($B833,Course!$A$2:$A$19,0))),INDEX(Baseline!$B$3:$E$122,MATCH(MIN(MAX(ROUND(($F833)/5,0)*5,5),600),Baseline!$A$3:$A$122,0),MATCH($E833,Baseline!$B$2:$E$2,0))))))</f>
        <v/>
      </c>
      <c r="P833" s="17" t="str">
        <f aca="false">IF($B833="","",INDEX(Course!$N$2:$N$19,MATCH($B833,Course!$A$2:$A$19,0)))</f>
        <v/>
      </c>
      <c r="Q833" s="17" t="str">
        <f aca="false">IF($B833="","",INDEX(Course!$P$2:$P$19,MATCH($B833,Course!$A$2:$A$19,0)))</f>
        <v/>
      </c>
      <c r="R833" s="17" t="str">
        <f aca="false">IF($C833="","",IF(OR($C833="G",$C833="H"),0,IF($C833="T",1,MIN(1,MAX(0,($N833-Inputs!$B$8)/MAX($P833-Inputs!$B$8,0.01))))))</f>
        <v/>
      </c>
      <c r="S833" s="17" t="str">
        <f aca="false">IF($C833="","",IF(OR($E833="G",$E833="H"),0,IF($E833="T",1,MIN(1,MAX(0,($O833-Inputs!$B$8)/MAX($P833-Inputs!$B$8,0.01))))))</f>
        <v/>
      </c>
    </row>
    <row r="834" customFormat="false" ht="15" hidden="false" customHeight="false" outlineLevel="0" collapsed="false">
      <c r="I834" s="7" t="str">
        <f aca="false">IF($C834="","",IF($C834="G","PUTT",IF(AND($C834="T",$M834&gt;3),"OTT",IF($D834&lt;=30,"ARG","APP"))))</f>
        <v/>
      </c>
      <c r="J834" s="17" t="str">
        <f aca="false">IF($C834="","",$N834+$Q834*$R834)</f>
        <v/>
      </c>
      <c r="K834" s="17" t="str">
        <f aca="false">IF($C834="","",$O834+$Q834*$S834)</f>
        <v/>
      </c>
      <c r="L834" s="17" t="str">
        <f aca="false">IF($C834="","",$J834-$K834-1-N($G834))</f>
        <v/>
      </c>
      <c r="M834" s="7" t="str">
        <f aca="false">IF($B834="","",INDEX(Course!$B$2:$B$19,MATCH($B834,Course!$A$2:$A$19,0)))</f>
        <v/>
      </c>
      <c r="N834" s="17" t="str">
        <f aca="false">IF($C834="","",IF($C834="H",0,IF($C834="G",INDEX(Baseline!$I$3:$I$102,MIN(MAX(ROUND($D834,0),1),100)),IF($C834="T",IF($M834=3,INDEX(Baseline!$B$3:$B$122,MATCH(MIN(MAX(ROUND(($D834)/5,0)*5,5),600),Baseline!$A$3:$A$122,0))-Inputs!$B$9,INDEX(Course!$N$2:$N$19,MATCH($B834,Course!$A$2:$A$19,0))),INDEX(Baseline!$B$3:$E$122,MATCH(MIN(MAX(ROUND(($D834)/5,0)*5,5),600),Baseline!$A$3:$A$122,0),MATCH($C834,Baseline!$B$2:$E$2,0))))))</f>
        <v/>
      </c>
      <c r="O834" s="17" t="str">
        <f aca="false">IF($C834="","",IF($E834="H",0,IF($E834="G",INDEX(Baseline!$I$3:$I$102,MIN(MAX(ROUND($F834,0),1),100)),IF($E834="T",IF($M834=3,INDEX(Baseline!$B$3:$B$122,MATCH(MIN(MAX(ROUND(($F834)/5,0)*5,5),600),Baseline!$A$3:$A$122,0))-Inputs!$B$9,INDEX(Course!$N$2:$N$19,MATCH($B834,Course!$A$2:$A$19,0))),INDEX(Baseline!$B$3:$E$122,MATCH(MIN(MAX(ROUND(($F834)/5,0)*5,5),600),Baseline!$A$3:$A$122,0),MATCH($E834,Baseline!$B$2:$E$2,0))))))</f>
        <v/>
      </c>
      <c r="P834" s="17" t="str">
        <f aca="false">IF($B834="","",INDEX(Course!$N$2:$N$19,MATCH($B834,Course!$A$2:$A$19,0)))</f>
        <v/>
      </c>
      <c r="Q834" s="17" t="str">
        <f aca="false">IF($B834="","",INDEX(Course!$P$2:$P$19,MATCH($B834,Course!$A$2:$A$19,0)))</f>
        <v/>
      </c>
      <c r="R834" s="17" t="str">
        <f aca="false">IF($C834="","",IF(OR($C834="G",$C834="H"),0,IF($C834="T",1,MIN(1,MAX(0,($N834-Inputs!$B$8)/MAX($P834-Inputs!$B$8,0.01))))))</f>
        <v/>
      </c>
      <c r="S834" s="17" t="str">
        <f aca="false">IF($C834="","",IF(OR($E834="G",$E834="H"),0,IF($E834="T",1,MIN(1,MAX(0,($O834-Inputs!$B$8)/MAX($P834-Inputs!$B$8,0.01))))))</f>
        <v/>
      </c>
    </row>
    <row r="835" customFormat="false" ht="15" hidden="false" customHeight="false" outlineLevel="0" collapsed="false">
      <c r="I835" s="7" t="str">
        <f aca="false">IF($C835="","",IF($C835="G","PUTT",IF(AND($C835="T",$M835&gt;3),"OTT",IF($D835&lt;=30,"ARG","APP"))))</f>
        <v/>
      </c>
      <c r="J835" s="17" t="str">
        <f aca="false">IF($C835="","",$N835+$Q835*$R835)</f>
        <v/>
      </c>
      <c r="K835" s="17" t="str">
        <f aca="false">IF($C835="","",$O835+$Q835*$S835)</f>
        <v/>
      </c>
      <c r="L835" s="17" t="str">
        <f aca="false">IF($C835="","",$J835-$K835-1-N($G835))</f>
        <v/>
      </c>
      <c r="M835" s="7" t="str">
        <f aca="false">IF($B835="","",INDEX(Course!$B$2:$B$19,MATCH($B835,Course!$A$2:$A$19,0)))</f>
        <v/>
      </c>
      <c r="N835" s="17" t="str">
        <f aca="false">IF($C835="","",IF($C835="H",0,IF($C835="G",INDEX(Baseline!$I$3:$I$102,MIN(MAX(ROUND($D835,0),1),100)),IF($C835="T",IF($M835=3,INDEX(Baseline!$B$3:$B$122,MATCH(MIN(MAX(ROUND(($D835)/5,0)*5,5),600),Baseline!$A$3:$A$122,0))-Inputs!$B$9,INDEX(Course!$N$2:$N$19,MATCH($B835,Course!$A$2:$A$19,0))),INDEX(Baseline!$B$3:$E$122,MATCH(MIN(MAX(ROUND(($D835)/5,0)*5,5),600),Baseline!$A$3:$A$122,0),MATCH($C835,Baseline!$B$2:$E$2,0))))))</f>
        <v/>
      </c>
      <c r="O835" s="17" t="str">
        <f aca="false">IF($C835="","",IF($E835="H",0,IF($E835="G",INDEX(Baseline!$I$3:$I$102,MIN(MAX(ROUND($F835,0),1),100)),IF($E835="T",IF($M835=3,INDEX(Baseline!$B$3:$B$122,MATCH(MIN(MAX(ROUND(($F835)/5,0)*5,5),600),Baseline!$A$3:$A$122,0))-Inputs!$B$9,INDEX(Course!$N$2:$N$19,MATCH($B835,Course!$A$2:$A$19,0))),INDEX(Baseline!$B$3:$E$122,MATCH(MIN(MAX(ROUND(($F835)/5,0)*5,5),600),Baseline!$A$3:$A$122,0),MATCH($E835,Baseline!$B$2:$E$2,0))))))</f>
        <v/>
      </c>
      <c r="P835" s="17" t="str">
        <f aca="false">IF($B835="","",INDEX(Course!$N$2:$N$19,MATCH($B835,Course!$A$2:$A$19,0)))</f>
        <v/>
      </c>
      <c r="Q835" s="17" t="str">
        <f aca="false">IF($B835="","",INDEX(Course!$P$2:$P$19,MATCH($B835,Course!$A$2:$A$19,0)))</f>
        <v/>
      </c>
      <c r="R835" s="17" t="str">
        <f aca="false">IF($C835="","",IF(OR($C835="G",$C835="H"),0,IF($C835="T",1,MIN(1,MAX(0,($N835-Inputs!$B$8)/MAX($P835-Inputs!$B$8,0.01))))))</f>
        <v/>
      </c>
      <c r="S835" s="17" t="str">
        <f aca="false">IF($C835="","",IF(OR($E835="G",$E835="H"),0,IF($E835="T",1,MIN(1,MAX(0,($O835-Inputs!$B$8)/MAX($P835-Inputs!$B$8,0.01))))))</f>
        <v/>
      </c>
    </row>
    <row r="836" customFormat="false" ht="15" hidden="false" customHeight="false" outlineLevel="0" collapsed="false">
      <c r="I836" s="7" t="str">
        <f aca="false">IF($C836="","",IF($C836="G","PUTT",IF(AND($C836="T",$M836&gt;3),"OTT",IF($D836&lt;=30,"ARG","APP"))))</f>
        <v/>
      </c>
      <c r="J836" s="17" t="str">
        <f aca="false">IF($C836="","",$N836+$Q836*$R836)</f>
        <v/>
      </c>
      <c r="K836" s="17" t="str">
        <f aca="false">IF($C836="","",$O836+$Q836*$S836)</f>
        <v/>
      </c>
      <c r="L836" s="17" t="str">
        <f aca="false">IF($C836="","",$J836-$K836-1-N($G836))</f>
        <v/>
      </c>
      <c r="M836" s="7" t="str">
        <f aca="false">IF($B836="","",INDEX(Course!$B$2:$B$19,MATCH($B836,Course!$A$2:$A$19,0)))</f>
        <v/>
      </c>
      <c r="N836" s="17" t="str">
        <f aca="false">IF($C836="","",IF($C836="H",0,IF($C836="G",INDEX(Baseline!$I$3:$I$102,MIN(MAX(ROUND($D836,0),1),100)),IF($C836="T",IF($M836=3,INDEX(Baseline!$B$3:$B$122,MATCH(MIN(MAX(ROUND(($D836)/5,0)*5,5),600),Baseline!$A$3:$A$122,0))-Inputs!$B$9,INDEX(Course!$N$2:$N$19,MATCH($B836,Course!$A$2:$A$19,0))),INDEX(Baseline!$B$3:$E$122,MATCH(MIN(MAX(ROUND(($D836)/5,0)*5,5),600),Baseline!$A$3:$A$122,0),MATCH($C836,Baseline!$B$2:$E$2,0))))))</f>
        <v/>
      </c>
      <c r="O836" s="17" t="str">
        <f aca="false">IF($C836="","",IF($E836="H",0,IF($E836="G",INDEX(Baseline!$I$3:$I$102,MIN(MAX(ROUND($F836,0),1),100)),IF($E836="T",IF($M836=3,INDEX(Baseline!$B$3:$B$122,MATCH(MIN(MAX(ROUND(($F836)/5,0)*5,5),600),Baseline!$A$3:$A$122,0))-Inputs!$B$9,INDEX(Course!$N$2:$N$19,MATCH($B836,Course!$A$2:$A$19,0))),INDEX(Baseline!$B$3:$E$122,MATCH(MIN(MAX(ROUND(($F836)/5,0)*5,5),600),Baseline!$A$3:$A$122,0),MATCH($E836,Baseline!$B$2:$E$2,0))))))</f>
        <v/>
      </c>
      <c r="P836" s="17" t="str">
        <f aca="false">IF($B836="","",INDEX(Course!$N$2:$N$19,MATCH($B836,Course!$A$2:$A$19,0)))</f>
        <v/>
      </c>
      <c r="Q836" s="17" t="str">
        <f aca="false">IF($B836="","",INDEX(Course!$P$2:$P$19,MATCH($B836,Course!$A$2:$A$19,0)))</f>
        <v/>
      </c>
      <c r="R836" s="17" t="str">
        <f aca="false">IF($C836="","",IF(OR($C836="G",$C836="H"),0,IF($C836="T",1,MIN(1,MAX(0,($N836-Inputs!$B$8)/MAX($P836-Inputs!$B$8,0.01))))))</f>
        <v/>
      </c>
      <c r="S836" s="17" t="str">
        <f aca="false">IF($C836="","",IF(OR($E836="G",$E836="H"),0,IF($E836="T",1,MIN(1,MAX(0,($O836-Inputs!$B$8)/MAX($P836-Inputs!$B$8,0.01))))))</f>
        <v/>
      </c>
    </row>
    <row r="837" customFormat="false" ht="15" hidden="false" customHeight="false" outlineLevel="0" collapsed="false">
      <c r="I837" s="7" t="str">
        <f aca="false">IF($C837="","",IF($C837="G","PUTT",IF(AND($C837="T",$M837&gt;3),"OTT",IF($D837&lt;=30,"ARG","APP"))))</f>
        <v/>
      </c>
      <c r="J837" s="17" t="str">
        <f aca="false">IF($C837="","",$N837+$Q837*$R837)</f>
        <v/>
      </c>
      <c r="K837" s="17" t="str">
        <f aca="false">IF($C837="","",$O837+$Q837*$S837)</f>
        <v/>
      </c>
      <c r="L837" s="17" t="str">
        <f aca="false">IF($C837="","",$J837-$K837-1-N($G837))</f>
        <v/>
      </c>
      <c r="M837" s="7" t="str">
        <f aca="false">IF($B837="","",INDEX(Course!$B$2:$B$19,MATCH($B837,Course!$A$2:$A$19,0)))</f>
        <v/>
      </c>
      <c r="N837" s="17" t="str">
        <f aca="false">IF($C837="","",IF($C837="H",0,IF($C837="G",INDEX(Baseline!$I$3:$I$102,MIN(MAX(ROUND($D837,0),1),100)),IF($C837="T",IF($M837=3,INDEX(Baseline!$B$3:$B$122,MATCH(MIN(MAX(ROUND(($D837)/5,0)*5,5),600),Baseline!$A$3:$A$122,0))-Inputs!$B$9,INDEX(Course!$N$2:$N$19,MATCH($B837,Course!$A$2:$A$19,0))),INDEX(Baseline!$B$3:$E$122,MATCH(MIN(MAX(ROUND(($D837)/5,0)*5,5),600),Baseline!$A$3:$A$122,0),MATCH($C837,Baseline!$B$2:$E$2,0))))))</f>
        <v/>
      </c>
      <c r="O837" s="17" t="str">
        <f aca="false">IF($C837="","",IF($E837="H",0,IF($E837="G",INDEX(Baseline!$I$3:$I$102,MIN(MAX(ROUND($F837,0),1),100)),IF($E837="T",IF($M837=3,INDEX(Baseline!$B$3:$B$122,MATCH(MIN(MAX(ROUND(($F837)/5,0)*5,5),600),Baseline!$A$3:$A$122,0))-Inputs!$B$9,INDEX(Course!$N$2:$N$19,MATCH($B837,Course!$A$2:$A$19,0))),INDEX(Baseline!$B$3:$E$122,MATCH(MIN(MAX(ROUND(($F837)/5,0)*5,5),600),Baseline!$A$3:$A$122,0),MATCH($E837,Baseline!$B$2:$E$2,0))))))</f>
        <v/>
      </c>
      <c r="P837" s="17" t="str">
        <f aca="false">IF($B837="","",INDEX(Course!$N$2:$N$19,MATCH($B837,Course!$A$2:$A$19,0)))</f>
        <v/>
      </c>
      <c r="Q837" s="17" t="str">
        <f aca="false">IF($B837="","",INDEX(Course!$P$2:$P$19,MATCH($B837,Course!$A$2:$A$19,0)))</f>
        <v/>
      </c>
      <c r="R837" s="17" t="str">
        <f aca="false">IF($C837="","",IF(OR($C837="G",$C837="H"),0,IF($C837="T",1,MIN(1,MAX(0,($N837-Inputs!$B$8)/MAX($P837-Inputs!$B$8,0.01))))))</f>
        <v/>
      </c>
      <c r="S837" s="17" t="str">
        <f aca="false">IF($C837="","",IF(OR($E837="G",$E837="H"),0,IF($E837="T",1,MIN(1,MAX(0,($O837-Inputs!$B$8)/MAX($P837-Inputs!$B$8,0.01))))))</f>
        <v/>
      </c>
    </row>
    <row r="838" customFormat="false" ht="15" hidden="false" customHeight="false" outlineLevel="0" collapsed="false">
      <c r="I838" s="7" t="str">
        <f aca="false">IF($C838="","",IF($C838="G","PUTT",IF(AND($C838="T",$M838&gt;3),"OTT",IF($D838&lt;=30,"ARG","APP"))))</f>
        <v/>
      </c>
      <c r="J838" s="17" t="str">
        <f aca="false">IF($C838="","",$N838+$Q838*$R838)</f>
        <v/>
      </c>
      <c r="K838" s="17" t="str">
        <f aca="false">IF($C838="","",$O838+$Q838*$S838)</f>
        <v/>
      </c>
      <c r="L838" s="17" t="str">
        <f aca="false">IF($C838="","",$J838-$K838-1-N($G838))</f>
        <v/>
      </c>
      <c r="M838" s="7" t="str">
        <f aca="false">IF($B838="","",INDEX(Course!$B$2:$B$19,MATCH($B838,Course!$A$2:$A$19,0)))</f>
        <v/>
      </c>
      <c r="N838" s="17" t="str">
        <f aca="false">IF($C838="","",IF($C838="H",0,IF($C838="G",INDEX(Baseline!$I$3:$I$102,MIN(MAX(ROUND($D838,0),1),100)),IF($C838="T",IF($M838=3,INDEX(Baseline!$B$3:$B$122,MATCH(MIN(MAX(ROUND(($D838)/5,0)*5,5),600),Baseline!$A$3:$A$122,0))-Inputs!$B$9,INDEX(Course!$N$2:$N$19,MATCH($B838,Course!$A$2:$A$19,0))),INDEX(Baseline!$B$3:$E$122,MATCH(MIN(MAX(ROUND(($D838)/5,0)*5,5),600),Baseline!$A$3:$A$122,0),MATCH($C838,Baseline!$B$2:$E$2,0))))))</f>
        <v/>
      </c>
      <c r="O838" s="17" t="str">
        <f aca="false">IF($C838="","",IF($E838="H",0,IF($E838="G",INDEX(Baseline!$I$3:$I$102,MIN(MAX(ROUND($F838,0),1),100)),IF($E838="T",IF($M838=3,INDEX(Baseline!$B$3:$B$122,MATCH(MIN(MAX(ROUND(($F838)/5,0)*5,5),600),Baseline!$A$3:$A$122,0))-Inputs!$B$9,INDEX(Course!$N$2:$N$19,MATCH($B838,Course!$A$2:$A$19,0))),INDEX(Baseline!$B$3:$E$122,MATCH(MIN(MAX(ROUND(($F838)/5,0)*5,5),600),Baseline!$A$3:$A$122,0),MATCH($E838,Baseline!$B$2:$E$2,0))))))</f>
        <v/>
      </c>
      <c r="P838" s="17" t="str">
        <f aca="false">IF($B838="","",INDEX(Course!$N$2:$N$19,MATCH($B838,Course!$A$2:$A$19,0)))</f>
        <v/>
      </c>
      <c r="Q838" s="17" t="str">
        <f aca="false">IF($B838="","",INDEX(Course!$P$2:$P$19,MATCH($B838,Course!$A$2:$A$19,0)))</f>
        <v/>
      </c>
      <c r="R838" s="17" t="str">
        <f aca="false">IF($C838="","",IF(OR($C838="G",$C838="H"),0,IF($C838="T",1,MIN(1,MAX(0,($N838-Inputs!$B$8)/MAX($P838-Inputs!$B$8,0.01))))))</f>
        <v/>
      </c>
      <c r="S838" s="17" t="str">
        <f aca="false">IF($C838="","",IF(OR($E838="G",$E838="H"),0,IF($E838="T",1,MIN(1,MAX(0,($O838-Inputs!$B$8)/MAX($P838-Inputs!$B$8,0.01))))))</f>
        <v/>
      </c>
    </row>
    <row r="839" customFormat="false" ht="15" hidden="false" customHeight="false" outlineLevel="0" collapsed="false">
      <c r="I839" s="7" t="str">
        <f aca="false">IF($C839="","",IF($C839="G","PUTT",IF(AND($C839="T",$M839&gt;3),"OTT",IF($D839&lt;=30,"ARG","APP"))))</f>
        <v/>
      </c>
      <c r="J839" s="17" t="str">
        <f aca="false">IF($C839="","",$N839+$Q839*$R839)</f>
        <v/>
      </c>
      <c r="K839" s="17" t="str">
        <f aca="false">IF($C839="","",$O839+$Q839*$S839)</f>
        <v/>
      </c>
      <c r="L839" s="17" t="str">
        <f aca="false">IF($C839="","",$J839-$K839-1-N($G839))</f>
        <v/>
      </c>
      <c r="M839" s="7" t="str">
        <f aca="false">IF($B839="","",INDEX(Course!$B$2:$B$19,MATCH($B839,Course!$A$2:$A$19,0)))</f>
        <v/>
      </c>
      <c r="N839" s="17" t="str">
        <f aca="false">IF($C839="","",IF($C839="H",0,IF($C839="G",INDEX(Baseline!$I$3:$I$102,MIN(MAX(ROUND($D839,0),1),100)),IF($C839="T",IF($M839=3,INDEX(Baseline!$B$3:$B$122,MATCH(MIN(MAX(ROUND(($D839)/5,0)*5,5),600),Baseline!$A$3:$A$122,0))-Inputs!$B$9,INDEX(Course!$N$2:$N$19,MATCH($B839,Course!$A$2:$A$19,0))),INDEX(Baseline!$B$3:$E$122,MATCH(MIN(MAX(ROUND(($D839)/5,0)*5,5),600),Baseline!$A$3:$A$122,0),MATCH($C839,Baseline!$B$2:$E$2,0))))))</f>
        <v/>
      </c>
      <c r="O839" s="17" t="str">
        <f aca="false">IF($C839="","",IF($E839="H",0,IF($E839="G",INDEX(Baseline!$I$3:$I$102,MIN(MAX(ROUND($F839,0),1),100)),IF($E839="T",IF($M839=3,INDEX(Baseline!$B$3:$B$122,MATCH(MIN(MAX(ROUND(($F839)/5,0)*5,5),600),Baseline!$A$3:$A$122,0))-Inputs!$B$9,INDEX(Course!$N$2:$N$19,MATCH($B839,Course!$A$2:$A$19,0))),INDEX(Baseline!$B$3:$E$122,MATCH(MIN(MAX(ROUND(($F839)/5,0)*5,5),600),Baseline!$A$3:$A$122,0),MATCH($E839,Baseline!$B$2:$E$2,0))))))</f>
        <v/>
      </c>
      <c r="P839" s="17" t="str">
        <f aca="false">IF($B839="","",INDEX(Course!$N$2:$N$19,MATCH($B839,Course!$A$2:$A$19,0)))</f>
        <v/>
      </c>
      <c r="Q839" s="17" t="str">
        <f aca="false">IF($B839="","",INDEX(Course!$P$2:$P$19,MATCH($B839,Course!$A$2:$A$19,0)))</f>
        <v/>
      </c>
      <c r="R839" s="17" t="str">
        <f aca="false">IF($C839="","",IF(OR($C839="G",$C839="H"),0,IF($C839="T",1,MIN(1,MAX(0,($N839-Inputs!$B$8)/MAX($P839-Inputs!$B$8,0.01))))))</f>
        <v/>
      </c>
      <c r="S839" s="17" t="str">
        <f aca="false">IF($C839="","",IF(OR($E839="G",$E839="H"),0,IF($E839="T",1,MIN(1,MAX(0,($O839-Inputs!$B$8)/MAX($P839-Inputs!$B$8,0.01))))))</f>
        <v/>
      </c>
    </row>
    <row r="840" customFormat="false" ht="15" hidden="false" customHeight="false" outlineLevel="0" collapsed="false">
      <c r="I840" s="7" t="str">
        <f aca="false">IF($C840="","",IF($C840="G","PUTT",IF(AND($C840="T",$M840&gt;3),"OTT",IF($D840&lt;=30,"ARG","APP"))))</f>
        <v/>
      </c>
      <c r="J840" s="17" t="str">
        <f aca="false">IF($C840="","",$N840+$Q840*$R840)</f>
        <v/>
      </c>
      <c r="K840" s="17" t="str">
        <f aca="false">IF($C840="","",$O840+$Q840*$S840)</f>
        <v/>
      </c>
      <c r="L840" s="17" t="str">
        <f aca="false">IF($C840="","",$J840-$K840-1-N($G840))</f>
        <v/>
      </c>
      <c r="M840" s="7" t="str">
        <f aca="false">IF($B840="","",INDEX(Course!$B$2:$B$19,MATCH($B840,Course!$A$2:$A$19,0)))</f>
        <v/>
      </c>
      <c r="N840" s="17" t="str">
        <f aca="false">IF($C840="","",IF($C840="H",0,IF($C840="G",INDEX(Baseline!$I$3:$I$102,MIN(MAX(ROUND($D840,0),1),100)),IF($C840="T",IF($M840=3,INDEX(Baseline!$B$3:$B$122,MATCH(MIN(MAX(ROUND(($D840)/5,0)*5,5),600),Baseline!$A$3:$A$122,0))-Inputs!$B$9,INDEX(Course!$N$2:$N$19,MATCH($B840,Course!$A$2:$A$19,0))),INDEX(Baseline!$B$3:$E$122,MATCH(MIN(MAX(ROUND(($D840)/5,0)*5,5),600),Baseline!$A$3:$A$122,0),MATCH($C840,Baseline!$B$2:$E$2,0))))))</f>
        <v/>
      </c>
      <c r="O840" s="17" t="str">
        <f aca="false">IF($C840="","",IF($E840="H",0,IF($E840="G",INDEX(Baseline!$I$3:$I$102,MIN(MAX(ROUND($F840,0),1),100)),IF($E840="T",IF($M840=3,INDEX(Baseline!$B$3:$B$122,MATCH(MIN(MAX(ROUND(($F840)/5,0)*5,5),600),Baseline!$A$3:$A$122,0))-Inputs!$B$9,INDEX(Course!$N$2:$N$19,MATCH($B840,Course!$A$2:$A$19,0))),INDEX(Baseline!$B$3:$E$122,MATCH(MIN(MAX(ROUND(($F840)/5,0)*5,5),600),Baseline!$A$3:$A$122,0),MATCH($E840,Baseline!$B$2:$E$2,0))))))</f>
        <v/>
      </c>
      <c r="P840" s="17" t="str">
        <f aca="false">IF($B840="","",INDEX(Course!$N$2:$N$19,MATCH($B840,Course!$A$2:$A$19,0)))</f>
        <v/>
      </c>
      <c r="Q840" s="17" t="str">
        <f aca="false">IF($B840="","",INDEX(Course!$P$2:$P$19,MATCH($B840,Course!$A$2:$A$19,0)))</f>
        <v/>
      </c>
      <c r="R840" s="17" t="str">
        <f aca="false">IF($C840="","",IF(OR($C840="G",$C840="H"),0,IF($C840="T",1,MIN(1,MAX(0,($N840-Inputs!$B$8)/MAX($P840-Inputs!$B$8,0.01))))))</f>
        <v/>
      </c>
      <c r="S840" s="17" t="str">
        <f aca="false">IF($C840="","",IF(OR($E840="G",$E840="H"),0,IF($E840="T",1,MIN(1,MAX(0,($O840-Inputs!$B$8)/MAX($P840-Inputs!$B$8,0.01))))))</f>
        <v/>
      </c>
    </row>
    <row r="841" customFormat="false" ht="15" hidden="false" customHeight="false" outlineLevel="0" collapsed="false">
      <c r="I841" s="7" t="str">
        <f aca="false">IF($C841="","",IF($C841="G","PUTT",IF(AND($C841="T",$M841&gt;3),"OTT",IF($D841&lt;=30,"ARG","APP"))))</f>
        <v/>
      </c>
      <c r="J841" s="17" t="str">
        <f aca="false">IF($C841="","",$N841+$Q841*$R841)</f>
        <v/>
      </c>
      <c r="K841" s="17" t="str">
        <f aca="false">IF($C841="","",$O841+$Q841*$S841)</f>
        <v/>
      </c>
      <c r="L841" s="17" t="str">
        <f aca="false">IF($C841="","",$J841-$K841-1-N($G841))</f>
        <v/>
      </c>
      <c r="M841" s="7" t="str">
        <f aca="false">IF($B841="","",INDEX(Course!$B$2:$B$19,MATCH($B841,Course!$A$2:$A$19,0)))</f>
        <v/>
      </c>
      <c r="N841" s="17" t="str">
        <f aca="false">IF($C841="","",IF($C841="H",0,IF($C841="G",INDEX(Baseline!$I$3:$I$102,MIN(MAX(ROUND($D841,0),1),100)),IF($C841="T",IF($M841=3,INDEX(Baseline!$B$3:$B$122,MATCH(MIN(MAX(ROUND(($D841)/5,0)*5,5),600),Baseline!$A$3:$A$122,0))-Inputs!$B$9,INDEX(Course!$N$2:$N$19,MATCH($B841,Course!$A$2:$A$19,0))),INDEX(Baseline!$B$3:$E$122,MATCH(MIN(MAX(ROUND(($D841)/5,0)*5,5),600),Baseline!$A$3:$A$122,0),MATCH($C841,Baseline!$B$2:$E$2,0))))))</f>
        <v/>
      </c>
      <c r="O841" s="17" t="str">
        <f aca="false">IF($C841="","",IF($E841="H",0,IF($E841="G",INDEX(Baseline!$I$3:$I$102,MIN(MAX(ROUND($F841,0),1),100)),IF($E841="T",IF($M841=3,INDEX(Baseline!$B$3:$B$122,MATCH(MIN(MAX(ROUND(($F841)/5,0)*5,5),600),Baseline!$A$3:$A$122,0))-Inputs!$B$9,INDEX(Course!$N$2:$N$19,MATCH($B841,Course!$A$2:$A$19,0))),INDEX(Baseline!$B$3:$E$122,MATCH(MIN(MAX(ROUND(($F841)/5,0)*5,5),600),Baseline!$A$3:$A$122,0),MATCH($E841,Baseline!$B$2:$E$2,0))))))</f>
        <v/>
      </c>
      <c r="P841" s="17" t="str">
        <f aca="false">IF($B841="","",INDEX(Course!$N$2:$N$19,MATCH($B841,Course!$A$2:$A$19,0)))</f>
        <v/>
      </c>
      <c r="Q841" s="17" t="str">
        <f aca="false">IF($B841="","",INDEX(Course!$P$2:$P$19,MATCH($B841,Course!$A$2:$A$19,0)))</f>
        <v/>
      </c>
      <c r="R841" s="17" t="str">
        <f aca="false">IF($C841="","",IF(OR($C841="G",$C841="H"),0,IF($C841="T",1,MIN(1,MAX(0,($N841-Inputs!$B$8)/MAX($P841-Inputs!$B$8,0.01))))))</f>
        <v/>
      </c>
      <c r="S841" s="17" t="str">
        <f aca="false">IF($C841="","",IF(OR($E841="G",$E841="H"),0,IF($E841="T",1,MIN(1,MAX(0,($O841-Inputs!$B$8)/MAX($P841-Inputs!$B$8,0.01))))))</f>
        <v/>
      </c>
    </row>
    <row r="842" customFormat="false" ht="15" hidden="false" customHeight="false" outlineLevel="0" collapsed="false">
      <c r="I842" s="7" t="str">
        <f aca="false">IF($C842="","",IF($C842="G","PUTT",IF(AND($C842="T",$M842&gt;3),"OTT",IF($D842&lt;=30,"ARG","APP"))))</f>
        <v/>
      </c>
      <c r="J842" s="17" t="str">
        <f aca="false">IF($C842="","",$N842+$Q842*$R842)</f>
        <v/>
      </c>
      <c r="K842" s="17" t="str">
        <f aca="false">IF($C842="","",$O842+$Q842*$S842)</f>
        <v/>
      </c>
      <c r="L842" s="17" t="str">
        <f aca="false">IF($C842="","",$J842-$K842-1-N($G842))</f>
        <v/>
      </c>
      <c r="M842" s="7" t="str">
        <f aca="false">IF($B842="","",INDEX(Course!$B$2:$B$19,MATCH($B842,Course!$A$2:$A$19,0)))</f>
        <v/>
      </c>
      <c r="N842" s="17" t="str">
        <f aca="false">IF($C842="","",IF($C842="H",0,IF($C842="G",INDEX(Baseline!$I$3:$I$102,MIN(MAX(ROUND($D842,0),1),100)),IF($C842="T",IF($M842=3,INDEX(Baseline!$B$3:$B$122,MATCH(MIN(MAX(ROUND(($D842)/5,0)*5,5),600),Baseline!$A$3:$A$122,0))-Inputs!$B$9,INDEX(Course!$N$2:$N$19,MATCH($B842,Course!$A$2:$A$19,0))),INDEX(Baseline!$B$3:$E$122,MATCH(MIN(MAX(ROUND(($D842)/5,0)*5,5),600),Baseline!$A$3:$A$122,0),MATCH($C842,Baseline!$B$2:$E$2,0))))))</f>
        <v/>
      </c>
      <c r="O842" s="17" t="str">
        <f aca="false">IF($C842="","",IF($E842="H",0,IF($E842="G",INDEX(Baseline!$I$3:$I$102,MIN(MAX(ROUND($F842,0),1),100)),IF($E842="T",IF($M842=3,INDEX(Baseline!$B$3:$B$122,MATCH(MIN(MAX(ROUND(($F842)/5,0)*5,5),600),Baseline!$A$3:$A$122,0))-Inputs!$B$9,INDEX(Course!$N$2:$N$19,MATCH($B842,Course!$A$2:$A$19,0))),INDEX(Baseline!$B$3:$E$122,MATCH(MIN(MAX(ROUND(($F842)/5,0)*5,5),600),Baseline!$A$3:$A$122,0),MATCH($E842,Baseline!$B$2:$E$2,0))))))</f>
        <v/>
      </c>
      <c r="P842" s="17" t="str">
        <f aca="false">IF($B842="","",INDEX(Course!$N$2:$N$19,MATCH($B842,Course!$A$2:$A$19,0)))</f>
        <v/>
      </c>
      <c r="Q842" s="17" t="str">
        <f aca="false">IF($B842="","",INDEX(Course!$P$2:$P$19,MATCH($B842,Course!$A$2:$A$19,0)))</f>
        <v/>
      </c>
      <c r="R842" s="17" t="str">
        <f aca="false">IF($C842="","",IF(OR($C842="G",$C842="H"),0,IF($C842="T",1,MIN(1,MAX(0,($N842-Inputs!$B$8)/MAX($P842-Inputs!$B$8,0.01))))))</f>
        <v/>
      </c>
      <c r="S842" s="17" t="str">
        <f aca="false">IF($C842="","",IF(OR($E842="G",$E842="H"),0,IF($E842="T",1,MIN(1,MAX(0,($O842-Inputs!$B$8)/MAX($P842-Inputs!$B$8,0.01))))))</f>
        <v/>
      </c>
    </row>
    <row r="843" customFormat="false" ht="15" hidden="false" customHeight="false" outlineLevel="0" collapsed="false">
      <c r="I843" s="7" t="str">
        <f aca="false">IF($C843="","",IF($C843="G","PUTT",IF(AND($C843="T",$M843&gt;3),"OTT",IF($D843&lt;=30,"ARG","APP"))))</f>
        <v/>
      </c>
      <c r="J843" s="17" t="str">
        <f aca="false">IF($C843="","",$N843+$Q843*$R843)</f>
        <v/>
      </c>
      <c r="K843" s="17" t="str">
        <f aca="false">IF($C843="","",$O843+$Q843*$S843)</f>
        <v/>
      </c>
      <c r="L843" s="17" t="str">
        <f aca="false">IF($C843="","",$J843-$K843-1-N($G843))</f>
        <v/>
      </c>
      <c r="M843" s="7" t="str">
        <f aca="false">IF($B843="","",INDEX(Course!$B$2:$B$19,MATCH($B843,Course!$A$2:$A$19,0)))</f>
        <v/>
      </c>
      <c r="N843" s="17" t="str">
        <f aca="false">IF($C843="","",IF($C843="H",0,IF($C843="G",INDEX(Baseline!$I$3:$I$102,MIN(MAX(ROUND($D843,0),1),100)),IF($C843="T",IF($M843=3,INDEX(Baseline!$B$3:$B$122,MATCH(MIN(MAX(ROUND(($D843)/5,0)*5,5),600),Baseline!$A$3:$A$122,0))-Inputs!$B$9,INDEX(Course!$N$2:$N$19,MATCH($B843,Course!$A$2:$A$19,0))),INDEX(Baseline!$B$3:$E$122,MATCH(MIN(MAX(ROUND(($D843)/5,0)*5,5),600),Baseline!$A$3:$A$122,0),MATCH($C843,Baseline!$B$2:$E$2,0))))))</f>
        <v/>
      </c>
      <c r="O843" s="17" t="str">
        <f aca="false">IF($C843="","",IF($E843="H",0,IF($E843="G",INDEX(Baseline!$I$3:$I$102,MIN(MAX(ROUND($F843,0),1),100)),IF($E843="T",IF($M843=3,INDEX(Baseline!$B$3:$B$122,MATCH(MIN(MAX(ROUND(($F843)/5,0)*5,5),600),Baseline!$A$3:$A$122,0))-Inputs!$B$9,INDEX(Course!$N$2:$N$19,MATCH($B843,Course!$A$2:$A$19,0))),INDEX(Baseline!$B$3:$E$122,MATCH(MIN(MAX(ROUND(($F843)/5,0)*5,5),600),Baseline!$A$3:$A$122,0),MATCH($E843,Baseline!$B$2:$E$2,0))))))</f>
        <v/>
      </c>
      <c r="P843" s="17" t="str">
        <f aca="false">IF($B843="","",INDEX(Course!$N$2:$N$19,MATCH($B843,Course!$A$2:$A$19,0)))</f>
        <v/>
      </c>
      <c r="Q843" s="17" t="str">
        <f aca="false">IF($B843="","",INDEX(Course!$P$2:$P$19,MATCH($B843,Course!$A$2:$A$19,0)))</f>
        <v/>
      </c>
      <c r="R843" s="17" t="str">
        <f aca="false">IF($C843="","",IF(OR($C843="G",$C843="H"),0,IF($C843="T",1,MIN(1,MAX(0,($N843-Inputs!$B$8)/MAX($P843-Inputs!$B$8,0.01))))))</f>
        <v/>
      </c>
      <c r="S843" s="17" t="str">
        <f aca="false">IF($C843="","",IF(OR($E843="G",$E843="H"),0,IF($E843="T",1,MIN(1,MAX(0,($O843-Inputs!$B$8)/MAX($P843-Inputs!$B$8,0.01))))))</f>
        <v/>
      </c>
    </row>
    <row r="844" customFormat="false" ht="15" hidden="false" customHeight="false" outlineLevel="0" collapsed="false">
      <c r="I844" s="7" t="str">
        <f aca="false">IF($C844="","",IF($C844="G","PUTT",IF(AND($C844="T",$M844&gt;3),"OTT",IF($D844&lt;=30,"ARG","APP"))))</f>
        <v/>
      </c>
      <c r="J844" s="17" t="str">
        <f aca="false">IF($C844="","",$N844+$Q844*$R844)</f>
        <v/>
      </c>
      <c r="K844" s="17" t="str">
        <f aca="false">IF($C844="","",$O844+$Q844*$S844)</f>
        <v/>
      </c>
      <c r="L844" s="17" t="str">
        <f aca="false">IF($C844="","",$J844-$K844-1-N($G844))</f>
        <v/>
      </c>
      <c r="M844" s="7" t="str">
        <f aca="false">IF($B844="","",INDEX(Course!$B$2:$B$19,MATCH($B844,Course!$A$2:$A$19,0)))</f>
        <v/>
      </c>
      <c r="N844" s="17" t="str">
        <f aca="false">IF($C844="","",IF($C844="H",0,IF($C844="G",INDEX(Baseline!$I$3:$I$102,MIN(MAX(ROUND($D844,0),1),100)),IF($C844="T",IF($M844=3,INDEX(Baseline!$B$3:$B$122,MATCH(MIN(MAX(ROUND(($D844)/5,0)*5,5),600),Baseline!$A$3:$A$122,0))-Inputs!$B$9,INDEX(Course!$N$2:$N$19,MATCH($B844,Course!$A$2:$A$19,0))),INDEX(Baseline!$B$3:$E$122,MATCH(MIN(MAX(ROUND(($D844)/5,0)*5,5),600),Baseline!$A$3:$A$122,0),MATCH($C844,Baseline!$B$2:$E$2,0))))))</f>
        <v/>
      </c>
      <c r="O844" s="17" t="str">
        <f aca="false">IF($C844="","",IF($E844="H",0,IF($E844="G",INDEX(Baseline!$I$3:$I$102,MIN(MAX(ROUND($F844,0),1),100)),IF($E844="T",IF($M844=3,INDEX(Baseline!$B$3:$B$122,MATCH(MIN(MAX(ROUND(($F844)/5,0)*5,5),600),Baseline!$A$3:$A$122,0))-Inputs!$B$9,INDEX(Course!$N$2:$N$19,MATCH($B844,Course!$A$2:$A$19,0))),INDEX(Baseline!$B$3:$E$122,MATCH(MIN(MAX(ROUND(($F844)/5,0)*5,5),600),Baseline!$A$3:$A$122,0),MATCH($E844,Baseline!$B$2:$E$2,0))))))</f>
        <v/>
      </c>
      <c r="P844" s="17" t="str">
        <f aca="false">IF($B844="","",INDEX(Course!$N$2:$N$19,MATCH($B844,Course!$A$2:$A$19,0)))</f>
        <v/>
      </c>
      <c r="Q844" s="17" t="str">
        <f aca="false">IF($B844="","",INDEX(Course!$P$2:$P$19,MATCH($B844,Course!$A$2:$A$19,0)))</f>
        <v/>
      </c>
      <c r="R844" s="17" t="str">
        <f aca="false">IF($C844="","",IF(OR($C844="G",$C844="H"),0,IF($C844="T",1,MIN(1,MAX(0,($N844-Inputs!$B$8)/MAX($P844-Inputs!$B$8,0.01))))))</f>
        <v/>
      </c>
      <c r="S844" s="17" t="str">
        <f aca="false">IF($C844="","",IF(OR($E844="G",$E844="H"),0,IF($E844="T",1,MIN(1,MAX(0,($O844-Inputs!$B$8)/MAX($P844-Inputs!$B$8,0.01))))))</f>
        <v/>
      </c>
    </row>
    <row r="845" customFormat="false" ht="15" hidden="false" customHeight="false" outlineLevel="0" collapsed="false">
      <c r="I845" s="7" t="str">
        <f aca="false">IF($C845="","",IF($C845="G","PUTT",IF(AND($C845="T",$M845&gt;3),"OTT",IF($D845&lt;=30,"ARG","APP"))))</f>
        <v/>
      </c>
      <c r="J845" s="17" t="str">
        <f aca="false">IF($C845="","",$N845+$Q845*$R845)</f>
        <v/>
      </c>
      <c r="K845" s="17" t="str">
        <f aca="false">IF($C845="","",$O845+$Q845*$S845)</f>
        <v/>
      </c>
      <c r="L845" s="17" t="str">
        <f aca="false">IF($C845="","",$J845-$K845-1-N($G845))</f>
        <v/>
      </c>
      <c r="M845" s="7" t="str">
        <f aca="false">IF($B845="","",INDEX(Course!$B$2:$B$19,MATCH($B845,Course!$A$2:$A$19,0)))</f>
        <v/>
      </c>
      <c r="N845" s="17" t="str">
        <f aca="false">IF($C845="","",IF($C845="H",0,IF($C845="G",INDEX(Baseline!$I$3:$I$102,MIN(MAX(ROUND($D845,0),1),100)),IF($C845="T",IF($M845=3,INDEX(Baseline!$B$3:$B$122,MATCH(MIN(MAX(ROUND(($D845)/5,0)*5,5),600),Baseline!$A$3:$A$122,0))-Inputs!$B$9,INDEX(Course!$N$2:$N$19,MATCH($B845,Course!$A$2:$A$19,0))),INDEX(Baseline!$B$3:$E$122,MATCH(MIN(MAX(ROUND(($D845)/5,0)*5,5),600),Baseline!$A$3:$A$122,0),MATCH($C845,Baseline!$B$2:$E$2,0))))))</f>
        <v/>
      </c>
      <c r="O845" s="17" t="str">
        <f aca="false">IF($C845="","",IF($E845="H",0,IF($E845="G",INDEX(Baseline!$I$3:$I$102,MIN(MAX(ROUND($F845,0),1),100)),IF($E845="T",IF($M845=3,INDEX(Baseline!$B$3:$B$122,MATCH(MIN(MAX(ROUND(($F845)/5,0)*5,5),600),Baseline!$A$3:$A$122,0))-Inputs!$B$9,INDEX(Course!$N$2:$N$19,MATCH($B845,Course!$A$2:$A$19,0))),INDEX(Baseline!$B$3:$E$122,MATCH(MIN(MAX(ROUND(($F845)/5,0)*5,5),600),Baseline!$A$3:$A$122,0),MATCH($E845,Baseline!$B$2:$E$2,0))))))</f>
        <v/>
      </c>
      <c r="P845" s="17" t="str">
        <f aca="false">IF($B845="","",INDEX(Course!$N$2:$N$19,MATCH($B845,Course!$A$2:$A$19,0)))</f>
        <v/>
      </c>
      <c r="Q845" s="17" t="str">
        <f aca="false">IF($B845="","",INDEX(Course!$P$2:$P$19,MATCH($B845,Course!$A$2:$A$19,0)))</f>
        <v/>
      </c>
      <c r="R845" s="17" t="str">
        <f aca="false">IF($C845="","",IF(OR($C845="G",$C845="H"),0,IF($C845="T",1,MIN(1,MAX(0,($N845-Inputs!$B$8)/MAX($P845-Inputs!$B$8,0.01))))))</f>
        <v/>
      </c>
      <c r="S845" s="17" t="str">
        <f aca="false">IF($C845="","",IF(OR($E845="G",$E845="H"),0,IF($E845="T",1,MIN(1,MAX(0,($O845-Inputs!$B$8)/MAX($P845-Inputs!$B$8,0.01))))))</f>
        <v/>
      </c>
    </row>
    <row r="846" customFormat="false" ht="15" hidden="false" customHeight="false" outlineLevel="0" collapsed="false">
      <c r="I846" s="7" t="str">
        <f aca="false">IF($C846="","",IF($C846="G","PUTT",IF(AND($C846="T",$M846&gt;3),"OTT",IF($D846&lt;=30,"ARG","APP"))))</f>
        <v/>
      </c>
      <c r="J846" s="17" t="str">
        <f aca="false">IF($C846="","",$N846+$Q846*$R846)</f>
        <v/>
      </c>
      <c r="K846" s="17" t="str">
        <f aca="false">IF($C846="","",$O846+$Q846*$S846)</f>
        <v/>
      </c>
      <c r="L846" s="17" t="str">
        <f aca="false">IF($C846="","",$J846-$K846-1-N($G846))</f>
        <v/>
      </c>
      <c r="M846" s="7" t="str">
        <f aca="false">IF($B846="","",INDEX(Course!$B$2:$B$19,MATCH($B846,Course!$A$2:$A$19,0)))</f>
        <v/>
      </c>
      <c r="N846" s="17" t="str">
        <f aca="false">IF($C846="","",IF($C846="H",0,IF($C846="G",INDEX(Baseline!$I$3:$I$102,MIN(MAX(ROUND($D846,0),1),100)),IF($C846="T",IF($M846=3,INDEX(Baseline!$B$3:$B$122,MATCH(MIN(MAX(ROUND(($D846)/5,0)*5,5),600),Baseline!$A$3:$A$122,0))-Inputs!$B$9,INDEX(Course!$N$2:$N$19,MATCH($B846,Course!$A$2:$A$19,0))),INDEX(Baseline!$B$3:$E$122,MATCH(MIN(MAX(ROUND(($D846)/5,0)*5,5),600),Baseline!$A$3:$A$122,0),MATCH($C846,Baseline!$B$2:$E$2,0))))))</f>
        <v/>
      </c>
      <c r="O846" s="17" t="str">
        <f aca="false">IF($C846="","",IF($E846="H",0,IF($E846="G",INDEX(Baseline!$I$3:$I$102,MIN(MAX(ROUND($F846,0),1),100)),IF($E846="T",IF($M846=3,INDEX(Baseline!$B$3:$B$122,MATCH(MIN(MAX(ROUND(($F846)/5,0)*5,5),600),Baseline!$A$3:$A$122,0))-Inputs!$B$9,INDEX(Course!$N$2:$N$19,MATCH($B846,Course!$A$2:$A$19,0))),INDEX(Baseline!$B$3:$E$122,MATCH(MIN(MAX(ROUND(($F846)/5,0)*5,5),600),Baseline!$A$3:$A$122,0),MATCH($E846,Baseline!$B$2:$E$2,0))))))</f>
        <v/>
      </c>
      <c r="P846" s="17" t="str">
        <f aca="false">IF($B846="","",INDEX(Course!$N$2:$N$19,MATCH($B846,Course!$A$2:$A$19,0)))</f>
        <v/>
      </c>
      <c r="Q846" s="17" t="str">
        <f aca="false">IF($B846="","",INDEX(Course!$P$2:$P$19,MATCH($B846,Course!$A$2:$A$19,0)))</f>
        <v/>
      </c>
      <c r="R846" s="17" t="str">
        <f aca="false">IF($C846="","",IF(OR($C846="G",$C846="H"),0,IF($C846="T",1,MIN(1,MAX(0,($N846-Inputs!$B$8)/MAX($P846-Inputs!$B$8,0.01))))))</f>
        <v/>
      </c>
      <c r="S846" s="17" t="str">
        <f aca="false">IF($C846="","",IF(OR($E846="G",$E846="H"),0,IF($E846="T",1,MIN(1,MAX(0,($O846-Inputs!$B$8)/MAX($P846-Inputs!$B$8,0.01))))))</f>
        <v/>
      </c>
    </row>
    <row r="847" customFormat="false" ht="15" hidden="false" customHeight="false" outlineLevel="0" collapsed="false">
      <c r="I847" s="7" t="str">
        <f aca="false">IF($C847="","",IF($C847="G","PUTT",IF(AND($C847="T",$M847&gt;3),"OTT",IF($D847&lt;=30,"ARG","APP"))))</f>
        <v/>
      </c>
      <c r="J847" s="17" t="str">
        <f aca="false">IF($C847="","",$N847+$Q847*$R847)</f>
        <v/>
      </c>
      <c r="K847" s="17" t="str">
        <f aca="false">IF($C847="","",$O847+$Q847*$S847)</f>
        <v/>
      </c>
      <c r="L847" s="17" t="str">
        <f aca="false">IF($C847="","",$J847-$K847-1-N($G847))</f>
        <v/>
      </c>
      <c r="M847" s="7" t="str">
        <f aca="false">IF($B847="","",INDEX(Course!$B$2:$B$19,MATCH($B847,Course!$A$2:$A$19,0)))</f>
        <v/>
      </c>
      <c r="N847" s="17" t="str">
        <f aca="false">IF($C847="","",IF($C847="H",0,IF($C847="G",INDEX(Baseline!$I$3:$I$102,MIN(MAX(ROUND($D847,0),1),100)),IF($C847="T",IF($M847=3,INDEX(Baseline!$B$3:$B$122,MATCH(MIN(MAX(ROUND(($D847)/5,0)*5,5),600),Baseline!$A$3:$A$122,0))-Inputs!$B$9,INDEX(Course!$N$2:$N$19,MATCH($B847,Course!$A$2:$A$19,0))),INDEX(Baseline!$B$3:$E$122,MATCH(MIN(MAX(ROUND(($D847)/5,0)*5,5),600),Baseline!$A$3:$A$122,0),MATCH($C847,Baseline!$B$2:$E$2,0))))))</f>
        <v/>
      </c>
      <c r="O847" s="17" t="str">
        <f aca="false">IF($C847="","",IF($E847="H",0,IF($E847="G",INDEX(Baseline!$I$3:$I$102,MIN(MAX(ROUND($F847,0),1),100)),IF($E847="T",IF($M847=3,INDEX(Baseline!$B$3:$B$122,MATCH(MIN(MAX(ROUND(($F847)/5,0)*5,5),600),Baseline!$A$3:$A$122,0))-Inputs!$B$9,INDEX(Course!$N$2:$N$19,MATCH($B847,Course!$A$2:$A$19,0))),INDEX(Baseline!$B$3:$E$122,MATCH(MIN(MAX(ROUND(($F847)/5,0)*5,5),600),Baseline!$A$3:$A$122,0),MATCH($E847,Baseline!$B$2:$E$2,0))))))</f>
        <v/>
      </c>
      <c r="P847" s="17" t="str">
        <f aca="false">IF($B847="","",INDEX(Course!$N$2:$N$19,MATCH($B847,Course!$A$2:$A$19,0)))</f>
        <v/>
      </c>
      <c r="Q847" s="17" t="str">
        <f aca="false">IF($B847="","",INDEX(Course!$P$2:$P$19,MATCH($B847,Course!$A$2:$A$19,0)))</f>
        <v/>
      </c>
      <c r="R847" s="17" t="str">
        <f aca="false">IF($C847="","",IF(OR($C847="G",$C847="H"),0,IF($C847="T",1,MIN(1,MAX(0,($N847-Inputs!$B$8)/MAX($P847-Inputs!$B$8,0.01))))))</f>
        <v/>
      </c>
      <c r="S847" s="17" t="str">
        <f aca="false">IF($C847="","",IF(OR($E847="G",$E847="H"),0,IF($E847="T",1,MIN(1,MAX(0,($O847-Inputs!$B$8)/MAX($P847-Inputs!$B$8,0.01))))))</f>
        <v/>
      </c>
    </row>
    <row r="848" customFormat="false" ht="15" hidden="false" customHeight="false" outlineLevel="0" collapsed="false">
      <c r="I848" s="7" t="str">
        <f aca="false">IF($C848="","",IF($C848="G","PUTT",IF(AND($C848="T",$M848&gt;3),"OTT",IF($D848&lt;=30,"ARG","APP"))))</f>
        <v/>
      </c>
      <c r="J848" s="17" t="str">
        <f aca="false">IF($C848="","",$N848+$Q848*$R848)</f>
        <v/>
      </c>
      <c r="K848" s="17" t="str">
        <f aca="false">IF($C848="","",$O848+$Q848*$S848)</f>
        <v/>
      </c>
      <c r="L848" s="17" t="str">
        <f aca="false">IF($C848="","",$J848-$K848-1-N($G848))</f>
        <v/>
      </c>
      <c r="M848" s="7" t="str">
        <f aca="false">IF($B848="","",INDEX(Course!$B$2:$B$19,MATCH($B848,Course!$A$2:$A$19,0)))</f>
        <v/>
      </c>
      <c r="N848" s="17" t="str">
        <f aca="false">IF($C848="","",IF($C848="H",0,IF($C848="G",INDEX(Baseline!$I$3:$I$102,MIN(MAX(ROUND($D848,0),1),100)),IF($C848="T",IF($M848=3,INDEX(Baseline!$B$3:$B$122,MATCH(MIN(MAX(ROUND(($D848)/5,0)*5,5),600),Baseline!$A$3:$A$122,0))-Inputs!$B$9,INDEX(Course!$N$2:$N$19,MATCH($B848,Course!$A$2:$A$19,0))),INDEX(Baseline!$B$3:$E$122,MATCH(MIN(MAX(ROUND(($D848)/5,0)*5,5),600),Baseline!$A$3:$A$122,0),MATCH($C848,Baseline!$B$2:$E$2,0))))))</f>
        <v/>
      </c>
      <c r="O848" s="17" t="str">
        <f aca="false">IF($C848="","",IF($E848="H",0,IF($E848="G",INDEX(Baseline!$I$3:$I$102,MIN(MAX(ROUND($F848,0),1),100)),IF($E848="T",IF($M848=3,INDEX(Baseline!$B$3:$B$122,MATCH(MIN(MAX(ROUND(($F848)/5,0)*5,5),600),Baseline!$A$3:$A$122,0))-Inputs!$B$9,INDEX(Course!$N$2:$N$19,MATCH($B848,Course!$A$2:$A$19,0))),INDEX(Baseline!$B$3:$E$122,MATCH(MIN(MAX(ROUND(($F848)/5,0)*5,5),600),Baseline!$A$3:$A$122,0),MATCH($E848,Baseline!$B$2:$E$2,0))))))</f>
        <v/>
      </c>
      <c r="P848" s="17" t="str">
        <f aca="false">IF($B848="","",INDEX(Course!$N$2:$N$19,MATCH($B848,Course!$A$2:$A$19,0)))</f>
        <v/>
      </c>
      <c r="Q848" s="17" t="str">
        <f aca="false">IF($B848="","",INDEX(Course!$P$2:$P$19,MATCH($B848,Course!$A$2:$A$19,0)))</f>
        <v/>
      </c>
      <c r="R848" s="17" t="str">
        <f aca="false">IF($C848="","",IF(OR($C848="G",$C848="H"),0,IF($C848="T",1,MIN(1,MAX(0,($N848-Inputs!$B$8)/MAX($P848-Inputs!$B$8,0.01))))))</f>
        <v/>
      </c>
      <c r="S848" s="17" t="str">
        <f aca="false">IF($C848="","",IF(OR($E848="G",$E848="H"),0,IF($E848="T",1,MIN(1,MAX(0,($O848-Inputs!$B$8)/MAX($P848-Inputs!$B$8,0.01))))))</f>
        <v/>
      </c>
    </row>
    <row r="849" customFormat="false" ht="15" hidden="false" customHeight="false" outlineLevel="0" collapsed="false">
      <c r="I849" s="7" t="str">
        <f aca="false">IF($C849="","",IF($C849="G","PUTT",IF(AND($C849="T",$M849&gt;3),"OTT",IF($D849&lt;=30,"ARG","APP"))))</f>
        <v/>
      </c>
      <c r="J849" s="17" t="str">
        <f aca="false">IF($C849="","",$N849+$Q849*$R849)</f>
        <v/>
      </c>
      <c r="K849" s="17" t="str">
        <f aca="false">IF($C849="","",$O849+$Q849*$S849)</f>
        <v/>
      </c>
      <c r="L849" s="17" t="str">
        <f aca="false">IF($C849="","",$J849-$K849-1-N($G849))</f>
        <v/>
      </c>
      <c r="M849" s="7" t="str">
        <f aca="false">IF($B849="","",INDEX(Course!$B$2:$B$19,MATCH($B849,Course!$A$2:$A$19,0)))</f>
        <v/>
      </c>
      <c r="N849" s="17" t="str">
        <f aca="false">IF($C849="","",IF($C849="H",0,IF($C849="G",INDEX(Baseline!$I$3:$I$102,MIN(MAX(ROUND($D849,0),1),100)),IF($C849="T",IF($M849=3,INDEX(Baseline!$B$3:$B$122,MATCH(MIN(MAX(ROUND(($D849)/5,0)*5,5),600),Baseline!$A$3:$A$122,0))-Inputs!$B$9,INDEX(Course!$N$2:$N$19,MATCH($B849,Course!$A$2:$A$19,0))),INDEX(Baseline!$B$3:$E$122,MATCH(MIN(MAX(ROUND(($D849)/5,0)*5,5),600),Baseline!$A$3:$A$122,0),MATCH($C849,Baseline!$B$2:$E$2,0))))))</f>
        <v/>
      </c>
      <c r="O849" s="17" t="str">
        <f aca="false">IF($C849="","",IF($E849="H",0,IF($E849="G",INDEX(Baseline!$I$3:$I$102,MIN(MAX(ROUND($F849,0),1),100)),IF($E849="T",IF($M849=3,INDEX(Baseline!$B$3:$B$122,MATCH(MIN(MAX(ROUND(($F849)/5,0)*5,5),600),Baseline!$A$3:$A$122,0))-Inputs!$B$9,INDEX(Course!$N$2:$N$19,MATCH($B849,Course!$A$2:$A$19,0))),INDEX(Baseline!$B$3:$E$122,MATCH(MIN(MAX(ROUND(($F849)/5,0)*5,5),600),Baseline!$A$3:$A$122,0),MATCH($E849,Baseline!$B$2:$E$2,0))))))</f>
        <v/>
      </c>
      <c r="P849" s="17" t="str">
        <f aca="false">IF($B849="","",INDEX(Course!$N$2:$N$19,MATCH($B849,Course!$A$2:$A$19,0)))</f>
        <v/>
      </c>
      <c r="Q849" s="17" t="str">
        <f aca="false">IF($B849="","",INDEX(Course!$P$2:$P$19,MATCH($B849,Course!$A$2:$A$19,0)))</f>
        <v/>
      </c>
      <c r="R849" s="17" t="str">
        <f aca="false">IF($C849="","",IF(OR($C849="G",$C849="H"),0,IF($C849="T",1,MIN(1,MAX(0,($N849-Inputs!$B$8)/MAX($P849-Inputs!$B$8,0.01))))))</f>
        <v/>
      </c>
      <c r="S849" s="17" t="str">
        <f aca="false">IF($C849="","",IF(OR($E849="G",$E849="H"),0,IF($E849="T",1,MIN(1,MAX(0,($O849-Inputs!$B$8)/MAX($P849-Inputs!$B$8,0.01))))))</f>
        <v/>
      </c>
    </row>
    <row r="850" customFormat="false" ht="15" hidden="false" customHeight="false" outlineLevel="0" collapsed="false">
      <c r="I850" s="7" t="str">
        <f aca="false">IF($C850="","",IF($C850="G","PUTT",IF(AND($C850="T",$M850&gt;3),"OTT",IF($D850&lt;=30,"ARG","APP"))))</f>
        <v/>
      </c>
      <c r="J850" s="17" t="str">
        <f aca="false">IF($C850="","",$N850+$Q850*$R850)</f>
        <v/>
      </c>
      <c r="K850" s="17" t="str">
        <f aca="false">IF($C850="","",$O850+$Q850*$S850)</f>
        <v/>
      </c>
      <c r="L850" s="17" t="str">
        <f aca="false">IF($C850="","",$J850-$K850-1-N($G850))</f>
        <v/>
      </c>
      <c r="M850" s="7" t="str">
        <f aca="false">IF($B850="","",INDEX(Course!$B$2:$B$19,MATCH($B850,Course!$A$2:$A$19,0)))</f>
        <v/>
      </c>
      <c r="N850" s="17" t="str">
        <f aca="false">IF($C850="","",IF($C850="H",0,IF($C850="G",INDEX(Baseline!$I$3:$I$102,MIN(MAX(ROUND($D850,0),1),100)),IF($C850="T",IF($M850=3,INDEX(Baseline!$B$3:$B$122,MATCH(MIN(MAX(ROUND(($D850)/5,0)*5,5),600),Baseline!$A$3:$A$122,0))-Inputs!$B$9,INDEX(Course!$N$2:$N$19,MATCH($B850,Course!$A$2:$A$19,0))),INDEX(Baseline!$B$3:$E$122,MATCH(MIN(MAX(ROUND(($D850)/5,0)*5,5),600),Baseline!$A$3:$A$122,0),MATCH($C850,Baseline!$B$2:$E$2,0))))))</f>
        <v/>
      </c>
      <c r="O850" s="17" t="str">
        <f aca="false">IF($C850="","",IF($E850="H",0,IF($E850="G",INDEX(Baseline!$I$3:$I$102,MIN(MAX(ROUND($F850,0),1),100)),IF($E850="T",IF($M850=3,INDEX(Baseline!$B$3:$B$122,MATCH(MIN(MAX(ROUND(($F850)/5,0)*5,5),600),Baseline!$A$3:$A$122,0))-Inputs!$B$9,INDEX(Course!$N$2:$N$19,MATCH($B850,Course!$A$2:$A$19,0))),INDEX(Baseline!$B$3:$E$122,MATCH(MIN(MAX(ROUND(($F850)/5,0)*5,5),600),Baseline!$A$3:$A$122,0),MATCH($E850,Baseline!$B$2:$E$2,0))))))</f>
        <v/>
      </c>
      <c r="P850" s="17" t="str">
        <f aca="false">IF($B850="","",INDEX(Course!$N$2:$N$19,MATCH($B850,Course!$A$2:$A$19,0)))</f>
        <v/>
      </c>
      <c r="Q850" s="17" t="str">
        <f aca="false">IF($B850="","",INDEX(Course!$P$2:$P$19,MATCH($B850,Course!$A$2:$A$19,0)))</f>
        <v/>
      </c>
      <c r="R850" s="17" t="str">
        <f aca="false">IF($C850="","",IF(OR($C850="G",$C850="H"),0,IF($C850="T",1,MIN(1,MAX(0,($N850-Inputs!$B$8)/MAX($P850-Inputs!$B$8,0.01))))))</f>
        <v/>
      </c>
      <c r="S850" s="17" t="str">
        <f aca="false">IF($C850="","",IF(OR($E850="G",$E850="H"),0,IF($E850="T",1,MIN(1,MAX(0,($O850-Inputs!$B$8)/MAX($P850-Inputs!$B$8,0.01))))))</f>
        <v/>
      </c>
    </row>
    <row r="851" customFormat="false" ht="15" hidden="false" customHeight="false" outlineLevel="0" collapsed="false">
      <c r="I851" s="7" t="str">
        <f aca="false">IF($C851="","",IF($C851="G","PUTT",IF(AND($C851="T",$M851&gt;3),"OTT",IF($D851&lt;=30,"ARG","APP"))))</f>
        <v/>
      </c>
      <c r="J851" s="17" t="str">
        <f aca="false">IF($C851="","",$N851+$Q851*$R851)</f>
        <v/>
      </c>
      <c r="K851" s="17" t="str">
        <f aca="false">IF($C851="","",$O851+$Q851*$S851)</f>
        <v/>
      </c>
      <c r="L851" s="17" t="str">
        <f aca="false">IF($C851="","",$J851-$K851-1-N($G851))</f>
        <v/>
      </c>
      <c r="M851" s="7" t="str">
        <f aca="false">IF($B851="","",INDEX(Course!$B$2:$B$19,MATCH($B851,Course!$A$2:$A$19,0)))</f>
        <v/>
      </c>
      <c r="N851" s="17" t="str">
        <f aca="false">IF($C851="","",IF($C851="H",0,IF($C851="G",INDEX(Baseline!$I$3:$I$102,MIN(MAX(ROUND($D851,0),1),100)),IF($C851="T",IF($M851=3,INDEX(Baseline!$B$3:$B$122,MATCH(MIN(MAX(ROUND(($D851)/5,0)*5,5),600),Baseline!$A$3:$A$122,0))-Inputs!$B$9,INDEX(Course!$N$2:$N$19,MATCH($B851,Course!$A$2:$A$19,0))),INDEX(Baseline!$B$3:$E$122,MATCH(MIN(MAX(ROUND(($D851)/5,0)*5,5),600),Baseline!$A$3:$A$122,0),MATCH($C851,Baseline!$B$2:$E$2,0))))))</f>
        <v/>
      </c>
      <c r="O851" s="17" t="str">
        <f aca="false">IF($C851="","",IF($E851="H",0,IF($E851="G",INDEX(Baseline!$I$3:$I$102,MIN(MAX(ROUND($F851,0),1),100)),IF($E851="T",IF($M851=3,INDEX(Baseline!$B$3:$B$122,MATCH(MIN(MAX(ROUND(($F851)/5,0)*5,5),600),Baseline!$A$3:$A$122,0))-Inputs!$B$9,INDEX(Course!$N$2:$N$19,MATCH($B851,Course!$A$2:$A$19,0))),INDEX(Baseline!$B$3:$E$122,MATCH(MIN(MAX(ROUND(($F851)/5,0)*5,5),600),Baseline!$A$3:$A$122,0),MATCH($E851,Baseline!$B$2:$E$2,0))))))</f>
        <v/>
      </c>
      <c r="P851" s="17" t="str">
        <f aca="false">IF($B851="","",INDEX(Course!$N$2:$N$19,MATCH($B851,Course!$A$2:$A$19,0)))</f>
        <v/>
      </c>
      <c r="Q851" s="17" t="str">
        <f aca="false">IF($B851="","",INDEX(Course!$P$2:$P$19,MATCH($B851,Course!$A$2:$A$19,0)))</f>
        <v/>
      </c>
      <c r="R851" s="17" t="str">
        <f aca="false">IF($C851="","",IF(OR($C851="G",$C851="H"),0,IF($C851="T",1,MIN(1,MAX(0,($N851-Inputs!$B$8)/MAX($P851-Inputs!$B$8,0.01))))))</f>
        <v/>
      </c>
      <c r="S851" s="17" t="str">
        <f aca="false">IF($C851="","",IF(OR($E851="G",$E851="H"),0,IF($E851="T",1,MIN(1,MAX(0,($O851-Inputs!$B$8)/MAX($P851-Inputs!$B$8,0.01))))))</f>
        <v/>
      </c>
    </row>
    <row r="852" customFormat="false" ht="15" hidden="false" customHeight="false" outlineLevel="0" collapsed="false">
      <c r="I852" s="7" t="str">
        <f aca="false">IF($C852="","",IF($C852="G","PUTT",IF(AND($C852="T",$M852&gt;3),"OTT",IF($D852&lt;=30,"ARG","APP"))))</f>
        <v/>
      </c>
      <c r="J852" s="17" t="str">
        <f aca="false">IF($C852="","",$N852+$Q852*$R852)</f>
        <v/>
      </c>
      <c r="K852" s="17" t="str">
        <f aca="false">IF($C852="","",$O852+$Q852*$S852)</f>
        <v/>
      </c>
      <c r="L852" s="17" t="str">
        <f aca="false">IF($C852="","",$J852-$K852-1-N($G852))</f>
        <v/>
      </c>
      <c r="M852" s="7" t="str">
        <f aca="false">IF($B852="","",INDEX(Course!$B$2:$B$19,MATCH($B852,Course!$A$2:$A$19,0)))</f>
        <v/>
      </c>
      <c r="N852" s="17" t="str">
        <f aca="false">IF($C852="","",IF($C852="H",0,IF($C852="G",INDEX(Baseline!$I$3:$I$102,MIN(MAX(ROUND($D852,0),1),100)),IF($C852="T",IF($M852=3,INDEX(Baseline!$B$3:$B$122,MATCH(MIN(MAX(ROUND(($D852)/5,0)*5,5),600),Baseline!$A$3:$A$122,0))-Inputs!$B$9,INDEX(Course!$N$2:$N$19,MATCH($B852,Course!$A$2:$A$19,0))),INDEX(Baseline!$B$3:$E$122,MATCH(MIN(MAX(ROUND(($D852)/5,0)*5,5),600),Baseline!$A$3:$A$122,0),MATCH($C852,Baseline!$B$2:$E$2,0))))))</f>
        <v/>
      </c>
      <c r="O852" s="17" t="str">
        <f aca="false">IF($C852="","",IF($E852="H",0,IF($E852="G",INDEX(Baseline!$I$3:$I$102,MIN(MAX(ROUND($F852,0),1),100)),IF($E852="T",IF($M852=3,INDEX(Baseline!$B$3:$B$122,MATCH(MIN(MAX(ROUND(($F852)/5,0)*5,5),600),Baseline!$A$3:$A$122,0))-Inputs!$B$9,INDEX(Course!$N$2:$N$19,MATCH($B852,Course!$A$2:$A$19,0))),INDEX(Baseline!$B$3:$E$122,MATCH(MIN(MAX(ROUND(($F852)/5,0)*5,5),600),Baseline!$A$3:$A$122,0),MATCH($E852,Baseline!$B$2:$E$2,0))))))</f>
        <v/>
      </c>
      <c r="P852" s="17" t="str">
        <f aca="false">IF($B852="","",INDEX(Course!$N$2:$N$19,MATCH($B852,Course!$A$2:$A$19,0)))</f>
        <v/>
      </c>
      <c r="Q852" s="17" t="str">
        <f aca="false">IF($B852="","",INDEX(Course!$P$2:$P$19,MATCH($B852,Course!$A$2:$A$19,0)))</f>
        <v/>
      </c>
      <c r="R852" s="17" t="str">
        <f aca="false">IF($C852="","",IF(OR($C852="G",$C852="H"),0,IF($C852="T",1,MIN(1,MAX(0,($N852-Inputs!$B$8)/MAX($P852-Inputs!$B$8,0.01))))))</f>
        <v/>
      </c>
      <c r="S852" s="17" t="str">
        <f aca="false">IF($C852="","",IF(OR($E852="G",$E852="H"),0,IF($E852="T",1,MIN(1,MAX(0,($O852-Inputs!$B$8)/MAX($P852-Inputs!$B$8,0.01))))))</f>
        <v/>
      </c>
    </row>
    <row r="853" customFormat="false" ht="15" hidden="false" customHeight="false" outlineLevel="0" collapsed="false">
      <c r="I853" s="7" t="str">
        <f aca="false">IF($C853="","",IF($C853="G","PUTT",IF(AND($C853="T",$M853&gt;3),"OTT",IF($D853&lt;=30,"ARG","APP"))))</f>
        <v/>
      </c>
      <c r="J853" s="17" t="str">
        <f aca="false">IF($C853="","",$N853+$Q853*$R853)</f>
        <v/>
      </c>
      <c r="K853" s="17" t="str">
        <f aca="false">IF($C853="","",$O853+$Q853*$S853)</f>
        <v/>
      </c>
      <c r="L853" s="17" t="str">
        <f aca="false">IF($C853="","",$J853-$K853-1-N($G853))</f>
        <v/>
      </c>
      <c r="M853" s="7" t="str">
        <f aca="false">IF($B853="","",INDEX(Course!$B$2:$B$19,MATCH($B853,Course!$A$2:$A$19,0)))</f>
        <v/>
      </c>
      <c r="N853" s="17" t="str">
        <f aca="false">IF($C853="","",IF($C853="H",0,IF($C853="G",INDEX(Baseline!$I$3:$I$102,MIN(MAX(ROUND($D853,0),1),100)),IF($C853="T",IF($M853=3,INDEX(Baseline!$B$3:$B$122,MATCH(MIN(MAX(ROUND(($D853)/5,0)*5,5),600),Baseline!$A$3:$A$122,0))-Inputs!$B$9,INDEX(Course!$N$2:$N$19,MATCH($B853,Course!$A$2:$A$19,0))),INDEX(Baseline!$B$3:$E$122,MATCH(MIN(MAX(ROUND(($D853)/5,0)*5,5),600),Baseline!$A$3:$A$122,0),MATCH($C853,Baseline!$B$2:$E$2,0))))))</f>
        <v/>
      </c>
      <c r="O853" s="17" t="str">
        <f aca="false">IF($C853="","",IF($E853="H",0,IF($E853="G",INDEX(Baseline!$I$3:$I$102,MIN(MAX(ROUND($F853,0),1),100)),IF($E853="T",IF($M853=3,INDEX(Baseline!$B$3:$B$122,MATCH(MIN(MAX(ROUND(($F853)/5,0)*5,5),600),Baseline!$A$3:$A$122,0))-Inputs!$B$9,INDEX(Course!$N$2:$N$19,MATCH($B853,Course!$A$2:$A$19,0))),INDEX(Baseline!$B$3:$E$122,MATCH(MIN(MAX(ROUND(($F853)/5,0)*5,5),600),Baseline!$A$3:$A$122,0),MATCH($E853,Baseline!$B$2:$E$2,0))))))</f>
        <v/>
      </c>
      <c r="P853" s="17" t="str">
        <f aca="false">IF($B853="","",INDEX(Course!$N$2:$N$19,MATCH($B853,Course!$A$2:$A$19,0)))</f>
        <v/>
      </c>
      <c r="Q853" s="17" t="str">
        <f aca="false">IF($B853="","",INDEX(Course!$P$2:$P$19,MATCH($B853,Course!$A$2:$A$19,0)))</f>
        <v/>
      </c>
      <c r="R853" s="17" t="str">
        <f aca="false">IF($C853="","",IF(OR($C853="G",$C853="H"),0,IF($C853="T",1,MIN(1,MAX(0,($N853-Inputs!$B$8)/MAX($P853-Inputs!$B$8,0.01))))))</f>
        <v/>
      </c>
      <c r="S853" s="17" t="str">
        <f aca="false">IF($C853="","",IF(OR($E853="G",$E853="H"),0,IF($E853="T",1,MIN(1,MAX(0,($O853-Inputs!$B$8)/MAX($P853-Inputs!$B$8,0.01))))))</f>
        <v/>
      </c>
    </row>
    <row r="854" customFormat="false" ht="15" hidden="false" customHeight="false" outlineLevel="0" collapsed="false">
      <c r="I854" s="7" t="str">
        <f aca="false">IF($C854="","",IF($C854="G","PUTT",IF(AND($C854="T",$M854&gt;3),"OTT",IF($D854&lt;=30,"ARG","APP"))))</f>
        <v/>
      </c>
      <c r="J854" s="17" t="str">
        <f aca="false">IF($C854="","",$N854+$Q854*$R854)</f>
        <v/>
      </c>
      <c r="K854" s="17" t="str">
        <f aca="false">IF($C854="","",$O854+$Q854*$S854)</f>
        <v/>
      </c>
      <c r="L854" s="17" t="str">
        <f aca="false">IF($C854="","",$J854-$K854-1-N($G854))</f>
        <v/>
      </c>
      <c r="M854" s="7" t="str">
        <f aca="false">IF($B854="","",INDEX(Course!$B$2:$B$19,MATCH($B854,Course!$A$2:$A$19,0)))</f>
        <v/>
      </c>
      <c r="N854" s="17" t="str">
        <f aca="false">IF($C854="","",IF($C854="H",0,IF($C854="G",INDEX(Baseline!$I$3:$I$102,MIN(MAX(ROUND($D854,0),1),100)),IF($C854="T",IF($M854=3,INDEX(Baseline!$B$3:$B$122,MATCH(MIN(MAX(ROUND(($D854)/5,0)*5,5),600),Baseline!$A$3:$A$122,0))-Inputs!$B$9,INDEX(Course!$N$2:$N$19,MATCH($B854,Course!$A$2:$A$19,0))),INDEX(Baseline!$B$3:$E$122,MATCH(MIN(MAX(ROUND(($D854)/5,0)*5,5),600),Baseline!$A$3:$A$122,0),MATCH($C854,Baseline!$B$2:$E$2,0))))))</f>
        <v/>
      </c>
      <c r="O854" s="17" t="str">
        <f aca="false">IF($C854="","",IF($E854="H",0,IF($E854="G",INDEX(Baseline!$I$3:$I$102,MIN(MAX(ROUND($F854,0),1),100)),IF($E854="T",IF($M854=3,INDEX(Baseline!$B$3:$B$122,MATCH(MIN(MAX(ROUND(($F854)/5,0)*5,5),600),Baseline!$A$3:$A$122,0))-Inputs!$B$9,INDEX(Course!$N$2:$N$19,MATCH($B854,Course!$A$2:$A$19,0))),INDEX(Baseline!$B$3:$E$122,MATCH(MIN(MAX(ROUND(($F854)/5,0)*5,5),600),Baseline!$A$3:$A$122,0),MATCH($E854,Baseline!$B$2:$E$2,0))))))</f>
        <v/>
      </c>
      <c r="P854" s="17" t="str">
        <f aca="false">IF($B854="","",INDEX(Course!$N$2:$N$19,MATCH($B854,Course!$A$2:$A$19,0)))</f>
        <v/>
      </c>
      <c r="Q854" s="17" t="str">
        <f aca="false">IF($B854="","",INDEX(Course!$P$2:$P$19,MATCH($B854,Course!$A$2:$A$19,0)))</f>
        <v/>
      </c>
      <c r="R854" s="17" t="str">
        <f aca="false">IF($C854="","",IF(OR($C854="G",$C854="H"),0,IF($C854="T",1,MIN(1,MAX(0,($N854-Inputs!$B$8)/MAX($P854-Inputs!$B$8,0.01))))))</f>
        <v/>
      </c>
      <c r="S854" s="17" t="str">
        <f aca="false">IF($C854="","",IF(OR($E854="G",$E854="H"),0,IF($E854="T",1,MIN(1,MAX(0,($O854-Inputs!$B$8)/MAX($P854-Inputs!$B$8,0.01))))))</f>
        <v/>
      </c>
    </row>
    <row r="855" customFormat="false" ht="15" hidden="false" customHeight="false" outlineLevel="0" collapsed="false">
      <c r="I855" s="7" t="str">
        <f aca="false">IF($C855="","",IF($C855="G","PUTT",IF(AND($C855="T",$M855&gt;3),"OTT",IF($D855&lt;=30,"ARG","APP"))))</f>
        <v/>
      </c>
      <c r="J855" s="17" t="str">
        <f aca="false">IF($C855="","",$N855+$Q855*$R855)</f>
        <v/>
      </c>
      <c r="K855" s="17" t="str">
        <f aca="false">IF($C855="","",$O855+$Q855*$S855)</f>
        <v/>
      </c>
      <c r="L855" s="17" t="str">
        <f aca="false">IF($C855="","",$J855-$K855-1-N($G855))</f>
        <v/>
      </c>
      <c r="M855" s="7" t="str">
        <f aca="false">IF($B855="","",INDEX(Course!$B$2:$B$19,MATCH($B855,Course!$A$2:$A$19,0)))</f>
        <v/>
      </c>
      <c r="N855" s="17" t="str">
        <f aca="false">IF($C855="","",IF($C855="H",0,IF($C855="G",INDEX(Baseline!$I$3:$I$102,MIN(MAX(ROUND($D855,0),1),100)),IF($C855="T",IF($M855=3,INDEX(Baseline!$B$3:$B$122,MATCH(MIN(MAX(ROUND(($D855)/5,0)*5,5),600),Baseline!$A$3:$A$122,0))-Inputs!$B$9,INDEX(Course!$N$2:$N$19,MATCH($B855,Course!$A$2:$A$19,0))),INDEX(Baseline!$B$3:$E$122,MATCH(MIN(MAX(ROUND(($D855)/5,0)*5,5),600),Baseline!$A$3:$A$122,0),MATCH($C855,Baseline!$B$2:$E$2,0))))))</f>
        <v/>
      </c>
      <c r="O855" s="17" t="str">
        <f aca="false">IF($C855="","",IF($E855="H",0,IF($E855="G",INDEX(Baseline!$I$3:$I$102,MIN(MAX(ROUND($F855,0),1),100)),IF($E855="T",IF($M855=3,INDEX(Baseline!$B$3:$B$122,MATCH(MIN(MAX(ROUND(($F855)/5,0)*5,5),600),Baseline!$A$3:$A$122,0))-Inputs!$B$9,INDEX(Course!$N$2:$N$19,MATCH($B855,Course!$A$2:$A$19,0))),INDEX(Baseline!$B$3:$E$122,MATCH(MIN(MAX(ROUND(($F855)/5,0)*5,5),600),Baseline!$A$3:$A$122,0),MATCH($E855,Baseline!$B$2:$E$2,0))))))</f>
        <v/>
      </c>
      <c r="P855" s="17" t="str">
        <f aca="false">IF($B855="","",INDEX(Course!$N$2:$N$19,MATCH($B855,Course!$A$2:$A$19,0)))</f>
        <v/>
      </c>
      <c r="Q855" s="17" t="str">
        <f aca="false">IF($B855="","",INDEX(Course!$P$2:$P$19,MATCH($B855,Course!$A$2:$A$19,0)))</f>
        <v/>
      </c>
      <c r="R855" s="17" t="str">
        <f aca="false">IF($C855="","",IF(OR($C855="G",$C855="H"),0,IF($C855="T",1,MIN(1,MAX(0,($N855-Inputs!$B$8)/MAX($P855-Inputs!$B$8,0.01))))))</f>
        <v/>
      </c>
      <c r="S855" s="17" t="str">
        <f aca="false">IF($C855="","",IF(OR($E855="G",$E855="H"),0,IF($E855="T",1,MIN(1,MAX(0,($O855-Inputs!$B$8)/MAX($P855-Inputs!$B$8,0.01))))))</f>
        <v/>
      </c>
    </row>
    <row r="856" customFormat="false" ht="15" hidden="false" customHeight="false" outlineLevel="0" collapsed="false">
      <c r="I856" s="7" t="str">
        <f aca="false">IF($C856="","",IF($C856="G","PUTT",IF(AND($C856="T",$M856&gt;3),"OTT",IF($D856&lt;=30,"ARG","APP"))))</f>
        <v/>
      </c>
      <c r="J856" s="17" t="str">
        <f aca="false">IF($C856="","",$N856+$Q856*$R856)</f>
        <v/>
      </c>
      <c r="K856" s="17" t="str">
        <f aca="false">IF($C856="","",$O856+$Q856*$S856)</f>
        <v/>
      </c>
      <c r="L856" s="17" t="str">
        <f aca="false">IF($C856="","",$J856-$K856-1-N($G856))</f>
        <v/>
      </c>
      <c r="M856" s="7" t="str">
        <f aca="false">IF($B856="","",INDEX(Course!$B$2:$B$19,MATCH($B856,Course!$A$2:$A$19,0)))</f>
        <v/>
      </c>
      <c r="N856" s="17" t="str">
        <f aca="false">IF($C856="","",IF($C856="H",0,IF($C856="G",INDEX(Baseline!$I$3:$I$102,MIN(MAX(ROUND($D856,0),1),100)),IF($C856="T",IF($M856=3,INDEX(Baseline!$B$3:$B$122,MATCH(MIN(MAX(ROUND(($D856)/5,0)*5,5),600),Baseline!$A$3:$A$122,0))-Inputs!$B$9,INDEX(Course!$N$2:$N$19,MATCH($B856,Course!$A$2:$A$19,0))),INDEX(Baseline!$B$3:$E$122,MATCH(MIN(MAX(ROUND(($D856)/5,0)*5,5),600),Baseline!$A$3:$A$122,0),MATCH($C856,Baseline!$B$2:$E$2,0))))))</f>
        <v/>
      </c>
      <c r="O856" s="17" t="str">
        <f aca="false">IF($C856="","",IF($E856="H",0,IF($E856="G",INDEX(Baseline!$I$3:$I$102,MIN(MAX(ROUND($F856,0),1),100)),IF($E856="T",IF($M856=3,INDEX(Baseline!$B$3:$B$122,MATCH(MIN(MAX(ROUND(($F856)/5,0)*5,5),600),Baseline!$A$3:$A$122,0))-Inputs!$B$9,INDEX(Course!$N$2:$N$19,MATCH($B856,Course!$A$2:$A$19,0))),INDEX(Baseline!$B$3:$E$122,MATCH(MIN(MAX(ROUND(($F856)/5,0)*5,5),600),Baseline!$A$3:$A$122,0),MATCH($E856,Baseline!$B$2:$E$2,0))))))</f>
        <v/>
      </c>
      <c r="P856" s="17" t="str">
        <f aca="false">IF($B856="","",INDEX(Course!$N$2:$N$19,MATCH($B856,Course!$A$2:$A$19,0)))</f>
        <v/>
      </c>
      <c r="Q856" s="17" t="str">
        <f aca="false">IF($B856="","",INDEX(Course!$P$2:$P$19,MATCH($B856,Course!$A$2:$A$19,0)))</f>
        <v/>
      </c>
      <c r="R856" s="17" t="str">
        <f aca="false">IF($C856="","",IF(OR($C856="G",$C856="H"),0,IF($C856="T",1,MIN(1,MAX(0,($N856-Inputs!$B$8)/MAX($P856-Inputs!$B$8,0.01))))))</f>
        <v/>
      </c>
      <c r="S856" s="17" t="str">
        <f aca="false">IF($C856="","",IF(OR($E856="G",$E856="H"),0,IF($E856="T",1,MIN(1,MAX(0,($O856-Inputs!$B$8)/MAX($P856-Inputs!$B$8,0.01))))))</f>
        <v/>
      </c>
    </row>
    <row r="857" customFormat="false" ht="15" hidden="false" customHeight="false" outlineLevel="0" collapsed="false">
      <c r="I857" s="7" t="str">
        <f aca="false">IF($C857="","",IF($C857="G","PUTT",IF(AND($C857="T",$M857&gt;3),"OTT",IF($D857&lt;=30,"ARG","APP"))))</f>
        <v/>
      </c>
      <c r="J857" s="17" t="str">
        <f aca="false">IF($C857="","",$N857+$Q857*$R857)</f>
        <v/>
      </c>
      <c r="K857" s="17" t="str">
        <f aca="false">IF($C857="","",$O857+$Q857*$S857)</f>
        <v/>
      </c>
      <c r="L857" s="17" t="str">
        <f aca="false">IF($C857="","",$J857-$K857-1-N($G857))</f>
        <v/>
      </c>
      <c r="M857" s="7" t="str">
        <f aca="false">IF($B857="","",INDEX(Course!$B$2:$B$19,MATCH($B857,Course!$A$2:$A$19,0)))</f>
        <v/>
      </c>
      <c r="N857" s="17" t="str">
        <f aca="false">IF($C857="","",IF($C857="H",0,IF($C857="G",INDEX(Baseline!$I$3:$I$102,MIN(MAX(ROUND($D857,0),1),100)),IF($C857="T",IF($M857=3,INDEX(Baseline!$B$3:$B$122,MATCH(MIN(MAX(ROUND(($D857)/5,0)*5,5),600),Baseline!$A$3:$A$122,0))-Inputs!$B$9,INDEX(Course!$N$2:$N$19,MATCH($B857,Course!$A$2:$A$19,0))),INDEX(Baseline!$B$3:$E$122,MATCH(MIN(MAX(ROUND(($D857)/5,0)*5,5),600),Baseline!$A$3:$A$122,0),MATCH($C857,Baseline!$B$2:$E$2,0))))))</f>
        <v/>
      </c>
      <c r="O857" s="17" t="str">
        <f aca="false">IF($C857="","",IF($E857="H",0,IF($E857="G",INDEX(Baseline!$I$3:$I$102,MIN(MAX(ROUND($F857,0),1),100)),IF($E857="T",IF($M857=3,INDEX(Baseline!$B$3:$B$122,MATCH(MIN(MAX(ROUND(($F857)/5,0)*5,5),600),Baseline!$A$3:$A$122,0))-Inputs!$B$9,INDEX(Course!$N$2:$N$19,MATCH($B857,Course!$A$2:$A$19,0))),INDEX(Baseline!$B$3:$E$122,MATCH(MIN(MAX(ROUND(($F857)/5,0)*5,5),600),Baseline!$A$3:$A$122,0),MATCH($E857,Baseline!$B$2:$E$2,0))))))</f>
        <v/>
      </c>
      <c r="P857" s="17" t="str">
        <f aca="false">IF($B857="","",INDEX(Course!$N$2:$N$19,MATCH($B857,Course!$A$2:$A$19,0)))</f>
        <v/>
      </c>
      <c r="Q857" s="17" t="str">
        <f aca="false">IF($B857="","",INDEX(Course!$P$2:$P$19,MATCH($B857,Course!$A$2:$A$19,0)))</f>
        <v/>
      </c>
      <c r="R857" s="17" t="str">
        <f aca="false">IF($C857="","",IF(OR($C857="G",$C857="H"),0,IF($C857="T",1,MIN(1,MAX(0,($N857-Inputs!$B$8)/MAX($P857-Inputs!$B$8,0.01))))))</f>
        <v/>
      </c>
      <c r="S857" s="17" t="str">
        <f aca="false">IF($C857="","",IF(OR($E857="G",$E857="H"),0,IF($E857="T",1,MIN(1,MAX(0,($O857-Inputs!$B$8)/MAX($P857-Inputs!$B$8,0.01))))))</f>
        <v/>
      </c>
    </row>
    <row r="858" customFormat="false" ht="15" hidden="false" customHeight="false" outlineLevel="0" collapsed="false">
      <c r="I858" s="7" t="str">
        <f aca="false">IF($C858="","",IF($C858="G","PUTT",IF(AND($C858="T",$M858&gt;3),"OTT",IF($D858&lt;=30,"ARG","APP"))))</f>
        <v/>
      </c>
      <c r="J858" s="17" t="str">
        <f aca="false">IF($C858="","",$N858+$Q858*$R858)</f>
        <v/>
      </c>
      <c r="K858" s="17" t="str">
        <f aca="false">IF($C858="","",$O858+$Q858*$S858)</f>
        <v/>
      </c>
      <c r="L858" s="17" t="str">
        <f aca="false">IF($C858="","",$J858-$K858-1-N($G858))</f>
        <v/>
      </c>
      <c r="M858" s="7" t="str">
        <f aca="false">IF($B858="","",INDEX(Course!$B$2:$B$19,MATCH($B858,Course!$A$2:$A$19,0)))</f>
        <v/>
      </c>
      <c r="N858" s="17" t="str">
        <f aca="false">IF($C858="","",IF($C858="H",0,IF($C858="G",INDEX(Baseline!$I$3:$I$102,MIN(MAX(ROUND($D858,0),1),100)),IF($C858="T",IF($M858=3,INDEX(Baseline!$B$3:$B$122,MATCH(MIN(MAX(ROUND(($D858)/5,0)*5,5),600),Baseline!$A$3:$A$122,0))-Inputs!$B$9,INDEX(Course!$N$2:$N$19,MATCH($B858,Course!$A$2:$A$19,0))),INDEX(Baseline!$B$3:$E$122,MATCH(MIN(MAX(ROUND(($D858)/5,0)*5,5),600),Baseline!$A$3:$A$122,0),MATCH($C858,Baseline!$B$2:$E$2,0))))))</f>
        <v/>
      </c>
      <c r="O858" s="17" t="str">
        <f aca="false">IF($C858="","",IF($E858="H",0,IF($E858="G",INDEX(Baseline!$I$3:$I$102,MIN(MAX(ROUND($F858,0),1),100)),IF($E858="T",IF($M858=3,INDEX(Baseline!$B$3:$B$122,MATCH(MIN(MAX(ROUND(($F858)/5,0)*5,5),600),Baseline!$A$3:$A$122,0))-Inputs!$B$9,INDEX(Course!$N$2:$N$19,MATCH($B858,Course!$A$2:$A$19,0))),INDEX(Baseline!$B$3:$E$122,MATCH(MIN(MAX(ROUND(($F858)/5,0)*5,5),600),Baseline!$A$3:$A$122,0),MATCH($E858,Baseline!$B$2:$E$2,0))))))</f>
        <v/>
      </c>
      <c r="P858" s="17" t="str">
        <f aca="false">IF($B858="","",INDEX(Course!$N$2:$N$19,MATCH($B858,Course!$A$2:$A$19,0)))</f>
        <v/>
      </c>
      <c r="Q858" s="17" t="str">
        <f aca="false">IF($B858="","",INDEX(Course!$P$2:$P$19,MATCH($B858,Course!$A$2:$A$19,0)))</f>
        <v/>
      </c>
      <c r="R858" s="17" t="str">
        <f aca="false">IF($C858="","",IF(OR($C858="G",$C858="H"),0,IF($C858="T",1,MIN(1,MAX(0,($N858-Inputs!$B$8)/MAX($P858-Inputs!$B$8,0.01))))))</f>
        <v/>
      </c>
      <c r="S858" s="17" t="str">
        <f aca="false">IF($C858="","",IF(OR($E858="G",$E858="H"),0,IF($E858="T",1,MIN(1,MAX(0,($O858-Inputs!$B$8)/MAX($P858-Inputs!$B$8,0.01))))))</f>
        <v/>
      </c>
    </row>
    <row r="859" customFormat="false" ht="15" hidden="false" customHeight="false" outlineLevel="0" collapsed="false">
      <c r="I859" s="7" t="str">
        <f aca="false">IF($C859="","",IF($C859="G","PUTT",IF(AND($C859="T",$M859&gt;3),"OTT",IF($D859&lt;=30,"ARG","APP"))))</f>
        <v/>
      </c>
      <c r="J859" s="17" t="str">
        <f aca="false">IF($C859="","",$N859+$Q859*$R859)</f>
        <v/>
      </c>
      <c r="K859" s="17" t="str">
        <f aca="false">IF($C859="","",$O859+$Q859*$S859)</f>
        <v/>
      </c>
      <c r="L859" s="17" t="str">
        <f aca="false">IF($C859="","",$J859-$K859-1-N($G859))</f>
        <v/>
      </c>
      <c r="M859" s="7" t="str">
        <f aca="false">IF($B859="","",INDEX(Course!$B$2:$B$19,MATCH($B859,Course!$A$2:$A$19,0)))</f>
        <v/>
      </c>
      <c r="N859" s="17" t="str">
        <f aca="false">IF($C859="","",IF($C859="H",0,IF($C859="G",INDEX(Baseline!$I$3:$I$102,MIN(MAX(ROUND($D859,0),1),100)),IF($C859="T",IF($M859=3,INDEX(Baseline!$B$3:$B$122,MATCH(MIN(MAX(ROUND(($D859)/5,0)*5,5),600),Baseline!$A$3:$A$122,0))-Inputs!$B$9,INDEX(Course!$N$2:$N$19,MATCH($B859,Course!$A$2:$A$19,0))),INDEX(Baseline!$B$3:$E$122,MATCH(MIN(MAX(ROUND(($D859)/5,0)*5,5),600),Baseline!$A$3:$A$122,0),MATCH($C859,Baseline!$B$2:$E$2,0))))))</f>
        <v/>
      </c>
      <c r="O859" s="17" t="str">
        <f aca="false">IF($C859="","",IF($E859="H",0,IF($E859="G",INDEX(Baseline!$I$3:$I$102,MIN(MAX(ROUND($F859,0),1),100)),IF($E859="T",IF($M859=3,INDEX(Baseline!$B$3:$B$122,MATCH(MIN(MAX(ROUND(($F859)/5,0)*5,5),600),Baseline!$A$3:$A$122,0))-Inputs!$B$9,INDEX(Course!$N$2:$N$19,MATCH($B859,Course!$A$2:$A$19,0))),INDEX(Baseline!$B$3:$E$122,MATCH(MIN(MAX(ROUND(($F859)/5,0)*5,5),600),Baseline!$A$3:$A$122,0),MATCH($E859,Baseline!$B$2:$E$2,0))))))</f>
        <v/>
      </c>
      <c r="P859" s="17" t="str">
        <f aca="false">IF($B859="","",INDEX(Course!$N$2:$N$19,MATCH($B859,Course!$A$2:$A$19,0)))</f>
        <v/>
      </c>
      <c r="Q859" s="17" t="str">
        <f aca="false">IF($B859="","",INDEX(Course!$P$2:$P$19,MATCH($B859,Course!$A$2:$A$19,0)))</f>
        <v/>
      </c>
      <c r="R859" s="17" t="str">
        <f aca="false">IF($C859="","",IF(OR($C859="G",$C859="H"),0,IF($C859="T",1,MIN(1,MAX(0,($N859-Inputs!$B$8)/MAX($P859-Inputs!$B$8,0.01))))))</f>
        <v/>
      </c>
      <c r="S859" s="17" t="str">
        <f aca="false">IF($C859="","",IF(OR($E859="G",$E859="H"),0,IF($E859="T",1,MIN(1,MAX(0,($O859-Inputs!$B$8)/MAX($P859-Inputs!$B$8,0.01))))))</f>
        <v/>
      </c>
    </row>
    <row r="860" customFormat="false" ht="15" hidden="false" customHeight="false" outlineLevel="0" collapsed="false">
      <c r="I860" s="7" t="str">
        <f aca="false">IF($C860="","",IF($C860="G","PUTT",IF(AND($C860="T",$M860&gt;3),"OTT",IF($D860&lt;=30,"ARG","APP"))))</f>
        <v/>
      </c>
      <c r="J860" s="17" t="str">
        <f aca="false">IF($C860="","",$N860+$Q860*$R860)</f>
        <v/>
      </c>
      <c r="K860" s="17" t="str">
        <f aca="false">IF($C860="","",$O860+$Q860*$S860)</f>
        <v/>
      </c>
      <c r="L860" s="17" t="str">
        <f aca="false">IF($C860="","",$J860-$K860-1-N($G860))</f>
        <v/>
      </c>
      <c r="M860" s="7" t="str">
        <f aca="false">IF($B860="","",INDEX(Course!$B$2:$B$19,MATCH($B860,Course!$A$2:$A$19,0)))</f>
        <v/>
      </c>
      <c r="N860" s="17" t="str">
        <f aca="false">IF($C860="","",IF($C860="H",0,IF($C860="G",INDEX(Baseline!$I$3:$I$102,MIN(MAX(ROUND($D860,0),1),100)),IF($C860="T",IF($M860=3,INDEX(Baseline!$B$3:$B$122,MATCH(MIN(MAX(ROUND(($D860)/5,0)*5,5),600),Baseline!$A$3:$A$122,0))-Inputs!$B$9,INDEX(Course!$N$2:$N$19,MATCH($B860,Course!$A$2:$A$19,0))),INDEX(Baseline!$B$3:$E$122,MATCH(MIN(MAX(ROUND(($D860)/5,0)*5,5),600),Baseline!$A$3:$A$122,0),MATCH($C860,Baseline!$B$2:$E$2,0))))))</f>
        <v/>
      </c>
      <c r="O860" s="17" t="str">
        <f aca="false">IF($C860="","",IF($E860="H",0,IF($E860="G",INDEX(Baseline!$I$3:$I$102,MIN(MAX(ROUND($F860,0),1),100)),IF($E860="T",IF($M860=3,INDEX(Baseline!$B$3:$B$122,MATCH(MIN(MAX(ROUND(($F860)/5,0)*5,5),600),Baseline!$A$3:$A$122,0))-Inputs!$B$9,INDEX(Course!$N$2:$N$19,MATCH($B860,Course!$A$2:$A$19,0))),INDEX(Baseline!$B$3:$E$122,MATCH(MIN(MAX(ROUND(($F860)/5,0)*5,5),600),Baseline!$A$3:$A$122,0),MATCH($E860,Baseline!$B$2:$E$2,0))))))</f>
        <v/>
      </c>
      <c r="P860" s="17" t="str">
        <f aca="false">IF($B860="","",INDEX(Course!$N$2:$N$19,MATCH($B860,Course!$A$2:$A$19,0)))</f>
        <v/>
      </c>
      <c r="Q860" s="17" t="str">
        <f aca="false">IF($B860="","",INDEX(Course!$P$2:$P$19,MATCH($B860,Course!$A$2:$A$19,0)))</f>
        <v/>
      </c>
      <c r="R860" s="17" t="str">
        <f aca="false">IF($C860="","",IF(OR($C860="G",$C860="H"),0,IF($C860="T",1,MIN(1,MAX(0,($N860-Inputs!$B$8)/MAX($P860-Inputs!$B$8,0.01))))))</f>
        <v/>
      </c>
      <c r="S860" s="17" t="str">
        <f aca="false">IF($C860="","",IF(OR($E860="G",$E860="H"),0,IF($E860="T",1,MIN(1,MAX(0,($O860-Inputs!$B$8)/MAX($P860-Inputs!$B$8,0.01))))))</f>
        <v/>
      </c>
    </row>
    <row r="861" customFormat="false" ht="15" hidden="false" customHeight="false" outlineLevel="0" collapsed="false">
      <c r="I861" s="7" t="str">
        <f aca="false">IF($C861="","",IF($C861="G","PUTT",IF(AND($C861="T",$M861&gt;3),"OTT",IF($D861&lt;=30,"ARG","APP"))))</f>
        <v/>
      </c>
      <c r="J861" s="17" t="str">
        <f aca="false">IF($C861="","",$N861+$Q861*$R861)</f>
        <v/>
      </c>
      <c r="K861" s="17" t="str">
        <f aca="false">IF($C861="","",$O861+$Q861*$S861)</f>
        <v/>
      </c>
      <c r="L861" s="17" t="str">
        <f aca="false">IF($C861="","",$J861-$K861-1-N($G861))</f>
        <v/>
      </c>
      <c r="M861" s="7" t="str">
        <f aca="false">IF($B861="","",INDEX(Course!$B$2:$B$19,MATCH($B861,Course!$A$2:$A$19,0)))</f>
        <v/>
      </c>
      <c r="N861" s="17" t="str">
        <f aca="false">IF($C861="","",IF($C861="H",0,IF($C861="G",INDEX(Baseline!$I$3:$I$102,MIN(MAX(ROUND($D861,0),1),100)),IF($C861="T",IF($M861=3,INDEX(Baseline!$B$3:$B$122,MATCH(MIN(MAX(ROUND(($D861)/5,0)*5,5),600),Baseline!$A$3:$A$122,0))-Inputs!$B$9,INDEX(Course!$N$2:$N$19,MATCH($B861,Course!$A$2:$A$19,0))),INDEX(Baseline!$B$3:$E$122,MATCH(MIN(MAX(ROUND(($D861)/5,0)*5,5),600),Baseline!$A$3:$A$122,0),MATCH($C861,Baseline!$B$2:$E$2,0))))))</f>
        <v/>
      </c>
      <c r="O861" s="17" t="str">
        <f aca="false">IF($C861="","",IF($E861="H",0,IF($E861="G",INDEX(Baseline!$I$3:$I$102,MIN(MAX(ROUND($F861,0),1),100)),IF($E861="T",IF($M861=3,INDEX(Baseline!$B$3:$B$122,MATCH(MIN(MAX(ROUND(($F861)/5,0)*5,5),600),Baseline!$A$3:$A$122,0))-Inputs!$B$9,INDEX(Course!$N$2:$N$19,MATCH($B861,Course!$A$2:$A$19,0))),INDEX(Baseline!$B$3:$E$122,MATCH(MIN(MAX(ROUND(($F861)/5,0)*5,5),600),Baseline!$A$3:$A$122,0),MATCH($E861,Baseline!$B$2:$E$2,0))))))</f>
        <v/>
      </c>
      <c r="P861" s="17" t="str">
        <f aca="false">IF($B861="","",INDEX(Course!$N$2:$N$19,MATCH($B861,Course!$A$2:$A$19,0)))</f>
        <v/>
      </c>
      <c r="Q861" s="17" t="str">
        <f aca="false">IF($B861="","",INDEX(Course!$P$2:$P$19,MATCH($B861,Course!$A$2:$A$19,0)))</f>
        <v/>
      </c>
      <c r="R861" s="17" t="str">
        <f aca="false">IF($C861="","",IF(OR($C861="G",$C861="H"),0,IF($C861="T",1,MIN(1,MAX(0,($N861-Inputs!$B$8)/MAX($P861-Inputs!$B$8,0.01))))))</f>
        <v/>
      </c>
      <c r="S861" s="17" t="str">
        <f aca="false">IF($C861="","",IF(OR($E861="G",$E861="H"),0,IF($E861="T",1,MIN(1,MAX(0,($O861-Inputs!$B$8)/MAX($P861-Inputs!$B$8,0.01))))))</f>
        <v/>
      </c>
    </row>
    <row r="862" customFormat="false" ht="15" hidden="false" customHeight="false" outlineLevel="0" collapsed="false">
      <c r="I862" s="7" t="str">
        <f aca="false">IF($C862="","",IF($C862="G","PUTT",IF(AND($C862="T",$M862&gt;3),"OTT",IF($D862&lt;=30,"ARG","APP"))))</f>
        <v/>
      </c>
      <c r="J862" s="17" t="str">
        <f aca="false">IF($C862="","",$N862+$Q862*$R862)</f>
        <v/>
      </c>
      <c r="K862" s="17" t="str">
        <f aca="false">IF($C862="","",$O862+$Q862*$S862)</f>
        <v/>
      </c>
      <c r="L862" s="17" t="str">
        <f aca="false">IF($C862="","",$J862-$K862-1-N($G862))</f>
        <v/>
      </c>
      <c r="M862" s="7" t="str">
        <f aca="false">IF($B862="","",INDEX(Course!$B$2:$B$19,MATCH($B862,Course!$A$2:$A$19,0)))</f>
        <v/>
      </c>
      <c r="N862" s="17" t="str">
        <f aca="false">IF($C862="","",IF($C862="H",0,IF($C862="G",INDEX(Baseline!$I$3:$I$102,MIN(MAX(ROUND($D862,0),1),100)),IF($C862="T",IF($M862=3,INDEX(Baseline!$B$3:$B$122,MATCH(MIN(MAX(ROUND(($D862)/5,0)*5,5),600),Baseline!$A$3:$A$122,0))-Inputs!$B$9,INDEX(Course!$N$2:$N$19,MATCH($B862,Course!$A$2:$A$19,0))),INDEX(Baseline!$B$3:$E$122,MATCH(MIN(MAX(ROUND(($D862)/5,0)*5,5),600),Baseline!$A$3:$A$122,0),MATCH($C862,Baseline!$B$2:$E$2,0))))))</f>
        <v/>
      </c>
      <c r="O862" s="17" t="str">
        <f aca="false">IF($C862="","",IF($E862="H",0,IF($E862="G",INDEX(Baseline!$I$3:$I$102,MIN(MAX(ROUND($F862,0),1),100)),IF($E862="T",IF($M862=3,INDEX(Baseline!$B$3:$B$122,MATCH(MIN(MAX(ROUND(($F862)/5,0)*5,5),600),Baseline!$A$3:$A$122,0))-Inputs!$B$9,INDEX(Course!$N$2:$N$19,MATCH($B862,Course!$A$2:$A$19,0))),INDEX(Baseline!$B$3:$E$122,MATCH(MIN(MAX(ROUND(($F862)/5,0)*5,5),600),Baseline!$A$3:$A$122,0),MATCH($E862,Baseline!$B$2:$E$2,0))))))</f>
        <v/>
      </c>
      <c r="P862" s="17" t="str">
        <f aca="false">IF($B862="","",INDEX(Course!$N$2:$N$19,MATCH($B862,Course!$A$2:$A$19,0)))</f>
        <v/>
      </c>
      <c r="Q862" s="17" t="str">
        <f aca="false">IF($B862="","",INDEX(Course!$P$2:$P$19,MATCH($B862,Course!$A$2:$A$19,0)))</f>
        <v/>
      </c>
      <c r="R862" s="17" t="str">
        <f aca="false">IF($C862="","",IF(OR($C862="G",$C862="H"),0,IF($C862="T",1,MIN(1,MAX(0,($N862-Inputs!$B$8)/MAX($P862-Inputs!$B$8,0.01))))))</f>
        <v/>
      </c>
      <c r="S862" s="17" t="str">
        <f aca="false">IF($C862="","",IF(OR($E862="G",$E862="H"),0,IF($E862="T",1,MIN(1,MAX(0,($O862-Inputs!$B$8)/MAX($P862-Inputs!$B$8,0.01))))))</f>
        <v/>
      </c>
    </row>
    <row r="863" customFormat="false" ht="15" hidden="false" customHeight="false" outlineLevel="0" collapsed="false">
      <c r="I863" s="7" t="str">
        <f aca="false">IF($C863="","",IF($C863="G","PUTT",IF(AND($C863="T",$M863&gt;3),"OTT",IF($D863&lt;=30,"ARG","APP"))))</f>
        <v/>
      </c>
      <c r="J863" s="17" t="str">
        <f aca="false">IF($C863="","",$N863+$Q863*$R863)</f>
        <v/>
      </c>
      <c r="K863" s="17" t="str">
        <f aca="false">IF($C863="","",$O863+$Q863*$S863)</f>
        <v/>
      </c>
      <c r="L863" s="17" t="str">
        <f aca="false">IF($C863="","",$J863-$K863-1-N($G863))</f>
        <v/>
      </c>
      <c r="M863" s="7" t="str">
        <f aca="false">IF($B863="","",INDEX(Course!$B$2:$B$19,MATCH($B863,Course!$A$2:$A$19,0)))</f>
        <v/>
      </c>
      <c r="N863" s="17" t="str">
        <f aca="false">IF($C863="","",IF($C863="H",0,IF($C863="G",INDEX(Baseline!$I$3:$I$102,MIN(MAX(ROUND($D863,0),1),100)),IF($C863="T",IF($M863=3,INDEX(Baseline!$B$3:$B$122,MATCH(MIN(MAX(ROUND(($D863)/5,0)*5,5),600),Baseline!$A$3:$A$122,0))-Inputs!$B$9,INDEX(Course!$N$2:$N$19,MATCH($B863,Course!$A$2:$A$19,0))),INDEX(Baseline!$B$3:$E$122,MATCH(MIN(MAX(ROUND(($D863)/5,0)*5,5),600),Baseline!$A$3:$A$122,0),MATCH($C863,Baseline!$B$2:$E$2,0))))))</f>
        <v/>
      </c>
      <c r="O863" s="17" t="str">
        <f aca="false">IF($C863="","",IF($E863="H",0,IF($E863="G",INDEX(Baseline!$I$3:$I$102,MIN(MAX(ROUND($F863,0),1),100)),IF($E863="T",IF($M863=3,INDEX(Baseline!$B$3:$B$122,MATCH(MIN(MAX(ROUND(($F863)/5,0)*5,5),600),Baseline!$A$3:$A$122,0))-Inputs!$B$9,INDEX(Course!$N$2:$N$19,MATCH($B863,Course!$A$2:$A$19,0))),INDEX(Baseline!$B$3:$E$122,MATCH(MIN(MAX(ROUND(($F863)/5,0)*5,5),600),Baseline!$A$3:$A$122,0),MATCH($E863,Baseline!$B$2:$E$2,0))))))</f>
        <v/>
      </c>
      <c r="P863" s="17" t="str">
        <f aca="false">IF($B863="","",INDEX(Course!$N$2:$N$19,MATCH($B863,Course!$A$2:$A$19,0)))</f>
        <v/>
      </c>
      <c r="Q863" s="17" t="str">
        <f aca="false">IF($B863="","",INDEX(Course!$P$2:$P$19,MATCH($B863,Course!$A$2:$A$19,0)))</f>
        <v/>
      </c>
      <c r="R863" s="17" t="str">
        <f aca="false">IF($C863="","",IF(OR($C863="G",$C863="H"),0,IF($C863="T",1,MIN(1,MAX(0,($N863-Inputs!$B$8)/MAX($P863-Inputs!$B$8,0.01))))))</f>
        <v/>
      </c>
      <c r="S863" s="17" t="str">
        <f aca="false">IF($C863="","",IF(OR($E863="G",$E863="H"),0,IF($E863="T",1,MIN(1,MAX(0,($O863-Inputs!$B$8)/MAX($P863-Inputs!$B$8,0.01))))))</f>
        <v/>
      </c>
    </row>
    <row r="864" customFormat="false" ht="15" hidden="false" customHeight="false" outlineLevel="0" collapsed="false">
      <c r="I864" s="7" t="str">
        <f aca="false">IF($C864="","",IF($C864="G","PUTT",IF(AND($C864="T",$M864&gt;3),"OTT",IF($D864&lt;=30,"ARG","APP"))))</f>
        <v/>
      </c>
      <c r="J864" s="17" t="str">
        <f aca="false">IF($C864="","",$N864+$Q864*$R864)</f>
        <v/>
      </c>
      <c r="K864" s="17" t="str">
        <f aca="false">IF($C864="","",$O864+$Q864*$S864)</f>
        <v/>
      </c>
      <c r="L864" s="17" t="str">
        <f aca="false">IF($C864="","",$J864-$K864-1-N($G864))</f>
        <v/>
      </c>
      <c r="M864" s="7" t="str">
        <f aca="false">IF($B864="","",INDEX(Course!$B$2:$B$19,MATCH($B864,Course!$A$2:$A$19,0)))</f>
        <v/>
      </c>
      <c r="N864" s="17" t="str">
        <f aca="false">IF($C864="","",IF($C864="H",0,IF($C864="G",INDEX(Baseline!$I$3:$I$102,MIN(MAX(ROUND($D864,0),1),100)),IF($C864="T",IF($M864=3,INDEX(Baseline!$B$3:$B$122,MATCH(MIN(MAX(ROUND(($D864)/5,0)*5,5),600),Baseline!$A$3:$A$122,0))-Inputs!$B$9,INDEX(Course!$N$2:$N$19,MATCH($B864,Course!$A$2:$A$19,0))),INDEX(Baseline!$B$3:$E$122,MATCH(MIN(MAX(ROUND(($D864)/5,0)*5,5),600),Baseline!$A$3:$A$122,0),MATCH($C864,Baseline!$B$2:$E$2,0))))))</f>
        <v/>
      </c>
      <c r="O864" s="17" t="str">
        <f aca="false">IF($C864="","",IF($E864="H",0,IF($E864="G",INDEX(Baseline!$I$3:$I$102,MIN(MAX(ROUND($F864,0),1),100)),IF($E864="T",IF($M864=3,INDEX(Baseline!$B$3:$B$122,MATCH(MIN(MAX(ROUND(($F864)/5,0)*5,5),600),Baseline!$A$3:$A$122,0))-Inputs!$B$9,INDEX(Course!$N$2:$N$19,MATCH($B864,Course!$A$2:$A$19,0))),INDEX(Baseline!$B$3:$E$122,MATCH(MIN(MAX(ROUND(($F864)/5,0)*5,5),600),Baseline!$A$3:$A$122,0),MATCH($E864,Baseline!$B$2:$E$2,0))))))</f>
        <v/>
      </c>
      <c r="P864" s="17" t="str">
        <f aca="false">IF($B864="","",INDEX(Course!$N$2:$N$19,MATCH($B864,Course!$A$2:$A$19,0)))</f>
        <v/>
      </c>
      <c r="Q864" s="17" t="str">
        <f aca="false">IF($B864="","",INDEX(Course!$P$2:$P$19,MATCH($B864,Course!$A$2:$A$19,0)))</f>
        <v/>
      </c>
      <c r="R864" s="17" t="str">
        <f aca="false">IF($C864="","",IF(OR($C864="G",$C864="H"),0,IF($C864="T",1,MIN(1,MAX(0,($N864-Inputs!$B$8)/MAX($P864-Inputs!$B$8,0.01))))))</f>
        <v/>
      </c>
      <c r="S864" s="17" t="str">
        <f aca="false">IF($C864="","",IF(OR($E864="G",$E864="H"),0,IF($E864="T",1,MIN(1,MAX(0,($O864-Inputs!$B$8)/MAX($P864-Inputs!$B$8,0.01))))))</f>
        <v/>
      </c>
    </row>
    <row r="865" customFormat="false" ht="15" hidden="false" customHeight="false" outlineLevel="0" collapsed="false">
      <c r="I865" s="7" t="str">
        <f aca="false">IF($C865="","",IF($C865="G","PUTT",IF(AND($C865="T",$M865&gt;3),"OTT",IF($D865&lt;=30,"ARG","APP"))))</f>
        <v/>
      </c>
      <c r="J865" s="17" t="str">
        <f aca="false">IF($C865="","",$N865+$Q865*$R865)</f>
        <v/>
      </c>
      <c r="K865" s="17" t="str">
        <f aca="false">IF($C865="","",$O865+$Q865*$S865)</f>
        <v/>
      </c>
      <c r="L865" s="17" t="str">
        <f aca="false">IF($C865="","",$J865-$K865-1-N($G865))</f>
        <v/>
      </c>
      <c r="M865" s="7" t="str">
        <f aca="false">IF($B865="","",INDEX(Course!$B$2:$B$19,MATCH($B865,Course!$A$2:$A$19,0)))</f>
        <v/>
      </c>
      <c r="N865" s="17" t="str">
        <f aca="false">IF($C865="","",IF($C865="H",0,IF($C865="G",INDEX(Baseline!$I$3:$I$102,MIN(MAX(ROUND($D865,0),1),100)),IF($C865="T",IF($M865=3,INDEX(Baseline!$B$3:$B$122,MATCH(MIN(MAX(ROUND(($D865)/5,0)*5,5),600),Baseline!$A$3:$A$122,0))-Inputs!$B$9,INDEX(Course!$N$2:$N$19,MATCH($B865,Course!$A$2:$A$19,0))),INDEX(Baseline!$B$3:$E$122,MATCH(MIN(MAX(ROUND(($D865)/5,0)*5,5),600),Baseline!$A$3:$A$122,0),MATCH($C865,Baseline!$B$2:$E$2,0))))))</f>
        <v/>
      </c>
      <c r="O865" s="17" t="str">
        <f aca="false">IF($C865="","",IF($E865="H",0,IF($E865="G",INDEX(Baseline!$I$3:$I$102,MIN(MAX(ROUND($F865,0),1),100)),IF($E865="T",IF($M865=3,INDEX(Baseline!$B$3:$B$122,MATCH(MIN(MAX(ROUND(($F865)/5,0)*5,5),600),Baseline!$A$3:$A$122,0))-Inputs!$B$9,INDEX(Course!$N$2:$N$19,MATCH($B865,Course!$A$2:$A$19,0))),INDEX(Baseline!$B$3:$E$122,MATCH(MIN(MAX(ROUND(($F865)/5,0)*5,5),600),Baseline!$A$3:$A$122,0),MATCH($E865,Baseline!$B$2:$E$2,0))))))</f>
        <v/>
      </c>
      <c r="P865" s="17" t="str">
        <f aca="false">IF($B865="","",INDEX(Course!$N$2:$N$19,MATCH($B865,Course!$A$2:$A$19,0)))</f>
        <v/>
      </c>
      <c r="Q865" s="17" t="str">
        <f aca="false">IF($B865="","",INDEX(Course!$P$2:$P$19,MATCH($B865,Course!$A$2:$A$19,0)))</f>
        <v/>
      </c>
      <c r="R865" s="17" t="str">
        <f aca="false">IF($C865="","",IF(OR($C865="G",$C865="H"),0,IF($C865="T",1,MIN(1,MAX(0,($N865-Inputs!$B$8)/MAX($P865-Inputs!$B$8,0.01))))))</f>
        <v/>
      </c>
      <c r="S865" s="17" t="str">
        <f aca="false">IF($C865="","",IF(OR($E865="G",$E865="H"),0,IF($E865="T",1,MIN(1,MAX(0,($O865-Inputs!$B$8)/MAX($P865-Inputs!$B$8,0.01))))))</f>
        <v/>
      </c>
    </row>
    <row r="866" customFormat="false" ht="15" hidden="false" customHeight="false" outlineLevel="0" collapsed="false">
      <c r="I866" s="7" t="str">
        <f aca="false">IF($C866="","",IF($C866="G","PUTT",IF(AND($C866="T",$M866&gt;3),"OTT",IF($D866&lt;=30,"ARG","APP"))))</f>
        <v/>
      </c>
      <c r="J866" s="17" t="str">
        <f aca="false">IF($C866="","",$N866+$Q866*$R866)</f>
        <v/>
      </c>
      <c r="K866" s="17" t="str">
        <f aca="false">IF($C866="","",$O866+$Q866*$S866)</f>
        <v/>
      </c>
      <c r="L866" s="17" t="str">
        <f aca="false">IF($C866="","",$J866-$K866-1-N($G866))</f>
        <v/>
      </c>
      <c r="M866" s="7" t="str">
        <f aca="false">IF($B866="","",INDEX(Course!$B$2:$B$19,MATCH($B866,Course!$A$2:$A$19,0)))</f>
        <v/>
      </c>
      <c r="N866" s="17" t="str">
        <f aca="false">IF($C866="","",IF($C866="H",0,IF($C866="G",INDEX(Baseline!$I$3:$I$102,MIN(MAX(ROUND($D866,0),1),100)),IF($C866="T",IF($M866=3,INDEX(Baseline!$B$3:$B$122,MATCH(MIN(MAX(ROUND(($D866)/5,0)*5,5),600),Baseline!$A$3:$A$122,0))-Inputs!$B$9,INDEX(Course!$N$2:$N$19,MATCH($B866,Course!$A$2:$A$19,0))),INDEX(Baseline!$B$3:$E$122,MATCH(MIN(MAX(ROUND(($D866)/5,0)*5,5),600),Baseline!$A$3:$A$122,0),MATCH($C866,Baseline!$B$2:$E$2,0))))))</f>
        <v/>
      </c>
      <c r="O866" s="17" t="str">
        <f aca="false">IF($C866="","",IF($E866="H",0,IF($E866="G",INDEX(Baseline!$I$3:$I$102,MIN(MAX(ROUND($F866,0),1),100)),IF($E866="T",IF($M866=3,INDEX(Baseline!$B$3:$B$122,MATCH(MIN(MAX(ROUND(($F866)/5,0)*5,5),600),Baseline!$A$3:$A$122,0))-Inputs!$B$9,INDEX(Course!$N$2:$N$19,MATCH($B866,Course!$A$2:$A$19,0))),INDEX(Baseline!$B$3:$E$122,MATCH(MIN(MAX(ROUND(($F866)/5,0)*5,5),600),Baseline!$A$3:$A$122,0),MATCH($E866,Baseline!$B$2:$E$2,0))))))</f>
        <v/>
      </c>
      <c r="P866" s="17" t="str">
        <f aca="false">IF($B866="","",INDEX(Course!$N$2:$N$19,MATCH($B866,Course!$A$2:$A$19,0)))</f>
        <v/>
      </c>
      <c r="Q866" s="17" t="str">
        <f aca="false">IF($B866="","",INDEX(Course!$P$2:$P$19,MATCH($B866,Course!$A$2:$A$19,0)))</f>
        <v/>
      </c>
      <c r="R866" s="17" t="str">
        <f aca="false">IF($C866="","",IF(OR($C866="G",$C866="H"),0,IF($C866="T",1,MIN(1,MAX(0,($N866-Inputs!$B$8)/MAX($P866-Inputs!$B$8,0.01))))))</f>
        <v/>
      </c>
      <c r="S866" s="17" t="str">
        <f aca="false">IF($C866="","",IF(OR($E866="G",$E866="H"),0,IF($E866="T",1,MIN(1,MAX(0,($O866-Inputs!$B$8)/MAX($P866-Inputs!$B$8,0.01))))))</f>
        <v/>
      </c>
    </row>
    <row r="867" customFormat="false" ht="15" hidden="false" customHeight="false" outlineLevel="0" collapsed="false">
      <c r="I867" s="7" t="str">
        <f aca="false">IF($C867="","",IF($C867="G","PUTT",IF(AND($C867="T",$M867&gt;3),"OTT",IF($D867&lt;=30,"ARG","APP"))))</f>
        <v/>
      </c>
      <c r="J867" s="17" t="str">
        <f aca="false">IF($C867="","",$N867+$Q867*$R867)</f>
        <v/>
      </c>
      <c r="K867" s="17" t="str">
        <f aca="false">IF($C867="","",$O867+$Q867*$S867)</f>
        <v/>
      </c>
      <c r="L867" s="17" t="str">
        <f aca="false">IF($C867="","",$J867-$K867-1-N($G867))</f>
        <v/>
      </c>
      <c r="M867" s="7" t="str">
        <f aca="false">IF($B867="","",INDEX(Course!$B$2:$B$19,MATCH($B867,Course!$A$2:$A$19,0)))</f>
        <v/>
      </c>
      <c r="N867" s="17" t="str">
        <f aca="false">IF($C867="","",IF($C867="H",0,IF($C867="G",INDEX(Baseline!$I$3:$I$102,MIN(MAX(ROUND($D867,0),1),100)),IF($C867="T",IF($M867=3,INDEX(Baseline!$B$3:$B$122,MATCH(MIN(MAX(ROUND(($D867)/5,0)*5,5),600),Baseline!$A$3:$A$122,0))-Inputs!$B$9,INDEX(Course!$N$2:$N$19,MATCH($B867,Course!$A$2:$A$19,0))),INDEX(Baseline!$B$3:$E$122,MATCH(MIN(MAX(ROUND(($D867)/5,0)*5,5),600),Baseline!$A$3:$A$122,0),MATCH($C867,Baseline!$B$2:$E$2,0))))))</f>
        <v/>
      </c>
      <c r="O867" s="17" t="str">
        <f aca="false">IF($C867="","",IF($E867="H",0,IF($E867="G",INDEX(Baseline!$I$3:$I$102,MIN(MAX(ROUND($F867,0),1),100)),IF($E867="T",IF($M867=3,INDEX(Baseline!$B$3:$B$122,MATCH(MIN(MAX(ROUND(($F867)/5,0)*5,5),600),Baseline!$A$3:$A$122,0))-Inputs!$B$9,INDEX(Course!$N$2:$N$19,MATCH($B867,Course!$A$2:$A$19,0))),INDEX(Baseline!$B$3:$E$122,MATCH(MIN(MAX(ROUND(($F867)/5,0)*5,5),600),Baseline!$A$3:$A$122,0),MATCH($E867,Baseline!$B$2:$E$2,0))))))</f>
        <v/>
      </c>
      <c r="P867" s="17" t="str">
        <f aca="false">IF($B867="","",INDEX(Course!$N$2:$N$19,MATCH($B867,Course!$A$2:$A$19,0)))</f>
        <v/>
      </c>
      <c r="Q867" s="17" t="str">
        <f aca="false">IF($B867="","",INDEX(Course!$P$2:$P$19,MATCH($B867,Course!$A$2:$A$19,0)))</f>
        <v/>
      </c>
      <c r="R867" s="17" t="str">
        <f aca="false">IF($C867="","",IF(OR($C867="G",$C867="H"),0,IF($C867="T",1,MIN(1,MAX(0,($N867-Inputs!$B$8)/MAX($P867-Inputs!$B$8,0.01))))))</f>
        <v/>
      </c>
      <c r="S867" s="17" t="str">
        <f aca="false">IF($C867="","",IF(OR($E867="G",$E867="H"),0,IF($E867="T",1,MIN(1,MAX(0,($O867-Inputs!$B$8)/MAX($P867-Inputs!$B$8,0.01))))))</f>
        <v/>
      </c>
    </row>
    <row r="868" customFormat="false" ht="15" hidden="false" customHeight="false" outlineLevel="0" collapsed="false">
      <c r="I868" s="7" t="str">
        <f aca="false">IF($C868="","",IF($C868="G","PUTT",IF(AND($C868="T",$M868&gt;3),"OTT",IF($D868&lt;=30,"ARG","APP"))))</f>
        <v/>
      </c>
      <c r="J868" s="17" t="str">
        <f aca="false">IF($C868="","",$N868+$Q868*$R868)</f>
        <v/>
      </c>
      <c r="K868" s="17" t="str">
        <f aca="false">IF($C868="","",$O868+$Q868*$S868)</f>
        <v/>
      </c>
      <c r="L868" s="17" t="str">
        <f aca="false">IF($C868="","",$J868-$K868-1-N($G868))</f>
        <v/>
      </c>
      <c r="M868" s="7" t="str">
        <f aca="false">IF($B868="","",INDEX(Course!$B$2:$B$19,MATCH($B868,Course!$A$2:$A$19,0)))</f>
        <v/>
      </c>
      <c r="N868" s="17" t="str">
        <f aca="false">IF($C868="","",IF($C868="H",0,IF($C868="G",INDEX(Baseline!$I$3:$I$102,MIN(MAX(ROUND($D868,0),1),100)),IF($C868="T",IF($M868=3,INDEX(Baseline!$B$3:$B$122,MATCH(MIN(MAX(ROUND(($D868)/5,0)*5,5),600),Baseline!$A$3:$A$122,0))-Inputs!$B$9,INDEX(Course!$N$2:$N$19,MATCH($B868,Course!$A$2:$A$19,0))),INDEX(Baseline!$B$3:$E$122,MATCH(MIN(MAX(ROUND(($D868)/5,0)*5,5),600),Baseline!$A$3:$A$122,0),MATCH($C868,Baseline!$B$2:$E$2,0))))))</f>
        <v/>
      </c>
      <c r="O868" s="17" t="str">
        <f aca="false">IF($C868="","",IF($E868="H",0,IF($E868="G",INDEX(Baseline!$I$3:$I$102,MIN(MAX(ROUND($F868,0),1),100)),IF($E868="T",IF($M868=3,INDEX(Baseline!$B$3:$B$122,MATCH(MIN(MAX(ROUND(($F868)/5,0)*5,5),600),Baseline!$A$3:$A$122,0))-Inputs!$B$9,INDEX(Course!$N$2:$N$19,MATCH($B868,Course!$A$2:$A$19,0))),INDEX(Baseline!$B$3:$E$122,MATCH(MIN(MAX(ROUND(($F868)/5,0)*5,5),600),Baseline!$A$3:$A$122,0),MATCH($E868,Baseline!$B$2:$E$2,0))))))</f>
        <v/>
      </c>
      <c r="P868" s="17" t="str">
        <f aca="false">IF($B868="","",INDEX(Course!$N$2:$N$19,MATCH($B868,Course!$A$2:$A$19,0)))</f>
        <v/>
      </c>
      <c r="Q868" s="17" t="str">
        <f aca="false">IF($B868="","",INDEX(Course!$P$2:$P$19,MATCH($B868,Course!$A$2:$A$19,0)))</f>
        <v/>
      </c>
      <c r="R868" s="17" t="str">
        <f aca="false">IF($C868="","",IF(OR($C868="G",$C868="H"),0,IF($C868="T",1,MIN(1,MAX(0,($N868-Inputs!$B$8)/MAX($P868-Inputs!$B$8,0.01))))))</f>
        <v/>
      </c>
      <c r="S868" s="17" t="str">
        <f aca="false">IF($C868="","",IF(OR($E868="G",$E868="H"),0,IF($E868="T",1,MIN(1,MAX(0,($O868-Inputs!$B$8)/MAX($P868-Inputs!$B$8,0.01))))))</f>
        <v/>
      </c>
    </row>
    <row r="869" customFormat="false" ht="15" hidden="false" customHeight="false" outlineLevel="0" collapsed="false">
      <c r="I869" s="7" t="str">
        <f aca="false">IF($C869="","",IF($C869="G","PUTT",IF(AND($C869="T",$M869&gt;3),"OTT",IF($D869&lt;=30,"ARG","APP"))))</f>
        <v/>
      </c>
      <c r="J869" s="17" t="str">
        <f aca="false">IF($C869="","",$N869+$Q869*$R869)</f>
        <v/>
      </c>
      <c r="K869" s="17" t="str">
        <f aca="false">IF($C869="","",$O869+$Q869*$S869)</f>
        <v/>
      </c>
      <c r="L869" s="17" t="str">
        <f aca="false">IF($C869="","",$J869-$K869-1-N($G869))</f>
        <v/>
      </c>
      <c r="M869" s="7" t="str">
        <f aca="false">IF($B869="","",INDEX(Course!$B$2:$B$19,MATCH($B869,Course!$A$2:$A$19,0)))</f>
        <v/>
      </c>
      <c r="N869" s="17" t="str">
        <f aca="false">IF($C869="","",IF($C869="H",0,IF($C869="G",INDEX(Baseline!$I$3:$I$102,MIN(MAX(ROUND($D869,0),1),100)),IF($C869="T",IF($M869=3,INDEX(Baseline!$B$3:$B$122,MATCH(MIN(MAX(ROUND(($D869)/5,0)*5,5),600),Baseline!$A$3:$A$122,0))-Inputs!$B$9,INDEX(Course!$N$2:$N$19,MATCH($B869,Course!$A$2:$A$19,0))),INDEX(Baseline!$B$3:$E$122,MATCH(MIN(MAX(ROUND(($D869)/5,0)*5,5),600),Baseline!$A$3:$A$122,0),MATCH($C869,Baseline!$B$2:$E$2,0))))))</f>
        <v/>
      </c>
      <c r="O869" s="17" t="str">
        <f aca="false">IF($C869="","",IF($E869="H",0,IF($E869="G",INDEX(Baseline!$I$3:$I$102,MIN(MAX(ROUND($F869,0),1),100)),IF($E869="T",IF($M869=3,INDEX(Baseline!$B$3:$B$122,MATCH(MIN(MAX(ROUND(($F869)/5,0)*5,5),600),Baseline!$A$3:$A$122,0))-Inputs!$B$9,INDEX(Course!$N$2:$N$19,MATCH($B869,Course!$A$2:$A$19,0))),INDEX(Baseline!$B$3:$E$122,MATCH(MIN(MAX(ROUND(($F869)/5,0)*5,5),600),Baseline!$A$3:$A$122,0),MATCH($E869,Baseline!$B$2:$E$2,0))))))</f>
        <v/>
      </c>
      <c r="P869" s="17" t="str">
        <f aca="false">IF($B869="","",INDEX(Course!$N$2:$N$19,MATCH($B869,Course!$A$2:$A$19,0)))</f>
        <v/>
      </c>
      <c r="Q869" s="17" t="str">
        <f aca="false">IF($B869="","",INDEX(Course!$P$2:$P$19,MATCH($B869,Course!$A$2:$A$19,0)))</f>
        <v/>
      </c>
      <c r="R869" s="17" t="str">
        <f aca="false">IF($C869="","",IF(OR($C869="G",$C869="H"),0,IF($C869="T",1,MIN(1,MAX(0,($N869-Inputs!$B$8)/MAX($P869-Inputs!$B$8,0.01))))))</f>
        <v/>
      </c>
      <c r="S869" s="17" t="str">
        <f aca="false">IF($C869="","",IF(OR($E869="G",$E869="H"),0,IF($E869="T",1,MIN(1,MAX(0,($O869-Inputs!$B$8)/MAX($P869-Inputs!$B$8,0.01))))))</f>
        <v/>
      </c>
    </row>
    <row r="870" customFormat="false" ht="15" hidden="false" customHeight="false" outlineLevel="0" collapsed="false">
      <c r="I870" s="7" t="str">
        <f aca="false">IF($C870="","",IF($C870="G","PUTT",IF(AND($C870="T",$M870&gt;3),"OTT",IF($D870&lt;=30,"ARG","APP"))))</f>
        <v/>
      </c>
      <c r="J870" s="17" t="str">
        <f aca="false">IF($C870="","",$N870+$Q870*$R870)</f>
        <v/>
      </c>
      <c r="K870" s="17" t="str">
        <f aca="false">IF($C870="","",$O870+$Q870*$S870)</f>
        <v/>
      </c>
      <c r="L870" s="17" t="str">
        <f aca="false">IF($C870="","",$J870-$K870-1-N($G870))</f>
        <v/>
      </c>
      <c r="M870" s="7" t="str">
        <f aca="false">IF($B870="","",INDEX(Course!$B$2:$B$19,MATCH($B870,Course!$A$2:$A$19,0)))</f>
        <v/>
      </c>
      <c r="N870" s="17" t="str">
        <f aca="false">IF($C870="","",IF($C870="H",0,IF($C870="G",INDEX(Baseline!$I$3:$I$102,MIN(MAX(ROUND($D870,0),1),100)),IF($C870="T",IF($M870=3,INDEX(Baseline!$B$3:$B$122,MATCH(MIN(MAX(ROUND(($D870)/5,0)*5,5),600),Baseline!$A$3:$A$122,0))-Inputs!$B$9,INDEX(Course!$N$2:$N$19,MATCH($B870,Course!$A$2:$A$19,0))),INDEX(Baseline!$B$3:$E$122,MATCH(MIN(MAX(ROUND(($D870)/5,0)*5,5),600),Baseline!$A$3:$A$122,0),MATCH($C870,Baseline!$B$2:$E$2,0))))))</f>
        <v/>
      </c>
      <c r="O870" s="17" t="str">
        <f aca="false">IF($C870="","",IF($E870="H",0,IF($E870="G",INDEX(Baseline!$I$3:$I$102,MIN(MAX(ROUND($F870,0),1),100)),IF($E870="T",IF($M870=3,INDEX(Baseline!$B$3:$B$122,MATCH(MIN(MAX(ROUND(($F870)/5,0)*5,5),600),Baseline!$A$3:$A$122,0))-Inputs!$B$9,INDEX(Course!$N$2:$N$19,MATCH($B870,Course!$A$2:$A$19,0))),INDEX(Baseline!$B$3:$E$122,MATCH(MIN(MAX(ROUND(($F870)/5,0)*5,5),600),Baseline!$A$3:$A$122,0),MATCH($E870,Baseline!$B$2:$E$2,0))))))</f>
        <v/>
      </c>
      <c r="P870" s="17" t="str">
        <f aca="false">IF($B870="","",INDEX(Course!$N$2:$N$19,MATCH($B870,Course!$A$2:$A$19,0)))</f>
        <v/>
      </c>
      <c r="Q870" s="17" t="str">
        <f aca="false">IF($B870="","",INDEX(Course!$P$2:$P$19,MATCH($B870,Course!$A$2:$A$19,0)))</f>
        <v/>
      </c>
      <c r="R870" s="17" t="str">
        <f aca="false">IF($C870="","",IF(OR($C870="G",$C870="H"),0,IF($C870="T",1,MIN(1,MAX(0,($N870-Inputs!$B$8)/MAX($P870-Inputs!$B$8,0.01))))))</f>
        <v/>
      </c>
      <c r="S870" s="17" t="str">
        <f aca="false">IF($C870="","",IF(OR($E870="G",$E870="H"),0,IF($E870="T",1,MIN(1,MAX(0,($O870-Inputs!$B$8)/MAX($P870-Inputs!$B$8,0.01))))))</f>
        <v/>
      </c>
    </row>
    <row r="871" customFormat="false" ht="15" hidden="false" customHeight="false" outlineLevel="0" collapsed="false">
      <c r="I871" s="7" t="str">
        <f aca="false">IF($C871="","",IF($C871="G","PUTT",IF(AND($C871="T",$M871&gt;3),"OTT",IF($D871&lt;=30,"ARG","APP"))))</f>
        <v/>
      </c>
      <c r="J871" s="17" t="str">
        <f aca="false">IF($C871="","",$N871+$Q871*$R871)</f>
        <v/>
      </c>
      <c r="K871" s="17" t="str">
        <f aca="false">IF($C871="","",$O871+$Q871*$S871)</f>
        <v/>
      </c>
      <c r="L871" s="17" t="str">
        <f aca="false">IF($C871="","",$J871-$K871-1-N($G871))</f>
        <v/>
      </c>
      <c r="M871" s="7" t="str">
        <f aca="false">IF($B871="","",INDEX(Course!$B$2:$B$19,MATCH($B871,Course!$A$2:$A$19,0)))</f>
        <v/>
      </c>
      <c r="N871" s="17" t="str">
        <f aca="false">IF($C871="","",IF($C871="H",0,IF($C871="G",INDEX(Baseline!$I$3:$I$102,MIN(MAX(ROUND($D871,0),1),100)),IF($C871="T",IF($M871=3,INDEX(Baseline!$B$3:$B$122,MATCH(MIN(MAX(ROUND(($D871)/5,0)*5,5),600),Baseline!$A$3:$A$122,0))-Inputs!$B$9,INDEX(Course!$N$2:$N$19,MATCH($B871,Course!$A$2:$A$19,0))),INDEX(Baseline!$B$3:$E$122,MATCH(MIN(MAX(ROUND(($D871)/5,0)*5,5),600),Baseline!$A$3:$A$122,0),MATCH($C871,Baseline!$B$2:$E$2,0))))))</f>
        <v/>
      </c>
      <c r="O871" s="17" t="str">
        <f aca="false">IF($C871="","",IF($E871="H",0,IF($E871="G",INDEX(Baseline!$I$3:$I$102,MIN(MAX(ROUND($F871,0),1),100)),IF($E871="T",IF($M871=3,INDEX(Baseline!$B$3:$B$122,MATCH(MIN(MAX(ROUND(($F871)/5,0)*5,5),600),Baseline!$A$3:$A$122,0))-Inputs!$B$9,INDEX(Course!$N$2:$N$19,MATCH($B871,Course!$A$2:$A$19,0))),INDEX(Baseline!$B$3:$E$122,MATCH(MIN(MAX(ROUND(($F871)/5,0)*5,5),600),Baseline!$A$3:$A$122,0),MATCH($E871,Baseline!$B$2:$E$2,0))))))</f>
        <v/>
      </c>
      <c r="P871" s="17" t="str">
        <f aca="false">IF($B871="","",INDEX(Course!$N$2:$N$19,MATCH($B871,Course!$A$2:$A$19,0)))</f>
        <v/>
      </c>
      <c r="Q871" s="17" t="str">
        <f aca="false">IF($B871="","",INDEX(Course!$P$2:$P$19,MATCH($B871,Course!$A$2:$A$19,0)))</f>
        <v/>
      </c>
      <c r="R871" s="17" t="str">
        <f aca="false">IF($C871="","",IF(OR($C871="G",$C871="H"),0,IF($C871="T",1,MIN(1,MAX(0,($N871-Inputs!$B$8)/MAX($P871-Inputs!$B$8,0.01))))))</f>
        <v/>
      </c>
      <c r="S871" s="17" t="str">
        <f aca="false">IF($C871="","",IF(OR($E871="G",$E871="H"),0,IF($E871="T",1,MIN(1,MAX(0,($O871-Inputs!$B$8)/MAX($P871-Inputs!$B$8,0.01))))))</f>
        <v/>
      </c>
    </row>
    <row r="872" customFormat="false" ht="15" hidden="false" customHeight="false" outlineLevel="0" collapsed="false">
      <c r="I872" s="7" t="str">
        <f aca="false">IF($C872="","",IF($C872="G","PUTT",IF(AND($C872="T",$M872&gt;3),"OTT",IF($D872&lt;=30,"ARG","APP"))))</f>
        <v/>
      </c>
      <c r="J872" s="17" t="str">
        <f aca="false">IF($C872="","",$N872+$Q872*$R872)</f>
        <v/>
      </c>
      <c r="K872" s="17" t="str">
        <f aca="false">IF($C872="","",$O872+$Q872*$S872)</f>
        <v/>
      </c>
      <c r="L872" s="17" t="str">
        <f aca="false">IF($C872="","",$J872-$K872-1-N($G872))</f>
        <v/>
      </c>
      <c r="M872" s="7" t="str">
        <f aca="false">IF($B872="","",INDEX(Course!$B$2:$B$19,MATCH($B872,Course!$A$2:$A$19,0)))</f>
        <v/>
      </c>
      <c r="N872" s="17" t="str">
        <f aca="false">IF($C872="","",IF($C872="H",0,IF($C872="G",INDEX(Baseline!$I$3:$I$102,MIN(MAX(ROUND($D872,0),1),100)),IF($C872="T",IF($M872=3,INDEX(Baseline!$B$3:$B$122,MATCH(MIN(MAX(ROUND(($D872)/5,0)*5,5),600),Baseline!$A$3:$A$122,0))-Inputs!$B$9,INDEX(Course!$N$2:$N$19,MATCH($B872,Course!$A$2:$A$19,0))),INDEX(Baseline!$B$3:$E$122,MATCH(MIN(MAX(ROUND(($D872)/5,0)*5,5),600),Baseline!$A$3:$A$122,0),MATCH($C872,Baseline!$B$2:$E$2,0))))))</f>
        <v/>
      </c>
      <c r="O872" s="17" t="str">
        <f aca="false">IF($C872="","",IF($E872="H",0,IF($E872="G",INDEX(Baseline!$I$3:$I$102,MIN(MAX(ROUND($F872,0),1),100)),IF($E872="T",IF($M872=3,INDEX(Baseline!$B$3:$B$122,MATCH(MIN(MAX(ROUND(($F872)/5,0)*5,5),600),Baseline!$A$3:$A$122,0))-Inputs!$B$9,INDEX(Course!$N$2:$N$19,MATCH($B872,Course!$A$2:$A$19,0))),INDEX(Baseline!$B$3:$E$122,MATCH(MIN(MAX(ROUND(($F872)/5,0)*5,5),600),Baseline!$A$3:$A$122,0),MATCH($E872,Baseline!$B$2:$E$2,0))))))</f>
        <v/>
      </c>
      <c r="P872" s="17" t="str">
        <f aca="false">IF($B872="","",INDEX(Course!$N$2:$N$19,MATCH($B872,Course!$A$2:$A$19,0)))</f>
        <v/>
      </c>
      <c r="Q872" s="17" t="str">
        <f aca="false">IF($B872="","",INDEX(Course!$P$2:$P$19,MATCH($B872,Course!$A$2:$A$19,0)))</f>
        <v/>
      </c>
      <c r="R872" s="17" t="str">
        <f aca="false">IF($C872="","",IF(OR($C872="G",$C872="H"),0,IF($C872="T",1,MIN(1,MAX(0,($N872-Inputs!$B$8)/MAX($P872-Inputs!$B$8,0.01))))))</f>
        <v/>
      </c>
      <c r="S872" s="17" t="str">
        <f aca="false">IF($C872="","",IF(OR($E872="G",$E872="H"),0,IF($E872="T",1,MIN(1,MAX(0,($O872-Inputs!$B$8)/MAX($P872-Inputs!$B$8,0.01))))))</f>
        <v/>
      </c>
    </row>
    <row r="873" customFormat="false" ht="15" hidden="false" customHeight="false" outlineLevel="0" collapsed="false">
      <c r="I873" s="7" t="str">
        <f aca="false">IF($C873="","",IF($C873="G","PUTT",IF(AND($C873="T",$M873&gt;3),"OTT",IF($D873&lt;=30,"ARG","APP"))))</f>
        <v/>
      </c>
      <c r="J873" s="17" t="str">
        <f aca="false">IF($C873="","",$N873+$Q873*$R873)</f>
        <v/>
      </c>
      <c r="K873" s="17" t="str">
        <f aca="false">IF($C873="","",$O873+$Q873*$S873)</f>
        <v/>
      </c>
      <c r="L873" s="17" t="str">
        <f aca="false">IF($C873="","",$J873-$K873-1-N($G873))</f>
        <v/>
      </c>
      <c r="M873" s="7" t="str">
        <f aca="false">IF($B873="","",INDEX(Course!$B$2:$B$19,MATCH($B873,Course!$A$2:$A$19,0)))</f>
        <v/>
      </c>
      <c r="N873" s="17" t="str">
        <f aca="false">IF($C873="","",IF($C873="H",0,IF($C873="G",INDEX(Baseline!$I$3:$I$102,MIN(MAX(ROUND($D873,0),1),100)),IF($C873="T",IF($M873=3,INDEX(Baseline!$B$3:$B$122,MATCH(MIN(MAX(ROUND(($D873)/5,0)*5,5),600),Baseline!$A$3:$A$122,0))-Inputs!$B$9,INDEX(Course!$N$2:$N$19,MATCH($B873,Course!$A$2:$A$19,0))),INDEX(Baseline!$B$3:$E$122,MATCH(MIN(MAX(ROUND(($D873)/5,0)*5,5),600),Baseline!$A$3:$A$122,0),MATCH($C873,Baseline!$B$2:$E$2,0))))))</f>
        <v/>
      </c>
      <c r="O873" s="17" t="str">
        <f aca="false">IF($C873="","",IF($E873="H",0,IF($E873="G",INDEX(Baseline!$I$3:$I$102,MIN(MAX(ROUND($F873,0),1),100)),IF($E873="T",IF($M873=3,INDEX(Baseline!$B$3:$B$122,MATCH(MIN(MAX(ROUND(($F873)/5,0)*5,5),600),Baseline!$A$3:$A$122,0))-Inputs!$B$9,INDEX(Course!$N$2:$N$19,MATCH($B873,Course!$A$2:$A$19,0))),INDEX(Baseline!$B$3:$E$122,MATCH(MIN(MAX(ROUND(($F873)/5,0)*5,5),600),Baseline!$A$3:$A$122,0),MATCH($E873,Baseline!$B$2:$E$2,0))))))</f>
        <v/>
      </c>
      <c r="P873" s="17" t="str">
        <f aca="false">IF($B873="","",INDEX(Course!$N$2:$N$19,MATCH($B873,Course!$A$2:$A$19,0)))</f>
        <v/>
      </c>
      <c r="Q873" s="17" t="str">
        <f aca="false">IF($B873="","",INDEX(Course!$P$2:$P$19,MATCH($B873,Course!$A$2:$A$19,0)))</f>
        <v/>
      </c>
      <c r="R873" s="17" t="str">
        <f aca="false">IF($C873="","",IF(OR($C873="G",$C873="H"),0,IF($C873="T",1,MIN(1,MAX(0,($N873-Inputs!$B$8)/MAX($P873-Inputs!$B$8,0.01))))))</f>
        <v/>
      </c>
      <c r="S873" s="17" t="str">
        <f aca="false">IF($C873="","",IF(OR($E873="G",$E873="H"),0,IF($E873="T",1,MIN(1,MAX(0,($O873-Inputs!$B$8)/MAX($P873-Inputs!$B$8,0.01))))))</f>
        <v/>
      </c>
    </row>
    <row r="874" customFormat="false" ht="15" hidden="false" customHeight="false" outlineLevel="0" collapsed="false">
      <c r="I874" s="7" t="str">
        <f aca="false">IF($C874="","",IF($C874="G","PUTT",IF(AND($C874="T",$M874&gt;3),"OTT",IF($D874&lt;=30,"ARG","APP"))))</f>
        <v/>
      </c>
      <c r="J874" s="17" t="str">
        <f aca="false">IF($C874="","",$N874+$Q874*$R874)</f>
        <v/>
      </c>
      <c r="K874" s="17" t="str">
        <f aca="false">IF($C874="","",$O874+$Q874*$S874)</f>
        <v/>
      </c>
      <c r="L874" s="17" t="str">
        <f aca="false">IF($C874="","",$J874-$K874-1-N($G874))</f>
        <v/>
      </c>
      <c r="M874" s="7" t="str">
        <f aca="false">IF($B874="","",INDEX(Course!$B$2:$B$19,MATCH($B874,Course!$A$2:$A$19,0)))</f>
        <v/>
      </c>
      <c r="N874" s="17" t="str">
        <f aca="false">IF($C874="","",IF($C874="H",0,IF($C874="G",INDEX(Baseline!$I$3:$I$102,MIN(MAX(ROUND($D874,0),1),100)),IF($C874="T",IF($M874=3,INDEX(Baseline!$B$3:$B$122,MATCH(MIN(MAX(ROUND(($D874)/5,0)*5,5),600),Baseline!$A$3:$A$122,0))-Inputs!$B$9,INDEX(Course!$N$2:$N$19,MATCH($B874,Course!$A$2:$A$19,0))),INDEX(Baseline!$B$3:$E$122,MATCH(MIN(MAX(ROUND(($D874)/5,0)*5,5),600),Baseline!$A$3:$A$122,0),MATCH($C874,Baseline!$B$2:$E$2,0))))))</f>
        <v/>
      </c>
      <c r="O874" s="17" t="str">
        <f aca="false">IF($C874="","",IF($E874="H",0,IF($E874="G",INDEX(Baseline!$I$3:$I$102,MIN(MAX(ROUND($F874,0),1),100)),IF($E874="T",IF($M874=3,INDEX(Baseline!$B$3:$B$122,MATCH(MIN(MAX(ROUND(($F874)/5,0)*5,5),600),Baseline!$A$3:$A$122,0))-Inputs!$B$9,INDEX(Course!$N$2:$N$19,MATCH($B874,Course!$A$2:$A$19,0))),INDEX(Baseline!$B$3:$E$122,MATCH(MIN(MAX(ROUND(($F874)/5,0)*5,5),600),Baseline!$A$3:$A$122,0),MATCH($E874,Baseline!$B$2:$E$2,0))))))</f>
        <v/>
      </c>
      <c r="P874" s="17" t="str">
        <f aca="false">IF($B874="","",INDEX(Course!$N$2:$N$19,MATCH($B874,Course!$A$2:$A$19,0)))</f>
        <v/>
      </c>
      <c r="Q874" s="17" t="str">
        <f aca="false">IF($B874="","",INDEX(Course!$P$2:$P$19,MATCH($B874,Course!$A$2:$A$19,0)))</f>
        <v/>
      </c>
      <c r="R874" s="17" t="str">
        <f aca="false">IF($C874="","",IF(OR($C874="G",$C874="H"),0,IF($C874="T",1,MIN(1,MAX(0,($N874-Inputs!$B$8)/MAX($P874-Inputs!$B$8,0.01))))))</f>
        <v/>
      </c>
      <c r="S874" s="17" t="str">
        <f aca="false">IF($C874="","",IF(OR($E874="G",$E874="H"),0,IF($E874="T",1,MIN(1,MAX(0,($O874-Inputs!$B$8)/MAX($P874-Inputs!$B$8,0.01))))))</f>
        <v/>
      </c>
    </row>
    <row r="875" customFormat="false" ht="15" hidden="false" customHeight="false" outlineLevel="0" collapsed="false">
      <c r="I875" s="7" t="str">
        <f aca="false">IF($C875="","",IF($C875="G","PUTT",IF(AND($C875="T",$M875&gt;3),"OTT",IF($D875&lt;=30,"ARG","APP"))))</f>
        <v/>
      </c>
      <c r="J875" s="17" t="str">
        <f aca="false">IF($C875="","",$N875+$Q875*$R875)</f>
        <v/>
      </c>
      <c r="K875" s="17" t="str">
        <f aca="false">IF($C875="","",$O875+$Q875*$S875)</f>
        <v/>
      </c>
      <c r="L875" s="17" t="str">
        <f aca="false">IF($C875="","",$J875-$K875-1-N($G875))</f>
        <v/>
      </c>
      <c r="M875" s="7" t="str">
        <f aca="false">IF($B875="","",INDEX(Course!$B$2:$B$19,MATCH($B875,Course!$A$2:$A$19,0)))</f>
        <v/>
      </c>
      <c r="N875" s="17" t="str">
        <f aca="false">IF($C875="","",IF($C875="H",0,IF($C875="G",INDEX(Baseline!$I$3:$I$102,MIN(MAX(ROUND($D875,0),1),100)),IF($C875="T",IF($M875=3,INDEX(Baseline!$B$3:$B$122,MATCH(MIN(MAX(ROUND(($D875)/5,0)*5,5),600),Baseline!$A$3:$A$122,0))-Inputs!$B$9,INDEX(Course!$N$2:$N$19,MATCH($B875,Course!$A$2:$A$19,0))),INDEX(Baseline!$B$3:$E$122,MATCH(MIN(MAX(ROUND(($D875)/5,0)*5,5),600),Baseline!$A$3:$A$122,0),MATCH($C875,Baseline!$B$2:$E$2,0))))))</f>
        <v/>
      </c>
      <c r="O875" s="17" t="str">
        <f aca="false">IF($C875="","",IF($E875="H",0,IF($E875="G",INDEX(Baseline!$I$3:$I$102,MIN(MAX(ROUND($F875,0),1),100)),IF($E875="T",IF($M875=3,INDEX(Baseline!$B$3:$B$122,MATCH(MIN(MAX(ROUND(($F875)/5,0)*5,5),600),Baseline!$A$3:$A$122,0))-Inputs!$B$9,INDEX(Course!$N$2:$N$19,MATCH($B875,Course!$A$2:$A$19,0))),INDEX(Baseline!$B$3:$E$122,MATCH(MIN(MAX(ROUND(($F875)/5,0)*5,5),600),Baseline!$A$3:$A$122,0),MATCH($E875,Baseline!$B$2:$E$2,0))))))</f>
        <v/>
      </c>
      <c r="P875" s="17" t="str">
        <f aca="false">IF($B875="","",INDEX(Course!$N$2:$N$19,MATCH($B875,Course!$A$2:$A$19,0)))</f>
        <v/>
      </c>
      <c r="Q875" s="17" t="str">
        <f aca="false">IF($B875="","",INDEX(Course!$P$2:$P$19,MATCH($B875,Course!$A$2:$A$19,0)))</f>
        <v/>
      </c>
      <c r="R875" s="17" t="str">
        <f aca="false">IF($C875="","",IF(OR($C875="G",$C875="H"),0,IF($C875="T",1,MIN(1,MAX(0,($N875-Inputs!$B$8)/MAX($P875-Inputs!$B$8,0.01))))))</f>
        <v/>
      </c>
      <c r="S875" s="17" t="str">
        <f aca="false">IF($C875="","",IF(OR($E875="G",$E875="H"),0,IF($E875="T",1,MIN(1,MAX(0,($O875-Inputs!$B$8)/MAX($P875-Inputs!$B$8,0.01))))))</f>
        <v/>
      </c>
    </row>
    <row r="876" customFormat="false" ht="15" hidden="false" customHeight="false" outlineLevel="0" collapsed="false">
      <c r="I876" s="7" t="str">
        <f aca="false">IF($C876="","",IF($C876="G","PUTT",IF(AND($C876="T",$M876&gt;3),"OTT",IF($D876&lt;=30,"ARG","APP"))))</f>
        <v/>
      </c>
      <c r="J876" s="17" t="str">
        <f aca="false">IF($C876="","",$N876+$Q876*$R876)</f>
        <v/>
      </c>
      <c r="K876" s="17" t="str">
        <f aca="false">IF($C876="","",$O876+$Q876*$S876)</f>
        <v/>
      </c>
      <c r="L876" s="17" t="str">
        <f aca="false">IF($C876="","",$J876-$K876-1-N($G876))</f>
        <v/>
      </c>
      <c r="M876" s="7" t="str">
        <f aca="false">IF($B876="","",INDEX(Course!$B$2:$B$19,MATCH($B876,Course!$A$2:$A$19,0)))</f>
        <v/>
      </c>
      <c r="N876" s="17" t="str">
        <f aca="false">IF($C876="","",IF($C876="H",0,IF($C876="G",INDEX(Baseline!$I$3:$I$102,MIN(MAX(ROUND($D876,0),1),100)),IF($C876="T",IF($M876=3,INDEX(Baseline!$B$3:$B$122,MATCH(MIN(MAX(ROUND(($D876)/5,0)*5,5),600),Baseline!$A$3:$A$122,0))-Inputs!$B$9,INDEX(Course!$N$2:$N$19,MATCH($B876,Course!$A$2:$A$19,0))),INDEX(Baseline!$B$3:$E$122,MATCH(MIN(MAX(ROUND(($D876)/5,0)*5,5),600),Baseline!$A$3:$A$122,0),MATCH($C876,Baseline!$B$2:$E$2,0))))))</f>
        <v/>
      </c>
      <c r="O876" s="17" t="str">
        <f aca="false">IF($C876="","",IF($E876="H",0,IF($E876="G",INDEX(Baseline!$I$3:$I$102,MIN(MAX(ROUND($F876,0),1),100)),IF($E876="T",IF($M876=3,INDEX(Baseline!$B$3:$B$122,MATCH(MIN(MAX(ROUND(($F876)/5,0)*5,5),600),Baseline!$A$3:$A$122,0))-Inputs!$B$9,INDEX(Course!$N$2:$N$19,MATCH($B876,Course!$A$2:$A$19,0))),INDEX(Baseline!$B$3:$E$122,MATCH(MIN(MAX(ROUND(($F876)/5,0)*5,5),600),Baseline!$A$3:$A$122,0),MATCH($E876,Baseline!$B$2:$E$2,0))))))</f>
        <v/>
      </c>
      <c r="P876" s="17" t="str">
        <f aca="false">IF($B876="","",INDEX(Course!$N$2:$N$19,MATCH($B876,Course!$A$2:$A$19,0)))</f>
        <v/>
      </c>
      <c r="Q876" s="17" t="str">
        <f aca="false">IF($B876="","",INDEX(Course!$P$2:$P$19,MATCH($B876,Course!$A$2:$A$19,0)))</f>
        <v/>
      </c>
      <c r="R876" s="17" t="str">
        <f aca="false">IF($C876="","",IF(OR($C876="G",$C876="H"),0,IF($C876="T",1,MIN(1,MAX(0,($N876-Inputs!$B$8)/MAX($P876-Inputs!$B$8,0.01))))))</f>
        <v/>
      </c>
      <c r="S876" s="17" t="str">
        <f aca="false">IF($C876="","",IF(OR($E876="G",$E876="H"),0,IF($E876="T",1,MIN(1,MAX(0,($O876-Inputs!$B$8)/MAX($P876-Inputs!$B$8,0.01))))))</f>
        <v/>
      </c>
    </row>
    <row r="877" customFormat="false" ht="15" hidden="false" customHeight="false" outlineLevel="0" collapsed="false">
      <c r="I877" s="7" t="str">
        <f aca="false">IF($C877="","",IF($C877="G","PUTT",IF(AND($C877="T",$M877&gt;3),"OTT",IF($D877&lt;=30,"ARG","APP"))))</f>
        <v/>
      </c>
      <c r="J877" s="17" t="str">
        <f aca="false">IF($C877="","",$N877+$Q877*$R877)</f>
        <v/>
      </c>
      <c r="K877" s="17" t="str">
        <f aca="false">IF($C877="","",$O877+$Q877*$S877)</f>
        <v/>
      </c>
      <c r="L877" s="17" t="str">
        <f aca="false">IF($C877="","",$J877-$K877-1-N($G877))</f>
        <v/>
      </c>
      <c r="M877" s="7" t="str">
        <f aca="false">IF($B877="","",INDEX(Course!$B$2:$B$19,MATCH($B877,Course!$A$2:$A$19,0)))</f>
        <v/>
      </c>
      <c r="N877" s="17" t="str">
        <f aca="false">IF($C877="","",IF($C877="H",0,IF($C877="G",INDEX(Baseline!$I$3:$I$102,MIN(MAX(ROUND($D877,0),1),100)),IF($C877="T",IF($M877=3,INDEX(Baseline!$B$3:$B$122,MATCH(MIN(MAX(ROUND(($D877)/5,0)*5,5),600),Baseline!$A$3:$A$122,0))-Inputs!$B$9,INDEX(Course!$N$2:$N$19,MATCH($B877,Course!$A$2:$A$19,0))),INDEX(Baseline!$B$3:$E$122,MATCH(MIN(MAX(ROUND(($D877)/5,0)*5,5),600),Baseline!$A$3:$A$122,0),MATCH($C877,Baseline!$B$2:$E$2,0))))))</f>
        <v/>
      </c>
      <c r="O877" s="17" t="str">
        <f aca="false">IF($C877="","",IF($E877="H",0,IF($E877="G",INDEX(Baseline!$I$3:$I$102,MIN(MAX(ROUND($F877,0),1),100)),IF($E877="T",IF($M877=3,INDEX(Baseline!$B$3:$B$122,MATCH(MIN(MAX(ROUND(($F877)/5,0)*5,5),600),Baseline!$A$3:$A$122,0))-Inputs!$B$9,INDEX(Course!$N$2:$N$19,MATCH($B877,Course!$A$2:$A$19,0))),INDEX(Baseline!$B$3:$E$122,MATCH(MIN(MAX(ROUND(($F877)/5,0)*5,5),600),Baseline!$A$3:$A$122,0),MATCH($E877,Baseline!$B$2:$E$2,0))))))</f>
        <v/>
      </c>
      <c r="P877" s="17" t="str">
        <f aca="false">IF($B877="","",INDEX(Course!$N$2:$N$19,MATCH($B877,Course!$A$2:$A$19,0)))</f>
        <v/>
      </c>
      <c r="Q877" s="17" t="str">
        <f aca="false">IF($B877="","",INDEX(Course!$P$2:$P$19,MATCH($B877,Course!$A$2:$A$19,0)))</f>
        <v/>
      </c>
      <c r="R877" s="17" t="str">
        <f aca="false">IF($C877="","",IF(OR($C877="G",$C877="H"),0,IF($C877="T",1,MIN(1,MAX(0,($N877-Inputs!$B$8)/MAX($P877-Inputs!$B$8,0.01))))))</f>
        <v/>
      </c>
      <c r="S877" s="17" t="str">
        <f aca="false">IF($C877="","",IF(OR($E877="G",$E877="H"),0,IF($E877="T",1,MIN(1,MAX(0,($O877-Inputs!$B$8)/MAX($P877-Inputs!$B$8,0.01))))))</f>
        <v/>
      </c>
    </row>
    <row r="878" customFormat="false" ht="15" hidden="false" customHeight="false" outlineLevel="0" collapsed="false">
      <c r="I878" s="7" t="str">
        <f aca="false">IF($C878="","",IF($C878="G","PUTT",IF(AND($C878="T",$M878&gt;3),"OTT",IF($D878&lt;=30,"ARG","APP"))))</f>
        <v/>
      </c>
      <c r="J878" s="17" t="str">
        <f aca="false">IF($C878="","",$N878+$Q878*$R878)</f>
        <v/>
      </c>
      <c r="K878" s="17" t="str">
        <f aca="false">IF($C878="","",$O878+$Q878*$S878)</f>
        <v/>
      </c>
      <c r="L878" s="17" t="str">
        <f aca="false">IF($C878="","",$J878-$K878-1-N($G878))</f>
        <v/>
      </c>
      <c r="M878" s="7" t="str">
        <f aca="false">IF($B878="","",INDEX(Course!$B$2:$B$19,MATCH($B878,Course!$A$2:$A$19,0)))</f>
        <v/>
      </c>
      <c r="N878" s="17" t="str">
        <f aca="false">IF($C878="","",IF($C878="H",0,IF($C878="G",INDEX(Baseline!$I$3:$I$102,MIN(MAX(ROUND($D878,0),1),100)),IF($C878="T",IF($M878=3,INDEX(Baseline!$B$3:$B$122,MATCH(MIN(MAX(ROUND(($D878)/5,0)*5,5),600),Baseline!$A$3:$A$122,0))-Inputs!$B$9,INDEX(Course!$N$2:$N$19,MATCH($B878,Course!$A$2:$A$19,0))),INDEX(Baseline!$B$3:$E$122,MATCH(MIN(MAX(ROUND(($D878)/5,0)*5,5),600),Baseline!$A$3:$A$122,0),MATCH($C878,Baseline!$B$2:$E$2,0))))))</f>
        <v/>
      </c>
      <c r="O878" s="17" t="str">
        <f aca="false">IF($C878="","",IF($E878="H",0,IF($E878="G",INDEX(Baseline!$I$3:$I$102,MIN(MAX(ROUND($F878,0),1),100)),IF($E878="T",IF($M878=3,INDEX(Baseline!$B$3:$B$122,MATCH(MIN(MAX(ROUND(($F878)/5,0)*5,5),600),Baseline!$A$3:$A$122,0))-Inputs!$B$9,INDEX(Course!$N$2:$N$19,MATCH($B878,Course!$A$2:$A$19,0))),INDEX(Baseline!$B$3:$E$122,MATCH(MIN(MAX(ROUND(($F878)/5,0)*5,5),600),Baseline!$A$3:$A$122,0),MATCH($E878,Baseline!$B$2:$E$2,0))))))</f>
        <v/>
      </c>
      <c r="P878" s="17" t="str">
        <f aca="false">IF($B878="","",INDEX(Course!$N$2:$N$19,MATCH($B878,Course!$A$2:$A$19,0)))</f>
        <v/>
      </c>
      <c r="Q878" s="17" t="str">
        <f aca="false">IF($B878="","",INDEX(Course!$P$2:$P$19,MATCH($B878,Course!$A$2:$A$19,0)))</f>
        <v/>
      </c>
      <c r="R878" s="17" t="str">
        <f aca="false">IF($C878="","",IF(OR($C878="G",$C878="H"),0,IF($C878="T",1,MIN(1,MAX(0,($N878-Inputs!$B$8)/MAX($P878-Inputs!$B$8,0.01))))))</f>
        <v/>
      </c>
      <c r="S878" s="17" t="str">
        <f aca="false">IF($C878="","",IF(OR($E878="G",$E878="H"),0,IF($E878="T",1,MIN(1,MAX(0,($O878-Inputs!$B$8)/MAX($P878-Inputs!$B$8,0.01))))))</f>
        <v/>
      </c>
    </row>
    <row r="879" customFormat="false" ht="15" hidden="false" customHeight="false" outlineLevel="0" collapsed="false">
      <c r="I879" s="7" t="str">
        <f aca="false">IF($C879="","",IF($C879="G","PUTT",IF(AND($C879="T",$M879&gt;3),"OTT",IF($D879&lt;=30,"ARG","APP"))))</f>
        <v/>
      </c>
      <c r="J879" s="17" t="str">
        <f aca="false">IF($C879="","",$N879+$Q879*$R879)</f>
        <v/>
      </c>
      <c r="K879" s="17" t="str">
        <f aca="false">IF($C879="","",$O879+$Q879*$S879)</f>
        <v/>
      </c>
      <c r="L879" s="17" t="str">
        <f aca="false">IF($C879="","",$J879-$K879-1-N($G879))</f>
        <v/>
      </c>
      <c r="M879" s="7" t="str">
        <f aca="false">IF($B879="","",INDEX(Course!$B$2:$B$19,MATCH($B879,Course!$A$2:$A$19,0)))</f>
        <v/>
      </c>
      <c r="N879" s="17" t="str">
        <f aca="false">IF($C879="","",IF($C879="H",0,IF($C879="G",INDEX(Baseline!$I$3:$I$102,MIN(MAX(ROUND($D879,0),1),100)),IF($C879="T",IF($M879=3,INDEX(Baseline!$B$3:$B$122,MATCH(MIN(MAX(ROUND(($D879)/5,0)*5,5),600),Baseline!$A$3:$A$122,0))-Inputs!$B$9,INDEX(Course!$N$2:$N$19,MATCH($B879,Course!$A$2:$A$19,0))),INDEX(Baseline!$B$3:$E$122,MATCH(MIN(MAX(ROUND(($D879)/5,0)*5,5),600),Baseline!$A$3:$A$122,0),MATCH($C879,Baseline!$B$2:$E$2,0))))))</f>
        <v/>
      </c>
      <c r="O879" s="17" t="str">
        <f aca="false">IF($C879="","",IF($E879="H",0,IF($E879="G",INDEX(Baseline!$I$3:$I$102,MIN(MAX(ROUND($F879,0),1),100)),IF($E879="T",IF($M879=3,INDEX(Baseline!$B$3:$B$122,MATCH(MIN(MAX(ROUND(($F879)/5,0)*5,5),600),Baseline!$A$3:$A$122,0))-Inputs!$B$9,INDEX(Course!$N$2:$N$19,MATCH($B879,Course!$A$2:$A$19,0))),INDEX(Baseline!$B$3:$E$122,MATCH(MIN(MAX(ROUND(($F879)/5,0)*5,5),600),Baseline!$A$3:$A$122,0),MATCH($E879,Baseline!$B$2:$E$2,0))))))</f>
        <v/>
      </c>
      <c r="P879" s="17" t="str">
        <f aca="false">IF($B879="","",INDEX(Course!$N$2:$N$19,MATCH($B879,Course!$A$2:$A$19,0)))</f>
        <v/>
      </c>
      <c r="Q879" s="17" t="str">
        <f aca="false">IF($B879="","",INDEX(Course!$P$2:$P$19,MATCH($B879,Course!$A$2:$A$19,0)))</f>
        <v/>
      </c>
      <c r="R879" s="17" t="str">
        <f aca="false">IF($C879="","",IF(OR($C879="G",$C879="H"),0,IF($C879="T",1,MIN(1,MAX(0,($N879-Inputs!$B$8)/MAX($P879-Inputs!$B$8,0.01))))))</f>
        <v/>
      </c>
      <c r="S879" s="17" t="str">
        <f aca="false">IF($C879="","",IF(OR($E879="G",$E879="H"),0,IF($E879="T",1,MIN(1,MAX(0,($O879-Inputs!$B$8)/MAX($P879-Inputs!$B$8,0.01))))))</f>
        <v/>
      </c>
    </row>
    <row r="880" customFormat="false" ht="15" hidden="false" customHeight="false" outlineLevel="0" collapsed="false">
      <c r="I880" s="7" t="str">
        <f aca="false">IF($C880="","",IF($C880="G","PUTT",IF(AND($C880="T",$M880&gt;3),"OTT",IF($D880&lt;=30,"ARG","APP"))))</f>
        <v/>
      </c>
      <c r="J880" s="17" t="str">
        <f aca="false">IF($C880="","",$N880+$Q880*$R880)</f>
        <v/>
      </c>
      <c r="K880" s="17" t="str">
        <f aca="false">IF($C880="","",$O880+$Q880*$S880)</f>
        <v/>
      </c>
      <c r="L880" s="17" t="str">
        <f aca="false">IF($C880="","",$J880-$K880-1-N($G880))</f>
        <v/>
      </c>
      <c r="M880" s="7" t="str">
        <f aca="false">IF($B880="","",INDEX(Course!$B$2:$B$19,MATCH($B880,Course!$A$2:$A$19,0)))</f>
        <v/>
      </c>
      <c r="N880" s="17" t="str">
        <f aca="false">IF($C880="","",IF($C880="H",0,IF($C880="G",INDEX(Baseline!$I$3:$I$102,MIN(MAX(ROUND($D880,0),1),100)),IF($C880="T",IF($M880=3,INDEX(Baseline!$B$3:$B$122,MATCH(MIN(MAX(ROUND(($D880)/5,0)*5,5),600),Baseline!$A$3:$A$122,0))-Inputs!$B$9,INDEX(Course!$N$2:$N$19,MATCH($B880,Course!$A$2:$A$19,0))),INDEX(Baseline!$B$3:$E$122,MATCH(MIN(MAX(ROUND(($D880)/5,0)*5,5),600),Baseline!$A$3:$A$122,0),MATCH($C880,Baseline!$B$2:$E$2,0))))))</f>
        <v/>
      </c>
      <c r="O880" s="17" t="str">
        <f aca="false">IF($C880="","",IF($E880="H",0,IF($E880="G",INDEX(Baseline!$I$3:$I$102,MIN(MAX(ROUND($F880,0),1),100)),IF($E880="T",IF($M880=3,INDEX(Baseline!$B$3:$B$122,MATCH(MIN(MAX(ROUND(($F880)/5,0)*5,5),600),Baseline!$A$3:$A$122,0))-Inputs!$B$9,INDEX(Course!$N$2:$N$19,MATCH($B880,Course!$A$2:$A$19,0))),INDEX(Baseline!$B$3:$E$122,MATCH(MIN(MAX(ROUND(($F880)/5,0)*5,5),600),Baseline!$A$3:$A$122,0),MATCH($E880,Baseline!$B$2:$E$2,0))))))</f>
        <v/>
      </c>
      <c r="P880" s="17" t="str">
        <f aca="false">IF($B880="","",INDEX(Course!$N$2:$N$19,MATCH($B880,Course!$A$2:$A$19,0)))</f>
        <v/>
      </c>
      <c r="Q880" s="17" t="str">
        <f aca="false">IF($B880="","",INDEX(Course!$P$2:$P$19,MATCH($B880,Course!$A$2:$A$19,0)))</f>
        <v/>
      </c>
      <c r="R880" s="17" t="str">
        <f aca="false">IF($C880="","",IF(OR($C880="G",$C880="H"),0,IF($C880="T",1,MIN(1,MAX(0,($N880-Inputs!$B$8)/MAX($P880-Inputs!$B$8,0.01))))))</f>
        <v/>
      </c>
      <c r="S880" s="17" t="str">
        <f aca="false">IF($C880="","",IF(OR($E880="G",$E880="H"),0,IF($E880="T",1,MIN(1,MAX(0,($O880-Inputs!$B$8)/MAX($P880-Inputs!$B$8,0.01))))))</f>
        <v/>
      </c>
    </row>
    <row r="881" customFormat="false" ht="15" hidden="false" customHeight="false" outlineLevel="0" collapsed="false">
      <c r="I881" s="7" t="str">
        <f aca="false">IF($C881="","",IF($C881="G","PUTT",IF(AND($C881="T",$M881&gt;3),"OTT",IF($D881&lt;=30,"ARG","APP"))))</f>
        <v/>
      </c>
      <c r="J881" s="17" t="str">
        <f aca="false">IF($C881="","",$N881+$Q881*$R881)</f>
        <v/>
      </c>
      <c r="K881" s="17" t="str">
        <f aca="false">IF($C881="","",$O881+$Q881*$S881)</f>
        <v/>
      </c>
      <c r="L881" s="17" t="str">
        <f aca="false">IF($C881="","",$J881-$K881-1-N($G881))</f>
        <v/>
      </c>
      <c r="M881" s="7" t="str">
        <f aca="false">IF($B881="","",INDEX(Course!$B$2:$B$19,MATCH($B881,Course!$A$2:$A$19,0)))</f>
        <v/>
      </c>
      <c r="N881" s="17" t="str">
        <f aca="false">IF($C881="","",IF($C881="H",0,IF($C881="G",INDEX(Baseline!$I$3:$I$102,MIN(MAX(ROUND($D881,0),1),100)),IF($C881="T",IF($M881=3,INDEX(Baseline!$B$3:$B$122,MATCH(MIN(MAX(ROUND(($D881)/5,0)*5,5),600),Baseline!$A$3:$A$122,0))-Inputs!$B$9,INDEX(Course!$N$2:$N$19,MATCH($B881,Course!$A$2:$A$19,0))),INDEX(Baseline!$B$3:$E$122,MATCH(MIN(MAX(ROUND(($D881)/5,0)*5,5),600),Baseline!$A$3:$A$122,0),MATCH($C881,Baseline!$B$2:$E$2,0))))))</f>
        <v/>
      </c>
      <c r="O881" s="17" t="str">
        <f aca="false">IF($C881="","",IF($E881="H",0,IF($E881="G",INDEX(Baseline!$I$3:$I$102,MIN(MAX(ROUND($F881,0),1),100)),IF($E881="T",IF($M881=3,INDEX(Baseline!$B$3:$B$122,MATCH(MIN(MAX(ROUND(($F881)/5,0)*5,5),600),Baseline!$A$3:$A$122,0))-Inputs!$B$9,INDEX(Course!$N$2:$N$19,MATCH($B881,Course!$A$2:$A$19,0))),INDEX(Baseline!$B$3:$E$122,MATCH(MIN(MAX(ROUND(($F881)/5,0)*5,5),600),Baseline!$A$3:$A$122,0),MATCH($E881,Baseline!$B$2:$E$2,0))))))</f>
        <v/>
      </c>
      <c r="P881" s="17" t="str">
        <f aca="false">IF($B881="","",INDEX(Course!$N$2:$N$19,MATCH($B881,Course!$A$2:$A$19,0)))</f>
        <v/>
      </c>
      <c r="Q881" s="17" t="str">
        <f aca="false">IF($B881="","",INDEX(Course!$P$2:$P$19,MATCH($B881,Course!$A$2:$A$19,0)))</f>
        <v/>
      </c>
      <c r="R881" s="17" t="str">
        <f aca="false">IF($C881="","",IF(OR($C881="G",$C881="H"),0,IF($C881="T",1,MIN(1,MAX(0,($N881-Inputs!$B$8)/MAX($P881-Inputs!$B$8,0.01))))))</f>
        <v/>
      </c>
      <c r="S881" s="17" t="str">
        <f aca="false">IF($C881="","",IF(OR($E881="G",$E881="H"),0,IF($E881="T",1,MIN(1,MAX(0,($O881-Inputs!$B$8)/MAX($P881-Inputs!$B$8,0.01))))))</f>
        <v/>
      </c>
    </row>
    <row r="882" customFormat="false" ht="15" hidden="false" customHeight="false" outlineLevel="0" collapsed="false">
      <c r="I882" s="7" t="str">
        <f aca="false">IF($C882="","",IF($C882="G","PUTT",IF(AND($C882="T",$M882&gt;3),"OTT",IF($D882&lt;=30,"ARG","APP"))))</f>
        <v/>
      </c>
      <c r="J882" s="17" t="str">
        <f aca="false">IF($C882="","",$N882+$Q882*$R882)</f>
        <v/>
      </c>
      <c r="K882" s="17" t="str">
        <f aca="false">IF($C882="","",$O882+$Q882*$S882)</f>
        <v/>
      </c>
      <c r="L882" s="17" t="str">
        <f aca="false">IF($C882="","",$J882-$K882-1-N($G882))</f>
        <v/>
      </c>
      <c r="M882" s="7" t="str">
        <f aca="false">IF($B882="","",INDEX(Course!$B$2:$B$19,MATCH($B882,Course!$A$2:$A$19,0)))</f>
        <v/>
      </c>
      <c r="N882" s="17" t="str">
        <f aca="false">IF($C882="","",IF($C882="H",0,IF($C882="G",INDEX(Baseline!$I$3:$I$102,MIN(MAX(ROUND($D882,0),1),100)),IF($C882="T",IF($M882=3,INDEX(Baseline!$B$3:$B$122,MATCH(MIN(MAX(ROUND(($D882)/5,0)*5,5),600),Baseline!$A$3:$A$122,0))-Inputs!$B$9,INDEX(Course!$N$2:$N$19,MATCH($B882,Course!$A$2:$A$19,0))),INDEX(Baseline!$B$3:$E$122,MATCH(MIN(MAX(ROUND(($D882)/5,0)*5,5),600),Baseline!$A$3:$A$122,0),MATCH($C882,Baseline!$B$2:$E$2,0))))))</f>
        <v/>
      </c>
      <c r="O882" s="17" t="str">
        <f aca="false">IF($C882="","",IF($E882="H",0,IF($E882="G",INDEX(Baseline!$I$3:$I$102,MIN(MAX(ROUND($F882,0),1),100)),IF($E882="T",IF($M882=3,INDEX(Baseline!$B$3:$B$122,MATCH(MIN(MAX(ROUND(($F882)/5,0)*5,5),600),Baseline!$A$3:$A$122,0))-Inputs!$B$9,INDEX(Course!$N$2:$N$19,MATCH($B882,Course!$A$2:$A$19,0))),INDEX(Baseline!$B$3:$E$122,MATCH(MIN(MAX(ROUND(($F882)/5,0)*5,5),600),Baseline!$A$3:$A$122,0),MATCH($E882,Baseline!$B$2:$E$2,0))))))</f>
        <v/>
      </c>
      <c r="P882" s="17" t="str">
        <f aca="false">IF($B882="","",INDEX(Course!$N$2:$N$19,MATCH($B882,Course!$A$2:$A$19,0)))</f>
        <v/>
      </c>
      <c r="Q882" s="17" t="str">
        <f aca="false">IF($B882="","",INDEX(Course!$P$2:$P$19,MATCH($B882,Course!$A$2:$A$19,0)))</f>
        <v/>
      </c>
      <c r="R882" s="17" t="str">
        <f aca="false">IF($C882="","",IF(OR($C882="G",$C882="H"),0,IF($C882="T",1,MIN(1,MAX(0,($N882-Inputs!$B$8)/MAX($P882-Inputs!$B$8,0.01))))))</f>
        <v/>
      </c>
      <c r="S882" s="17" t="str">
        <f aca="false">IF($C882="","",IF(OR($E882="G",$E882="H"),0,IF($E882="T",1,MIN(1,MAX(0,($O882-Inputs!$B$8)/MAX($P882-Inputs!$B$8,0.01))))))</f>
        <v/>
      </c>
    </row>
    <row r="883" customFormat="false" ht="15" hidden="false" customHeight="false" outlineLevel="0" collapsed="false">
      <c r="I883" s="7" t="str">
        <f aca="false">IF($C883="","",IF($C883="G","PUTT",IF(AND($C883="T",$M883&gt;3),"OTT",IF($D883&lt;=30,"ARG","APP"))))</f>
        <v/>
      </c>
      <c r="J883" s="17" t="str">
        <f aca="false">IF($C883="","",$N883+$Q883*$R883)</f>
        <v/>
      </c>
      <c r="K883" s="17" t="str">
        <f aca="false">IF($C883="","",$O883+$Q883*$S883)</f>
        <v/>
      </c>
      <c r="L883" s="17" t="str">
        <f aca="false">IF($C883="","",$J883-$K883-1-N($G883))</f>
        <v/>
      </c>
      <c r="M883" s="7" t="str">
        <f aca="false">IF($B883="","",INDEX(Course!$B$2:$B$19,MATCH($B883,Course!$A$2:$A$19,0)))</f>
        <v/>
      </c>
      <c r="N883" s="17" t="str">
        <f aca="false">IF($C883="","",IF($C883="H",0,IF($C883="G",INDEX(Baseline!$I$3:$I$102,MIN(MAX(ROUND($D883,0),1),100)),IF($C883="T",IF($M883=3,INDEX(Baseline!$B$3:$B$122,MATCH(MIN(MAX(ROUND(($D883)/5,0)*5,5),600),Baseline!$A$3:$A$122,0))-Inputs!$B$9,INDEX(Course!$N$2:$N$19,MATCH($B883,Course!$A$2:$A$19,0))),INDEX(Baseline!$B$3:$E$122,MATCH(MIN(MAX(ROUND(($D883)/5,0)*5,5),600),Baseline!$A$3:$A$122,0),MATCH($C883,Baseline!$B$2:$E$2,0))))))</f>
        <v/>
      </c>
      <c r="O883" s="17" t="str">
        <f aca="false">IF($C883="","",IF($E883="H",0,IF($E883="G",INDEX(Baseline!$I$3:$I$102,MIN(MAX(ROUND($F883,0),1),100)),IF($E883="T",IF($M883=3,INDEX(Baseline!$B$3:$B$122,MATCH(MIN(MAX(ROUND(($F883)/5,0)*5,5),600),Baseline!$A$3:$A$122,0))-Inputs!$B$9,INDEX(Course!$N$2:$N$19,MATCH($B883,Course!$A$2:$A$19,0))),INDEX(Baseline!$B$3:$E$122,MATCH(MIN(MAX(ROUND(($F883)/5,0)*5,5),600),Baseline!$A$3:$A$122,0),MATCH($E883,Baseline!$B$2:$E$2,0))))))</f>
        <v/>
      </c>
      <c r="P883" s="17" t="str">
        <f aca="false">IF($B883="","",INDEX(Course!$N$2:$N$19,MATCH($B883,Course!$A$2:$A$19,0)))</f>
        <v/>
      </c>
      <c r="Q883" s="17" t="str">
        <f aca="false">IF($B883="","",INDEX(Course!$P$2:$P$19,MATCH($B883,Course!$A$2:$A$19,0)))</f>
        <v/>
      </c>
      <c r="R883" s="17" t="str">
        <f aca="false">IF($C883="","",IF(OR($C883="G",$C883="H"),0,IF($C883="T",1,MIN(1,MAX(0,($N883-Inputs!$B$8)/MAX($P883-Inputs!$B$8,0.01))))))</f>
        <v/>
      </c>
      <c r="S883" s="17" t="str">
        <f aca="false">IF($C883="","",IF(OR($E883="G",$E883="H"),0,IF($E883="T",1,MIN(1,MAX(0,($O883-Inputs!$B$8)/MAX($P883-Inputs!$B$8,0.01))))))</f>
        <v/>
      </c>
    </row>
    <row r="884" customFormat="false" ht="15" hidden="false" customHeight="false" outlineLevel="0" collapsed="false">
      <c r="I884" s="7" t="str">
        <f aca="false">IF($C884="","",IF($C884="G","PUTT",IF(AND($C884="T",$M884&gt;3),"OTT",IF($D884&lt;=30,"ARG","APP"))))</f>
        <v/>
      </c>
      <c r="J884" s="17" t="str">
        <f aca="false">IF($C884="","",$N884+$Q884*$R884)</f>
        <v/>
      </c>
      <c r="K884" s="17" t="str">
        <f aca="false">IF($C884="","",$O884+$Q884*$S884)</f>
        <v/>
      </c>
      <c r="L884" s="17" t="str">
        <f aca="false">IF($C884="","",$J884-$K884-1-N($G884))</f>
        <v/>
      </c>
      <c r="M884" s="7" t="str">
        <f aca="false">IF($B884="","",INDEX(Course!$B$2:$B$19,MATCH($B884,Course!$A$2:$A$19,0)))</f>
        <v/>
      </c>
      <c r="N884" s="17" t="str">
        <f aca="false">IF($C884="","",IF($C884="H",0,IF($C884="G",INDEX(Baseline!$I$3:$I$102,MIN(MAX(ROUND($D884,0),1),100)),IF($C884="T",IF($M884=3,INDEX(Baseline!$B$3:$B$122,MATCH(MIN(MAX(ROUND(($D884)/5,0)*5,5),600),Baseline!$A$3:$A$122,0))-Inputs!$B$9,INDEX(Course!$N$2:$N$19,MATCH($B884,Course!$A$2:$A$19,0))),INDEX(Baseline!$B$3:$E$122,MATCH(MIN(MAX(ROUND(($D884)/5,0)*5,5),600),Baseline!$A$3:$A$122,0),MATCH($C884,Baseline!$B$2:$E$2,0))))))</f>
        <v/>
      </c>
      <c r="O884" s="17" t="str">
        <f aca="false">IF($C884="","",IF($E884="H",0,IF($E884="G",INDEX(Baseline!$I$3:$I$102,MIN(MAX(ROUND($F884,0),1),100)),IF($E884="T",IF($M884=3,INDEX(Baseline!$B$3:$B$122,MATCH(MIN(MAX(ROUND(($F884)/5,0)*5,5),600),Baseline!$A$3:$A$122,0))-Inputs!$B$9,INDEX(Course!$N$2:$N$19,MATCH($B884,Course!$A$2:$A$19,0))),INDEX(Baseline!$B$3:$E$122,MATCH(MIN(MAX(ROUND(($F884)/5,0)*5,5),600),Baseline!$A$3:$A$122,0),MATCH($E884,Baseline!$B$2:$E$2,0))))))</f>
        <v/>
      </c>
      <c r="P884" s="17" t="str">
        <f aca="false">IF($B884="","",INDEX(Course!$N$2:$N$19,MATCH($B884,Course!$A$2:$A$19,0)))</f>
        <v/>
      </c>
      <c r="Q884" s="17" t="str">
        <f aca="false">IF($B884="","",INDEX(Course!$P$2:$P$19,MATCH($B884,Course!$A$2:$A$19,0)))</f>
        <v/>
      </c>
      <c r="R884" s="17" t="str">
        <f aca="false">IF($C884="","",IF(OR($C884="G",$C884="H"),0,IF($C884="T",1,MIN(1,MAX(0,($N884-Inputs!$B$8)/MAX($P884-Inputs!$B$8,0.01))))))</f>
        <v/>
      </c>
      <c r="S884" s="17" t="str">
        <f aca="false">IF($C884="","",IF(OR($E884="G",$E884="H"),0,IF($E884="T",1,MIN(1,MAX(0,($O884-Inputs!$B$8)/MAX($P884-Inputs!$B$8,0.01))))))</f>
        <v/>
      </c>
    </row>
    <row r="885" customFormat="false" ht="15" hidden="false" customHeight="false" outlineLevel="0" collapsed="false">
      <c r="I885" s="7" t="str">
        <f aca="false">IF($C885="","",IF($C885="G","PUTT",IF(AND($C885="T",$M885&gt;3),"OTT",IF($D885&lt;=30,"ARG","APP"))))</f>
        <v/>
      </c>
      <c r="J885" s="17" t="str">
        <f aca="false">IF($C885="","",$N885+$Q885*$R885)</f>
        <v/>
      </c>
      <c r="K885" s="17" t="str">
        <f aca="false">IF($C885="","",$O885+$Q885*$S885)</f>
        <v/>
      </c>
      <c r="L885" s="17" t="str">
        <f aca="false">IF($C885="","",$J885-$K885-1-N($G885))</f>
        <v/>
      </c>
      <c r="M885" s="7" t="str">
        <f aca="false">IF($B885="","",INDEX(Course!$B$2:$B$19,MATCH($B885,Course!$A$2:$A$19,0)))</f>
        <v/>
      </c>
      <c r="N885" s="17" t="str">
        <f aca="false">IF($C885="","",IF($C885="H",0,IF($C885="G",INDEX(Baseline!$I$3:$I$102,MIN(MAX(ROUND($D885,0),1),100)),IF($C885="T",IF($M885=3,INDEX(Baseline!$B$3:$B$122,MATCH(MIN(MAX(ROUND(($D885)/5,0)*5,5),600),Baseline!$A$3:$A$122,0))-Inputs!$B$9,INDEX(Course!$N$2:$N$19,MATCH($B885,Course!$A$2:$A$19,0))),INDEX(Baseline!$B$3:$E$122,MATCH(MIN(MAX(ROUND(($D885)/5,0)*5,5),600),Baseline!$A$3:$A$122,0),MATCH($C885,Baseline!$B$2:$E$2,0))))))</f>
        <v/>
      </c>
      <c r="O885" s="17" t="str">
        <f aca="false">IF($C885="","",IF($E885="H",0,IF($E885="G",INDEX(Baseline!$I$3:$I$102,MIN(MAX(ROUND($F885,0),1),100)),IF($E885="T",IF($M885=3,INDEX(Baseline!$B$3:$B$122,MATCH(MIN(MAX(ROUND(($F885)/5,0)*5,5),600),Baseline!$A$3:$A$122,0))-Inputs!$B$9,INDEX(Course!$N$2:$N$19,MATCH($B885,Course!$A$2:$A$19,0))),INDEX(Baseline!$B$3:$E$122,MATCH(MIN(MAX(ROUND(($F885)/5,0)*5,5),600),Baseline!$A$3:$A$122,0),MATCH($E885,Baseline!$B$2:$E$2,0))))))</f>
        <v/>
      </c>
      <c r="P885" s="17" t="str">
        <f aca="false">IF($B885="","",INDEX(Course!$N$2:$N$19,MATCH($B885,Course!$A$2:$A$19,0)))</f>
        <v/>
      </c>
      <c r="Q885" s="17" t="str">
        <f aca="false">IF($B885="","",INDEX(Course!$P$2:$P$19,MATCH($B885,Course!$A$2:$A$19,0)))</f>
        <v/>
      </c>
      <c r="R885" s="17" t="str">
        <f aca="false">IF($C885="","",IF(OR($C885="G",$C885="H"),0,IF($C885="T",1,MIN(1,MAX(0,($N885-Inputs!$B$8)/MAX($P885-Inputs!$B$8,0.01))))))</f>
        <v/>
      </c>
      <c r="S885" s="17" t="str">
        <f aca="false">IF($C885="","",IF(OR($E885="G",$E885="H"),0,IF($E885="T",1,MIN(1,MAX(0,($O885-Inputs!$B$8)/MAX($P885-Inputs!$B$8,0.01))))))</f>
        <v/>
      </c>
    </row>
    <row r="886" customFormat="false" ht="15" hidden="false" customHeight="false" outlineLevel="0" collapsed="false">
      <c r="I886" s="7" t="str">
        <f aca="false">IF($C886="","",IF($C886="G","PUTT",IF(AND($C886="T",$M886&gt;3),"OTT",IF($D886&lt;=30,"ARG","APP"))))</f>
        <v/>
      </c>
      <c r="J886" s="17" t="str">
        <f aca="false">IF($C886="","",$N886+$Q886*$R886)</f>
        <v/>
      </c>
      <c r="K886" s="17" t="str">
        <f aca="false">IF($C886="","",$O886+$Q886*$S886)</f>
        <v/>
      </c>
      <c r="L886" s="17" t="str">
        <f aca="false">IF($C886="","",$J886-$K886-1-N($G886))</f>
        <v/>
      </c>
      <c r="M886" s="7" t="str">
        <f aca="false">IF($B886="","",INDEX(Course!$B$2:$B$19,MATCH($B886,Course!$A$2:$A$19,0)))</f>
        <v/>
      </c>
      <c r="N886" s="17" t="str">
        <f aca="false">IF($C886="","",IF($C886="H",0,IF($C886="G",INDEX(Baseline!$I$3:$I$102,MIN(MAX(ROUND($D886,0),1),100)),IF($C886="T",IF($M886=3,INDEX(Baseline!$B$3:$B$122,MATCH(MIN(MAX(ROUND(($D886)/5,0)*5,5),600),Baseline!$A$3:$A$122,0))-Inputs!$B$9,INDEX(Course!$N$2:$N$19,MATCH($B886,Course!$A$2:$A$19,0))),INDEX(Baseline!$B$3:$E$122,MATCH(MIN(MAX(ROUND(($D886)/5,0)*5,5),600),Baseline!$A$3:$A$122,0),MATCH($C886,Baseline!$B$2:$E$2,0))))))</f>
        <v/>
      </c>
      <c r="O886" s="17" t="str">
        <f aca="false">IF($C886="","",IF($E886="H",0,IF($E886="G",INDEX(Baseline!$I$3:$I$102,MIN(MAX(ROUND($F886,0),1),100)),IF($E886="T",IF($M886=3,INDEX(Baseline!$B$3:$B$122,MATCH(MIN(MAX(ROUND(($F886)/5,0)*5,5),600),Baseline!$A$3:$A$122,0))-Inputs!$B$9,INDEX(Course!$N$2:$N$19,MATCH($B886,Course!$A$2:$A$19,0))),INDEX(Baseline!$B$3:$E$122,MATCH(MIN(MAX(ROUND(($F886)/5,0)*5,5),600),Baseline!$A$3:$A$122,0),MATCH($E886,Baseline!$B$2:$E$2,0))))))</f>
        <v/>
      </c>
      <c r="P886" s="17" t="str">
        <f aca="false">IF($B886="","",INDEX(Course!$N$2:$N$19,MATCH($B886,Course!$A$2:$A$19,0)))</f>
        <v/>
      </c>
      <c r="Q886" s="17" t="str">
        <f aca="false">IF($B886="","",INDEX(Course!$P$2:$P$19,MATCH($B886,Course!$A$2:$A$19,0)))</f>
        <v/>
      </c>
      <c r="R886" s="17" t="str">
        <f aca="false">IF($C886="","",IF(OR($C886="G",$C886="H"),0,IF($C886="T",1,MIN(1,MAX(0,($N886-Inputs!$B$8)/MAX($P886-Inputs!$B$8,0.01))))))</f>
        <v/>
      </c>
      <c r="S886" s="17" t="str">
        <f aca="false">IF($C886="","",IF(OR($E886="G",$E886="H"),0,IF($E886="T",1,MIN(1,MAX(0,($O886-Inputs!$B$8)/MAX($P886-Inputs!$B$8,0.01))))))</f>
        <v/>
      </c>
    </row>
    <row r="887" customFormat="false" ht="15" hidden="false" customHeight="false" outlineLevel="0" collapsed="false">
      <c r="I887" s="7" t="str">
        <f aca="false">IF($C887="","",IF($C887="G","PUTT",IF(AND($C887="T",$M887&gt;3),"OTT",IF($D887&lt;=30,"ARG","APP"))))</f>
        <v/>
      </c>
      <c r="J887" s="17" t="str">
        <f aca="false">IF($C887="","",$N887+$Q887*$R887)</f>
        <v/>
      </c>
      <c r="K887" s="17" t="str">
        <f aca="false">IF($C887="","",$O887+$Q887*$S887)</f>
        <v/>
      </c>
      <c r="L887" s="17" t="str">
        <f aca="false">IF($C887="","",$J887-$K887-1-N($G887))</f>
        <v/>
      </c>
      <c r="M887" s="7" t="str">
        <f aca="false">IF($B887="","",INDEX(Course!$B$2:$B$19,MATCH($B887,Course!$A$2:$A$19,0)))</f>
        <v/>
      </c>
      <c r="N887" s="17" t="str">
        <f aca="false">IF($C887="","",IF($C887="H",0,IF($C887="G",INDEX(Baseline!$I$3:$I$102,MIN(MAX(ROUND($D887,0),1),100)),IF($C887="T",IF($M887=3,INDEX(Baseline!$B$3:$B$122,MATCH(MIN(MAX(ROUND(($D887)/5,0)*5,5),600),Baseline!$A$3:$A$122,0))-Inputs!$B$9,INDEX(Course!$N$2:$N$19,MATCH($B887,Course!$A$2:$A$19,0))),INDEX(Baseline!$B$3:$E$122,MATCH(MIN(MAX(ROUND(($D887)/5,0)*5,5),600),Baseline!$A$3:$A$122,0),MATCH($C887,Baseline!$B$2:$E$2,0))))))</f>
        <v/>
      </c>
      <c r="O887" s="17" t="str">
        <f aca="false">IF($C887="","",IF($E887="H",0,IF($E887="G",INDEX(Baseline!$I$3:$I$102,MIN(MAX(ROUND($F887,0),1),100)),IF($E887="T",IF($M887=3,INDEX(Baseline!$B$3:$B$122,MATCH(MIN(MAX(ROUND(($F887)/5,0)*5,5),600),Baseline!$A$3:$A$122,0))-Inputs!$B$9,INDEX(Course!$N$2:$N$19,MATCH($B887,Course!$A$2:$A$19,0))),INDEX(Baseline!$B$3:$E$122,MATCH(MIN(MAX(ROUND(($F887)/5,0)*5,5),600),Baseline!$A$3:$A$122,0),MATCH($E887,Baseline!$B$2:$E$2,0))))))</f>
        <v/>
      </c>
      <c r="P887" s="17" t="str">
        <f aca="false">IF($B887="","",INDEX(Course!$N$2:$N$19,MATCH($B887,Course!$A$2:$A$19,0)))</f>
        <v/>
      </c>
      <c r="Q887" s="17" t="str">
        <f aca="false">IF($B887="","",INDEX(Course!$P$2:$P$19,MATCH($B887,Course!$A$2:$A$19,0)))</f>
        <v/>
      </c>
      <c r="R887" s="17" t="str">
        <f aca="false">IF($C887="","",IF(OR($C887="G",$C887="H"),0,IF($C887="T",1,MIN(1,MAX(0,($N887-Inputs!$B$8)/MAX($P887-Inputs!$B$8,0.01))))))</f>
        <v/>
      </c>
      <c r="S887" s="17" t="str">
        <f aca="false">IF($C887="","",IF(OR($E887="G",$E887="H"),0,IF($E887="T",1,MIN(1,MAX(0,($O887-Inputs!$B$8)/MAX($P887-Inputs!$B$8,0.01))))))</f>
        <v/>
      </c>
    </row>
    <row r="888" customFormat="false" ht="15" hidden="false" customHeight="false" outlineLevel="0" collapsed="false">
      <c r="I888" s="7" t="str">
        <f aca="false">IF($C888="","",IF($C888="G","PUTT",IF(AND($C888="T",$M888&gt;3),"OTT",IF($D888&lt;=30,"ARG","APP"))))</f>
        <v/>
      </c>
      <c r="J888" s="17" t="str">
        <f aca="false">IF($C888="","",$N888+$Q888*$R888)</f>
        <v/>
      </c>
      <c r="K888" s="17" t="str">
        <f aca="false">IF($C888="","",$O888+$Q888*$S888)</f>
        <v/>
      </c>
      <c r="L888" s="17" t="str">
        <f aca="false">IF($C888="","",$J888-$K888-1-N($G888))</f>
        <v/>
      </c>
      <c r="M888" s="7" t="str">
        <f aca="false">IF($B888="","",INDEX(Course!$B$2:$B$19,MATCH($B888,Course!$A$2:$A$19,0)))</f>
        <v/>
      </c>
      <c r="N888" s="17" t="str">
        <f aca="false">IF($C888="","",IF($C888="H",0,IF($C888="G",INDEX(Baseline!$I$3:$I$102,MIN(MAX(ROUND($D888,0),1),100)),IF($C888="T",IF($M888=3,INDEX(Baseline!$B$3:$B$122,MATCH(MIN(MAX(ROUND(($D888)/5,0)*5,5),600),Baseline!$A$3:$A$122,0))-Inputs!$B$9,INDEX(Course!$N$2:$N$19,MATCH($B888,Course!$A$2:$A$19,0))),INDEX(Baseline!$B$3:$E$122,MATCH(MIN(MAX(ROUND(($D888)/5,0)*5,5),600),Baseline!$A$3:$A$122,0),MATCH($C888,Baseline!$B$2:$E$2,0))))))</f>
        <v/>
      </c>
      <c r="O888" s="17" t="str">
        <f aca="false">IF($C888="","",IF($E888="H",0,IF($E888="G",INDEX(Baseline!$I$3:$I$102,MIN(MAX(ROUND($F888,0),1),100)),IF($E888="T",IF($M888=3,INDEX(Baseline!$B$3:$B$122,MATCH(MIN(MAX(ROUND(($F888)/5,0)*5,5),600),Baseline!$A$3:$A$122,0))-Inputs!$B$9,INDEX(Course!$N$2:$N$19,MATCH($B888,Course!$A$2:$A$19,0))),INDEX(Baseline!$B$3:$E$122,MATCH(MIN(MAX(ROUND(($F888)/5,0)*5,5),600),Baseline!$A$3:$A$122,0),MATCH($E888,Baseline!$B$2:$E$2,0))))))</f>
        <v/>
      </c>
      <c r="P888" s="17" t="str">
        <f aca="false">IF($B888="","",INDEX(Course!$N$2:$N$19,MATCH($B888,Course!$A$2:$A$19,0)))</f>
        <v/>
      </c>
      <c r="Q888" s="17" t="str">
        <f aca="false">IF($B888="","",INDEX(Course!$P$2:$P$19,MATCH($B888,Course!$A$2:$A$19,0)))</f>
        <v/>
      </c>
      <c r="R888" s="17" t="str">
        <f aca="false">IF($C888="","",IF(OR($C888="G",$C888="H"),0,IF($C888="T",1,MIN(1,MAX(0,($N888-Inputs!$B$8)/MAX($P888-Inputs!$B$8,0.01))))))</f>
        <v/>
      </c>
      <c r="S888" s="17" t="str">
        <f aca="false">IF($C888="","",IF(OR($E888="G",$E888="H"),0,IF($E888="T",1,MIN(1,MAX(0,($O888-Inputs!$B$8)/MAX($P888-Inputs!$B$8,0.01))))))</f>
        <v/>
      </c>
    </row>
    <row r="889" customFormat="false" ht="15" hidden="false" customHeight="false" outlineLevel="0" collapsed="false">
      <c r="I889" s="7" t="str">
        <f aca="false">IF($C889="","",IF($C889="G","PUTT",IF(AND($C889="T",$M889&gt;3),"OTT",IF($D889&lt;=30,"ARG","APP"))))</f>
        <v/>
      </c>
      <c r="J889" s="17" t="str">
        <f aca="false">IF($C889="","",$N889+$Q889*$R889)</f>
        <v/>
      </c>
      <c r="K889" s="17" t="str">
        <f aca="false">IF($C889="","",$O889+$Q889*$S889)</f>
        <v/>
      </c>
      <c r="L889" s="17" t="str">
        <f aca="false">IF($C889="","",$J889-$K889-1-N($G889))</f>
        <v/>
      </c>
      <c r="M889" s="7" t="str">
        <f aca="false">IF($B889="","",INDEX(Course!$B$2:$B$19,MATCH($B889,Course!$A$2:$A$19,0)))</f>
        <v/>
      </c>
      <c r="N889" s="17" t="str">
        <f aca="false">IF($C889="","",IF($C889="H",0,IF($C889="G",INDEX(Baseline!$I$3:$I$102,MIN(MAX(ROUND($D889,0),1),100)),IF($C889="T",IF($M889=3,INDEX(Baseline!$B$3:$B$122,MATCH(MIN(MAX(ROUND(($D889)/5,0)*5,5),600),Baseline!$A$3:$A$122,0))-Inputs!$B$9,INDEX(Course!$N$2:$N$19,MATCH($B889,Course!$A$2:$A$19,0))),INDEX(Baseline!$B$3:$E$122,MATCH(MIN(MAX(ROUND(($D889)/5,0)*5,5),600),Baseline!$A$3:$A$122,0),MATCH($C889,Baseline!$B$2:$E$2,0))))))</f>
        <v/>
      </c>
      <c r="O889" s="17" t="str">
        <f aca="false">IF($C889="","",IF($E889="H",0,IF($E889="G",INDEX(Baseline!$I$3:$I$102,MIN(MAX(ROUND($F889,0),1),100)),IF($E889="T",IF($M889=3,INDEX(Baseline!$B$3:$B$122,MATCH(MIN(MAX(ROUND(($F889)/5,0)*5,5),600),Baseline!$A$3:$A$122,0))-Inputs!$B$9,INDEX(Course!$N$2:$N$19,MATCH($B889,Course!$A$2:$A$19,0))),INDEX(Baseline!$B$3:$E$122,MATCH(MIN(MAX(ROUND(($F889)/5,0)*5,5),600),Baseline!$A$3:$A$122,0),MATCH($E889,Baseline!$B$2:$E$2,0))))))</f>
        <v/>
      </c>
      <c r="P889" s="17" t="str">
        <f aca="false">IF($B889="","",INDEX(Course!$N$2:$N$19,MATCH($B889,Course!$A$2:$A$19,0)))</f>
        <v/>
      </c>
      <c r="Q889" s="17" t="str">
        <f aca="false">IF($B889="","",INDEX(Course!$P$2:$P$19,MATCH($B889,Course!$A$2:$A$19,0)))</f>
        <v/>
      </c>
      <c r="R889" s="17" t="str">
        <f aca="false">IF($C889="","",IF(OR($C889="G",$C889="H"),0,IF($C889="T",1,MIN(1,MAX(0,($N889-Inputs!$B$8)/MAX($P889-Inputs!$B$8,0.01))))))</f>
        <v/>
      </c>
      <c r="S889" s="17" t="str">
        <f aca="false">IF($C889="","",IF(OR($E889="G",$E889="H"),0,IF($E889="T",1,MIN(1,MAX(0,($O889-Inputs!$B$8)/MAX($P889-Inputs!$B$8,0.01))))))</f>
        <v/>
      </c>
    </row>
    <row r="890" customFormat="false" ht="15" hidden="false" customHeight="false" outlineLevel="0" collapsed="false">
      <c r="I890" s="7" t="str">
        <f aca="false">IF($C890="","",IF($C890="G","PUTT",IF(AND($C890="T",$M890&gt;3),"OTT",IF($D890&lt;=30,"ARG","APP"))))</f>
        <v/>
      </c>
      <c r="J890" s="17" t="str">
        <f aca="false">IF($C890="","",$N890+$Q890*$R890)</f>
        <v/>
      </c>
      <c r="K890" s="17" t="str">
        <f aca="false">IF($C890="","",$O890+$Q890*$S890)</f>
        <v/>
      </c>
      <c r="L890" s="17" t="str">
        <f aca="false">IF($C890="","",$J890-$K890-1-N($G890))</f>
        <v/>
      </c>
      <c r="M890" s="7" t="str">
        <f aca="false">IF($B890="","",INDEX(Course!$B$2:$B$19,MATCH($B890,Course!$A$2:$A$19,0)))</f>
        <v/>
      </c>
      <c r="N890" s="17" t="str">
        <f aca="false">IF($C890="","",IF($C890="H",0,IF($C890="G",INDEX(Baseline!$I$3:$I$102,MIN(MAX(ROUND($D890,0),1),100)),IF($C890="T",IF($M890=3,INDEX(Baseline!$B$3:$B$122,MATCH(MIN(MAX(ROUND(($D890)/5,0)*5,5),600),Baseline!$A$3:$A$122,0))-Inputs!$B$9,INDEX(Course!$N$2:$N$19,MATCH($B890,Course!$A$2:$A$19,0))),INDEX(Baseline!$B$3:$E$122,MATCH(MIN(MAX(ROUND(($D890)/5,0)*5,5),600),Baseline!$A$3:$A$122,0),MATCH($C890,Baseline!$B$2:$E$2,0))))))</f>
        <v/>
      </c>
      <c r="O890" s="17" t="str">
        <f aca="false">IF($C890="","",IF($E890="H",0,IF($E890="G",INDEX(Baseline!$I$3:$I$102,MIN(MAX(ROUND($F890,0),1),100)),IF($E890="T",IF($M890=3,INDEX(Baseline!$B$3:$B$122,MATCH(MIN(MAX(ROUND(($F890)/5,0)*5,5),600),Baseline!$A$3:$A$122,0))-Inputs!$B$9,INDEX(Course!$N$2:$N$19,MATCH($B890,Course!$A$2:$A$19,0))),INDEX(Baseline!$B$3:$E$122,MATCH(MIN(MAX(ROUND(($F890)/5,0)*5,5),600),Baseline!$A$3:$A$122,0),MATCH($E890,Baseline!$B$2:$E$2,0))))))</f>
        <v/>
      </c>
      <c r="P890" s="17" t="str">
        <f aca="false">IF($B890="","",INDEX(Course!$N$2:$N$19,MATCH($B890,Course!$A$2:$A$19,0)))</f>
        <v/>
      </c>
      <c r="Q890" s="17" t="str">
        <f aca="false">IF($B890="","",INDEX(Course!$P$2:$P$19,MATCH($B890,Course!$A$2:$A$19,0)))</f>
        <v/>
      </c>
      <c r="R890" s="17" t="str">
        <f aca="false">IF($C890="","",IF(OR($C890="G",$C890="H"),0,IF($C890="T",1,MIN(1,MAX(0,($N890-Inputs!$B$8)/MAX($P890-Inputs!$B$8,0.01))))))</f>
        <v/>
      </c>
      <c r="S890" s="17" t="str">
        <f aca="false">IF($C890="","",IF(OR($E890="G",$E890="H"),0,IF($E890="T",1,MIN(1,MAX(0,($O890-Inputs!$B$8)/MAX($P890-Inputs!$B$8,0.01))))))</f>
        <v/>
      </c>
    </row>
    <row r="891" customFormat="false" ht="15" hidden="false" customHeight="false" outlineLevel="0" collapsed="false">
      <c r="I891" s="7" t="str">
        <f aca="false">IF($C891="","",IF($C891="G","PUTT",IF(AND($C891="T",$M891&gt;3),"OTT",IF($D891&lt;=30,"ARG","APP"))))</f>
        <v/>
      </c>
      <c r="J891" s="17" t="str">
        <f aca="false">IF($C891="","",$N891+$Q891*$R891)</f>
        <v/>
      </c>
      <c r="K891" s="17" t="str">
        <f aca="false">IF($C891="","",$O891+$Q891*$S891)</f>
        <v/>
      </c>
      <c r="L891" s="17" t="str">
        <f aca="false">IF($C891="","",$J891-$K891-1-N($G891))</f>
        <v/>
      </c>
      <c r="M891" s="7" t="str">
        <f aca="false">IF($B891="","",INDEX(Course!$B$2:$B$19,MATCH($B891,Course!$A$2:$A$19,0)))</f>
        <v/>
      </c>
      <c r="N891" s="17" t="str">
        <f aca="false">IF($C891="","",IF($C891="H",0,IF($C891="G",INDEX(Baseline!$I$3:$I$102,MIN(MAX(ROUND($D891,0),1),100)),IF($C891="T",IF($M891=3,INDEX(Baseline!$B$3:$B$122,MATCH(MIN(MAX(ROUND(($D891)/5,0)*5,5),600),Baseline!$A$3:$A$122,0))-Inputs!$B$9,INDEX(Course!$N$2:$N$19,MATCH($B891,Course!$A$2:$A$19,0))),INDEX(Baseline!$B$3:$E$122,MATCH(MIN(MAX(ROUND(($D891)/5,0)*5,5),600),Baseline!$A$3:$A$122,0),MATCH($C891,Baseline!$B$2:$E$2,0))))))</f>
        <v/>
      </c>
      <c r="O891" s="17" t="str">
        <f aca="false">IF($C891="","",IF($E891="H",0,IF($E891="G",INDEX(Baseline!$I$3:$I$102,MIN(MAX(ROUND($F891,0),1),100)),IF($E891="T",IF($M891=3,INDEX(Baseline!$B$3:$B$122,MATCH(MIN(MAX(ROUND(($F891)/5,0)*5,5),600),Baseline!$A$3:$A$122,0))-Inputs!$B$9,INDEX(Course!$N$2:$N$19,MATCH($B891,Course!$A$2:$A$19,0))),INDEX(Baseline!$B$3:$E$122,MATCH(MIN(MAX(ROUND(($F891)/5,0)*5,5),600),Baseline!$A$3:$A$122,0),MATCH($E891,Baseline!$B$2:$E$2,0))))))</f>
        <v/>
      </c>
      <c r="P891" s="17" t="str">
        <f aca="false">IF($B891="","",INDEX(Course!$N$2:$N$19,MATCH($B891,Course!$A$2:$A$19,0)))</f>
        <v/>
      </c>
      <c r="Q891" s="17" t="str">
        <f aca="false">IF($B891="","",INDEX(Course!$P$2:$P$19,MATCH($B891,Course!$A$2:$A$19,0)))</f>
        <v/>
      </c>
      <c r="R891" s="17" t="str">
        <f aca="false">IF($C891="","",IF(OR($C891="G",$C891="H"),0,IF($C891="T",1,MIN(1,MAX(0,($N891-Inputs!$B$8)/MAX($P891-Inputs!$B$8,0.01))))))</f>
        <v/>
      </c>
      <c r="S891" s="17" t="str">
        <f aca="false">IF($C891="","",IF(OR($E891="G",$E891="H"),0,IF($E891="T",1,MIN(1,MAX(0,($O891-Inputs!$B$8)/MAX($P891-Inputs!$B$8,0.01))))))</f>
        <v/>
      </c>
    </row>
    <row r="892" customFormat="false" ht="15" hidden="false" customHeight="false" outlineLevel="0" collapsed="false">
      <c r="I892" s="7" t="str">
        <f aca="false">IF($C892="","",IF($C892="G","PUTT",IF(AND($C892="T",$M892&gt;3),"OTT",IF($D892&lt;=30,"ARG","APP"))))</f>
        <v/>
      </c>
      <c r="J892" s="17" t="str">
        <f aca="false">IF($C892="","",$N892+$Q892*$R892)</f>
        <v/>
      </c>
      <c r="K892" s="17" t="str">
        <f aca="false">IF($C892="","",$O892+$Q892*$S892)</f>
        <v/>
      </c>
      <c r="L892" s="17" t="str">
        <f aca="false">IF($C892="","",$J892-$K892-1-N($G892))</f>
        <v/>
      </c>
      <c r="M892" s="7" t="str">
        <f aca="false">IF($B892="","",INDEX(Course!$B$2:$B$19,MATCH($B892,Course!$A$2:$A$19,0)))</f>
        <v/>
      </c>
      <c r="N892" s="17" t="str">
        <f aca="false">IF($C892="","",IF($C892="H",0,IF($C892="G",INDEX(Baseline!$I$3:$I$102,MIN(MAX(ROUND($D892,0),1),100)),IF($C892="T",IF($M892=3,INDEX(Baseline!$B$3:$B$122,MATCH(MIN(MAX(ROUND(($D892)/5,0)*5,5),600),Baseline!$A$3:$A$122,0))-Inputs!$B$9,INDEX(Course!$N$2:$N$19,MATCH($B892,Course!$A$2:$A$19,0))),INDEX(Baseline!$B$3:$E$122,MATCH(MIN(MAX(ROUND(($D892)/5,0)*5,5),600),Baseline!$A$3:$A$122,0),MATCH($C892,Baseline!$B$2:$E$2,0))))))</f>
        <v/>
      </c>
      <c r="O892" s="17" t="str">
        <f aca="false">IF($C892="","",IF($E892="H",0,IF($E892="G",INDEX(Baseline!$I$3:$I$102,MIN(MAX(ROUND($F892,0),1),100)),IF($E892="T",IF($M892=3,INDEX(Baseline!$B$3:$B$122,MATCH(MIN(MAX(ROUND(($F892)/5,0)*5,5),600),Baseline!$A$3:$A$122,0))-Inputs!$B$9,INDEX(Course!$N$2:$N$19,MATCH($B892,Course!$A$2:$A$19,0))),INDEX(Baseline!$B$3:$E$122,MATCH(MIN(MAX(ROUND(($F892)/5,0)*5,5),600),Baseline!$A$3:$A$122,0),MATCH($E892,Baseline!$B$2:$E$2,0))))))</f>
        <v/>
      </c>
      <c r="P892" s="17" t="str">
        <f aca="false">IF($B892="","",INDEX(Course!$N$2:$N$19,MATCH($B892,Course!$A$2:$A$19,0)))</f>
        <v/>
      </c>
      <c r="Q892" s="17" t="str">
        <f aca="false">IF($B892="","",INDEX(Course!$P$2:$P$19,MATCH($B892,Course!$A$2:$A$19,0)))</f>
        <v/>
      </c>
      <c r="R892" s="17" t="str">
        <f aca="false">IF($C892="","",IF(OR($C892="G",$C892="H"),0,IF($C892="T",1,MIN(1,MAX(0,($N892-Inputs!$B$8)/MAX($P892-Inputs!$B$8,0.01))))))</f>
        <v/>
      </c>
      <c r="S892" s="17" t="str">
        <f aca="false">IF($C892="","",IF(OR($E892="G",$E892="H"),0,IF($E892="T",1,MIN(1,MAX(0,($O892-Inputs!$B$8)/MAX($P892-Inputs!$B$8,0.01))))))</f>
        <v/>
      </c>
    </row>
    <row r="893" customFormat="false" ht="15" hidden="false" customHeight="false" outlineLevel="0" collapsed="false">
      <c r="I893" s="7" t="str">
        <f aca="false">IF($C893="","",IF($C893="G","PUTT",IF(AND($C893="T",$M893&gt;3),"OTT",IF($D893&lt;=30,"ARG","APP"))))</f>
        <v/>
      </c>
      <c r="J893" s="17" t="str">
        <f aca="false">IF($C893="","",$N893+$Q893*$R893)</f>
        <v/>
      </c>
      <c r="K893" s="17" t="str">
        <f aca="false">IF($C893="","",$O893+$Q893*$S893)</f>
        <v/>
      </c>
      <c r="L893" s="17" t="str">
        <f aca="false">IF($C893="","",$J893-$K893-1-N($G893))</f>
        <v/>
      </c>
      <c r="M893" s="7" t="str">
        <f aca="false">IF($B893="","",INDEX(Course!$B$2:$B$19,MATCH($B893,Course!$A$2:$A$19,0)))</f>
        <v/>
      </c>
      <c r="N893" s="17" t="str">
        <f aca="false">IF($C893="","",IF($C893="H",0,IF($C893="G",INDEX(Baseline!$I$3:$I$102,MIN(MAX(ROUND($D893,0),1),100)),IF($C893="T",IF($M893=3,INDEX(Baseline!$B$3:$B$122,MATCH(MIN(MAX(ROUND(($D893)/5,0)*5,5),600),Baseline!$A$3:$A$122,0))-Inputs!$B$9,INDEX(Course!$N$2:$N$19,MATCH($B893,Course!$A$2:$A$19,0))),INDEX(Baseline!$B$3:$E$122,MATCH(MIN(MAX(ROUND(($D893)/5,0)*5,5),600),Baseline!$A$3:$A$122,0),MATCH($C893,Baseline!$B$2:$E$2,0))))))</f>
        <v/>
      </c>
      <c r="O893" s="17" t="str">
        <f aca="false">IF($C893="","",IF($E893="H",0,IF($E893="G",INDEX(Baseline!$I$3:$I$102,MIN(MAX(ROUND($F893,0),1),100)),IF($E893="T",IF($M893=3,INDEX(Baseline!$B$3:$B$122,MATCH(MIN(MAX(ROUND(($F893)/5,0)*5,5),600),Baseline!$A$3:$A$122,0))-Inputs!$B$9,INDEX(Course!$N$2:$N$19,MATCH($B893,Course!$A$2:$A$19,0))),INDEX(Baseline!$B$3:$E$122,MATCH(MIN(MAX(ROUND(($F893)/5,0)*5,5),600),Baseline!$A$3:$A$122,0),MATCH($E893,Baseline!$B$2:$E$2,0))))))</f>
        <v/>
      </c>
      <c r="P893" s="17" t="str">
        <f aca="false">IF($B893="","",INDEX(Course!$N$2:$N$19,MATCH($B893,Course!$A$2:$A$19,0)))</f>
        <v/>
      </c>
      <c r="Q893" s="17" t="str">
        <f aca="false">IF($B893="","",INDEX(Course!$P$2:$P$19,MATCH($B893,Course!$A$2:$A$19,0)))</f>
        <v/>
      </c>
      <c r="R893" s="17" t="str">
        <f aca="false">IF($C893="","",IF(OR($C893="G",$C893="H"),0,IF($C893="T",1,MIN(1,MAX(0,($N893-Inputs!$B$8)/MAX($P893-Inputs!$B$8,0.01))))))</f>
        <v/>
      </c>
      <c r="S893" s="17" t="str">
        <f aca="false">IF($C893="","",IF(OR($E893="G",$E893="H"),0,IF($E893="T",1,MIN(1,MAX(0,($O893-Inputs!$B$8)/MAX($P893-Inputs!$B$8,0.01))))))</f>
        <v/>
      </c>
    </row>
    <row r="894" customFormat="false" ht="15" hidden="false" customHeight="false" outlineLevel="0" collapsed="false">
      <c r="I894" s="7" t="str">
        <f aca="false">IF($C894="","",IF($C894="G","PUTT",IF(AND($C894="T",$M894&gt;3),"OTT",IF($D894&lt;=30,"ARG","APP"))))</f>
        <v/>
      </c>
      <c r="J894" s="17" t="str">
        <f aca="false">IF($C894="","",$N894+$Q894*$R894)</f>
        <v/>
      </c>
      <c r="K894" s="17" t="str">
        <f aca="false">IF($C894="","",$O894+$Q894*$S894)</f>
        <v/>
      </c>
      <c r="L894" s="17" t="str">
        <f aca="false">IF($C894="","",$J894-$K894-1-N($G894))</f>
        <v/>
      </c>
      <c r="M894" s="7" t="str">
        <f aca="false">IF($B894="","",INDEX(Course!$B$2:$B$19,MATCH($B894,Course!$A$2:$A$19,0)))</f>
        <v/>
      </c>
      <c r="N894" s="17" t="str">
        <f aca="false">IF($C894="","",IF($C894="H",0,IF($C894="G",INDEX(Baseline!$I$3:$I$102,MIN(MAX(ROUND($D894,0),1),100)),IF($C894="T",IF($M894=3,INDEX(Baseline!$B$3:$B$122,MATCH(MIN(MAX(ROUND(($D894)/5,0)*5,5),600),Baseline!$A$3:$A$122,0))-Inputs!$B$9,INDEX(Course!$N$2:$N$19,MATCH($B894,Course!$A$2:$A$19,0))),INDEX(Baseline!$B$3:$E$122,MATCH(MIN(MAX(ROUND(($D894)/5,0)*5,5),600),Baseline!$A$3:$A$122,0),MATCH($C894,Baseline!$B$2:$E$2,0))))))</f>
        <v/>
      </c>
      <c r="O894" s="17" t="str">
        <f aca="false">IF($C894="","",IF($E894="H",0,IF($E894="G",INDEX(Baseline!$I$3:$I$102,MIN(MAX(ROUND($F894,0),1),100)),IF($E894="T",IF($M894=3,INDEX(Baseline!$B$3:$B$122,MATCH(MIN(MAX(ROUND(($F894)/5,0)*5,5),600),Baseline!$A$3:$A$122,0))-Inputs!$B$9,INDEX(Course!$N$2:$N$19,MATCH($B894,Course!$A$2:$A$19,0))),INDEX(Baseline!$B$3:$E$122,MATCH(MIN(MAX(ROUND(($F894)/5,0)*5,5),600),Baseline!$A$3:$A$122,0),MATCH($E894,Baseline!$B$2:$E$2,0))))))</f>
        <v/>
      </c>
      <c r="P894" s="17" t="str">
        <f aca="false">IF($B894="","",INDEX(Course!$N$2:$N$19,MATCH($B894,Course!$A$2:$A$19,0)))</f>
        <v/>
      </c>
      <c r="Q894" s="17" t="str">
        <f aca="false">IF($B894="","",INDEX(Course!$P$2:$P$19,MATCH($B894,Course!$A$2:$A$19,0)))</f>
        <v/>
      </c>
      <c r="R894" s="17" t="str">
        <f aca="false">IF($C894="","",IF(OR($C894="G",$C894="H"),0,IF($C894="T",1,MIN(1,MAX(0,($N894-Inputs!$B$8)/MAX($P894-Inputs!$B$8,0.01))))))</f>
        <v/>
      </c>
      <c r="S894" s="17" t="str">
        <f aca="false">IF($C894="","",IF(OR($E894="G",$E894="H"),0,IF($E894="T",1,MIN(1,MAX(0,($O894-Inputs!$B$8)/MAX($P894-Inputs!$B$8,0.01))))))</f>
        <v/>
      </c>
    </row>
    <row r="895" customFormat="false" ht="15" hidden="false" customHeight="false" outlineLevel="0" collapsed="false">
      <c r="I895" s="7" t="str">
        <f aca="false">IF($C895="","",IF($C895="G","PUTT",IF(AND($C895="T",$M895&gt;3),"OTT",IF($D895&lt;=30,"ARG","APP"))))</f>
        <v/>
      </c>
      <c r="J895" s="17" t="str">
        <f aca="false">IF($C895="","",$N895+$Q895*$R895)</f>
        <v/>
      </c>
      <c r="K895" s="17" t="str">
        <f aca="false">IF($C895="","",$O895+$Q895*$S895)</f>
        <v/>
      </c>
      <c r="L895" s="17" t="str">
        <f aca="false">IF($C895="","",$J895-$K895-1-N($G895))</f>
        <v/>
      </c>
      <c r="M895" s="7" t="str">
        <f aca="false">IF($B895="","",INDEX(Course!$B$2:$B$19,MATCH($B895,Course!$A$2:$A$19,0)))</f>
        <v/>
      </c>
      <c r="N895" s="17" t="str">
        <f aca="false">IF($C895="","",IF($C895="H",0,IF($C895="G",INDEX(Baseline!$I$3:$I$102,MIN(MAX(ROUND($D895,0),1),100)),IF($C895="T",IF($M895=3,INDEX(Baseline!$B$3:$B$122,MATCH(MIN(MAX(ROUND(($D895)/5,0)*5,5),600),Baseline!$A$3:$A$122,0))-Inputs!$B$9,INDEX(Course!$N$2:$N$19,MATCH($B895,Course!$A$2:$A$19,0))),INDEX(Baseline!$B$3:$E$122,MATCH(MIN(MAX(ROUND(($D895)/5,0)*5,5),600),Baseline!$A$3:$A$122,0),MATCH($C895,Baseline!$B$2:$E$2,0))))))</f>
        <v/>
      </c>
      <c r="O895" s="17" t="str">
        <f aca="false">IF($C895="","",IF($E895="H",0,IF($E895="G",INDEX(Baseline!$I$3:$I$102,MIN(MAX(ROUND($F895,0),1),100)),IF($E895="T",IF($M895=3,INDEX(Baseline!$B$3:$B$122,MATCH(MIN(MAX(ROUND(($F895)/5,0)*5,5),600),Baseline!$A$3:$A$122,0))-Inputs!$B$9,INDEX(Course!$N$2:$N$19,MATCH($B895,Course!$A$2:$A$19,0))),INDEX(Baseline!$B$3:$E$122,MATCH(MIN(MAX(ROUND(($F895)/5,0)*5,5),600),Baseline!$A$3:$A$122,0),MATCH($E895,Baseline!$B$2:$E$2,0))))))</f>
        <v/>
      </c>
      <c r="P895" s="17" t="str">
        <f aca="false">IF($B895="","",INDEX(Course!$N$2:$N$19,MATCH($B895,Course!$A$2:$A$19,0)))</f>
        <v/>
      </c>
      <c r="Q895" s="17" t="str">
        <f aca="false">IF($B895="","",INDEX(Course!$P$2:$P$19,MATCH($B895,Course!$A$2:$A$19,0)))</f>
        <v/>
      </c>
      <c r="R895" s="17" t="str">
        <f aca="false">IF($C895="","",IF(OR($C895="G",$C895="H"),0,IF($C895="T",1,MIN(1,MAX(0,($N895-Inputs!$B$8)/MAX($P895-Inputs!$B$8,0.01))))))</f>
        <v/>
      </c>
      <c r="S895" s="17" t="str">
        <f aca="false">IF($C895="","",IF(OR($E895="G",$E895="H"),0,IF($E895="T",1,MIN(1,MAX(0,($O895-Inputs!$B$8)/MAX($P895-Inputs!$B$8,0.01))))))</f>
        <v/>
      </c>
    </row>
    <row r="896" customFormat="false" ht="15" hidden="false" customHeight="false" outlineLevel="0" collapsed="false">
      <c r="I896" s="7" t="str">
        <f aca="false">IF($C896="","",IF($C896="G","PUTT",IF(AND($C896="T",$M896&gt;3),"OTT",IF($D896&lt;=30,"ARG","APP"))))</f>
        <v/>
      </c>
      <c r="J896" s="17" t="str">
        <f aca="false">IF($C896="","",$N896+$Q896*$R896)</f>
        <v/>
      </c>
      <c r="K896" s="17" t="str">
        <f aca="false">IF($C896="","",$O896+$Q896*$S896)</f>
        <v/>
      </c>
      <c r="L896" s="17" t="str">
        <f aca="false">IF($C896="","",$J896-$K896-1-N($G896))</f>
        <v/>
      </c>
      <c r="M896" s="7" t="str">
        <f aca="false">IF($B896="","",INDEX(Course!$B$2:$B$19,MATCH($B896,Course!$A$2:$A$19,0)))</f>
        <v/>
      </c>
      <c r="N896" s="17" t="str">
        <f aca="false">IF($C896="","",IF($C896="H",0,IF($C896="G",INDEX(Baseline!$I$3:$I$102,MIN(MAX(ROUND($D896,0),1),100)),IF($C896="T",IF($M896=3,INDEX(Baseline!$B$3:$B$122,MATCH(MIN(MAX(ROUND(($D896)/5,0)*5,5),600),Baseline!$A$3:$A$122,0))-Inputs!$B$9,INDEX(Course!$N$2:$N$19,MATCH($B896,Course!$A$2:$A$19,0))),INDEX(Baseline!$B$3:$E$122,MATCH(MIN(MAX(ROUND(($D896)/5,0)*5,5),600),Baseline!$A$3:$A$122,0),MATCH($C896,Baseline!$B$2:$E$2,0))))))</f>
        <v/>
      </c>
      <c r="O896" s="17" t="str">
        <f aca="false">IF($C896="","",IF($E896="H",0,IF($E896="G",INDEX(Baseline!$I$3:$I$102,MIN(MAX(ROUND($F896,0),1),100)),IF($E896="T",IF($M896=3,INDEX(Baseline!$B$3:$B$122,MATCH(MIN(MAX(ROUND(($F896)/5,0)*5,5),600),Baseline!$A$3:$A$122,0))-Inputs!$B$9,INDEX(Course!$N$2:$N$19,MATCH($B896,Course!$A$2:$A$19,0))),INDEX(Baseline!$B$3:$E$122,MATCH(MIN(MAX(ROUND(($F896)/5,0)*5,5),600),Baseline!$A$3:$A$122,0),MATCH($E896,Baseline!$B$2:$E$2,0))))))</f>
        <v/>
      </c>
      <c r="P896" s="17" t="str">
        <f aca="false">IF($B896="","",INDEX(Course!$N$2:$N$19,MATCH($B896,Course!$A$2:$A$19,0)))</f>
        <v/>
      </c>
      <c r="Q896" s="17" t="str">
        <f aca="false">IF($B896="","",INDEX(Course!$P$2:$P$19,MATCH($B896,Course!$A$2:$A$19,0)))</f>
        <v/>
      </c>
      <c r="R896" s="17" t="str">
        <f aca="false">IF($C896="","",IF(OR($C896="G",$C896="H"),0,IF($C896="T",1,MIN(1,MAX(0,($N896-Inputs!$B$8)/MAX($P896-Inputs!$B$8,0.01))))))</f>
        <v/>
      </c>
      <c r="S896" s="17" t="str">
        <f aca="false">IF($C896="","",IF(OR($E896="G",$E896="H"),0,IF($E896="T",1,MIN(1,MAX(0,($O896-Inputs!$B$8)/MAX($P896-Inputs!$B$8,0.01))))))</f>
        <v/>
      </c>
    </row>
    <row r="897" customFormat="false" ht="15" hidden="false" customHeight="false" outlineLevel="0" collapsed="false">
      <c r="I897" s="7" t="str">
        <f aca="false">IF($C897="","",IF($C897="G","PUTT",IF(AND($C897="T",$M897&gt;3),"OTT",IF($D897&lt;=30,"ARG","APP"))))</f>
        <v/>
      </c>
      <c r="J897" s="17" t="str">
        <f aca="false">IF($C897="","",$N897+$Q897*$R897)</f>
        <v/>
      </c>
      <c r="K897" s="17" t="str">
        <f aca="false">IF($C897="","",$O897+$Q897*$S897)</f>
        <v/>
      </c>
      <c r="L897" s="17" t="str">
        <f aca="false">IF($C897="","",$J897-$K897-1-N($G897))</f>
        <v/>
      </c>
      <c r="M897" s="7" t="str">
        <f aca="false">IF($B897="","",INDEX(Course!$B$2:$B$19,MATCH($B897,Course!$A$2:$A$19,0)))</f>
        <v/>
      </c>
      <c r="N897" s="17" t="str">
        <f aca="false">IF($C897="","",IF($C897="H",0,IF($C897="G",INDEX(Baseline!$I$3:$I$102,MIN(MAX(ROUND($D897,0),1),100)),IF($C897="T",IF($M897=3,INDEX(Baseline!$B$3:$B$122,MATCH(MIN(MAX(ROUND(($D897)/5,0)*5,5),600),Baseline!$A$3:$A$122,0))-Inputs!$B$9,INDEX(Course!$N$2:$N$19,MATCH($B897,Course!$A$2:$A$19,0))),INDEX(Baseline!$B$3:$E$122,MATCH(MIN(MAX(ROUND(($D897)/5,0)*5,5),600),Baseline!$A$3:$A$122,0),MATCH($C897,Baseline!$B$2:$E$2,0))))))</f>
        <v/>
      </c>
      <c r="O897" s="17" t="str">
        <f aca="false">IF($C897="","",IF($E897="H",0,IF($E897="G",INDEX(Baseline!$I$3:$I$102,MIN(MAX(ROUND($F897,0),1),100)),IF($E897="T",IF($M897=3,INDEX(Baseline!$B$3:$B$122,MATCH(MIN(MAX(ROUND(($F897)/5,0)*5,5),600),Baseline!$A$3:$A$122,0))-Inputs!$B$9,INDEX(Course!$N$2:$N$19,MATCH($B897,Course!$A$2:$A$19,0))),INDEX(Baseline!$B$3:$E$122,MATCH(MIN(MAX(ROUND(($F897)/5,0)*5,5),600),Baseline!$A$3:$A$122,0),MATCH($E897,Baseline!$B$2:$E$2,0))))))</f>
        <v/>
      </c>
      <c r="P897" s="17" t="str">
        <f aca="false">IF($B897="","",INDEX(Course!$N$2:$N$19,MATCH($B897,Course!$A$2:$A$19,0)))</f>
        <v/>
      </c>
      <c r="Q897" s="17" t="str">
        <f aca="false">IF($B897="","",INDEX(Course!$P$2:$P$19,MATCH($B897,Course!$A$2:$A$19,0)))</f>
        <v/>
      </c>
      <c r="R897" s="17" t="str">
        <f aca="false">IF($C897="","",IF(OR($C897="G",$C897="H"),0,IF($C897="T",1,MIN(1,MAX(0,($N897-Inputs!$B$8)/MAX($P897-Inputs!$B$8,0.01))))))</f>
        <v/>
      </c>
      <c r="S897" s="17" t="str">
        <f aca="false">IF($C897="","",IF(OR($E897="G",$E897="H"),0,IF($E897="T",1,MIN(1,MAX(0,($O897-Inputs!$B$8)/MAX($P897-Inputs!$B$8,0.01))))))</f>
        <v/>
      </c>
    </row>
    <row r="898" customFormat="false" ht="15" hidden="false" customHeight="false" outlineLevel="0" collapsed="false">
      <c r="I898" s="7" t="str">
        <f aca="false">IF($C898="","",IF($C898="G","PUTT",IF(AND($C898="T",$M898&gt;3),"OTT",IF($D898&lt;=30,"ARG","APP"))))</f>
        <v/>
      </c>
      <c r="J898" s="17" t="str">
        <f aca="false">IF($C898="","",$N898+$Q898*$R898)</f>
        <v/>
      </c>
      <c r="K898" s="17" t="str">
        <f aca="false">IF($C898="","",$O898+$Q898*$S898)</f>
        <v/>
      </c>
      <c r="L898" s="17" t="str">
        <f aca="false">IF($C898="","",$J898-$K898-1-N($G898))</f>
        <v/>
      </c>
      <c r="M898" s="7" t="str">
        <f aca="false">IF($B898="","",INDEX(Course!$B$2:$B$19,MATCH($B898,Course!$A$2:$A$19,0)))</f>
        <v/>
      </c>
      <c r="N898" s="17" t="str">
        <f aca="false">IF($C898="","",IF($C898="H",0,IF($C898="G",INDEX(Baseline!$I$3:$I$102,MIN(MAX(ROUND($D898,0),1),100)),IF($C898="T",IF($M898=3,INDEX(Baseline!$B$3:$B$122,MATCH(MIN(MAX(ROUND(($D898)/5,0)*5,5),600),Baseline!$A$3:$A$122,0))-Inputs!$B$9,INDEX(Course!$N$2:$N$19,MATCH($B898,Course!$A$2:$A$19,0))),INDEX(Baseline!$B$3:$E$122,MATCH(MIN(MAX(ROUND(($D898)/5,0)*5,5),600),Baseline!$A$3:$A$122,0),MATCH($C898,Baseline!$B$2:$E$2,0))))))</f>
        <v/>
      </c>
      <c r="O898" s="17" t="str">
        <f aca="false">IF($C898="","",IF($E898="H",0,IF($E898="G",INDEX(Baseline!$I$3:$I$102,MIN(MAX(ROUND($F898,0),1),100)),IF($E898="T",IF($M898=3,INDEX(Baseline!$B$3:$B$122,MATCH(MIN(MAX(ROUND(($F898)/5,0)*5,5),600),Baseline!$A$3:$A$122,0))-Inputs!$B$9,INDEX(Course!$N$2:$N$19,MATCH($B898,Course!$A$2:$A$19,0))),INDEX(Baseline!$B$3:$E$122,MATCH(MIN(MAX(ROUND(($F898)/5,0)*5,5),600),Baseline!$A$3:$A$122,0),MATCH($E898,Baseline!$B$2:$E$2,0))))))</f>
        <v/>
      </c>
      <c r="P898" s="17" t="str">
        <f aca="false">IF($B898="","",INDEX(Course!$N$2:$N$19,MATCH($B898,Course!$A$2:$A$19,0)))</f>
        <v/>
      </c>
      <c r="Q898" s="17" t="str">
        <f aca="false">IF($B898="","",INDEX(Course!$P$2:$P$19,MATCH($B898,Course!$A$2:$A$19,0)))</f>
        <v/>
      </c>
      <c r="R898" s="17" t="str">
        <f aca="false">IF($C898="","",IF(OR($C898="G",$C898="H"),0,IF($C898="T",1,MIN(1,MAX(0,($N898-Inputs!$B$8)/MAX($P898-Inputs!$B$8,0.01))))))</f>
        <v/>
      </c>
      <c r="S898" s="17" t="str">
        <f aca="false">IF($C898="","",IF(OR($E898="G",$E898="H"),0,IF($E898="T",1,MIN(1,MAX(0,($O898-Inputs!$B$8)/MAX($P898-Inputs!$B$8,0.01))))))</f>
        <v/>
      </c>
    </row>
    <row r="899" customFormat="false" ht="15" hidden="false" customHeight="false" outlineLevel="0" collapsed="false">
      <c r="I899" s="7" t="str">
        <f aca="false">IF($C899="","",IF($C899="G","PUTT",IF(AND($C899="T",$M899&gt;3),"OTT",IF($D899&lt;=30,"ARG","APP"))))</f>
        <v/>
      </c>
      <c r="J899" s="17" t="str">
        <f aca="false">IF($C899="","",$N899+$Q899*$R899)</f>
        <v/>
      </c>
      <c r="K899" s="17" t="str">
        <f aca="false">IF($C899="","",$O899+$Q899*$S899)</f>
        <v/>
      </c>
      <c r="L899" s="17" t="str">
        <f aca="false">IF($C899="","",$J899-$K899-1-N($G899))</f>
        <v/>
      </c>
      <c r="M899" s="7" t="str">
        <f aca="false">IF($B899="","",INDEX(Course!$B$2:$B$19,MATCH($B899,Course!$A$2:$A$19,0)))</f>
        <v/>
      </c>
      <c r="N899" s="17" t="str">
        <f aca="false">IF($C899="","",IF($C899="H",0,IF($C899="G",INDEX(Baseline!$I$3:$I$102,MIN(MAX(ROUND($D899,0),1),100)),IF($C899="T",IF($M899=3,INDEX(Baseline!$B$3:$B$122,MATCH(MIN(MAX(ROUND(($D899)/5,0)*5,5),600),Baseline!$A$3:$A$122,0))-Inputs!$B$9,INDEX(Course!$N$2:$N$19,MATCH($B899,Course!$A$2:$A$19,0))),INDEX(Baseline!$B$3:$E$122,MATCH(MIN(MAX(ROUND(($D899)/5,0)*5,5),600),Baseline!$A$3:$A$122,0),MATCH($C899,Baseline!$B$2:$E$2,0))))))</f>
        <v/>
      </c>
      <c r="O899" s="17" t="str">
        <f aca="false">IF($C899="","",IF($E899="H",0,IF($E899="G",INDEX(Baseline!$I$3:$I$102,MIN(MAX(ROUND($F899,0),1),100)),IF($E899="T",IF($M899=3,INDEX(Baseline!$B$3:$B$122,MATCH(MIN(MAX(ROUND(($F899)/5,0)*5,5),600),Baseline!$A$3:$A$122,0))-Inputs!$B$9,INDEX(Course!$N$2:$N$19,MATCH($B899,Course!$A$2:$A$19,0))),INDEX(Baseline!$B$3:$E$122,MATCH(MIN(MAX(ROUND(($F899)/5,0)*5,5),600),Baseline!$A$3:$A$122,0),MATCH($E899,Baseline!$B$2:$E$2,0))))))</f>
        <v/>
      </c>
      <c r="P899" s="17" t="str">
        <f aca="false">IF($B899="","",INDEX(Course!$N$2:$N$19,MATCH($B899,Course!$A$2:$A$19,0)))</f>
        <v/>
      </c>
      <c r="Q899" s="17" t="str">
        <f aca="false">IF($B899="","",INDEX(Course!$P$2:$P$19,MATCH($B899,Course!$A$2:$A$19,0)))</f>
        <v/>
      </c>
      <c r="R899" s="17" t="str">
        <f aca="false">IF($C899="","",IF(OR($C899="G",$C899="H"),0,IF($C899="T",1,MIN(1,MAX(0,($N899-Inputs!$B$8)/MAX($P899-Inputs!$B$8,0.01))))))</f>
        <v/>
      </c>
      <c r="S899" s="17" t="str">
        <f aca="false">IF($C899="","",IF(OR($E899="G",$E899="H"),0,IF($E899="T",1,MIN(1,MAX(0,($O899-Inputs!$B$8)/MAX($P899-Inputs!$B$8,0.01))))))</f>
        <v/>
      </c>
    </row>
    <row r="900" customFormat="false" ht="15" hidden="false" customHeight="false" outlineLevel="0" collapsed="false">
      <c r="I900" s="7" t="str">
        <f aca="false">IF($C900="","",IF($C900="G","PUTT",IF(AND($C900="T",$M900&gt;3),"OTT",IF($D900&lt;=30,"ARG","APP"))))</f>
        <v/>
      </c>
      <c r="J900" s="17" t="str">
        <f aca="false">IF($C900="","",$N900+$Q900*$R900)</f>
        <v/>
      </c>
      <c r="K900" s="17" t="str">
        <f aca="false">IF($C900="","",$O900+$Q900*$S900)</f>
        <v/>
      </c>
      <c r="L900" s="17" t="str">
        <f aca="false">IF($C900="","",$J900-$K900-1-N($G900))</f>
        <v/>
      </c>
      <c r="M900" s="7" t="str">
        <f aca="false">IF($B900="","",INDEX(Course!$B$2:$B$19,MATCH($B900,Course!$A$2:$A$19,0)))</f>
        <v/>
      </c>
      <c r="N900" s="17" t="str">
        <f aca="false">IF($C900="","",IF($C900="H",0,IF($C900="G",INDEX(Baseline!$I$3:$I$102,MIN(MAX(ROUND($D900,0),1),100)),IF($C900="T",IF($M900=3,INDEX(Baseline!$B$3:$B$122,MATCH(MIN(MAX(ROUND(($D900)/5,0)*5,5),600),Baseline!$A$3:$A$122,0))-Inputs!$B$9,INDEX(Course!$N$2:$N$19,MATCH($B900,Course!$A$2:$A$19,0))),INDEX(Baseline!$B$3:$E$122,MATCH(MIN(MAX(ROUND(($D900)/5,0)*5,5),600),Baseline!$A$3:$A$122,0),MATCH($C900,Baseline!$B$2:$E$2,0))))))</f>
        <v/>
      </c>
      <c r="O900" s="17" t="str">
        <f aca="false">IF($C900="","",IF($E900="H",0,IF($E900="G",INDEX(Baseline!$I$3:$I$102,MIN(MAX(ROUND($F900,0),1),100)),IF($E900="T",IF($M900=3,INDEX(Baseline!$B$3:$B$122,MATCH(MIN(MAX(ROUND(($F900)/5,0)*5,5),600),Baseline!$A$3:$A$122,0))-Inputs!$B$9,INDEX(Course!$N$2:$N$19,MATCH($B900,Course!$A$2:$A$19,0))),INDEX(Baseline!$B$3:$E$122,MATCH(MIN(MAX(ROUND(($F900)/5,0)*5,5),600),Baseline!$A$3:$A$122,0),MATCH($E900,Baseline!$B$2:$E$2,0))))))</f>
        <v/>
      </c>
      <c r="P900" s="17" t="str">
        <f aca="false">IF($B900="","",INDEX(Course!$N$2:$N$19,MATCH($B900,Course!$A$2:$A$19,0)))</f>
        <v/>
      </c>
      <c r="Q900" s="17" t="str">
        <f aca="false">IF($B900="","",INDEX(Course!$P$2:$P$19,MATCH($B900,Course!$A$2:$A$19,0)))</f>
        <v/>
      </c>
      <c r="R900" s="17" t="str">
        <f aca="false">IF($C900="","",IF(OR($C900="G",$C900="H"),0,IF($C900="T",1,MIN(1,MAX(0,($N900-Inputs!$B$8)/MAX($P900-Inputs!$B$8,0.01))))))</f>
        <v/>
      </c>
      <c r="S900" s="17" t="str">
        <f aca="false">IF($C900="","",IF(OR($E900="G",$E900="H"),0,IF($E900="T",1,MIN(1,MAX(0,($O900-Inputs!$B$8)/MAX($P900-Inputs!$B$8,0.01))))))</f>
        <v/>
      </c>
    </row>
    <row r="901" customFormat="false" ht="15" hidden="false" customHeight="false" outlineLevel="0" collapsed="false">
      <c r="I901" s="7" t="str">
        <f aca="false">IF($C901="","",IF($C901="G","PUTT",IF(AND($C901="T",$M901&gt;3),"OTT",IF($D901&lt;=30,"ARG","APP"))))</f>
        <v/>
      </c>
      <c r="J901" s="17" t="str">
        <f aca="false">IF($C901="","",$N901+$Q901*$R901)</f>
        <v/>
      </c>
      <c r="K901" s="17" t="str">
        <f aca="false">IF($C901="","",$O901+$Q901*$S901)</f>
        <v/>
      </c>
      <c r="L901" s="17" t="str">
        <f aca="false">IF($C901="","",$J901-$K901-1-N($G901))</f>
        <v/>
      </c>
      <c r="M901" s="7" t="str">
        <f aca="false">IF($B901="","",INDEX(Course!$B$2:$B$19,MATCH($B901,Course!$A$2:$A$19,0)))</f>
        <v/>
      </c>
      <c r="N901" s="17" t="str">
        <f aca="false">IF($C901="","",IF($C901="H",0,IF($C901="G",INDEX(Baseline!$I$3:$I$102,MIN(MAX(ROUND($D901,0),1),100)),IF($C901="T",IF($M901=3,INDEX(Baseline!$B$3:$B$122,MATCH(MIN(MAX(ROUND(($D901)/5,0)*5,5),600),Baseline!$A$3:$A$122,0))-Inputs!$B$9,INDEX(Course!$N$2:$N$19,MATCH($B901,Course!$A$2:$A$19,0))),INDEX(Baseline!$B$3:$E$122,MATCH(MIN(MAX(ROUND(($D901)/5,0)*5,5),600),Baseline!$A$3:$A$122,0),MATCH($C901,Baseline!$B$2:$E$2,0))))))</f>
        <v/>
      </c>
      <c r="O901" s="17" t="str">
        <f aca="false">IF($C901="","",IF($E901="H",0,IF($E901="G",INDEX(Baseline!$I$3:$I$102,MIN(MAX(ROUND($F901,0),1),100)),IF($E901="T",IF($M901=3,INDEX(Baseline!$B$3:$B$122,MATCH(MIN(MAX(ROUND(($F901)/5,0)*5,5),600),Baseline!$A$3:$A$122,0))-Inputs!$B$9,INDEX(Course!$N$2:$N$19,MATCH($B901,Course!$A$2:$A$19,0))),INDEX(Baseline!$B$3:$E$122,MATCH(MIN(MAX(ROUND(($F901)/5,0)*5,5),600),Baseline!$A$3:$A$122,0),MATCH($E901,Baseline!$B$2:$E$2,0))))))</f>
        <v/>
      </c>
      <c r="P901" s="17" t="str">
        <f aca="false">IF($B901="","",INDEX(Course!$N$2:$N$19,MATCH($B901,Course!$A$2:$A$19,0)))</f>
        <v/>
      </c>
      <c r="Q901" s="17" t="str">
        <f aca="false">IF($B901="","",INDEX(Course!$P$2:$P$19,MATCH($B901,Course!$A$2:$A$19,0)))</f>
        <v/>
      </c>
      <c r="R901" s="17" t="str">
        <f aca="false">IF($C901="","",IF(OR($C901="G",$C901="H"),0,IF($C901="T",1,MIN(1,MAX(0,($N901-Inputs!$B$8)/MAX($P901-Inputs!$B$8,0.01))))))</f>
        <v/>
      </c>
      <c r="S901" s="17" t="str">
        <f aca="false">IF($C901="","",IF(OR($E901="G",$E901="H"),0,IF($E901="T",1,MIN(1,MAX(0,($O901-Inputs!$B$8)/MAX($P901-Inputs!$B$8,0.01))))))</f>
        <v/>
      </c>
    </row>
    <row r="902" customFormat="false" ht="15" hidden="false" customHeight="false" outlineLevel="0" collapsed="false">
      <c r="I902" s="7" t="str">
        <f aca="false">IF($C902="","",IF($C902="G","PUTT",IF(AND($C902="T",$M902&gt;3),"OTT",IF($D902&lt;=30,"ARG","APP"))))</f>
        <v/>
      </c>
      <c r="J902" s="17" t="str">
        <f aca="false">IF($C902="","",$N902+$Q902*$R902)</f>
        <v/>
      </c>
      <c r="K902" s="17" t="str">
        <f aca="false">IF($C902="","",$O902+$Q902*$S902)</f>
        <v/>
      </c>
      <c r="L902" s="17" t="str">
        <f aca="false">IF($C902="","",$J902-$K902-1-N($G902))</f>
        <v/>
      </c>
      <c r="M902" s="7" t="str">
        <f aca="false">IF($B902="","",INDEX(Course!$B$2:$B$19,MATCH($B902,Course!$A$2:$A$19,0)))</f>
        <v/>
      </c>
      <c r="N902" s="17" t="str">
        <f aca="false">IF($C902="","",IF($C902="H",0,IF($C902="G",INDEX(Baseline!$I$3:$I$102,MIN(MAX(ROUND($D902,0),1),100)),IF($C902="T",IF($M902=3,INDEX(Baseline!$B$3:$B$122,MATCH(MIN(MAX(ROUND(($D902)/5,0)*5,5),600),Baseline!$A$3:$A$122,0))-Inputs!$B$9,INDEX(Course!$N$2:$N$19,MATCH($B902,Course!$A$2:$A$19,0))),INDEX(Baseline!$B$3:$E$122,MATCH(MIN(MAX(ROUND(($D902)/5,0)*5,5),600),Baseline!$A$3:$A$122,0),MATCH($C902,Baseline!$B$2:$E$2,0))))))</f>
        <v/>
      </c>
      <c r="O902" s="17" t="str">
        <f aca="false">IF($C902="","",IF($E902="H",0,IF($E902="G",INDEX(Baseline!$I$3:$I$102,MIN(MAX(ROUND($F902,0),1),100)),IF($E902="T",IF($M902=3,INDEX(Baseline!$B$3:$B$122,MATCH(MIN(MAX(ROUND(($F902)/5,0)*5,5),600),Baseline!$A$3:$A$122,0))-Inputs!$B$9,INDEX(Course!$N$2:$N$19,MATCH($B902,Course!$A$2:$A$19,0))),INDEX(Baseline!$B$3:$E$122,MATCH(MIN(MAX(ROUND(($F902)/5,0)*5,5),600),Baseline!$A$3:$A$122,0),MATCH($E902,Baseline!$B$2:$E$2,0))))))</f>
        <v/>
      </c>
      <c r="P902" s="17" t="str">
        <f aca="false">IF($B902="","",INDEX(Course!$N$2:$N$19,MATCH($B902,Course!$A$2:$A$19,0)))</f>
        <v/>
      </c>
      <c r="Q902" s="17" t="str">
        <f aca="false">IF($B902="","",INDEX(Course!$P$2:$P$19,MATCH($B902,Course!$A$2:$A$19,0)))</f>
        <v/>
      </c>
      <c r="R902" s="17" t="str">
        <f aca="false">IF($C902="","",IF(OR($C902="G",$C902="H"),0,IF($C902="T",1,MIN(1,MAX(0,($N902-Inputs!$B$8)/MAX($P902-Inputs!$B$8,0.01))))))</f>
        <v/>
      </c>
      <c r="S902" s="17" t="str">
        <f aca="false">IF($C902="","",IF(OR($E902="G",$E902="H"),0,IF($E902="T",1,MIN(1,MAX(0,($O902-Inputs!$B$8)/MAX($P902-Inputs!$B$8,0.01))))))</f>
        <v/>
      </c>
    </row>
    <row r="903" customFormat="false" ht="15" hidden="false" customHeight="false" outlineLevel="0" collapsed="false">
      <c r="I903" s="7" t="str">
        <f aca="false">IF($C903="","",IF($C903="G","PUTT",IF(AND($C903="T",$M903&gt;3),"OTT",IF($D903&lt;=30,"ARG","APP"))))</f>
        <v/>
      </c>
      <c r="J903" s="17" t="str">
        <f aca="false">IF($C903="","",$N903+$Q903*$R903)</f>
        <v/>
      </c>
      <c r="K903" s="17" t="str">
        <f aca="false">IF($C903="","",$O903+$Q903*$S903)</f>
        <v/>
      </c>
      <c r="L903" s="17" t="str">
        <f aca="false">IF($C903="","",$J903-$K903-1-N($G903))</f>
        <v/>
      </c>
      <c r="M903" s="7" t="str">
        <f aca="false">IF($B903="","",INDEX(Course!$B$2:$B$19,MATCH($B903,Course!$A$2:$A$19,0)))</f>
        <v/>
      </c>
      <c r="N903" s="17" t="str">
        <f aca="false">IF($C903="","",IF($C903="H",0,IF($C903="G",INDEX(Baseline!$I$3:$I$102,MIN(MAX(ROUND($D903,0),1),100)),IF($C903="T",IF($M903=3,INDEX(Baseline!$B$3:$B$122,MATCH(MIN(MAX(ROUND(($D903)/5,0)*5,5),600),Baseline!$A$3:$A$122,0))-Inputs!$B$9,INDEX(Course!$N$2:$N$19,MATCH($B903,Course!$A$2:$A$19,0))),INDEX(Baseline!$B$3:$E$122,MATCH(MIN(MAX(ROUND(($D903)/5,0)*5,5),600),Baseline!$A$3:$A$122,0),MATCH($C903,Baseline!$B$2:$E$2,0))))))</f>
        <v/>
      </c>
      <c r="O903" s="17" t="str">
        <f aca="false">IF($C903="","",IF($E903="H",0,IF($E903="G",INDEX(Baseline!$I$3:$I$102,MIN(MAX(ROUND($F903,0),1),100)),IF($E903="T",IF($M903=3,INDEX(Baseline!$B$3:$B$122,MATCH(MIN(MAX(ROUND(($F903)/5,0)*5,5),600),Baseline!$A$3:$A$122,0))-Inputs!$B$9,INDEX(Course!$N$2:$N$19,MATCH($B903,Course!$A$2:$A$19,0))),INDEX(Baseline!$B$3:$E$122,MATCH(MIN(MAX(ROUND(($F903)/5,0)*5,5),600),Baseline!$A$3:$A$122,0),MATCH($E903,Baseline!$B$2:$E$2,0))))))</f>
        <v/>
      </c>
      <c r="P903" s="17" t="str">
        <f aca="false">IF($B903="","",INDEX(Course!$N$2:$N$19,MATCH($B903,Course!$A$2:$A$19,0)))</f>
        <v/>
      </c>
      <c r="Q903" s="17" t="str">
        <f aca="false">IF($B903="","",INDEX(Course!$P$2:$P$19,MATCH($B903,Course!$A$2:$A$19,0)))</f>
        <v/>
      </c>
      <c r="R903" s="17" t="str">
        <f aca="false">IF($C903="","",IF(OR($C903="G",$C903="H"),0,IF($C903="T",1,MIN(1,MAX(0,($N903-Inputs!$B$8)/MAX($P903-Inputs!$B$8,0.01))))))</f>
        <v/>
      </c>
      <c r="S903" s="17" t="str">
        <f aca="false">IF($C903="","",IF(OR($E903="G",$E903="H"),0,IF($E903="T",1,MIN(1,MAX(0,($O903-Inputs!$B$8)/MAX($P903-Inputs!$B$8,0.01))))))</f>
        <v/>
      </c>
    </row>
    <row r="904" customFormat="false" ht="15" hidden="false" customHeight="false" outlineLevel="0" collapsed="false">
      <c r="I904" s="7" t="str">
        <f aca="false">IF($C904="","",IF($C904="G","PUTT",IF(AND($C904="T",$M904&gt;3),"OTT",IF($D904&lt;=30,"ARG","APP"))))</f>
        <v/>
      </c>
      <c r="J904" s="17" t="str">
        <f aca="false">IF($C904="","",$N904+$Q904*$R904)</f>
        <v/>
      </c>
      <c r="K904" s="17" t="str">
        <f aca="false">IF($C904="","",$O904+$Q904*$S904)</f>
        <v/>
      </c>
      <c r="L904" s="17" t="str">
        <f aca="false">IF($C904="","",$J904-$K904-1-N($G904))</f>
        <v/>
      </c>
      <c r="M904" s="7" t="str">
        <f aca="false">IF($B904="","",INDEX(Course!$B$2:$B$19,MATCH($B904,Course!$A$2:$A$19,0)))</f>
        <v/>
      </c>
      <c r="N904" s="17" t="str">
        <f aca="false">IF($C904="","",IF($C904="H",0,IF($C904="G",INDEX(Baseline!$I$3:$I$102,MIN(MAX(ROUND($D904,0),1),100)),IF($C904="T",IF($M904=3,INDEX(Baseline!$B$3:$B$122,MATCH(MIN(MAX(ROUND(($D904)/5,0)*5,5),600),Baseline!$A$3:$A$122,0))-Inputs!$B$9,INDEX(Course!$N$2:$N$19,MATCH($B904,Course!$A$2:$A$19,0))),INDEX(Baseline!$B$3:$E$122,MATCH(MIN(MAX(ROUND(($D904)/5,0)*5,5),600),Baseline!$A$3:$A$122,0),MATCH($C904,Baseline!$B$2:$E$2,0))))))</f>
        <v/>
      </c>
      <c r="O904" s="17" t="str">
        <f aca="false">IF($C904="","",IF($E904="H",0,IF($E904="G",INDEX(Baseline!$I$3:$I$102,MIN(MAX(ROUND($F904,0),1),100)),IF($E904="T",IF($M904=3,INDEX(Baseline!$B$3:$B$122,MATCH(MIN(MAX(ROUND(($F904)/5,0)*5,5),600),Baseline!$A$3:$A$122,0))-Inputs!$B$9,INDEX(Course!$N$2:$N$19,MATCH($B904,Course!$A$2:$A$19,0))),INDEX(Baseline!$B$3:$E$122,MATCH(MIN(MAX(ROUND(($F904)/5,0)*5,5),600),Baseline!$A$3:$A$122,0),MATCH($E904,Baseline!$B$2:$E$2,0))))))</f>
        <v/>
      </c>
      <c r="P904" s="17" t="str">
        <f aca="false">IF($B904="","",INDEX(Course!$N$2:$N$19,MATCH($B904,Course!$A$2:$A$19,0)))</f>
        <v/>
      </c>
      <c r="Q904" s="17" t="str">
        <f aca="false">IF($B904="","",INDEX(Course!$P$2:$P$19,MATCH($B904,Course!$A$2:$A$19,0)))</f>
        <v/>
      </c>
      <c r="R904" s="17" t="str">
        <f aca="false">IF($C904="","",IF(OR($C904="G",$C904="H"),0,IF($C904="T",1,MIN(1,MAX(0,($N904-Inputs!$B$8)/MAX($P904-Inputs!$B$8,0.01))))))</f>
        <v/>
      </c>
      <c r="S904" s="17" t="str">
        <f aca="false">IF($C904="","",IF(OR($E904="G",$E904="H"),0,IF($E904="T",1,MIN(1,MAX(0,($O904-Inputs!$B$8)/MAX($P904-Inputs!$B$8,0.01))))))</f>
        <v/>
      </c>
    </row>
    <row r="905" customFormat="false" ht="15" hidden="false" customHeight="false" outlineLevel="0" collapsed="false">
      <c r="I905" s="7" t="str">
        <f aca="false">IF($C905="","",IF($C905="G","PUTT",IF(AND($C905="T",$M905&gt;3),"OTT",IF($D905&lt;=30,"ARG","APP"))))</f>
        <v/>
      </c>
      <c r="J905" s="17" t="str">
        <f aca="false">IF($C905="","",$N905+$Q905*$R905)</f>
        <v/>
      </c>
      <c r="K905" s="17" t="str">
        <f aca="false">IF($C905="","",$O905+$Q905*$S905)</f>
        <v/>
      </c>
      <c r="L905" s="17" t="str">
        <f aca="false">IF($C905="","",$J905-$K905-1-N($G905))</f>
        <v/>
      </c>
      <c r="M905" s="7" t="str">
        <f aca="false">IF($B905="","",INDEX(Course!$B$2:$B$19,MATCH($B905,Course!$A$2:$A$19,0)))</f>
        <v/>
      </c>
      <c r="N905" s="17" t="str">
        <f aca="false">IF($C905="","",IF($C905="H",0,IF($C905="G",INDEX(Baseline!$I$3:$I$102,MIN(MAX(ROUND($D905,0),1),100)),IF($C905="T",IF($M905=3,INDEX(Baseline!$B$3:$B$122,MATCH(MIN(MAX(ROUND(($D905)/5,0)*5,5),600),Baseline!$A$3:$A$122,0))-Inputs!$B$9,INDEX(Course!$N$2:$N$19,MATCH($B905,Course!$A$2:$A$19,0))),INDEX(Baseline!$B$3:$E$122,MATCH(MIN(MAX(ROUND(($D905)/5,0)*5,5),600),Baseline!$A$3:$A$122,0),MATCH($C905,Baseline!$B$2:$E$2,0))))))</f>
        <v/>
      </c>
      <c r="O905" s="17" t="str">
        <f aca="false">IF($C905="","",IF($E905="H",0,IF($E905="G",INDEX(Baseline!$I$3:$I$102,MIN(MAX(ROUND($F905,0),1),100)),IF($E905="T",IF($M905=3,INDEX(Baseline!$B$3:$B$122,MATCH(MIN(MAX(ROUND(($F905)/5,0)*5,5),600),Baseline!$A$3:$A$122,0))-Inputs!$B$9,INDEX(Course!$N$2:$N$19,MATCH($B905,Course!$A$2:$A$19,0))),INDEX(Baseline!$B$3:$E$122,MATCH(MIN(MAX(ROUND(($F905)/5,0)*5,5),600),Baseline!$A$3:$A$122,0),MATCH($E905,Baseline!$B$2:$E$2,0))))))</f>
        <v/>
      </c>
      <c r="P905" s="17" t="str">
        <f aca="false">IF($B905="","",INDEX(Course!$N$2:$N$19,MATCH($B905,Course!$A$2:$A$19,0)))</f>
        <v/>
      </c>
      <c r="Q905" s="17" t="str">
        <f aca="false">IF($B905="","",INDEX(Course!$P$2:$P$19,MATCH($B905,Course!$A$2:$A$19,0)))</f>
        <v/>
      </c>
      <c r="R905" s="17" t="str">
        <f aca="false">IF($C905="","",IF(OR($C905="G",$C905="H"),0,IF($C905="T",1,MIN(1,MAX(0,($N905-Inputs!$B$8)/MAX($P905-Inputs!$B$8,0.01))))))</f>
        <v/>
      </c>
      <c r="S905" s="17" t="str">
        <f aca="false">IF($C905="","",IF(OR($E905="G",$E905="H"),0,IF($E905="T",1,MIN(1,MAX(0,($O905-Inputs!$B$8)/MAX($P905-Inputs!$B$8,0.01))))))</f>
        <v/>
      </c>
    </row>
    <row r="906" customFormat="false" ht="15" hidden="false" customHeight="false" outlineLevel="0" collapsed="false">
      <c r="I906" s="7" t="str">
        <f aca="false">IF($C906="","",IF($C906="G","PUTT",IF(AND($C906="T",$M906&gt;3),"OTT",IF($D906&lt;=30,"ARG","APP"))))</f>
        <v/>
      </c>
      <c r="J906" s="17" t="str">
        <f aca="false">IF($C906="","",$N906+$Q906*$R906)</f>
        <v/>
      </c>
      <c r="K906" s="17" t="str">
        <f aca="false">IF($C906="","",$O906+$Q906*$S906)</f>
        <v/>
      </c>
      <c r="L906" s="17" t="str">
        <f aca="false">IF($C906="","",$J906-$K906-1-N($G906))</f>
        <v/>
      </c>
      <c r="M906" s="7" t="str">
        <f aca="false">IF($B906="","",INDEX(Course!$B$2:$B$19,MATCH($B906,Course!$A$2:$A$19,0)))</f>
        <v/>
      </c>
      <c r="N906" s="17" t="str">
        <f aca="false">IF($C906="","",IF($C906="H",0,IF($C906="G",INDEX(Baseline!$I$3:$I$102,MIN(MAX(ROUND($D906,0),1),100)),IF($C906="T",IF($M906=3,INDEX(Baseline!$B$3:$B$122,MATCH(MIN(MAX(ROUND(($D906)/5,0)*5,5),600),Baseline!$A$3:$A$122,0))-Inputs!$B$9,INDEX(Course!$N$2:$N$19,MATCH($B906,Course!$A$2:$A$19,0))),INDEX(Baseline!$B$3:$E$122,MATCH(MIN(MAX(ROUND(($D906)/5,0)*5,5),600),Baseline!$A$3:$A$122,0),MATCH($C906,Baseline!$B$2:$E$2,0))))))</f>
        <v/>
      </c>
      <c r="O906" s="17" t="str">
        <f aca="false">IF($C906="","",IF($E906="H",0,IF($E906="G",INDEX(Baseline!$I$3:$I$102,MIN(MAX(ROUND($F906,0),1),100)),IF($E906="T",IF($M906=3,INDEX(Baseline!$B$3:$B$122,MATCH(MIN(MAX(ROUND(($F906)/5,0)*5,5),600),Baseline!$A$3:$A$122,0))-Inputs!$B$9,INDEX(Course!$N$2:$N$19,MATCH($B906,Course!$A$2:$A$19,0))),INDEX(Baseline!$B$3:$E$122,MATCH(MIN(MAX(ROUND(($F906)/5,0)*5,5),600),Baseline!$A$3:$A$122,0),MATCH($E906,Baseline!$B$2:$E$2,0))))))</f>
        <v/>
      </c>
      <c r="P906" s="17" t="str">
        <f aca="false">IF($B906="","",INDEX(Course!$N$2:$N$19,MATCH($B906,Course!$A$2:$A$19,0)))</f>
        <v/>
      </c>
      <c r="Q906" s="17" t="str">
        <f aca="false">IF($B906="","",INDEX(Course!$P$2:$P$19,MATCH($B906,Course!$A$2:$A$19,0)))</f>
        <v/>
      </c>
      <c r="R906" s="17" t="str">
        <f aca="false">IF($C906="","",IF(OR($C906="G",$C906="H"),0,IF($C906="T",1,MIN(1,MAX(0,($N906-Inputs!$B$8)/MAX($P906-Inputs!$B$8,0.01))))))</f>
        <v/>
      </c>
      <c r="S906" s="17" t="str">
        <f aca="false">IF($C906="","",IF(OR($E906="G",$E906="H"),0,IF($E906="T",1,MIN(1,MAX(0,($O906-Inputs!$B$8)/MAX($P906-Inputs!$B$8,0.01))))))</f>
        <v/>
      </c>
    </row>
    <row r="907" customFormat="false" ht="15" hidden="false" customHeight="false" outlineLevel="0" collapsed="false">
      <c r="I907" s="7" t="str">
        <f aca="false">IF($C907="","",IF($C907="G","PUTT",IF(AND($C907="T",$M907&gt;3),"OTT",IF($D907&lt;=30,"ARG","APP"))))</f>
        <v/>
      </c>
      <c r="J907" s="17" t="str">
        <f aca="false">IF($C907="","",$N907+$Q907*$R907)</f>
        <v/>
      </c>
      <c r="K907" s="17" t="str">
        <f aca="false">IF($C907="","",$O907+$Q907*$S907)</f>
        <v/>
      </c>
      <c r="L907" s="17" t="str">
        <f aca="false">IF($C907="","",$J907-$K907-1-N($G907))</f>
        <v/>
      </c>
      <c r="M907" s="7" t="str">
        <f aca="false">IF($B907="","",INDEX(Course!$B$2:$B$19,MATCH($B907,Course!$A$2:$A$19,0)))</f>
        <v/>
      </c>
      <c r="N907" s="17" t="str">
        <f aca="false">IF($C907="","",IF($C907="H",0,IF($C907="G",INDEX(Baseline!$I$3:$I$102,MIN(MAX(ROUND($D907,0),1),100)),IF($C907="T",IF($M907=3,INDEX(Baseline!$B$3:$B$122,MATCH(MIN(MAX(ROUND(($D907)/5,0)*5,5),600),Baseline!$A$3:$A$122,0))-Inputs!$B$9,INDEX(Course!$N$2:$N$19,MATCH($B907,Course!$A$2:$A$19,0))),INDEX(Baseline!$B$3:$E$122,MATCH(MIN(MAX(ROUND(($D907)/5,0)*5,5),600),Baseline!$A$3:$A$122,0),MATCH($C907,Baseline!$B$2:$E$2,0))))))</f>
        <v/>
      </c>
      <c r="O907" s="17" t="str">
        <f aca="false">IF($C907="","",IF($E907="H",0,IF($E907="G",INDEX(Baseline!$I$3:$I$102,MIN(MAX(ROUND($F907,0),1),100)),IF($E907="T",IF($M907=3,INDEX(Baseline!$B$3:$B$122,MATCH(MIN(MAX(ROUND(($F907)/5,0)*5,5),600),Baseline!$A$3:$A$122,0))-Inputs!$B$9,INDEX(Course!$N$2:$N$19,MATCH($B907,Course!$A$2:$A$19,0))),INDEX(Baseline!$B$3:$E$122,MATCH(MIN(MAX(ROUND(($F907)/5,0)*5,5),600),Baseline!$A$3:$A$122,0),MATCH($E907,Baseline!$B$2:$E$2,0))))))</f>
        <v/>
      </c>
      <c r="P907" s="17" t="str">
        <f aca="false">IF($B907="","",INDEX(Course!$N$2:$N$19,MATCH($B907,Course!$A$2:$A$19,0)))</f>
        <v/>
      </c>
      <c r="Q907" s="17" t="str">
        <f aca="false">IF($B907="","",INDEX(Course!$P$2:$P$19,MATCH($B907,Course!$A$2:$A$19,0)))</f>
        <v/>
      </c>
      <c r="R907" s="17" t="str">
        <f aca="false">IF($C907="","",IF(OR($C907="G",$C907="H"),0,IF($C907="T",1,MIN(1,MAX(0,($N907-Inputs!$B$8)/MAX($P907-Inputs!$B$8,0.01))))))</f>
        <v/>
      </c>
      <c r="S907" s="17" t="str">
        <f aca="false">IF($C907="","",IF(OR($E907="G",$E907="H"),0,IF($E907="T",1,MIN(1,MAX(0,($O907-Inputs!$B$8)/MAX($P907-Inputs!$B$8,0.01))))))</f>
        <v/>
      </c>
    </row>
    <row r="908" customFormat="false" ht="15" hidden="false" customHeight="false" outlineLevel="0" collapsed="false">
      <c r="I908" s="7" t="str">
        <f aca="false">IF($C908="","",IF($C908="G","PUTT",IF(AND($C908="T",$M908&gt;3),"OTT",IF($D908&lt;=30,"ARG","APP"))))</f>
        <v/>
      </c>
      <c r="J908" s="17" t="str">
        <f aca="false">IF($C908="","",$N908+$Q908*$R908)</f>
        <v/>
      </c>
      <c r="K908" s="17" t="str">
        <f aca="false">IF($C908="","",$O908+$Q908*$S908)</f>
        <v/>
      </c>
      <c r="L908" s="17" t="str">
        <f aca="false">IF($C908="","",$J908-$K908-1-N($G908))</f>
        <v/>
      </c>
      <c r="M908" s="7" t="str">
        <f aca="false">IF($B908="","",INDEX(Course!$B$2:$B$19,MATCH($B908,Course!$A$2:$A$19,0)))</f>
        <v/>
      </c>
      <c r="N908" s="17" t="str">
        <f aca="false">IF($C908="","",IF($C908="H",0,IF($C908="G",INDEX(Baseline!$I$3:$I$102,MIN(MAX(ROUND($D908,0),1),100)),IF($C908="T",IF($M908=3,INDEX(Baseline!$B$3:$B$122,MATCH(MIN(MAX(ROUND(($D908)/5,0)*5,5),600),Baseline!$A$3:$A$122,0))-Inputs!$B$9,INDEX(Course!$N$2:$N$19,MATCH($B908,Course!$A$2:$A$19,0))),INDEX(Baseline!$B$3:$E$122,MATCH(MIN(MAX(ROUND(($D908)/5,0)*5,5),600),Baseline!$A$3:$A$122,0),MATCH($C908,Baseline!$B$2:$E$2,0))))))</f>
        <v/>
      </c>
      <c r="O908" s="17" t="str">
        <f aca="false">IF($C908="","",IF($E908="H",0,IF($E908="G",INDEX(Baseline!$I$3:$I$102,MIN(MAX(ROUND($F908,0),1),100)),IF($E908="T",IF($M908=3,INDEX(Baseline!$B$3:$B$122,MATCH(MIN(MAX(ROUND(($F908)/5,0)*5,5),600),Baseline!$A$3:$A$122,0))-Inputs!$B$9,INDEX(Course!$N$2:$N$19,MATCH($B908,Course!$A$2:$A$19,0))),INDEX(Baseline!$B$3:$E$122,MATCH(MIN(MAX(ROUND(($F908)/5,0)*5,5),600),Baseline!$A$3:$A$122,0),MATCH($E908,Baseline!$B$2:$E$2,0))))))</f>
        <v/>
      </c>
      <c r="P908" s="17" t="str">
        <f aca="false">IF($B908="","",INDEX(Course!$N$2:$N$19,MATCH($B908,Course!$A$2:$A$19,0)))</f>
        <v/>
      </c>
      <c r="Q908" s="17" t="str">
        <f aca="false">IF($B908="","",INDEX(Course!$P$2:$P$19,MATCH($B908,Course!$A$2:$A$19,0)))</f>
        <v/>
      </c>
      <c r="R908" s="17" t="str">
        <f aca="false">IF($C908="","",IF(OR($C908="G",$C908="H"),0,IF($C908="T",1,MIN(1,MAX(0,($N908-Inputs!$B$8)/MAX($P908-Inputs!$B$8,0.01))))))</f>
        <v/>
      </c>
      <c r="S908" s="17" t="str">
        <f aca="false">IF($C908="","",IF(OR($E908="G",$E908="H"),0,IF($E908="T",1,MIN(1,MAX(0,($O908-Inputs!$B$8)/MAX($P908-Inputs!$B$8,0.01))))))</f>
        <v/>
      </c>
    </row>
    <row r="909" customFormat="false" ht="15" hidden="false" customHeight="false" outlineLevel="0" collapsed="false">
      <c r="I909" s="7" t="str">
        <f aca="false">IF($C909="","",IF($C909="G","PUTT",IF(AND($C909="T",$M909&gt;3),"OTT",IF($D909&lt;=30,"ARG","APP"))))</f>
        <v/>
      </c>
      <c r="J909" s="17" t="str">
        <f aca="false">IF($C909="","",$N909+$Q909*$R909)</f>
        <v/>
      </c>
      <c r="K909" s="17" t="str">
        <f aca="false">IF($C909="","",$O909+$Q909*$S909)</f>
        <v/>
      </c>
      <c r="L909" s="17" t="str">
        <f aca="false">IF($C909="","",$J909-$K909-1-N($G909))</f>
        <v/>
      </c>
      <c r="M909" s="7" t="str">
        <f aca="false">IF($B909="","",INDEX(Course!$B$2:$B$19,MATCH($B909,Course!$A$2:$A$19,0)))</f>
        <v/>
      </c>
      <c r="N909" s="17" t="str">
        <f aca="false">IF($C909="","",IF($C909="H",0,IF($C909="G",INDEX(Baseline!$I$3:$I$102,MIN(MAX(ROUND($D909,0),1),100)),IF($C909="T",IF($M909=3,INDEX(Baseline!$B$3:$B$122,MATCH(MIN(MAX(ROUND(($D909)/5,0)*5,5),600),Baseline!$A$3:$A$122,0))-Inputs!$B$9,INDEX(Course!$N$2:$N$19,MATCH($B909,Course!$A$2:$A$19,0))),INDEX(Baseline!$B$3:$E$122,MATCH(MIN(MAX(ROUND(($D909)/5,0)*5,5),600),Baseline!$A$3:$A$122,0),MATCH($C909,Baseline!$B$2:$E$2,0))))))</f>
        <v/>
      </c>
      <c r="O909" s="17" t="str">
        <f aca="false">IF($C909="","",IF($E909="H",0,IF($E909="G",INDEX(Baseline!$I$3:$I$102,MIN(MAX(ROUND($F909,0),1),100)),IF($E909="T",IF($M909=3,INDEX(Baseline!$B$3:$B$122,MATCH(MIN(MAX(ROUND(($F909)/5,0)*5,5),600),Baseline!$A$3:$A$122,0))-Inputs!$B$9,INDEX(Course!$N$2:$N$19,MATCH($B909,Course!$A$2:$A$19,0))),INDEX(Baseline!$B$3:$E$122,MATCH(MIN(MAX(ROUND(($F909)/5,0)*5,5),600),Baseline!$A$3:$A$122,0),MATCH($E909,Baseline!$B$2:$E$2,0))))))</f>
        <v/>
      </c>
      <c r="P909" s="17" t="str">
        <f aca="false">IF($B909="","",INDEX(Course!$N$2:$N$19,MATCH($B909,Course!$A$2:$A$19,0)))</f>
        <v/>
      </c>
      <c r="Q909" s="17" t="str">
        <f aca="false">IF($B909="","",INDEX(Course!$P$2:$P$19,MATCH($B909,Course!$A$2:$A$19,0)))</f>
        <v/>
      </c>
      <c r="R909" s="17" t="str">
        <f aca="false">IF($C909="","",IF(OR($C909="G",$C909="H"),0,IF($C909="T",1,MIN(1,MAX(0,($N909-Inputs!$B$8)/MAX($P909-Inputs!$B$8,0.01))))))</f>
        <v/>
      </c>
      <c r="S909" s="17" t="str">
        <f aca="false">IF($C909="","",IF(OR($E909="G",$E909="H"),0,IF($E909="T",1,MIN(1,MAX(0,($O909-Inputs!$B$8)/MAX($P909-Inputs!$B$8,0.01))))))</f>
        <v/>
      </c>
    </row>
    <row r="910" customFormat="false" ht="15" hidden="false" customHeight="false" outlineLevel="0" collapsed="false">
      <c r="I910" s="7" t="str">
        <f aca="false">IF($C910="","",IF($C910="G","PUTT",IF(AND($C910="T",$M910&gt;3),"OTT",IF($D910&lt;=30,"ARG","APP"))))</f>
        <v/>
      </c>
      <c r="J910" s="17" t="str">
        <f aca="false">IF($C910="","",$N910+$Q910*$R910)</f>
        <v/>
      </c>
      <c r="K910" s="17" t="str">
        <f aca="false">IF($C910="","",$O910+$Q910*$S910)</f>
        <v/>
      </c>
      <c r="L910" s="17" t="str">
        <f aca="false">IF($C910="","",$J910-$K910-1-N($G910))</f>
        <v/>
      </c>
      <c r="M910" s="7" t="str">
        <f aca="false">IF($B910="","",INDEX(Course!$B$2:$B$19,MATCH($B910,Course!$A$2:$A$19,0)))</f>
        <v/>
      </c>
      <c r="N910" s="17" t="str">
        <f aca="false">IF($C910="","",IF($C910="H",0,IF($C910="G",INDEX(Baseline!$I$3:$I$102,MIN(MAX(ROUND($D910,0),1),100)),IF($C910="T",IF($M910=3,INDEX(Baseline!$B$3:$B$122,MATCH(MIN(MAX(ROUND(($D910)/5,0)*5,5),600),Baseline!$A$3:$A$122,0))-Inputs!$B$9,INDEX(Course!$N$2:$N$19,MATCH($B910,Course!$A$2:$A$19,0))),INDEX(Baseline!$B$3:$E$122,MATCH(MIN(MAX(ROUND(($D910)/5,0)*5,5),600),Baseline!$A$3:$A$122,0),MATCH($C910,Baseline!$B$2:$E$2,0))))))</f>
        <v/>
      </c>
      <c r="O910" s="17" t="str">
        <f aca="false">IF($C910="","",IF($E910="H",0,IF($E910="G",INDEX(Baseline!$I$3:$I$102,MIN(MAX(ROUND($F910,0),1),100)),IF($E910="T",IF($M910=3,INDEX(Baseline!$B$3:$B$122,MATCH(MIN(MAX(ROUND(($F910)/5,0)*5,5),600),Baseline!$A$3:$A$122,0))-Inputs!$B$9,INDEX(Course!$N$2:$N$19,MATCH($B910,Course!$A$2:$A$19,0))),INDEX(Baseline!$B$3:$E$122,MATCH(MIN(MAX(ROUND(($F910)/5,0)*5,5),600),Baseline!$A$3:$A$122,0),MATCH($E910,Baseline!$B$2:$E$2,0))))))</f>
        <v/>
      </c>
      <c r="P910" s="17" t="str">
        <f aca="false">IF($B910="","",INDEX(Course!$N$2:$N$19,MATCH($B910,Course!$A$2:$A$19,0)))</f>
        <v/>
      </c>
      <c r="Q910" s="17" t="str">
        <f aca="false">IF($B910="","",INDEX(Course!$P$2:$P$19,MATCH($B910,Course!$A$2:$A$19,0)))</f>
        <v/>
      </c>
      <c r="R910" s="17" t="str">
        <f aca="false">IF($C910="","",IF(OR($C910="G",$C910="H"),0,IF($C910="T",1,MIN(1,MAX(0,($N910-Inputs!$B$8)/MAX($P910-Inputs!$B$8,0.01))))))</f>
        <v/>
      </c>
      <c r="S910" s="17" t="str">
        <f aca="false">IF($C910="","",IF(OR($E910="G",$E910="H"),0,IF($E910="T",1,MIN(1,MAX(0,($O910-Inputs!$B$8)/MAX($P910-Inputs!$B$8,0.01))))))</f>
        <v/>
      </c>
    </row>
    <row r="911" customFormat="false" ht="15" hidden="false" customHeight="false" outlineLevel="0" collapsed="false">
      <c r="I911" s="7" t="str">
        <f aca="false">IF($C911="","",IF($C911="G","PUTT",IF(AND($C911="T",$M911&gt;3),"OTT",IF($D911&lt;=30,"ARG","APP"))))</f>
        <v/>
      </c>
      <c r="J911" s="17" t="str">
        <f aca="false">IF($C911="","",$N911+$Q911*$R911)</f>
        <v/>
      </c>
      <c r="K911" s="17" t="str">
        <f aca="false">IF($C911="","",$O911+$Q911*$S911)</f>
        <v/>
      </c>
      <c r="L911" s="17" t="str">
        <f aca="false">IF($C911="","",$J911-$K911-1-N($G911))</f>
        <v/>
      </c>
      <c r="M911" s="7" t="str">
        <f aca="false">IF($B911="","",INDEX(Course!$B$2:$B$19,MATCH($B911,Course!$A$2:$A$19,0)))</f>
        <v/>
      </c>
      <c r="N911" s="17" t="str">
        <f aca="false">IF($C911="","",IF($C911="H",0,IF($C911="G",INDEX(Baseline!$I$3:$I$102,MIN(MAX(ROUND($D911,0),1),100)),IF($C911="T",IF($M911=3,INDEX(Baseline!$B$3:$B$122,MATCH(MIN(MAX(ROUND(($D911)/5,0)*5,5),600),Baseline!$A$3:$A$122,0))-Inputs!$B$9,INDEX(Course!$N$2:$N$19,MATCH($B911,Course!$A$2:$A$19,0))),INDEX(Baseline!$B$3:$E$122,MATCH(MIN(MAX(ROUND(($D911)/5,0)*5,5),600),Baseline!$A$3:$A$122,0),MATCH($C911,Baseline!$B$2:$E$2,0))))))</f>
        <v/>
      </c>
      <c r="O911" s="17" t="str">
        <f aca="false">IF($C911="","",IF($E911="H",0,IF($E911="G",INDEX(Baseline!$I$3:$I$102,MIN(MAX(ROUND($F911,0),1),100)),IF($E911="T",IF($M911=3,INDEX(Baseline!$B$3:$B$122,MATCH(MIN(MAX(ROUND(($F911)/5,0)*5,5),600),Baseline!$A$3:$A$122,0))-Inputs!$B$9,INDEX(Course!$N$2:$N$19,MATCH($B911,Course!$A$2:$A$19,0))),INDEX(Baseline!$B$3:$E$122,MATCH(MIN(MAX(ROUND(($F911)/5,0)*5,5),600),Baseline!$A$3:$A$122,0),MATCH($E911,Baseline!$B$2:$E$2,0))))))</f>
        <v/>
      </c>
      <c r="P911" s="17" t="str">
        <f aca="false">IF($B911="","",INDEX(Course!$N$2:$N$19,MATCH($B911,Course!$A$2:$A$19,0)))</f>
        <v/>
      </c>
      <c r="Q911" s="17" t="str">
        <f aca="false">IF($B911="","",INDEX(Course!$P$2:$P$19,MATCH($B911,Course!$A$2:$A$19,0)))</f>
        <v/>
      </c>
      <c r="R911" s="17" t="str">
        <f aca="false">IF($C911="","",IF(OR($C911="G",$C911="H"),0,IF($C911="T",1,MIN(1,MAX(0,($N911-Inputs!$B$8)/MAX($P911-Inputs!$B$8,0.01))))))</f>
        <v/>
      </c>
      <c r="S911" s="17" t="str">
        <f aca="false">IF($C911="","",IF(OR($E911="G",$E911="H"),0,IF($E911="T",1,MIN(1,MAX(0,($O911-Inputs!$B$8)/MAX($P911-Inputs!$B$8,0.01))))))</f>
        <v/>
      </c>
    </row>
    <row r="912" customFormat="false" ht="15" hidden="false" customHeight="false" outlineLevel="0" collapsed="false">
      <c r="I912" s="7" t="str">
        <f aca="false">IF($C912="","",IF($C912="G","PUTT",IF(AND($C912="T",$M912&gt;3),"OTT",IF($D912&lt;=30,"ARG","APP"))))</f>
        <v/>
      </c>
      <c r="J912" s="17" t="str">
        <f aca="false">IF($C912="","",$N912+$Q912*$R912)</f>
        <v/>
      </c>
      <c r="K912" s="17" t="str">
        <f aca="false">IF($C912="","",$O912+$Q912*$S912)</f>
        <v/>
      </c>
      <c r="L912" s="17" t="str">
        <f aca="false">IF($C912="","",$J912-$K912-1-N($G912))</f>
        <v/>
      </c>
      <c r="M912" s="7" t="str">
        <f aca="false">IF($B912="","",INDEX(Course!$B$2:$B$19,MATCH($B912,Course!$A$2:$A$19,0)))</f>
        <v/>
      </c>
      <c r="N912" s="17" t="str">
        <f aca="false">IF($C912="","",IF($C912="H",0,IF($C912="G",INDEX(Baseline!$I$3:$I$102,MIN(MAX(ROUND($D912,0),1),100)),IF($C912="T",IF($M912=3,INDEX(Baseline!$B$3:$B$122,MATCH(MIN(MAX(ROUND(($D912)/5,0)*5,5),600),Baseline!$A$3:$A$122,0))-Inputs!$B$9,INDEX(Course!$N$2:$N$19,MATCH($B912,Course!$A$2:$A$19,0))),INDEX(Baseline!$B$3:$E$122,MATCH(MIN(MAX(ROUND(($D912)/5,0)*5,5),600),Baseline!$A$3:$A$122,0),MATCH($C912,Baseline!$B$2:$E$2,0))))))</f>
        <v/>
      </c>
      <c r="O912" s="17" t="str">
        <f aca="false">IF($C912="","",IF($E912="H",0,IF($E912="G",INDEX(Baseline!$I$3:$I$102,MIN(MAX(ROUND($F912,0),1),100)),IF($E912="T",IF($M912=3,INDEX(Baseline!$B$3:$B$122,MATCH(MIN(MAX(ROUND(($F912)/5,0)*5,5),600),Baseline!$A$3:$A$122,0))-Inputs!$B$9,INDEX(Course!$N$2:$N$19,MATCH($B912,Course!$A$2:$A$19,0))),INDEX(Baseline!$B$3:$E$122,MATCH(MIN(MAX(ROUND(($F912)/5,0)*5,5),600),Baseline!$A$3:$A$122,0),MATCH($E912,Baseline!$B$2:$E$2,0))))))</f>
        <v/>
      </c>
      <c r="P912" s="17" t="str">
        <f aca="false">IF($B912="","",INDEX(Course!$N$2:$N$19,MATCH($B912,Course!$A$2:$A$19,0)))</f>
        <v/>
      </c>
      <c r="Q912" s="17" t="str">
        <f aca="false">IF($B912="","",INDEX(Course!$P$2:$P$19,MATCH($B912,Course!$A$2:$A$19,0)))</f>
        <v/>
      </c>
      <c r="R912" s="17" t="str">
        <f aca="false">IF($C912="","",IF(OR($C912="G",$C912="H"),0,IF($C912="T",1,MIN(1,MAX(0,($N912-Inputs!$B$8)/MAX($P912-Inputs!$B$8,0.01))))))</f>
        <v/>
      </c>
      <c r="S912" s="17" t="str">
        <f aca="false">IF($C912="","",IF(OR($E912="G",$E912="H"),0,IF($E912="T",1,MIN(1,MAX(0,($O912-Inputs!$B$8)/MAX($P912-Inputs!$B$8,0.01))))))</f>
        <v/>
      </c>
    </row>
    <row r="913" customFormat="false" ht="15" hidden="false" customHeight="false" outlineLevel="0" collapsed="false">
      <c r="I913" s="7" t="str">
        <f aca="false">IF($C913="","",IF($C913="G","PUTT",IF(AND($C913="T",$M913&gt;3),"OTT",IF($D913&lt;=30,"ARG","APP"))))</f>
        <v/>
      </c>
      <c r="J913" s="17" t="str">
        <f aca="false">IF($C913="","",$N913+$Q913*$R913)</f>
        <v/>
      </c>
      <c r="K913" s="17" t="str">
        <f aca="false">IF($C913="","",$O913+$Q913*$S913)</f>
        <v/>
      </c>
      <c r="L913" s="17" t="str">
        <f aca="false">IF($C913="","",$J913-$K913-1-N($G913))</f>
        <v/>
      </c>
      <c r="M913" s="7" t="str">
        <f aca="false">IF($B913="","",INDEX(Course!$B$2:$B$19,MATCH($B913,Course!$A$2:$A$19,0)))</f>
        <v/>
      </c>
      <c r="N913" s="17" t="str">
        <f aca="false">IF($C913="","",IF($C913="H",0,IF($C913="G",INDEX(Baseline!$I$3:$I$102,MIN(MAX(ROUND($D913,0),1),100)),IF($C913="T",IF($M913=3,INDEX(Baseline!$B$3:$B$122,MATCH(MIN(MAX(ROUND(($D913)/5,0)*5,5),600),Baseline!$A$3:$A$122,0))-Inputs!$B$9,INDEX(Course!$N$2:$N$19,MATCH($B913,Course!$A$2:$A$19,0))),INDEX(Baseline!$B$3:$E$122,MATCH(MIN(MAX(ROUND(($D913)/5,0)*5,5),600),Baseline!$A$3:$A$122,0),MATCH($C913,Baseline!$B$2:$E$2,0))))))</f>
        <v/>
      </c>
      <c r="O913" s="17" t="str">
        <f aca="false">IF($C913="","",IF($E913="H",0,IF($E913="G",INDEX(Baseline!$I$3:$I$102,MIN(MAX(ROUND($F913,0),1),100)),IF($E913="T",IF($M913=3,INDEX(Baseline!$B$3:$B$122,MATCH(MIN(MAX(ROUND(($F913)/5,0)*5,5),600),Baseline!$A$3:$A$122,0))-Inputs!$B$9,INDEX(Course!$N$2:$N$19,MATCH($B913,Course!$A$2:$A$19,0))),INDEX(Baseline!$B$3:$E$122,MATCH(MIN(MAX(ROUND(($F913)/5,0)*5,5),600),Baseline!$A$3:$A$122,0),MATCH($E913,Baseline!$B$2:$E$2,0))))))</f>
        <v/>
      </c>
      <c r="P913" s="17" t="str">
        <f aca="false">IF($B913="","",INDEX(Course!$N$2:$N$19,MATCH($B913,Course!$A$2:$A$19,0)))</f>
        <v/>
      </c>
      <c r="Q913" s="17" t="str">
        <f aca="false">IF($B913="","",INDEX(Course!$P$2:$P$19,MATCH($B913,Course!$A$2:$A$19,0)))</f>
        <v/>
      </c>
      <c r="R913" s="17" t="str">
        <f aca="false">IF($C913="","",IF(OR($C913="G",$C913="H"),0,IF($C913="T",1,MIN(1,MAX(0,($N913-Inputs!$B$8)/MAX($P913-Inputs!$B$8,0.01))))))</f>
        <v/>
      </c>
      <c r="S913" s="17" t="str">
        <f aca="false">IF($C913="","",IF(OR($E913="G",$E913="H"),0,IF($E913="T",1,MIN(1,MAX(0,($O913-Inputs!$B$8)/MAX($P913-Inputs!$B$8,0.01))))))</f>
        <v/>
      </c>
    </row>
    <row r="914" customFormat="false" ht="15" hidden="false" customHeight="false" outlineLevel="0" collapsed="false">
      <c r="I914" s="7" t="str">
        <f aca="false">IF($C914="","",IF($C914="G","PUTT",IF(AND($C914="T",$M914&gt;3),"OTT",IF($D914&lt;=30,"ARG","APP"))))</f>
        <v/>
      </c>
      <c r="J914" s="17" t="str">
        <f aca="false">IF($C914="","",$N914+$Q914*$R914)</f>
        <v/>
      </c>
      <c r="K914" s="17" t="str">
        <f aca="false">IF($C914="","",$O914+$Q914*$S914)</f>
        <v/>
      </c>
      <c r="L914" s="17" t="str">
        <f aca="false">IF($C914="","",$J914-$K914-1-N($G914))</f>
        <v/>
      </c>
      <c r="M914" s="7" t="str">
        <f aca="false">IF($B914="","",INDEX(Course!$B$2:$B$19,MATCH($B914,Course!$A$2:$A$19,0)))</f>
        <v/>
      </c>
      <c r="N914" s="17" t="str">
        <f aca="false">IF($C914="","",IF($C914="H",0,IF($C914="G",INDEX(Baseline!$I$3:$I$102,MIN(MAX(ROUND($D914,0),1),100)),IF($C914="T",IF($M914=3,INDEX(Baseline!$B$3:$B$122,MATCH(MIN(MAX(ROUND(($D914)/5,0)*5,5),600),Baseline!$A$3:$A$122,0))-Inputs!$B$9,INDEX(Course!$N$2:$N$19,MATCH($B914,Course!$A$2:$A$19,0))),INDEX(Baseline!$B$3:$E$122,MATCH(MIN(MAX(ROUND(($D914)/5,0)*5,5),600),Baseline!$A$3:$A$122,0),MATCH($C914,Baseline!$B$2:$E$2,0))))))</f>
        <v/>
      </c>
      <c r="O914" s="17" t="str">
        <f aca="false">IF($C914="","",IF($E914="H",0,IF($E914="G",INDEX(Baseline!$I$3:$I$102,MIN(MAX(ROUND($F914,0),1),100)),IF($E914="T",IF($M914=3,INDEX(Baseline!$B$3:$B$122,MATCH(MIN(MAX(ROUND(($F914)/5,0)*5,5),600),Baseline!$A$3:$A$122,0))-Inputs!$B$9,INDEX(Course!$N$2:$N$19,MATCH($B914,Course!$A$2:$A$19,0))),INDEX(Baseline!$B$3:$E$122,MATCH(MIN(MAX(ROUND(($F914)/5,0)*5,5),600),Baseline!$A$3:$A$122,0),MATCH($E914,Baseline!$B$2:$E$2,0))))))</f>
        <v/>
      </c>
      <c r="P914" s="17" t="str">
        <f aca="false">IF($B914="","",INDEX(Course!$N$2:$N$19,MATCH($B914,Course!$A$2:$A$19,0)))</f>
        <v/>
      </c>
      <c r="Q914" s="17" t="str">
        <f aca="false">IF($B914="","",INDEX(Course!$P$2:$P$19,MATCH($B914,Course!$A$2:$A$19,0)))</f>
        <v/>
      </c>
      <c r="R914" s="17" t="str">
        <f aca="false">IF($C914="","",IF(OR($C914="G",$C914="H"),0,IF($C914="T",1,MIN(1,MAX(0,($N914-Inputs!$B$8)/MAX($P914-Inputs!$B$8,0.01))))))</f>
        <v/>
      </c>
      <c r="S914" s="17" t="str">
        <f aca="false">IF($C914="","",IF(OR($E914="G",$E914="H"),0,IF($E914="T",1,MIN(1,MAX(0,($O914-Inputs!$B$8)/MAX($P914-Inputs!$B$8,0.01))))))</f>
        <v/>
      </c>
    </row>
    <row r="915" customFormat="false" ht="15" hidden="false" customHeight="false" outlineLevel="0" collapsed="false">
      <c r="I915" s="7" t="str">
        <f aca="false">IF($C915="","",IF($C915="G","PUTT",IF(AND($C915="T",$M915&gt;3),"OTT",IF($D915&lt;=30,"ARG","APP"))))</f>
        <v/>
      </c>
      <c r="J915" s="17" t="str">
        <f aca="false">IF($C915="","",$N915+$Q915*$R915)</f>
        <v/>
      </c>
      <c r="K915" s="17" t="str">
        <f aca="false">IF($C915="","",$O915+$Q915*$S915)</f>
        <v/>
      </c>
      <c r="L915" s="17" t="str">
        <f aca="false">IF($C915="","",$J915-$K915-1-N($G915))</f>
        <v/>
      </c>
      <c r="M915" s="7" t="str">
        <f aca="false">IF($B915="","",INDEX(Course!$B$2:$B$19,MATCH($B915,Course!$A$2:$A$19,0)))</f>
        <v/>
      </c>
      <c r="N915" s="17" t="str">
        <f aca="false">IF($C915="","",IF($C915="H",0,IF($C915="G",INDEX(Baseline!$I$3:$I$102,MIN(MAX(ROUND($D915,0),1),100)),IF($C915="T",IF($M915=3,INDEX(Baseline!$B$3:$B$122,MATCH(MIN(MAX(ROUND(($D915)/5,0)*5,5),600),Baseline!$A$3:$A$122,0))-Inputs!$B$9,INDEX(Course!$N$2:$N$19,MATCH($B915,Course!$A$2:$A$19,0))),INDEX(Baseline!$B$3:$E$122,MATCH(MIN(MAX(ROUND(($D915)/5,0)*5,5),600),Baseline!$A$3:$A$122,0),MATCH($C915,Baseline!$B$2:$E$2,0))))))</f>
        <v/>
      </c>
      <c r="O915" s="17" t="str">
        <f aca="false">IF($C915="","",IF($E915="H",0,IF($E915="G",INDEX(Baseline!$I$3:$I$102,MIN(MAX(ROUND($F915,0),1),100)),IF($E915="T",IF($M915=3,INDEX(Baseline!$B$3:$B$122,MATCH(MIN(MAX(ROUND(($F915)/5,0)*5,5),600),Baseline!$A$3:$A$122,0))-Inputs!$B$9,INDEX(Course!$N$2:$N$19,MATCH($B915,Course!$A$2:$A$19,0))),INDEX(Baseline!$B$3:$E$122,MATCH(MIN(MAX(ROUND(($F915)/5,0)*5,5),600),Baseline!$A$3:$A$122,0),MATCH($E915,Baseline!$B$2:$E$2,0))))))</f>
        <v/>
      </c>
      <c r="P915" s="17" t="str">
        <f aca="false">IF($B915="","",INDEX(Course!$N$2:$N$19,MATCH($B915,Course!$A$2:$A$19,0)))</f>
        <v/>
      </c>
      <c r="Q915" s="17" t="str">
        <f aca="false">IF($B915="","",INDEX(Course!$P$2:$P$19,MATCH($B915,Course!$A$2:$A$19,0)))</f>
        <v/>
      </c>
      <c r="R915" s="17" t="str">
        <f aca="false">IF($C915="","",IF(OR($C915="G",$C915="H"),0,IF($C915="T",1,MIN(1,MAX(0,($N915-Inputs!$B$8)/MAX($P915-Inputs!$B$8,0.01))))))</f>
        <v/>
      </c>
      <c r="S915" s="17" t="str">
        <f aca="false">IF($C915="","",IF(OR($E915="G",$E915="H"),0,IF($E915="T",1,MIN(1,MAX(0,($O915-Inputs!$B$8)/MAX($P915-Inputs!$B$8,0.01))))))</f>
        <v/>
      </c>
    </row>
    <row r="916" customFormat="false" ht="15" hidden="false" customHeight="false" outlineLevel="0" collapsed="false">
      <c r="I916" s="7" t="str">
        <f aca="false">IF($C916="","",IF($C916="G","PUTT",IF(AND($C916="T",$M916&gt;3),"OTT",IF($D916&lt;=30,"ARG","APP"))))</f>
        <v/>
      </c>
      <c r="J916" s="17" t="str">
        <f aca="false">IF($C916="","",$N916+$Q916*$R916)</f>
        <v/>
      </c>
      <c r="K916" s="17" t="str">
        <f aca="false">IF($C916="","",$O916+$Q916*$S916)</f>
        <v/>
      </c>
      <c r="L916" s="17" t="str">
        <f aca="false">IF($C916="","",$J916-$K916-1-N($G916))</f>
        <v/>
      </c>
      <c r="M916" s="7" t="str">
        <f aca="false">IF($B916="","",INDEX(Course!$B$2:$B$19,MATCH($B916,Course!$A$2:$A$19,0)))</f>
        <v/>
      </c>
      <c r="N916" s="17" t="str">
        <f aca="false">IF($C916="","",IF($C916="H",0,IF($C916="G",INDEX(Baseline!$I$3:$I$102,MIN(MAX(ROUND($D916,0),1),100)),IF($C916="T",IF($M916=3,INDEX(Baseline!$B$3:$B$122,MATCH(MIN(MAX(ROUND(($D916)/5,0)*5,5),600),Baseline!$A$3:$A$122,0))-Inputs!$B$9,INDEX(Course!$N$2:$N$19,MATCH($B916,Course!$A$2:$A$19,0))),INDEX(Baseline!$B$3:$E$122,MATCH(MIN(MAX(ROUND(($D916)/5,0)*5,5),600),Baseline!$A$3:$A$122,0),MATCH($C916,Baseline!$B$2:$E$2,0))))))</f>
        <v/>
      </c>
      <c r="O916" s="17" t="str">
        <f aca="false">IF($C916="","",IF($E916="H",0,IF($E916="G",INDEX(Baseline!$I$3:$I$102,MIN(MAX(ROUND($F916,0),1),100)),IF($E916="T",IF($M916=3,INDEX(Baseline!$B$3:$B$122,MATCH(MIN(MAX(ROUND(($F916)/5,0)*5,5),600),Baseline!$A$3:$A$122,0))-Inputs!$B$9,INDEX(Course!$N$2:$N$19,MATCH($B916,Course!$A$2:$A$19,0))),INDEX(Baseline!$B$3:$E$122,MATCH(MIN(MAX(ROUND(($F916)/5,0)*5,5),600),Baseline!$A$3:$A$122,0),MATCH($E916,Baseline!$B$2:$E$2,0))))))</f>
        <v/>
      </c>
      <c r="P916" s="17" t="str">
        <f aca="false">IF($B916="","",INDEX(Course!$N$2:$N$19,MATCH($B916,Course!$A$2:$A$19,0)))</f>
        <v/>
      </c>
      <c r="Q916" s="17" t="str">
        <f aca="false">IF($B916="","",INDEX(Course!$P$2:$P$19,MATCH($B916,Course!$A$2:$A$19,0)))</f>
        <v/>
      </c>
      <c r="R916" s="17" t="str">
        <f aca="false">IF($C916="","",IF(OR($C916="G",$C916="H"),0,IF($C916="T",1,MIN(1,MAX(0,($N916-Inputs!$B$8)/MAX($P916-Inputs!$B$8,0.01))))))</f>
        <v/>
      </c>
      <c r="S916" s="17" t="str">
        <f aca="false">IF($C916="","",IF(OR($E916="G",$E916="H"),0,IF($E916="T",1,MIN(1,MAX(0,($O916-Inputs!$B$8)/MAX($P916-Inputs!$B$8,0.01))))))</f>
        <v/>
      </c>
    </row>
    <row r="917" customFormat="false" ht="15" hidden="false" customHeight="false" outlineLevel="0" collapsed="false">
      <c r="I917" s="7" t="str">
        <f aca="false">IF($C917="","",IF($C917="G","PUTT",IF(AND($C917="T",$M917&gt;3),"OTT",IF($D917&lt;=30,"ARG","APP"))))</f>
        <v/>
      </c>
      <c r="J917" s="17" t="str">
        <f aca="false">IF($C917="","",$N917+$Q917*$R917)</f>
        <v/>
      </c>
      <c r="K917" s="17" t="str">
        <f aca="false">IF($C917="","",$O917+$Q917*$S917)</f>
        <v/>
      </c>
      <c r="L917" s="17" t="str">
        <f aca="false">IF($C917="","",$J917-$K917-1-N($G917))</f>
        <v/>
      </c>
      <c r="M917" s="7" t="str">
        <f aca="false">IF($B917="","",INDEX(Course!$B$2:$B$19,MATCH($B917,Course!$A$2:$A$19,0)))</f>
        <v/>
      </c>
      <c r="N917" s="17" t="str">
        <f aca="false">IF($C917="","",IF($C917="H",0,IF($C917="G",INDEX(Baseline!$I$3:$I$102,MIN(MAX(ROUND($D917,0),1),100)),IF($C917="T",IF($M917=3,INDEX(Baseline!$B$3:$B$122,MATCH(MIN(MAX(ROUND(($D917)/5,0)*5,5),600),Baseline!$A$3:$A$122,0))-Inputs!$B$9,INDEX(Course!$N$2:$N$19,MATCH($B917,Course!$A$2:$A$19,0))),INDEX(Baseline!$B$3:$E$122,MATCH(MIN(MAX(ROUND(($D917)/5,0)*5,5),600),Baseline!$A$3:$A$122,0),MATCH($C917,Baseline!$B$2:$E$2,0))))))</f>
        <v/>
      </c>
      <c r="O917" s="17" t="str">
        <f aca="false">IF($C917="","",IF($E917="H",0,IF($E917="G",INDEX(Baseline!$I$3:$I$102,MIN(MAX(ROUND($F917,0),1),100)),IF($E917="T",IF($M917=3,INDEX(Baseline!$B$3:$B$122,MATCH(MIN(MAX(ROUND(($F917)/5,0)*5,5),600),Baseline!$A$3:$A$122,0))-Inputs!$B$9,INDEX(Course!$N$2:$N$19,MATCH($B917,Course!$A$2:$A$19,0))),INDEX(Baseline!$B$3:$E$122,MATCH(MIN(MAX(ROUND(($F917)/5,0)*5,5),600),Baseline!$A$3:$A$122,0),MATCH($E917,Baseline!$B$2:$E$2,0))))))</f>
        <v/>
      </c>
      <c r="P917" s="17" t="str">
        <f aca="false">IF($B917="","",INDEX(Course!$N$2:$N$19,MATCH($B917,Course!$A$2:$A$19,0)))</f>
        <v/>
      </c>
      <c r="Q917" s="17" t="str">
        <f aca="false">IF($B917="","",INDEX(Course!$P$2:$P$19,MATCH($B917,Course!$A$2:$A$19,0)))</f>
        <v/>
      </c>
      <c r="R917" s="17" t="str">
        <f aca="false">IF($C917="","",IF(OR($C917="G",$C917="H"),0,IF($C917="T",1,MIN(1,MAX(0,($N917-Inputs!$B$8)/MAX($P917-Inputs!$B$8,0.01))))))</f>
        <v/>
      </c>
      <c r="S917" s="17" t="str">
        <f aca="false">IF($C917="","",IF(OR($E917="G",$E917="H"),0,IF($E917="T",1,MIN(1,MAX(0,($O917-Inputs!$B$8)/MAX($P917-Inputs!$B$8,0.01))))))</f>
        <v/>
      </c>
    </row>
    <row r="918" customFormat="false" ht="15" hidden="false" customHeight="false" outlineLevel="0" collapsed="false">
      <c r="I918" s="7" t="str">
        <f aca="false">IF($C918="","",IF($C918="G","PUTT",IF(AND($C918="T",$M918&gt;3),"OTT",IF($D918&lt;=30,"ARG","APP"))))</f>
        <v/>
      </c>
      <c r="J918" s="17" t="str">
        <f aca="false">IF($C918="","",$N918+$Q918*$R918)</f>
        <v/>
      </c>
      <c r="K918" s="17" t="str">
        <f aca="false">IF($C918="","",$O918+$Q918*$S918)</f>
        <v/>
      </c>
      <c r="L918" s="17" t="str">
        <f aca="false">IF($C918="","",$J918-$K918-1-N($G918))</f>
        <v/>
      </c>
      <c r="M918" s="7" t="str">
        <f aca="false">IF($B918="","",INDEX(Course!$B$2:$B$19,MATCH($B918,Course!$A$2:$A$19,0)))</f>
        <v/>
      </c>
      <c r="N918" s="17" t="str">
        <f aca="false">IF($C918="","",IF($C918="H",0,IF($C918="G",INDEX(Baseline!$I$3:$I$102,MIN(MAX(ROUND($D918,0),1),100)),IF($C918="T",IF($M918=3,INDEX(Baseline!$B$3:$B$122,MATCH(MIN(MAX(ROUND(($D918)/5,0)*5,5),600),Baseline!$A$3:$A$122,0))-Inputs!$B$9,INDEX(Course!$N$2:$N$19,MATCH($B918,Course!$A$2:$A$19,0))),INDEX(Baseline!$B$3:$E$122,MATCH(MIN(MAX(ROUND(($D918)/5,0)*5,5),600),Baseline!$A$3:$A$122,0),MATCH($C918,Baseline!$B$2:$E$2,0))))))</f>
        <v/>
      </c>
      <c r="O918" s="17" t="str">
        <f aca="false">IF($C918="","",IF($E918="H",0,IF($E918="G",INDEX(Baseline!$I$3:$I$102,MIN(MAX(ROUND($F918,0),1),100)),IF($E918="T",IF($M918=3,INDEX(Baseline!$B$3:$B$122,MATCH(MIN(MAX(ROUND(($F918)/5,0)*5,5),600),Baseline!$A$3:$A$122,0))-Inputs!$B$9,INDEX(Course!$N$2:$N$19,MATCH($B918,Course!$A$2:$A$19,0))),INDEX(Baseline!$B$3:$E$122,MATCH(MIN(MAX(ROUND(($F918)/5,0)*5,5),600),Baseline!$A$3:$A$122,0),MATCH($E918,Baseline!$B$2:$E$2,0))))))</f>
        <v/>
      </c>
      <c r="P918" s="17" t="str">
        <f aca="false">IF($B918="","",INDEX(Course!$N$2:$N$19,MATCH($B918,Course!$A$2:$A$19,0)))</f>
        <v/>
      </c>
      <c r="Q918" s="17" t="str">
        <f aca="false">IF($B918="","",INDEX(Course!$P$2:$P$19,MATCH($B918,Course!$A$2:$A$19,0)))</f>
        <v/>
      </c>
      <c r="R918" s="17" t="str">
        <f aca="false">IF($C918="","",IF(OR($C918="G",$C918="H"),0,IF($C918="T",1,MIN(1,MAX(0,($N918-Inputs!$B$8)/MAX($P918-Inputs!$B$8,0.01))))))</f>
        <v/>
      </c>
      <c r="S918" s="17" t="str">
        <f aca="false">IF($C918="","",IF(OR($E918="G",$E918="H"),0,IF($E918="T",1,MIN(1,MAX(0,($O918-Inputs!$B$8)/MAX($P918-Inputs!$B$8,0.01))))))</f>
        <v/>
      </c>
    </row>
    <row r="919" customFormat="false" ht="15" hidden="false" customHeight="false" outlineLevel="0" collapsed="false">
      <c r="I919" s="7" t="str">
        <f aca="false">IF($C919="","",IF($C919="G","PUTT",IF(AND($C919="T",$M919&gt;3),"OTT",IF($D919&lt;=30,"ARG","APP"))))</f>
        <v/>
      </c>
      <c r="J919" s="17" t="str">
        <f aca="false">IF($C919="","",$N919+$Q919*$R919)</f>
        <v/>
      </c>
      <c r="K919" s="17" t="str">
        <f aca="false">IF($C919="","",$O919+$Q919*$S919)</f>
        <v/>
      </c>
      <c r="L919" s="17" t="str">
        <f aca="false">IF($C919="","",$J919-$K919-1-N($G919))</f>
        <v/>
      </c>
      <c r="M919" s="7" t="str">
        <f aca="false">IF($B919="","",INDEX(Course!$B$2:$B$19,MATCH($B919,Course!$A$2:$A$19,0)))</f>
        <v/>
      </c>
      <c r="N919" s="17" t="str">
        <f aca="false">IF($C919="","",IF($C919="H",0,IF($C919="G",INDEX(Baseline!$I$3:$I$102,MIN(MAX(ROUND($D919,0),1),100)),IF($C919="T",IF($M919=3,INDEX(Baseline!$B$3:$B$122,MATCH(MIN(MAX(ROUND(($D919)/5,0)*5,5),600),Baseline!$A$3:$A$122,0))-Inputs!$B$9,INDEX(Course!$N$2:$N$19,MATCH($B919,Course!$A$2:$A$19,0))),INDEX(Baseline!$B$3:$E$122,MATCH(MIN(MAX(ROUND(($D919)/5,0)*5,5),600),Baseline!$A$3:$A$122,0),MATCH($C919,Baseline!$B$2:$E$2,0))))))</f>
        <v/>
      </c>
      <c r="O919" s="17" t="str">
        <f aca="false">IF($C919="","",IF($E919="H",0,IF($E919="G",INDEX(Baseline!$I$3:$I$102,MIN(MAX(ROUND($F919,0),1),100)),IF($E919="T",IF($M919=3,INDEX(Baseline!$B$3:$B$122,MATCH(MIN(MAX(ROUND(($F919)/5,0)*5,5),600),Baseline!$A$3:$A$122,0))-Inputs!$B$9,INDEX(Course!$N$2:$N$19,MATCH($B919,Course!$A$2:$A$19,0))),INDEX(Baseline!$B$3:$E$122,MATCH(MIN(MAX(ROUND(($F919)/5,0)*5,5),600),Baseline!$A$3:$A$122,0),MATCH($E919,Baseline!$B$2:$E$2,0))))))</f>
        <v/>
      </c>
      <c r="P919" s="17" t="str">
        <f aca="false">IF($B919="","",INDEX(Course!$N$2:$N$19,MATCH($B919,Course!$A$2:$A$19,0)))</f>
        <v/>
      </c>
      <c r="Q919" s="17" t="str">
        <f aca="false">IF($B919="","",INDEX(Course!$P$2:$P$19,MATCH($B919,Course!$A$2:$A$19,0)))</f>
        <v/>
      </c>
      <c r="R919" s="17" t="str">
        <f aca="false">IF($C919="","",IF(OR($C919="G",$C919="H"),0,IF($C919="T",1,MIN(1,MAX(0,($N919-Inputs!$B$8)/MAX($P919-Inputs!$B$8,0.01))))))</f>
        <v/>
      </c>
      <c r="S919" s="17" t="str">
        <f aca="false">IF($C919="","",IF(OR($E919="G",$E919="H"),0,IF($E919="T",1,MIN(1,MAX(0,($O919-Inputs!$B$8)/MAX($P919-Inputs!$B$8,0.01))))))</f>
        <v/>
      </c>
    </row>
    <row r="920" customFormat="false" ht="15" hidden="false" customHeight="false" outlineLevel="0" collapsed="false">
      <c r="I920" s="7" t="str">
        <f aca="false">IF($C920="","",IF($C920="G","PUTT",IF(AND($C920="T",$M920&gt;3),"OTT",IF($D920&lt;=30,"ARG","APP"))))</f>
        <v/>
      </c>
      <c r="J920" s="17" t="str">
        <f aca="false">IF($C920="","",$N920+$Q920*$R920)</f>
        <v/>
      </c>
      <c r="K920" s="17" t="str">
        <f aca="false">IF($C920="","",$O920+$Q920*$S920)</f>
        <v/>
      </c>
      <c r="L920" s="17" t="str">
        <f aca="false">IF($C920="","",$J920-$K920-1-N($G920))</f>
        <v/>
      </c>
      <c r="M920" s="7" t="str">
        <f aca="false">IF($B920="","",INDEX(Course!$B$2:$B$19,MATCH($B920,Course!$A$2:$A$19,0)))</f>
        <v/>
      </c>
      <c r="N920" s="17" t="str">
        <f aca="false">IF($C920="","",IF($C920="H",0,IF($C920="G",INDEX(Baseline!$I$3:$I$102,MIN(MAX(ROUND($D920,0),1),100)),IF($C920="T",IF($M920=3,INDEX(Baseline!$B$3:$B$122,MATCH(MIN(MAX(ROUND(($D920)/5,0)*5,5),600),Baseline!$A$3:$A$122,0))-Inputs!$B$9,INDEX(Course!$N$2:$N$19,MATCH($B920,Course!$A$2:$A$19,0))),INDEX(Baseline!$B$3:$E$122,MATCH(MIN(MAX(ROUND(($D920)/5,0)*5,5),600),Baseline!$A$3:$A$122,0),MATCH($C920,Baseline!$B$2:$E$2,0))))))</f>
        <v/>
      </c>
      <c r="O920" s="17" t="str">
        <f aca="false">IF($C920="","",IF($E920="H",0,IF($E920="G",INDEX(Baseline!$I$3:$I$102,MIN(MAX(ROUND($F920,0),1),100)),IF($E920="T",IF($M920=3,INDEX(Baseline!$B$3:$B$122,MATCH(MIN(MAX(ROUND(($F920)/5,0)*5,5),600),Baseline!$A$3:$A$122,0))-Inputs!$B$9,INDEX(Course!$N$2:$N$19,MATCH($B920,Course!$A$2:$A$19,0))),INDEX(Baseline!$B$3:$E$122,MATCH(MIN(MAX(ROUND(($F920)/5,0)*5,5),600),Baseline!$A$3:$A$122,0),MATCH($E920,Baseline!$B$2:$E$2,0))))))</f>
        <v/>
      </c>
      <c r="P920" s="17" t="str">
        <f aca="false">IF($B920="","",INDEX(Course!$N$2:$N$19,MATCH($B920,Course!$A$2:$A$19,0)))</f>
        <v/>
      </c>
      <c r="Q920" s="17" t="str">
        <f aca="false">IF($B920="","",INDEX(Course!$P$2:$P$19,MATCH($B920,Course!$A$2:$A$19,0)))</f>
        <v/>
      </c>
      <c r="R920" s="17" t="str">
        <f aca="false">IF($C920="","",IF(OR($C920="G",$C920="H"),0,IF($C920="T",1,MIN(1,MAX(0,($N920-Inputs!$B$8)/MAX($P920-Inputs!$B$8,0.01))))))</f>
        <v/>
      </c>
      <c r="S920" s="17" t="str">
        <f aca="false">IF($C920="","",IF(OR($E920="G",$E920="H"),0,IF($E920="T",1,MIN(1,MAX(0,($O920-Inputs!$B$8)/MAX($P920-Inputs!$B$8,0.01))))))</f>
        <v/>
      </c>
    </row>
    <row r="921" customFormat="false" ht="15" hidden="false" customHeight="false" outlineLevel="0" collapsed="false">
      <c r="I921" s="7" t="str">
        <f aca="false">IF($C921="","",IF($C921="G","PUTT",IF(AND($C921="T",$M921&gt;3),"OTT",IF($D921&lt;=30,"ARG","APP"))))</f>
        <v/>
      </c>
      <c r="J921" s="17" t="str">
        <f aca="false">IF($C921="","",$N921+$Q921*$R921)</f>
        <v/>
      </c>
      <c r="K921" s="17" t="str">
        <f aca="false">IF($C921="","",$O921+$Q921*$S921)</f>
        <v/>
      </c>
      <c r="L921" s="17" t="str">
        <f aca="false">IF($C921="","",$J921-$K921-1-N($G921))</f>
        <v/>
      </c>
      <c r="M921" s="7" t="str">
        <f aca="false">IF($B921="","",INDEX(Course!$B$2:$B$19,MATCH($B921,Course!$A$2:$A$19,0)))</f>
        <v/>
      </c>
      <c r="N921" s="17" t="str">
        <f aca="false">IF($C921="","",IF($C921="H",0,IF($C921="G",INDEX(Baseline!$I$3:$I$102,MIN(MAX(ROUND($D921,0),1),100)),IF($C921="T",IF($M921=3,INDEX(Baseline!$B$3:$B$122,MATCH(MIN(MAX(ROUND(($D921)/5,0)*5,5),600),Baseline!$A$3:$A$122,0))-Inputs!$B$9,INDEX(Course!$N$2:$N$19,MATCH($B921,Course!$A$2:$A$19,0))),INDEX(Baseline!$B$3:$E$122,MATCH(MIN(MAX(ROUND(($D921)/5,0)*5,5),600),Baseline!$A$3:$A$122,0),MATCH($C921,Baseline!$B$2:$E$2,0))))))</f>
        <v/>
      </c>
      <c r="O921" s="17" t="str">
        <f aca="false">IF($C921="","",IF($E921="H",0,IF($E921="G",INDEX(Baseline!$I$3:$I$102,MIN(MAX(ROUND($F921,0),1),100)),IF($E921="T",IF($M921=3,INDEX(Baseline!$B$3:$B$122,MATCH(MIN(MAX(ROUND(($F921)/5,0)*5,5),600),Baseline!$A$3:$A$122,0))-Inputs!$B$9,INDEX(Course!$N$2:$N$19,MATCH($B921,Course!$A$2:$A$19,0))),INDEX(Baseline!$B$3:$E$122,MATCH(MIN(MAX(ROUND(($F921)/5,0)*5,5),600),Baseline!$A$3:$A$122,0),MATCH($E921,Baseline!$B$2:$E$2,0))))))</f>
        <v/>
      </c>
      <c r="P921" s="17" t="str">
        <f aca="false">IF($B921="","",INDEX(Course!$N$2:$N$19,MATCH($B921,Course!$A$2:$A$19,0)))</f>
        <v/>
      </c>
      <c r="Q921" s="17" t="str">
        <f aca="false">IF($B921="","",INDEX(Course!$P$2:$P$19,MATCH($B921,Course!$A$2:$A$19,0)))</f>
        <v/>
      </c>
      <c r="R921" s="17" t="str">
        <f aca="false">IF($C921="","",IF(OR($C921="G",$C921="H"),0,IF($C921="T",1,MIN(1,MAX(0,($N921-Inputs!$B$8)/MAX($P921-Inputs!$B$8,0.01))))))</f>
        <v/>
      </c>
      <c r="S921" s="17" t="str">
        <f aca="false">IF($C921="","",IF(OR($E921="G",$E921="H"),0,IF($E921="T",1,MIN(1,MAX(0,($O921-Inputs!$B$8)/MAX($P921-Inputs!$B$8,0.01))))))</f>
        <v/>
      </c>
    </row>
    <row r="922" customFormat="false" ht="15" hidden="false" customHeight="false" outlineLevel="0" collapsed="false">
      <c r="I922" s="7" t="str">
        <f aca="false">IF($C922="","",IF($C922="G","PUTT",IF(AND($C922="T",$M922&gt;3),"OTT",IF($D922&lt;=30,"ARG","APP"))))</f>
        <v/>
      </c>
      <c r="J922" s="17" t="str">
        <f aca="false">IF($C922="","",$N922+$Q922*$R922)</f>
        <v/>
      </c>
      <c r="K922" s="17" t="str">
        <f aca="false">IF($C922="","",$O922+$Q922*$S922)</f>
        <v/>
      </c>
      <c r="L922" s="17" t="str">
        <f aca="false">IF($C922="","",$J922-$K922-1-N($G922))</f>
        <v/>
      </c>
      <c r="M922" s="7" t="str">
        <f aca="false">IF($B922="","",INDEX(Course!$B$2:$B$19,MATCH($B922,Course!$A$2:$A$19,0)))</f>
        <v/>
      </c>
      <c r="N922" s="17" t="str">
        <f aca="false">IF($C922="","",IF($C922="H",0,IF($C922="G",INDEX(Baseline!$I$3:$I$102,MIN(MAX(ROUND($D922,0),1),100)),IF($C922="T",IF($M922=3,INDEX(Baseline!$B$3:$B$122,MATCH(MIN(MAX(ROUND(($D922)/5,0)*5,5),600),Baseline!$A$3:$A$122,0))-Inputs!$B$9,INDEX(Course!$N$2:$N$19,MATCH($B922,Course!$A$2:$A$19,0))),INDEX(Baseline!$B$3:$E$122,MATCH(MIN(MAX(ROUND(($D922)/5,0)*5,5),600),Baseline!$A$3:$A$122,0),MATCH($C922,Baseline!$B$2:$E$2,0))))))</f>
        <v/>
      </c>
      <c r="O922" s="17" t="str">
        <f aca="false">IF($C922="","",IF($E922="H",0,IF($E922="G",INDEX(Baseline!$I$3:$I$102,MIN(MAX(ROUND($F922,0),1),100)),IF($E922="T",IF($M922=3,INDEX(Baseline!$B$3:$B$122,MATCH(MIN(MAX(ROUND(($F922)/5,0)*5,5),600),Baseline!$A$3:$A$122,0))-Inputs!$B$9,INDEX(Course!$N$2:$N$19,MATCH($B922,Course!$A$2:$A$19,0))),INDEX(Baseline!$B$3:$E$122,MATCH(MIN(MAX(ROUND(($F922)/5,0)*5,5),600),Baseline!$A$3:$A$122,0),MATCH($E922,Baseline!$B$2:$E$2,0))))))</f>
        <v/>
      </c>
      <c r="P922" s="17" t="str">
        <f aca="false">IF($B922="","",INDEX(Course!$N$2:$N$19,MATCH($B922,Course!$A$2:$A$19,0)))</f>
        <v/>
      </c>
      <c r="Q922" s="17" t="str">
        <f aca="false">IF($B922="","",INDEX(Course!$P$2:$P$19,MATCH($B922,Course!$A$2:$A$19,0)))</f>
        <v/>
      </c>
      <c r="R922" s="17" t="str">
        <f aca="false">IF($C922="","",IF(OR($C922="G",$C922="H"),0,IF($C922="T",1,MIN(1,MAX(0,($N922-Inputs!$B$8)/MAX($P922-Inputs!$B$8,0.01))))))</f>
        <v/>
      </c>
      <c r="S922" s="17" t="str">
        <f aca="false">IF($C922="","",IF(OR($E922="G",$E922="H"),0,IF($E922="T",1,MIN(1,MAX(0,($O922-Inputs!$B$8)/MAX($P922-Inputs!$B$8,0.01))))))</f>
        <v/>
      </c>
    </row>
    <row r="923" customFormat="false" ht="15" hidden="false" customHeight="false" outlineLevel="0" collapsed="false">
      <c r="I923" s="7" t="str">
        <f aca="false">IF($C923="","",IF($C923="G","PUTT",IF(AND($C923="T",$M923&gt;3),"OTT",IF($D923&lt;=30,"ARG","APP"))))</f>
        <v/>
      </c>
      <c r="J923" s="17" t="str">
        <f aca="false">IF($C923="","",$N923+$Q923*$R923)</f>
        <v/>
      </c>
      <c r="K923" s="17" t="str">
        <f aca="false">IF($C923="","",$O923+$Q923*$S923)</f>
        <v/>
      </c>
      <c r="L923" s="17" t="str">
        <f aca="false">IF($C923="","",$J923-$K923-1-N($G923))</f>
        <v/>
      </c>
      <c r="M923" s="7" t="str">
        <f aca="false">IF($B923="","",INDEX(Course!$B$2:$B$19,MATCH($B923,Course!$A$2:$A$19,0)))</f>
        <v/>
      </c>
      <c r="N923" s="17" t="str">
        <f aca="false">IF($C923="","",IF($C923="H",0,IF($C923="G",INDEX(Baseline!$I$3:$I$102,MIN(MAX(ROUND($D923,0),1),100)),IF($C923="T",IF($M923=3,INDEX(Baseline!$B$3:$B$122,MATCH(MIN(MAX(ROUND(($D923)/5,0)*5,5),600),Baseline!$A$3:$A$122,0))-Inputs!$B$9,INDEX(Course!$N$2:$N$19,MATCH($B923,Course!$A$2:$A$19,0))),INDEX(Baseline!$B$3:$E$122,MATCH(MIN(MAX(ROUND(($D923)/5,0)*5,5),600),Baseline!$A$3:$A$122,0),MATCH($C923,Baseline!$B$2:$E$2,0))))))</f>
        <v/>
      </c>
      <c r="O923" s="17" t="str">
        <f aca="false">IF($C923="","",IF($E923="H",0,IF($E923="G",INDEX(Baseline!$I$3:$I$102,MIN(MAX(ROUND($F923,0),1),100)),IF($E923="T",IF($M923=3,INDEX(Baseline!$B$3:$B$122,MATCH(MIN(MAX(ROUND(($F923)/5,0)*5,5),600),Baseline!$A$3:$A$122,0))-Inputs!$B$9,INDEX(Course!$N$2:$N$19,MATCH($B923,Course!$A$2:$A$19,0))),INDEX(Baseline!$B$3:$E$122,MATCH(MIN(MAX(ROUND(($F923)/5,0)*5,5),600),Baseline!$A$3:$A$122,0),MATCH($E923,Baseline!$B$2:$E$2,0))))))</f>
        <v/>
      </c>
      <c r="P923" s="17" t="str">
        <f aca="false">IF($B923="","",INDEX(Course!$N$2:$N$19,MATCH($B923,Course!$A$2:$A$19,0)))</f>
        <v/>
      </c>
      <c r="Q923" s="17" t="str">
        <f aca="false">IF($B923="","",INDEX(Course!$P$2:$P$19,MATCH($B923,Course!$A$2:$A$19,0)))</f>
        <v/>
      </c>
      <c r="R923" s="17" t="str">
        <f aca="false">IF($C923="","",IF(OR($C923="G",$C923="H"),0,IF($C923="T",1,MIN(1,MAX(0,($N923-Inputs!$B$8)/MAX($P923-Inputs!$B$8,0.01))))))</f>
        <v/>
      </c>
      <c r="S923" s="17" t="str">
        <f aca="false">IF($C923="","",IF(OR($E923="G",$E923="H"),0,IF($E923="T",1,MIN(1,MAX(0,($O923-Inputs!$B$8)/MAX($P923-Inputs!$B$8,0.01))))))</f>
        <v/>
      </c>
    </row>
    <row r="924" customFormat="false" ht="15" hidden="false" customHeight="false" outlineLevel="0" collapsed="false">
      <c r="I924" s="7" t="str">
        <f aca="false">IF($C924="","",IF($C924="G","PUTT",IF(AND($C924="T",$M924&gt;3),"OTT",IF($D924&lt;=30,"ARG","APP"))))</f>
        <v/>
      </c>
      <c r="J924" s="17" t="str">
        <f aca="false">IF($C924="","",$N924+$Q924*$R924)</f>
        <v/>
      </c>
      <c r="K924" s="17" t="str">
        <f aca="false">IF($C924="","",$O924+$Q924*$S924)</f>
        <v/>
      </c>
      <c r="L924" s="17" t="str">
        <f aca="false">IF($C924="","",$J924-$K924-1-N($G924))</f>
        <v/>
      </c>
      <c r="M924" s="7" t="str">
        <f aca="false">IF($B924="","",INDEX(Course!$B$2:$B$19,MATCH($B924,Course!$A$2:$A$19,0)))</f>
        <v/>
      </c>
      <c r="N924" s="17" t="str">
        <f aca="false">IF($C924="","",IF($C924="H",0,IF($C924="G",INDEX(Baseline!$I$3:$I$102,MIN(MAX(ROUND($D924,0),1),100)),IF($C924="T",IF($M924=3,INDEX(Baseline!$B$3:$B$122,MATCH(MIN(MAX(ROUND(($D924)/5,0)*5,5),600),Baseline!$A$3:$A$122,0))-Inputs!$B$9,INDEX(Course!$N$2:$N$19,MATCH($B924,Course!$A$2:$A$19,0))),INDEX(Baseline!$B$3:$E$122,MATCH(MIN(MAX(ROUND(($D924)/5,0)*5,5),600),Baseline!$A$3:$A$122,0),MATCH($C924,Baseline!$B$2:$E$2,0))))))</f>
        <v/>
      </c>
      <c r="O924" s="17" t="str">
        <f aca="false">IF($C924="","",IF($E924="H",0,IF($E924="G",INDEX(Baseline!$I$3:$I$102,MIN(MAX(ROUND($F924,0),1),100)),IF($E924="T",IF($M924=3,INDEX(Baseline!$B$3:$B$122,MATCH(MIN(MAX(ROUND(($F924)/5,0)*5,5),600),Baseline!$A$3:$A$122,0))-Inputs!$B$9,INDEX(Course!$N$2:$N$19,MATCH($B924,Course!$A$2:$A$19,0))),INDEX(Baseline!$B$3:$E$122,MATCH(MIN(MAX(ROUND(($F924)/5,0)*5,5),600),Baseline!$A$3:$A$122,0),MATCH($E924,Baseline!$B$2:$E$2,0))))))</f>
        <v/>
      </c>
      <c r="P924" s="17" t="str">
        <f aca="false">IF($B924="","",INDEX(Course!$N$2:$N$19,MATCH($B924,Course!$A$2:$A$19,0)))</f>
        <v/>
      </c>
      <c r="Q924" s="17" t="str">
        <f aca="false">IF($B924="","",INDEX(Course!$P$2:$P$19,MATCH($B924,Course!$A$2:$A$19,0)))</f>
        <v/>
      </c>
      <c r="R924" s="17" t="str">
        <f aca="false">IF($C924="","",IF(OR($C924="G",$C924="H"),0,IF($C924="T",1,MIN(1,MAX(0,($N924-Inputs!$B$8)/MAX($P924-Inputs!$B$8,0.01))))))</f>
        <v/>
      </c>
      <c r="S924" s="17" t="str">
        <f aca="false">IF($C924="","",IF(OR($E924="G",$E924="H"),0,IF($E924="T",1,MIN(1,MAX(0,($O924-Inputs!$B$8)/MAX($P924-Inputs!$B$8,0.01))))))</f>
        <v/>
      </c>
    </row>
    <row r="925" customFormat="false" ht="15" hidden="false" customHeight="false" outlineLevel="0" collapsed="false">
      <c r="I925" s="7" t="str">
        <f aca="false">IF($C925="","",IF($C925="G","PUTT",IF(AND($C925="T",$M925&gt;3),"OTT",IF($D925&lt;=30,"ARG","APP"))))</f>
        <v/>
      </c>
      <c r="J925" s="17" t="str">
        <f aca="false">IF($C925="","",$N925+$Q925*$R925)</f>
        <v/>
      </c>
      <c r="K925" s="17" t="str">
        <f aca="false">IF($C925="","",$O925+$Q925*$S925)</f>
        <v/>
      </c>
      <c r="L925" s="17" t="str">
        <f aca="false">IF($C925="","",$J925-$K925-1-N($G925))</f>
        <v/>
      </c>
      <c r="M925" s="7" t="str">
        <f aca="false">IF($B925="","",INDEX(Course!$B$2:$B$19,MATCH($B925,Course!$A$2:$A$19,0)))</f>
        <v/>
      </c>
      <c r="N925" s="17" t="str">
        <f aca="false">IF($C925="","",IF($C925="H",0,IF($C925="G",INDEX(Baseline!$I$3:$I$102,MIN(MAX(ROUND($D925,0),1),100)),IF($C925="T",IF($M925=3,INDEX(Baseline!$B$3:$B$122,MATCH(MIN(MAX(ROUND(($D925)/5,0)*5,5),600),Baseline!$A$3:$A$122,0))-Inputs!$B$9,INDEX(Course!$N$2:$N$19,MATCH($B925,Course!$A$2:$A$19,0))),INDEX(Baseline!$B$3:$E$122,MATCH(MIN(MAX(ROUND(($D925)/5,0)*5,5),600),Baseline!$A$3:$A$122,0),MATCH($C925,Baseline!$B$2:$E$2,0))))))</f>
        <v/>
      </c>
      <c r="O925" s="17" t="str">
        <f aca="false">IF($C925="","",IF($E925="H",0,IF($E925="G",INDEX(Baseline!$I$3:$I$102,MIN(MAX(ROUND($F925,0),1),100)),IF($E925="T",IF($M925=3,INDEX(Baseline!$B$3:$B$122,MATCH(MIN(MAX(ROUND(($F925)/5,0)*5,5),600),Baseline!$A$3:$A$122,0))-Inputs!$B$9,INDEX(Course!$N$2:$N$19,MATCH($B925,Course!$A$2:$A$19,0))),INDEX(Baseline!$B$3:$E$122,MATCH(MIN(MAX(ROUND(($F925)/5,0)*5,5),600),Baseline!$A$3:$A$122,0),MATCH($E925,Baseline!$B$2:$E$2,0))))))</f>
        <v/>
      </c>
      <c r="P925" s="17" t="str">
        <f aca="false">IF($B925="","",INDEX(Course!$N$2:$N$19,MATCH($B925,Course!$A$2:$A$19,0)))</f>
        <v/>
      </c>
      <c r="Q925" s="17" t="str">
        <f aca="false">IF($B925="","",INDEX(Course!$P$2:$P$19,MATCH($B925,Course!$A$2:$A$19,0)))</f>
        <v/>
      </c>
      <c r="R925" s="17" t="str">
        <f aca="false">IF($C925="","",IF(OR($C925="G",$C925="H"),0,IF($C925="T",1,MIN(1,MAX(0,($N925-Inputs!$B$8)/MAX($P925-Inputs!$B$8,0.01))))))</f>
        <v/>
      </c>
      <c r="S925" s="17" t="str">
        <f aca="false">IF($C925="","",IF(OR($E925="G",$E925="H"),0,IF($E925="T",1,MIN(1,MAX(0,($O925-Inputs!$B$8)/MAX($P925-Inputs!$B$8,0.01))))))</f>
        <v/>
      </c>
    </row>
    <row r="926" customFormat="false" ht="15" hidden="false" customHeight="false" outlineLevel="0" collapsed="false">
      <c r="I926" s="7" t="str">
        <f aca="false">IF($C926="","",IF($C926="G","PUTT",IF(AND($C926="T",$M926&gt;3),"OTT",IF($D926&lt;=30,"ARG","APP"))))</f>
        <v/>
      </c>
      <c r="J926" s="17" t="str">
        <f aca="false">IF($C926="","",$N926+$Q926*$R926)</f>
        <v/>
      </c>
      <c r="K926" s="17" t="str">
        <f aca="false">IF($C926="","",$O926+$Q926*$S926)</f>
        <v/>
      </c>
      <c r="L926" s="17" t="str">
        <f aca="false">IF($C926="","",$J926-$K926-1-N($G926))</f>
        <v/>
      </c>
      <c r="M926" s="7" t="str">
        <f aca="false">IF($B926="","",INDEX(Course!$B$2:$B$19,MATCH($B926,Course!$A$2:$A$19,0)))</f>
        <v/>
      </c>
      <c r="N926" s="17" t="str">
        <f aca="false">IF($C926="","",IF($C926="H",0,IF($C926="G",INDEX(Baseline!$I$3:$I$102,MIN(MAX(ROUND($D926,0),1),100)),IF($C926="T",IF($M926=3,INDEX(Baseline!$B$3:$B$122,MATCH(MIN(MAX(ROUND(($D926)/5,0)*5,5),600),Baseline!$A$3:$A$122,0))-Inputs!$B$9,INDEX(Course!$N$2:$N$19,MATCH($B926,Course!$A$2:$A$19,0))),INDEX(Baseline!$B$3:$E$122,MATCH(MIN(MAX(ROUND(($D926)/5,0)*5,5),600),Baseline!$A$3:$A$122,0),MATCH($C926,Baseline!$B$2:$E$2,0))))))</f>
        <v/>
      </c>
      <c r="O926" s="17" t="str">
        <f aca="false">IF($C926="","",IF($E926="H",0,IF($E926="G",INDEX(Baseline!$I$3:$I$102,MIN(MAX(ROUND($F926,0),1),100)),IF($E926="T",IF($M926=3,INDEX(Baseline!$B$3:$B$122,MATCH(MIN(MAX(ROUND(($F926)/5,0)*5,5),600),Baseline!$A$3:$A$122,0))-Inputs!$B$9,INDEX(Course!$N$2:$N$19,MATCH($B926,Course!$A$2:$A$19,0))),INDEX(Baseline!$B$3:$E$122,MATCH(MIN(MAX(ROUND(($F926)/5,0)*5,5),600),Baseline!$A$3:$A$122,0),MATCH($E926,Baseline!$B$2:$E$2,0))))))</f>
        <v/>
      </c>
      <c r="P926" s="17" t="str">
        <f aca="false">IF($B926="","",INDEX(Course!$N$2:$N$19,MATCH($B926,Course!$A$2:$A$19,0)))</f>
        <v/>
      </c>
      <c r="Q926" s="17" t="str">
        <f aca="false">IF($B926="","",INDEX(Course!$P$2:$P$19,MATCH($B926,Course!$A$2:$A$19,0)))</f>
        <v/>
      </c>
      <c r="R926" s="17" t="str">
        <f aca="false">IF($C926="","",IF(OR($C926="G",$C926="H"),0,IF($C926="T",1,MIN(1,MAX(0,($N926-Inputs!$B$8)/MAX($P926-Inputs!$B$8,0.01))))))</f>
        <v/>
      </c>
      <c r="S926" s="17" t="str">
        <f aca="false">IF($C926="","",IF(OR($E926="G",$E926="H"),0,IF($E926="T",1,MIN(1,MAX(0,($O926-Inputs!$B$8)/MAX($P926-Inputs!$B$8,0.01))))))</f>
        <v/>
      </c>
    </row>
    <row r="927" customFormat="false" ht="15" hidden="false" customHeight="false" outlineLevel="0" collapsed="false">
      <c r="I927" s="7" t="str">
        <f aca="false">IF($C927="","",IF($C927="G","PUTT",IF(AND($C927="T",$M927&gt;3),"OTT",IF($D927&lt;=30,"ARG","APP"))))</f>
        <v/>
      </c>
      <c r="J927" s="17" t="str">
        <f aca="false">IF($C927="","",$N927+$Q927*$R927)</f>
        <v/>
      </c>
      <c r="K927" s="17" t="str">
        <f aca="false">IF($C927="","",$O927+$Q927*$S927)</f>
        <v/>
      </c>
      <c r="L927" s="17" t="str">
        <f aca="false">IF($C927="","",$J927-$K927-1-N($G927))</f>
        <v/>
      </c>
      <c r="M927" s="7" t="str">
        <f aca="false">IF($B927="","",INDEX(Course!$B$2:$B$19,MATCH($B927,Course!$A$2:$A$19,0)))</f>
        <v/>
      </c>
      <c r="N927" s="17" t="str">
        <f aca="false">IF($C927="","",IF($C927="H",0,IF($C927="G",INDEX(Baseline!$I$3:$I$102,MIN(MAX(ROUND($D927,0),1),100)),IF($C927="T",IF($M927=3,INDEX(Baseline!$B$3:$B$122,MATCH(MIN(MAX(ROUND(($D927)/5,0)*5,5),600),Baseline!$A$3:$A$122,0))-Inputs!$B$9,INDEX(Course!$N$2:$N$19,MATCH($B927,Course!$A$2:$A$19,0))),INDEX(Baseline!$B$3:$E$122,MATCH(MIN(MAX(ROUND(($D927)/5,0)*5,5),600),Baseline!$A$3:$A$122,0),MATCH($C927,Baseline!$B$2:$E$2,0))))))</f>
        <v/>
      </c>
      <c r="O927" s="17" t="str">
        <f aca="false">IF($C927="","",IF($E927="H",0,IF($E927="G",INDEX(Baseline!$I$3:$I$102,MIN(MAX(ROUND($F927,0),1),100)),IF($E927="T",IF($M927=3,INDEX(Baseline!$B$3:$B$122,MATCH(MIN(MAX(ROUND(($F927)/5,0)*5,5),600),Baseline!$A$3:$A$122,0))-Inputs!$B$9,INDEX(Course!$N$2:$N$19,MATCH($B927,Course!$A$2:$A$19,0))),INDEX(Baseline!$B$3:$E$122,MATCH(MIN(MAX(ROUND(($F927)/5,0)*5,5),600),Baseline!$A$3:$A$122,0),MATCH($E927,Baseline!$B$2:$E$2,0))))))</f>
        <v/>
      </c>
      <c r="P927" s="17" t="str">
        <f aca="false">IF($B927="","",INDEX(Course!$N$2:$N$19,MATCH($B927,Course!$A$2:$A$19,0)))</f>
        <v/>
      </c>
      <c r="Q927" s="17" t="str">
        <f aca="false">IF($B927="","",INDEX(Course!$P$2:$P$19,MATCH($B927,Course!$A$2:$A$19,0)))</f>
        <v/>
      </c>
      <c r="R927" s="17" t="str">
        <f aca="false">IF($C927="","",IF(OR($C927="G",$C927="H"),0,IF($C927="T",1,MIN(1,MAX(0,($N927-Inputs!$B$8)/MAX($P927-Inputs!$B$8,0.01))))))</f>
        <v/>
      </c>
      <c r="S927" s="17" t="str">
        <f aca="false">IF($C927="","",IF(OR($E927="G",$E927="H"),0,IF($E927="T",1,MIN(1,MAX(0,($O927-Inputs!$B$8)/MAX($P927-Inputs!$B$8,0.01))))))</f>
        <v/>
      </c>
    </row>
    <row r="928" customFormat="false" ht="15" hidden="false" customHeight="false" outlineLevel="0" collapsed="false">
      <c r="I928" s="7" t="str">
        <f aca="false">IF($C928="","",IF($C928="G","PUTT",IF(AND($C928="T",$M928&gt;3),"OTT",IF($D928&lt;=30,"ARG","APP"))))</f>
        <v/>
      </c>
      <c r="J928" s="17" t="str">
        <f aca="false">IF($C928="","",$N928+$Q928*$R928)</f>
        <v/>
      </c>
      <c r="K928" s="17" t="str">
        <f aca="false">IF($C928="","",$O928+$Q928*$S928)</f>
        <v/>
      </c>
      <c r="L928" s="17" t="str">
        <f aca="false">IF($C928="","",$J928-$K928-1-N($G928))</f>
        <v/>
      </c>
      <c r="M928" s="7" t="str">
        <f aca="false">IF($B928="","",INDEX(Course!$B$2:$B$19,MATCH($B928,Course!$A$2:$A$19,0)))</f>
        <v/>
      </c>
      <c r="N928" s="17" t="str">
        <f aca="false">IF($C928="","",IF($C928="H",0,IF($C928="G",INDEX(Baseline!$I$3:$I$102,MIN(MAX(ROUND($D928,0),1),100)),IF($C928="T",IF($M928=3,INDEX(Baseline!$B$3:$B$122,MATCH(MIN(MAX(ROUND(($D928)/5,0)*5,5),600),Baseline!$A$3:$A$122,0))-Inputs!$B$9,INDEX(Course!$N$2:$N$19,MATCH($B928,Course!$A$2:$A$19,0))),INDEX(Baseline!$B$3:$E$122,MATCH(MIN(MAX(ROUND(($D928)/5,0)*5,5),600),Baseline!$A$3:$A$122,0),MATCH($C928,Baseline!$B$2:$E$2,0))))))</f>
        <v/>
      </c>
      <c r="O928" s="17" t="str">
        <f aca="false">IF($C928="","",IF($E928="H",0,IF($E928="G",INDEX(Baseline!$I$3:$I$102,MIN(MAX(ROUND($F928,0),1),100)),IF($E928="T",IF($M928=3,INDEX(Baseline!$B$3:$B$122,MATCH(MIN(MAX(ROUND(($F928)/5,0)*5,5),600),Baseline!$A$3:$A$122,0))-Inputs!$B$9,INDEX(Course!$N$2:$N$19,MATCH($B928,Course!$A$2:$A$19,0))),INDEX(Baseline!$B$3:$E$122,MATCH(MIN(MAX(ROUND(($F928)/5,0)*5,5),600),Baseline!$A$3:$A$122,0),MATCH($E928,Baseline!$B$2:$E$2,0))))))</f>
        <v/>
      </c>
      <c r="P928" s="17" t="str">
        <f aca="false">IF($B928="","",INDEX(Course!$N$2:$N$19,MATCH($B928,Course!$A$2:$A$19,0)))</f>
        <v/>
      </c>
      <c r="Q928" s="17" t="str">
        <f aca="false">IF($B928="","",INDEX(Course!$P$2:$P$19,MATCH($B928,Course!$A$2:$A$19,0)))</f>
        <v/>
      </c>
      <c r="R928" s="17" t="str">
        <f aca="false">IF($C928="","",IF(OR($C928="G",$C928="H"),0,IF($C928="T",1,MIN(1,MAX(0,($N928-Inputs!$B$8)/MAX($P928-Inputs!$B$8,0.01))))))</f>
        <v/>
      </c>
      <c r="S928" s="17" t="str">
        <f aca="false">IF($C928="","",IF(OR($E928="G",$E928="H"),0,IF($E928="T",1,MIN(1,MAX(0,($O928-Inputs!$B$8)/MAX($P928-Inputs!$B$8,0.01))))))</f>
        <v/>
      </c>
    </row>
    <row r="929" customFormat="false" ht="15" hidden="false" customHeight="false" outlineLevel="0" collapsed="false">
      <c r="I929" s="7" t="str">
        <f aca="false">IF($C929="","",IF($C929="G","PUTT",IF(AND($C929="T",$M929&gt;3),"OTT",IF($D929&lt;=30,"ARG","APP"))))</f>
        <v/>
      </c>
      <c r="J929" s="17" t="str">
        <f aca="false">IF($C929="","",$N929+$Q929*$R929)</f>
        <v/>
      </c>
      <c r="K929" s="17" t="str">
        <f aca="false">IF($C929="","",$O929+$Q929*$S929)</f>
        <v/>
      </c>
      <c r="L929" s="17" t="str">
        <f aca="false">IF($C929="","",$J929-$K929-1-N($G929))</f>
        <v/>
      </c>
      <c r="M929" s="7" t="str">
        <f aca="false">IF($B929="","",INDEX(Course!$B$2:$B$19,MATCH($B929,Course!$A$2:$A$19,0)))</f>
        <v/>
      </c>
      <c r="N929" s="17" t="str">
        <f aca="false">IF($C929="","",IF($C929="H",0,IF($C929="G",INDEX(Baseline!$I$3:$I$102,MIN(MAX(ROUND($D929,0),1),100)),IF($C929="T",IF($M929=3,INDEX(Baseline!$B$3:$B$122,MATCH(MIN(MAX(ROUND(($D929)/5,0)*5,5),600),Baseline!$A$3:$A$122,0))-Inputs!$B$9,INDEX(Course!$N$2:$N$19,MATCH($B929,Course!$A$2:$A$19,0))),INDEX(Baseline!$B$3:$E$122,MATCH(MIN(MAX(ROUND(($D929)/5,0)*5,5),600),Baseline!$A$3:$A$122,0),MATCH($C929,Baseline!$B$2:$E$2,0))))))</f>
        <v/>
      </c>
      <c r="O929" s="17" t="str">
        <f aca="false">IF($C929="","",IF($E929="H",0,IF($E929="G",INDEX(Baseline!$I$3:$I$102,MIN(MAX(ROUND($F929,0),1),100)),IF($E929="T",IF($M929=3,INDEX(Baseline!$B$3:$B$122,MATCH(MIN(MAX(ROUND(($F929)/5,0)*5,5),600),Baseline!$A$3:$A$122,0))-Inputs!$B$9,INDEX(Course!$N$2:$N$19,MATCH($B929,Course!$A$2:$A$19,0))),INDEX(Baseline!$B$3:$E$122,MATCH(MIN(MAX(ROUND(($F929)/5,0)*5,5),600),Baseline!$A$3:$A$122,0),MATCH($E929,Baseline!$B$2:$E$2,0))))))</f>
        <v/>
      </c>
      <c r="P929" s="17" t="str">
        <f aca="false">IF($B929="","",INDEX(Course!$N$2:$N$19,MATCH($B929,Course!$A$2:$A$19,0)))</f>
        <v/>
      </c>
      <c r="Q929" s="17" t="str">
        <f aca="false">IF($B929="","",INDEX(Course!$P$2:$P$19,MATCH($B929,Course!$A$2:$A$19,0)))</f>
        <v/>
      </c>
      <c r="R929" s="17" t="str">
        <f aca="false">IF($C929="","",IF(OR($C929="G",$C929="H"),0,IF($C929="T",1,MIN(1,MAX(0,($N929-Inputs!$B$8)/MAX($P929-Inputs!$B$8,0.01))))))</f>
        <v/>
      </c>
      <c r="S929" s="17" t="str">
        <f aca="false">IF($C929="","",IF(OR($E929="G",$E929="H"),0,IF($E929="T",1,MIN(1,MAX(0,($O929-Inputs!$B$8)/MAX($P929-Inputs!$B$8,0.01))))))</f>
        <v/>
      </c>
    </row>
    <row r="930" customFormat="false" ht="15" hidden="false" customHeight="false" outlineLevel="0" collapsed="false">
      <c r="I930" s="7" t="str">
        <f aca="false">IF($C930="","",IF($C930="G","PUTT",IF(AND($C930="T",$M930&gt;3),"OTT",IF($D930&lt;=30,"ARG","APP"))))</f>
        <v/>
      </c>
      <c r="J930" s="17" t="str">
        <f aca="false">IF($C930="","",$N930+$Q930*$R930)</f>
        <v/>
      </c>
      <c r="K930" s="17" t="str">
        <f aca="false">IF($C930="","",$O930+$Q930*$S930)</f>
        <v/>
      </c>
      <c r="L930" s="17" t="str">
        <f aca="false">IF($C930="","",$J930-$K930-1-N($G930))</f>
        <v/>
      </c>
      <c r="M930" s="7" t="str">
        <f aca="false">IF($B930="","",INDEX(Course!$B$2:$B$19,MATCH($B930,Course!$A$2:$A$19,0)))</f>
        <v/>
      </c>
      <c r="N930" s="17" t="str">
        <f aca="false">IF($C930="","",IF($C930="H",0,IF($C930="G",INDEX(Baseline!$I$3:$I$102,MIN(MAX(ROUND($D930,0),1),100)),IF($C930="T",IF($M930=3,INDEX(Baseline!$B$3:$B$122,MATCH(MIN(MAX(ROUND(($D930)/5,0)*5,5),600),Baseline!$A$3:$A$122,0))-Inputs!$B$9,INDEX(Course!$N$2:$N$19,MATCH($B930,Course!$A$2:$A$19,0))),INDEX(Baseline!$B$3:$E$122,MATCH(MIN(MAX(ROUND(($D930)/5,0)*5,5),600),Baseline!$A$3:$A$122,0),MATCH($C930,Baseline!$B$2:$E$2,0))))))</f>
        <v/>
      </c>
      <c r="O930" s="17" t="str">
        <f aca="false">IF($C930="","",IF($E930="H",0,IF($E930="G",INDEX(Baseline!$I$3:$I$102,MIN(MAX(ROUND($F930,0),1),100)),IF($E930="T",IF($M930=3,INDEX(Baseline!$B$3:$B$122,MATCH(MIN(MAX(ROUND(($F930)/5,0)*5,5),600),Baseline!$A$3:$A$122,0))-Inputs!$B$9,INDEX(Course!$N$2:$N$19,MATCH($B930,Course!$A$2:$A$19,0))),INDEX(Baseline!$B$3:$E$122,MATCH(MIN(MAX(ROUND(($F930)/5,0)*5,5),600),Baseline!$A$3:$A$122,0),MATCH($E930,Baseline!$B$2:$E$2,0))))))</f>
        <v/>
      </c>
      <c r="P930" s="17" t="str">
        <f aca="false">IF($B930="","",INDEX(Course!$N$2:$N$19,MATCH($B930,Course!$A$2:$A$19,0)))</f>
        <v/>
      </c>
      <c r="Q930" s="17" t="str">
        <f aca="false">IF($B930="","",INDEX(Course!$P$2:$P$19,MATCH($B930,Course!$A$2:$A$19,0)))</f>
        <v/>
      </c>
      <c r="R930" s="17" t="str">
        <f aca="false">IF($C930="","",IF(OR($C930="G",$C930="H"),0,IF($C930="T",1,MIN(1,MAX(0,($N930-Inputs!$B$8)/MAX($P930-Inputs!$B$8,0.01))))))</f>
        <v/>
      </c>
      <c r="S930" s="17" t="str">
        <f aca="false">IF($C930="","",IF(OR($E930="G",$E930="H"),0,IF($E930="T",1,MIN(1,MAX(0,($O930-Inputs!$B$8)/MAX($P930-Inputs!$B$8,0.01))))))</f>
        <v/>
      </c>
    </row>
    <row r="931" customFormat="false" ht="15" hidden="false" customHeight="false" outlineLevel="0" collapsed="false">
      <c r="I931" s="7" t="str">
        <f aca="false">IF($C931="","",IF($C931="G","PUTT",IF(AND($C931="T",$M931&gt;3),"OTT",IF($D931&lt;=30,"ARG","APP"))))</f>
        <v/>
      </c>
      <c r="J931" s="17" t="str">
        <f aca="false">IF($C931="","",$N931+$Q931*$R931)</f>
        <v/>
      </c>
      <c r="K931" s="17" t="str">
        <f aca="false">IF($C931="","",$O931+$Q931*$S931)</f>
        <v/>
      </c>
      <c r="L931" s="17" t="str">
        <f aca="false">IF($C931="","",$J931-$K931-1-N($G931))</f>
        <v/>
      </c>
      <c r="M931" s="7" t="str">
        <f aca="false">IF($B931="","",INDEX(Course!$B$2:$B$19,MATCH($B931,Course!$A$2:$A$19,0)))</f>
        <v/>
      </c>
      <c r="N931" s="17" t="str">
        <f aca="false">IF($C931="","",IF($C931="H",0,IF($C931="G",INDEX(Baseline!$I$3:$I$102,MIN(MAX(ROUND($D931,0),1),100)),IF($C931="T",IF($M931=3,INDEX(Baseline!$B$3:$B$122,MATCH(MIN(MAX(ROUND(($D931)/5,0)*5,5),600),Baseline!$A$3:$A$122,0))-Inputs!$B$9,INDEX(Course!$N$2:$N$19,MATCH($B931,Course!$A$2:$A$19,0))),INDEX(Baseline!$B$3:$E$122,MATCH(MIN(MAX(ROUND(($D931)/5,0)*5,5),600),Baseline!$A$3:$A$122,0),MATCH($C931,Baseline!$B$2:$E$2,0))))))</f>
        <v/>
      </c>
      <c r="O931" s="17" t="str">
        <f aca="false">IF($C931="","",IF($E931="H",0,IF($E931="G",INDEX(Baseline!$I$3:$I$102,MIN(MAX(ROUND($F931,0),1),100)),IF($E931="T",IF($M931=3,INDEX(Baseline!$B$3:$B$122,MATCH(MIN(MAX(ROUND(($F931)/5,0)*5,5),600),Baseline!$A$3:$A$122,0))-Inputs!$B$9,INDEX(Course!$N$2:$N$19,MATCH($B931,Course!$A$2:$A$19,0))),INDEX(Baseline!$B$3:$E$122,MATCH(MIN(MAX(ROUND(($F931)/5,0)*5,5),600),Baseline!$A$3:$A$122,0),MATCH($E931,Baseline!$B$2:$E$2,0))))))</f>
        <v/>
      </c>
      <c r="P931" s="17" t="str">
        <f aca="false">IF($B931="","",INDEX(Course!$N$2:$N$19,MATCH($B931,Course!$A$2:$A$19,0)))</f>
        <v/>
      </c>
      <c r="Q931" s="17" t="str">
        <f aca="false">IF($B931="","",INDEX(Course!$P$2:$P$19,MATCH($B931,Course!$A$2:$A$19,0)))</f>
        <v/>
      </c>
      <c r="R931" s="17" t="str">
        <f aca="false">IF($C931="","",IF(OR($C931="G",$C931="H"),0,IF($C931="T",1,MIN(1,MAX(0,($N931-Inputs!$B$8)/MAX($P931-Inputs!$B$8,0.01))))))</f>
        <v/>
      </c>
      <c r="S931" s="17" t="str">
        <f aca="false">IF($C931="","",IF(OR($E931="G",$E931="H"),0,IF($E931="T",1,MIN(1,MAX(0,($O931-Inputs!$B$8)/MAX($P931-Inputs!$B$8,0.01))))))</f>
        <v/>
      </c>
    </row>
    <row r="932" customFormat="false" ht="15" hidden="false" customHeight="false" outlineLevel="0" collapsed="false">
      <c r="I932" s="7" t="str">
        <f aca="false">IF($C932="","",IF($C932="G","PUTT",IF(AND($C932="T",$M932&gt;3),"OTT",IF($D932&lt;=30,"ARG","APP"))))</f>
        <v/>
      </c>
      <c r="J932" s="17" t="str">
        <f aca="false">IF($C932="","",$N932+$Q932*$R932)</f>
        <v/>
      </c>
      <c r="K932" s="17" t="str">
        <f aca="false">IF($C932="","",$O932+$Q932*$S932)</f>
        <v/>
      </c>
      <c r="L932" s="17" t="str">
        <f aca="false">IF($C932="","",$J932-$K932-1-N($G932))</f>
        <v/>
      </c>
      <c r="M932" s="7" t="str">
        <f aca="false">IF($B932="","",INDEX(Course!$B$2:$B$19,MATCH($B932,Course!$A$2:$A$19,0)))</f>
        <v/>
      </c>
      <c r="N932" s="17" t="str">
        <f aca="false">IF($C932="","",IF($C932="H",0,IF($C932="G",INDEX(Baseline!$I$3:$I$102,MIN(MAX(ROUND($D932,0),1),100)),IF($C932="T",IF($M932=3,INDEX(Baseline!$B$3:$B$122,MATCH(MIN(MAX(ROUND(($D932)/5,0)*5,5),600),Baseline!$A$3:$A$122,0))-Inputs!$B$9,INDEX(Course!$N$2:$N$19,MATCH($B932,Course!$A$2:$A$19,0))),INDEX(Baseline!$B$3:$E$122,MATCH(MIN(MAX(ROUND(($D932)/5,0)*5,5),600),Baseline!$A$3:$A$122,0),MATCH($C932,Baseline!$B$2:$E$2,0))))))</f>
        <v/>
      </c>
      <c r="O932" s="17" t="str">
        <f aca="false">IF($C932="","",IF($E932="H",0,IF($E932="G",INDEX(Baseline!$I$3:$I$102,MIN(MAX(ROUND($F932,0),1),100)),IF($E932="T",IF($M932=3,INDEX(Baseline!$B$3:$B$122,MATCH(MIN(MAX(ROUND(($F932)/5,0)*5,5),600),Baseline!$A$3:$A$122,0))-Inputs!$B$9,INDEX(Course!$N$2:$N$19,MATCH($B932,Course!$A$2:$A$19,0))),INDEX(Baseline!$B$3:$E$122,MATCH(MIN(MAX(ROUND(($F932)/5,0)*5,5),600),Baseline!$A$3:$A$122,0),MATCH($E932,Baseline!$B$2:$E$2,0))))))</f>
        <v/>
      </c>
      <c r="P932" s="17" t="str">
        <f aca="false">IF($B932="","",INDEX(Course!$N$2:$N$19,MATCH($B932,Course!$A$2:$A$19,0)))</f>
        <v/>
      </c>
      <c r="Q932" s="17" t="str">
        <f aca="false">IF($B932="","",INDEX(Course!$P$2:$P$19,MATCH($B932,Course!$A$2:$A$19,0)))</f>
        <v/>
      </c>
      <c r="R932" s="17" t="str">
        <f aca="false">IF($C932="","",IF(OR($C932="G",$C932="H"),0,IF($C932="T",1,MIN(1,MAX(0,($N932-Inputs!$B$8)/MAX($P932-Inputs!$B$8,0.01))))))</f>
        <v/>
      </c>
      <c r="S932" s="17" t="str">
        <f aca="false">IF($C932="","",IF(OR($E932="G",$E932="H"),0,IF($E932="T",1,MIN(1,MAX(0,($O932-Inputs!$B$8)/MAX($P932-Inputs!$B$8,0.01))))))</f>
        <v/>
      </c>
    </row>
    <row r="933" customFormat="false" ht="15" hidden="false" customHeight="false" outlineLevel="0" collapsed="false">
      <c r="I933" s="7" t="str">
        <f aca="false">IF($C933="","",IF($C933="G","PUTT",IF(AND($C933="T",$M933&gt;3),"OTT",IF($D933&lt;=30,"ARG","APP"))))</f>
        <v/>
      </c>
      <c r="J933" s="17" t="str">
        <f aca="false">IF($C933="","",$N933+$Q933*$R933)</f>
        <v/>
      </c>
      <c r="K933" s="17" t="str">
        <f aca="false">IF($C933="","",$O933+$Q933*$S933)</f>
        <v/>
      </c>
      <c r="L933" s="17" t="str">
        <f aca="false">IF($C933="","",$J933-$K933-1-N($G933))</f>
        <v/>
      </c>
      <c r="M933" s="7" t="str">
        <f aca="false">IF($B933="","",INDEX(Course!$B$2:$B$19,MATCH($B933,Course!$A$2:$A$19,0)))</f>
        <v/>
      </c>
      <c r="N933" s="17" t="str">
        <f aca="false">IF($C933="","",IF($C933="H",0,IF($C933="G",INDEX(Baseline!$I$3:$I$102,MIN(MAX(ROUND($D933,0),1),100)),IF($C933="T",IF($M933=3,INDEX(Baseline!$B$3:$B$122,MATCH(MIN(MAX(ROUND(($D933)/5,0)*5,5),600),Baseline!$A$3:$A$122,0))-Inputs!$B$9,INDEX(Course!$N$2:$N$19,MATCH($B933,Course!$A$2:$A$19,0))),INDEX(Baseline!$B$3:$E$122,MATCH(MIN(MAX(ROUND(($D933)/5,0)*5,5),600),Baseline!$A$3:$A$122,0),MATCH($C933,Baseline!$B$2:$E$2,0))))))</f>
        <v/>
      </c>
      <c r="O933" s="17" t="str">
        <f aca="false">IF($C933="","",IF($E933="H",0,IF($E933="G",INDEX(Baseline!$I$3:$I$102,MIN(MAX(ROUND($F933,0),1),100)),IF($E933="T",IF($M933=3,INDEX(Baseline!$B$3:$B$122,MATCH(MIN(MAX(ROUND(($F933)/5,0)*5,5),600),Baseline!$A$3:$A$122,0))-Inputs!$B$9,INDEX(Course!$N$2:$N$19,MATCH($B933,Course!$A$2:$A$19,0))),INDEX(Baseline!$B$3:$E$122,MATCH(MIN(MAX(ROUND(($F933)/5,0)*5,5),600),Baseline!$A$3:$A$122,0),MATCH($E933,Baseline!$B$2:$E$2,0))))))</f>
        <v/>
      </c>
      <c r="P933" s="17" t="str">
        <f aca="false">IF($B933="","",INDEX(Course!$N$2:$N$19,MATCH($B933,Course!$A$2:$A$19,0)))</f>
        <v/>
      </c>
      <c r="Q933" s="17" t="str">
        <f aca="false">IF($B933="","",INDEX(Course!$P$2:$P$19,MATCH($B933,Course!$A$2:$A$19,0)))</f>
        <v/>
      </c>
      <c r="R933" s="17" t="str">
        <f aca="false">IF($C933="","",IF(OR($C933="G",$C933="H"),0,IF($C933="T",1,MIN(1,MAX(0,($N933-Inputs!$B$8)/MAX($P933-Inputs!$B$8,0.01))))))</f>
        <v/>
      </c>
      <c r="S933" s="17" t="str">
        <f aca="false">IF($C933="","",IF(OR($E933="G",$E933="H"),0,IF($E933="T",1,MIN(1,MAX(0,($O933-Inputs!$B$8)/MAX($P933-Inputs!$B$8,0.01))))))</f>
        <v/>
      </c>
    </row>
    <row r="934" customFormat="false" ht="15" hidden="false" customHeight="false" outlineLevel="0" collapsed="false">
      <c r="I934" s="7" t="str">
        <f aca="false">IF($C934="","",IF($C934="G","PUTT",IF(AND($C934="T",$M934&gt;3),"OTT",IF($D934&lt;=30,"ARG","APP"))))</f>
        <v/>
      </c>
      <c r="J934" s="17" t="str">
        <f aca="false">IF($C934="","",$N934+$Q934*$R934)</f>
        <v/>
      </c>
      <c r="K934" s="17" t="str">
        <f aca="false">IF($C934="","",$O934+$Q934*$S934)</f>
        <v/>
      </c>
      <c r="L934" s="17" t="str">
        <f aca="false">IF($C934="","",$J934-$K934-1-N($G934))</f>
        <v/>
      </c>
      <c r="M934" s="7" t="str">
        <f aca="false">IF($B934="","",INDEX(Course!$B$2:$B$19,MATCH($B934,Course!$A$2:$A$19,0)))</f>
        <v/>
      </c>
      <c r="N934" s="17" t="str">
        <f aca="false">IF($C934="","",IF($C934="H",0,IF($C934="G",INDEX(Baseline!$I$3:$I$102,MIN(MAX(ROUND($D934,0),1),100)),IF($C934="T",IF($M934=3,INDEX(Baseline!$B$3:$B$122,MATCH(MIN(MAX(ROUND(($D934)/5,0)*5,5),600),Baseline!$A$3:$A$122,0))-Inputs!$B$9,INDEX(Course!$N$2:$N$19,MATCH($B934,Course!$A$2:$A$19,0))),INDEX(Baseline!$B$3:$E$122,MATCH(MIN(MAX(ROUND(($D934)/5,0)*5,5),600),Baseline!$A$3:$A$122,0),MATCH($C934,Baseline!$B$2:$E$2,0))))))</f>
        <v/>
      </c>
      <c r="O934" s="17" t="str">
        <f aca="false">IF($C934="","",IF($E934="H",0,IF($E934="G",INDEX(Baseline!$I$3:$I$102,MIN(MAX(ROUND($F934,0),1),100)),IF($E934="T",IF($M934=3,INDEX(Baseline!$B$3:$B$122,MATCH(MIN(MAX(ROUND(($F934)/5,0)*5,5),600),Baseline!$A$3:$A$122,0))-Inputs!$B$9,INDEX(Course!$N$2:$N$19,MATCH($B934,Course!$A$2:$A$19,0))),INDEX(Baseline!$B$3:$E$122,MATCH(MIN(MAX(ROUND(($F934)/5,0)*5,5),600),Baseline!$A$3:$A$122,0),MATCH($E934,Baseline!$B$2:$E$2,0))))))</f>
        <v/>
      </c>
      <c r="P934" s="17" t="str">
        <f aca="false">IF($B934="","",INDEX(Course!$N$2:$N$19,MATCH($B934,Course!$A$2:$A$19,0)))</f>
        <v/>
      </c>
      <c r="Q934" s="17" t="str">
        <f aca="false">IF($B934="","",INDEX(Course!$P$2:$P$19,MATCH($B934,Course!$A$2:$A$19,0)))</f>
        <v/>
      </c>
      <c r="R934" s="17" t="str">
        <f aca="false">IF($C934="","",IF(OR($C934="G",$C934="H"),0,IF($C934="T",1,MIN(1,MAX(0,($N934-Inputs!$B$8)/MAX($P934-Inputs!$B$8,0.01))))))</f>
        <v/>
      </c>
      <c r="S934" s="17" t="str">
        <f aca="false">IF($C934="","",IF(OR($E934="G",$E934="H"),0,IF($E934="T",1,MIN(1,MAX(0,($O934-Inputs!$B$8)/MAX($P934-Inputs!$B$8,0.01))))))</f>
        <v/>
      </c>
    </row>
    <row r="935" customFormat="false" ht="15" hidden="false" customHeight="false" outlineLevel="0" collapsed="false">
      <c r="I935" s="7" t="str">
        <f aca="false">IF($C935="","",IF($C935="G","PUTT",IF(AND($C935="T",$M935&gt;3),"OTT",IF($D935&lt;=30,"ARG","APP"))))</f>
        <v/>
      </c>
      <c r="J935" s="17" t="str">
        <f aca="false">IF($C935="","",$N935+$Q935*$R935)</f>
        <v/>
      </c>
      <c r="K935" s="17" t="str">
        <f aca="false">IF($C935="","",$O935+$Q935*$S935)</f>
        <v/>
      </c>
      <c r="L935" s="17" t="str">
        <f aca="false">IF($C935="","",$J935-$K935-1-N($G935))</f>
        <v/>
      </c>
      <c r="M935" s="7" t="str">
        <f aca="false">IF($B935="","",INDEX(Course!$B$2:$B$19,MATCH($B935,Course!$A$2:$A$19,0)))</f>
        <v/>
      </c>
      <c r="N935" s="17" t="str">
        <f aca="false">IF($C935="","",IF($C935="H",0,IF($C935="G",INDEX(Baseline!$I$3:$I$102,MIN(MAX(ROUND($D935,0),1),100)),IF($C935="T",IF($M935=3,INDEX(Baseline!$B$3:$B$122,MATCH(MIN(MAX(ROUND(($D935)/5,0)*5,5),600),Baseline!$A$3:$A$122,0))-Inputs!$B$9,INDEX(Course!$N$2:$N$19,MATCH($B935,Course!$A$2:$A$19,0))),INDEX(Baseline!$B$3:$E$122,MATCH(MIN(MAX(ROUND(($D935)/5,0)*5,5),600),Baseline!$A$3:$A$122,0),MATCH($C935,Baseline!$B$2:$E$2,0))))))</f>
        <v/>
      </c>
      <c r="O935" s="17" t="str">
        <f aca="false">IF($C935="","",IF($E935="H",0,IF($E935="G",INDEX(Baseline!$I$3:$I$102,MIN(MAX(ROUND($F935,0),1),100)),IF($E935="T",IF($M935=3,INDEX(Baseline!$B$3:$B$122,MATCH(MIN(MAX(ROUND(($F935)/5,0)*5,5),600),Baseline!$A$3:$A$122,0))-Inputs!$B$9,INDEX(Course!$N$2:$N$19,MATCH($B935,Course!$A$2:$A$19,0))),INDEX(Baseline!$B$3:$E$122,MATCH(MIN(MAX(ROUND(($F935)/5,0)*5,5),600),Baseline!$A$3:$A$122,0),MATCH($E935,Baseline!$B$2:$E$2,0))))))</f>
        <v/>
      </c>
      <c r="P935" s="17" t="str">
        <f aca="false">IF($B935="","",INDEX(Course!$N$2:$N$19,MATCH($B935,Course!$A$2:$A$19,0)))</f>
        <v/>
      </c>
      <c r="Q935" s="17" t="str">
        <f aca="false">IF($B935="","",INDEX(Course!$P$2:$P$19,MATCH($B935,Course!$A$2:$A$19,0)))</f>
        <v/>
      </c>
      <c r="R935" s="17" t="str">
        <f aca="false">IF($C935="","",IF(OR($C935="G",$C935="H"),0,IF($C935="T",1,MIN(1,MAX(0,($N935-Inputs!$B$8)/MAX($P935-Inputs!$B$8,0.01))))))</f>
        <v/>
      </c>
      <c r="S935" s="17" t="str">
        <f aca="false">IF($C935="","",IF(OR($E935="G",$E935="H"),0,IF($E935="T",1,MIN(1,MAX(0,($O935-Inputs!$B$8)/MAX($P935-Inputs!$B$8,0.01))))))</f>
        <v/>
      </c>
    </row>
    <row r="936" customFormat="false" ht="15" hidden="false" customHeight="false" outlineLevel="0" collapsed="false">
      <c r="I936" s="7" t="str">
        <f aca="false">IF($C936="","",IF($C936="G","PUTT",IF(AND($C936="T",$M936&gt;3),"OTT",IF($D936&lt;=30,"ARG","APP"))))</f>
        <v/>
      </c>
      <c r="J936" s="17" t="str">
        <f aca="false">IF($C936="","",$N936+$Q936*$R936)</f>
        <v/>
      </c>
      <c r="K936" s="17" t="str">
        <f aca="false">IF($C936="","",$O936+$Q936*$S936)</f>
        <v/>
      </c>
      <c r="L936" s="17" t="str">
        <f aca="false">IF($C936="","",$J936-$K936-1-N($G936))</f>
        <v/>
      </c>
      <c r="M936" s="7" t="str">
        <f aca="false">IF($B936="","",INDEX(Course!$B$2:$B$19,MATCH($B936,Course!$A$2:$A$19,0)))</f>
        <v/>
      </c>
      <c r="N936" s="17" t="str">
        <f aca="false">IF($C936="","",IF($C936="H",0,IF($C936="G",INDEX(Baseline!$I$3:$I$102,MIN(MAX(ROUND($D936,0),1),100)),IF($C936="T",IF($M936=3,INDEX(Baseline!$B$3:$B$122,MATCH(MIN(MAX(ROUND(($D936)/5,0)*5,5),600),Baseline!$A$3:$A$122,0))-Inputs!$B$9,INDEX(Course!$N$2:$N$19,MATCH($B936,Course!$A$2:$A$19,0))),INDEX(Baseline!$B$3:$E$122,MATCH(MIN(MAX(ROUND(($D936)/5,0)*5,5),600),Baseline!$A$3:$A$122,0),MATCH($C936,Baseline!$B$2:$E$2,0))))))</f>
        <v/>
      </c>
      <c r="O936" s="17" t="str">
        <f aca="false">IF($C936="","",IF($E936="H",0,IF($E936="G",INDEX(Baseline!$I$3:$I$102,MIN(MAX(ROUND($F936,0),1),100)),IF($E936="T",IF($M936=3,INDEX(Baseline!$B$3:$B$122,MATCH(MIN(MAX(ROUND(($F936)/5,0)*5,5),600),Baseline!$A$3:$A$122,0))-Inputs!$B$9,INDEX(Course!$N$2:$N$19,MATCH($B936,Course!$A$2:$A$19,0))),INDEX(Baseline!$B$3:$E$122,MATCH(MIN(MAX(ROUND(($F936)/5,0)*5,5),600),Baseline!$A$3:$A$122,0),MATCH($E936,Baseline!$B$2:$E$2,0))))))</f>
        <v/>
      </c>
      <c r="P936" s="17" t="str">
        <f aca="false">IF($B936="","",INDEX(Course!$N$2:$N$19,MATCH($B936,Course!$A$2:$A$19,0)))</f>
        <v/>
      </c>
      <c r="Q936" s="17" t="str">
        <f aca="false">IF($B936="","",INDEX(Course!$P$2:$P$19,MATCH($B936,Course!$A$2:$A$19,0)))</f>
        <v/>
      </c>
      <c r="R936" s="17" t="str">
        <f aca="false">IF($C936="","",IF(OR($C936="G",$C936="H"),0,IF($C936="T",1,MIN(1,MAX(0,($N936-Inputs!$B$8)/MAX($P936-Inputs!$B$8,0.01))))))</f>
        <v/>
      </c>
      <c r="S936" s="17" t="str">
        <f aca="false">IF($C936="","",IF(OR($E936="G",$E936="H"),0,IF($E936="T",1,MIN(1,MAX(0,($O936-Inputs!$B$8)/MAX($P936-Inputs!$B$8,0.01))))))</f>
        <v/>
      </c>
    </row>
    <row r="937" customFormat="false" ht="15" hidden="false" customHeight="false" outlineLevel="0" collapsed="false">
      <c r="I937" s="7" t="str">
        <f aca="false">IF($C937="","",IF($C937="G","PUTT",IF(AND($C937="T",$M937&gt;3),"OTT",IF($D937&lt;=30,"ARG","APP"))))</f>
        <v/>
      </c>
      <c r="J937" s="17" t="str">
        <f aca="false">IF($C937="","",$N937+$Q937*$R937)</f>
        <v/>
      </c>
      <c r="K937" s="17" t="str">
        <f aca="false">IF($C937="","",$O937+$Q937*$S937)</f>
        <v/>
      </c>
      <c r="L937" s="17" t="str">
        <f aca="false">IF($C937="","",$J937-$K937-1-N($G937))</f>
        <v/>
      </c>
      <c r="M937" s="7" t="str">
        <f aca="false">IF($B937="","",INDEX(Course!$B$2:$B$19,MATCH($B937,Course!$A$2:$A$19,0)))</f>
        <v/>
      </c>
      <c r="N937" s="17" t="str">
        <f aca="false">IF($C937="","",IF($C937="H",0,IF($C937="G",INDEX(Baseline!$I$3:$I$102,MIN(MAX(ROUND($D937,0),1),100)),IF($C937="T",IF($M937=3,INDEX(Baseline!$B$3:$B$122,MATCH(MIN(MAX(ROUND(($D937)/5,0)*5,5),600),Baseline!$A$3:$A$122,0))-Inputs!$B$9,INDEX(Course!$N$2:$N$19,MATCH($B937,Course!$A$2:$A$19,0))),INDEX(Baseline!$B$3:$E$122,MATCH(MIN(MAX(ROUND(($D937)/5,0)*5,5),600),Baseline!$A$3:$A$122,0),MATCH($C937,Baseline!$B$2:$E$2,0))))))</f>
        <v/>
      </c>
      <c r="O937" s="17" t="str">
        <f aca="false">IF($C937="","",IF($E937="H",0,IF($E937="G",INDEX(Baseline!$I$3:$I$102,MIN(MAX(ROUND($F937,0),1),100)),IF($E937="T",IF($M937=3,INDEX(Baseline!$B$3:$B$122,MATCH(MIN(MAX(ROUND(($F937)/5,0)*5,5),600),Baseline!$A$3:$A$122,0))-Inputs!$B$9,INDEX(Course!$N$2:$N$19,MATCH($B937,Course!$A$2:$A$19,0))),INDEX(Baseline!$B$3:$E$122,MATCH(MIN(MAX(ROUND(($F937)/5,0)*5,5),600),Baseline!$A$3:$A$122,0),MATCH($E937,Baseline!$B$2:$E$2,0))))))</f>
        <v/>
      </c>
      <c r="P937" s="17" t="str">
        <f aca="false">IF($B937="","",INDEX(Course!$N$2:$N$19,MATCH($B937,Course!$A$2:$A$19,0)))</f>
        <v/>
      </c>
      <c r="Q937" s="17" t="str">
        <f aca="false">IF($B937="","",INDEX(Course!$P$2:$P$19,MATCH($B937,Course!$A$2:$A$19,0)))</f>
        <v/>
      </c>
      <c r="R937" s="17" t="str">
        <f aca="false">IF($C937="","",IF(OR($C937="G",$C937="H"),0,IF($C937="T",1,MIN(1,MAX(0,($N937-Inputs!$B$8)/MAX($P937-Inputs!$B$8,0.01))))))</f>
        <v/>
      </c>
      <c r="S937" s="17" t="str">
        <f aca="false">IF($C937="","",IF(OR($E937="G",$E937="H"),0,IF($E937="T",1,MIN(1,MAX(0,($O937-Inputs!$B$8)/MAX($P937-Inputs!$B$8,0.01))))))</f>
        <v/>
      </c>
    </row>
    <row r="938" customFormat="false" ht="15" hidden="false" customHeight="false" outlineLevel="0" collapsed="false">
      <c r="I938" s="7" t="str">
        <f aca="false">IF($C938="","",IF($C938="G","PUTT",IF(AND($C938="T",$M938&gt;3),"OTT",IF($D938&lt;=30,"ARG","APP"))))</f>
        <v/>
      </c>
      <c r="J938" s="17" t="str">
        <f aca="false">IF($C938="","",$N938+$Q938*$R938)</f>
        <v/>
      </c>
      <c r="K938" s="17" t="str">
        <f aca="false">IF($C938="","",$O938+$Q938*$S938)</f>
        <v/>
      </c>
      <c r="L938" s="17" t="str">
        <f aca="false">IF($C938="","",$J938-$K938-1-N($G938))</f>
        <v/>
      </c>
      <c r="M938" s="7" t="str">
        <f aca="false">IF($B938="","",INDEX(Course!$B$2:$B$19,MATCH($B938,Course!$A$2:$A$19,0)))</f>
        <v/>
      </c>
      <c r="N938" s="17" t="str">
        <f aca="false">IF($C938="","",IF($C938="H",0,IF($C938="G",INDEX(Baseline!$I$3:$I$102,MIN(MAX(ROUND($D938,0),1),100)),IF($C938="T",IF($M938=3,INDEX(Baseline!$B$3:$B$122,MATCH(MIN(MAX(ROUND(($D938)/5,0)*5,5),600),Baseline!$A$3:$A$122,0))-Inputs!$B$9,INDEX(Course!$N$2:$N$19,MATCH($B938,Course!$A$2:$A$19,0))),INDEX(Baseline!$B$3:$E$122,MATCH(MIN(MAX(ROUND(($D938)/5,0)*5,5),600),Baseline!$A$3:$A$122,0),MATCH($C938,Baseline!$B$2:$E$2,0))))))</f>
        <v/>
      </c>
      <c r="O938" s="17" t="str">
        <f aca="false">IF($C938="","",IF($E938="H",0,IF($E938="G",INDEX(Baseline!$I$3:$I$102,MIN(MAX(ROUND($F938,0),1),100)),IF($E938="T",IF($M938=3,INDEX(Baseline!$B$3:$B$122,MATCH(MIN(MAX(ROUND(($F938)/5,0)*5,5),600),Baseline!$A$3:$A$122,0))-Inputs!$B$9,INDEX(Course!$N$2:$N$19,MATCH($B938,Course!$A$2:$A$19,0))),INDEX(Baseline!$B$3:$E$122,MATCH(MIN(MAX(ROUND(($F938)/5,0)*5,5),600),Baseline!$A$3:$A$122,0),MATCH($E938,Baseline!$B$2:$E$2,0))))))</f>
        <v/>
      </c>
      <c r="P938" s="17" t="str">
        <f aca="false">IF($B938="","",INDEX(Course!$N$2:$N$19,MATCH($B938,Course!$A$2:$A$19,0)))</f>
        <v/>
      </c>
      <c r="Q938" s="17" t="str">
        <f aca="false">IF($B938="","",INDEX(Course!$P$2:$P$19,MATCH($B938,Course!$A$2:$A$19,0)))</f>
        <v/>
      </c>
      <c r="R938" s="17" t="str">
        <f aca="false">IF($C938="","",IF(OR($C938="G",$C938="H"),0,IF($C938="T",1,MIN(1,MAX(0,($N938-Inputs!$B$8)/MAX($P938-Inputs!$B$8,0.01))))))</f>
        <v/>
      </c>
      <c r="S938" s="17" t="str">
        <f aca="false">IF($C938="","",IF(OR($E938="G",$E938="H"),0,IF($E938="T",1,MIN(1,MAX(0,($O938-Inputs!$B$8)/MAX($P938-Inputs!$B$8,0.01))))))</f>
        <v/>
      </c>
    </row>
    <row r="939" customFormat="false" ht="15" hidden="false" customHeight="false" outlineLevel="0" collapsed="false">
      <c r="I939" s="7" t="str">
        <f aca="false">IF($C939="","",IF($C939="G","PUTT",IF(AND($C939="T",$M939&gt;3),"OTT",IF($D939&lt;=30,"ARG","APP"))))</f>
        <v/>
      </c>
      <c r="J939" s="17" t="str">
        <f aca="false">IF($C939="","",$N939+$Q939*$R939)</f>
        <v/>
      </c>
      <c r="K939" s="17" t="str">
        <f aca="false">IF($C939="","",$O939+$Q939*$S939)</f>
        <v/>
      </c>
      <c r="L939" s="17" t="str">
        <f aca="false">IF($C939="","",$J939-$K939-1-N($G939))</f>
        <v/>
      </c>
      <c r="M939" s="7" t="str">
        <f aca="false">IF($B939="","",INDEX(Course!$B$2:$B$19,MATCH($B939,Course!$A$2:$A$19,0)))</f>
        <v/>
      </c>
      <c r="N939" s="17" t="str">
        <f aca="false">IF($C939="","",IF($C939="H",0,IF($C939="G",INDEX(Baseline!$I$3:$I$102,MIN(MAX(ROUND($D939,0),1),100)),IF($C939="T",IF($M939=3,INDEX(Baseline!$B$3:$B$122,MATCH(MIN(MAX(ROUND(($D939)/5,0)*5,5),600),Baseline!$A$3:$A$122,0))-Inputs!$B$9,INDEX(Course!$N$2:$N$19,MATCH($B939,Course!$A$2:$A$19,0))),INDEX(Baseline!$B$3:$E$122,MATCH(MIN(MAX(ROUND(($D939)/5,0)*5,5),600),Baseline!$A$3:$A$122,0),MATCH($C939,Baseline!$B$2:$E$2,0))))))</f>
        <v/>
      </c>
      <c r="O939" s="17" t="str">
        <f aca="false">IF($C939="","",IF($E939="H",0,IF($E939="G",INDEX(Baseline!$I$3:$I$102,MIN(MAX(ROUND($F939,0),1),100)),IF($E939="T",IF($M939=3,INDEX(Baseline!$B$3:$B$122,MATCH(MIN(MAX(ROUND(($F939)/5,0)*5,5),600),Baseline!$A$3:$A$122,0))-Inputs!$B$9,INDEX(Course!$N$2:$N$19,MATCH($B939,Course!$A$2:$A$19,0))),INDEX(Baseline!$B$3:$E$122,MATCH(MIN(MAX(ROUND(($F939)/5,0)*5,5),600),Baseline!$A$3:$A$122,0),MATCH($E939,Baseline!$B$2:$E$2,0))))))</f>
        <v/>
      </c>
      <c r="P939" s="17" t="str">
        <f aca="false">IF($B939="","",INDEX(Course!$N$2:$N$19,MATCH($B939,Course!$A$2:$A$19,0)))</f>
        <v/>
      </c>
      <c r="Q939" s="17" t="str">
        <f aca="false">IF($B939="","",INDEX(Course!$P$2:$P$19,MATCH($B939,Course!$A$2:$A$19,0)))</f>
        <v/>
      </c>
      <c r="R939" s="17" t="str">
        <f aca="false">IF($C939="","",IF(OR($C939="G",$C939="H"),0,IF($C939="T",1,MIN(1,MAX(0,($N939-Inputs!$B$8)/MAX($P939-Inputs!$B$8,0.01))))))</f>
        <v/>
      </c>
      <c r="S939" s="17" t="str">
        <f aca="false">IF($C939="","",IF(OR($E939="G",$E939="H"),0,IF($E939="T",1,MIN(1,MAX(0,($O939-Inputs!$B$8)/MAX($P939-Inputs!$B$8,0.01))))))</f>
        <v/>
      </c>
    </row>
    <row r="940" customFormat="false" ht="15" hidden="false" customHeight="false" outlineLevel="0" collapsed="false">
      <c r="I940" s="7" t="str">
        <f aca="false">IF($C940="","",IF($C940="G","PUTT",IF(AND($C940="T",$M940&gt;3),"OTT",IF($D940&lt;=30,"ARG","APP"))))</f>
        <v/>
      </c>
      <c r="J940" s="17" t="str">
        <f aca="false">IF($C940="","",$N940+$Q940*$R940)</f>
        <v/>
      </c>
      <c r="K940" s="17" t="str">
        <f aca="false">IF($C940="","",$O940+$Q940*$S940)</f>
        <v/>
      </c>
      <c r="L940" s="17" t="str">
        <f aca="false">IF($C940="","",$J940-$K940-1-N($G940))</f>
        <v/>
      </c>
      <c r="M940" s="7" t="str">
        <f aca="false">IF($B940="","",INDEX(Course!$B$2:$B$19,MATCH($B940,Course!$A$2:$A$19,0)))</f>
        <v/>
      </c>
      <c r="N940" s="17" t="str">
        <f aca="false">IF($C940="","",IF($C940="H",0,IF($C940="G",INDEX(Baseline!$I$3:$I$102,MIN(MAX(ROUND($D940,0),1),100)),IF($C940="T",IF($M940=3,INDEX(Baseline!$B$3:$B$122,MATCH(MIN(MAX(ROUND(($D940)/5,0)*5,5),600),Baseline!$A$3:$A$122,0))-Inputs!$B$9,INDEX(Course!$N$2:$N$19,MATCH($B940,Course!$A$2:$A$19,0))),INDEX(Baseline!$B$3:$E$122,MATCH(MIN(MAX(ROUND(($D940)/5,0)*5,5),600),Baseline!$A$3:$A$122,0),MATCH($C940,Baseline!$B$2:$E$2,0))))))</f>
        <v/>
      </c>
      <c r="O940" s="17" t="str">
        <f aca="false">IF($C940="","",IF($E940="H",0,IF($E940="G",INDEX(Baseline!$I$3:$I$102,MIN(MAX(ROUND($F940,0),1),100)),IF($E940="T",IF($M940=3,INDEX(Baseline!$B$3:$B$122,MATCH(MIN(MAX(ROUND(($F940)/5,0)*5,5),600),Baseline!$A$3:$A$122,0))-Inputs!$B$9,INDEX(Course!$N$2:$N$19,MATCH($B940,Course!$A$2:$A$19,0))),INDEX(Baseline!$B$3:$E$122,MATCH(MIN(MAX(ROUND(($F940)/5,0)*5,5),600),Baseline!$A$3:$A$122,0),MATCH($E940,Baseline!$B$2:$E$2,0))))))</f>
        <v/>
      </c>
      <c r="P940" s="17" t="str">
        <f aca="false">IF($B940="","",INDEX(Course!$N$2:$N$19,MATCH($B940,Course!$A$2:$A$19,0)))</f>
        <v/>
      </c>
      <c r="Q940" s="17" t="str">
        <f aca="false">IF($B940="","",INDEX(Course!$P$2:$P$19,MATCH($B940,Course!$A$2:$A$19,0)))</f>
        <v/>
      </c>
      <c r="R940" s="17" t="str">
        <f aca="false">IF($C940="","",IF(OR($C940="G",$C940="H"),0,IF($C940="T",1,MIN(1,MAX(0,($N940-Inputs!$B$8)/MAX($P940-Inputs!$B$8,0.01))))))</f>
        <v/>
      </c>
      <c r="S940" s="17" t="str">
        <f aca="false">IF($C940="","",IF(OR($E940="G",$E940="H"),0,IF($E940="T",1,MIN(1,MAX(0,($O940-Inputs!$B$8)/MAX($P940-Inputs!$B$8,0.01))))))</f>
        <v/>
      </c>
    </row>
    <row r="941" customFormat="false" ht="15" hidden="false" customHeight="false" outlineLevel="0" collapsed="false">
      <c r="I941" s="7" t="str">
        <f aca="false">IF($C941="","",IF($C941="G","PUTT",IF(AND($C941="T",$M941&gt;3),"OTT",IF($D941&lt;=30,"ARG","APP"))))</f>
        <v/>
      </c>
      <c r="J941" s="17" t="str">
        <f aca="false">IF($C941="","",$N941+$Q941*$R941)</f>
        <v/>
      </c>
      <c r="K941" s="17" t="str">
        <f aca="false">IF($C941="","",$O941+$Q941*$S941)</f>
        <v/>
      </c>
      <c r="L941" s="17" t="str">
        <f aca="false">IF($C941="","",$J941-$K941-1-N($G941))</f>
        <v/>
      </c>
      <c r="M941" s="7" t="str">
        <f aca="false">IF($B941="","",INDEX(Course!$B$2:$B$19,MATCH($B941,Course!$A$2:$A$19,0)))</f>
        <v/>
      </c>
      <c r="N941" s="17" t="str">
        <f aca="false">IF($C941="","",IF($C941="H",0,IF($C941="G",INDEX(Baseline!$I$3:$I$102,MIN(MAX(ROUND($D941,0),1),100)),IF($C941="T",IF($M941=3,INDEX(Baseline!$B$3:$B$122,MATCH(MIN(MAX(ROUND(($D941)/5,0)*5,5),600),Baseline!$A$3:$A$122,0))-Inputs!$B$9,INDEX(Course!$N$2:$N$19,MATCH($B941,Course!$A$2:$A$19,0))),INDEX(Baseline!$B$3:$E$122,MATCH(MIN(MAX(ROUND(($D941)/5,0)*5,5),600),Baseline!$A$3:$A$122,0),MATCH($C941,Baseline!$B$2:$E$2,0))))))</f>
        <v/>
      </c>
      <c r="O941" s="17" t="str">
        <f aca="false">IF($C941="","",IF($E941="H",0,IF($E941="G",INDEX(Baseline!$I$3:$I$102,MIN(MAX(ROUND($F941,0),1),100)),IF($E941="T",IF($M941=3,INDEX(Baseline!$B$3:$B$122,MATCH(MIN(MAX(ROUND(($F941)/5,0)*5,5),600),Baseline!$A$3:$A$122,0))-Inputs!$B$9,INDEX(Course!$N$2:$N$19,MATCH($B941,Course!$A$2:$A$19,0))),INDEX(Baseline!$B$3:$E$122,MATCH(MIN(MAX(ROUND(($F941)/5,0)*5,5),600),Baseline!$A$3:$A$122,0),MATCH($E941,Baseline!$B$2:$E$2,0))))))</f>
        <v/>
      </c>
      <c r="P941" s="17" t="str">
        <f aca="false">IF($B941="","",INDEX(Course!$N$2:$N$19,MATCH($B941,Course!$A$2:$A$19,0)))</f>
        <v/>
      </c>
      <c r="Q941" s="17" t="str">
        <f aca="false">IF($B941="","",INDEX(Course!$P$2:$P$19,MATCH($B941,Course!$A$2:$A$19,0)))</f>
        <v/>
      </c>
      <c r="R941" s="17" t="str">
        <f aca="false">IF($C941="","",IF(OR($C941="G",$C941="H"),0,IF($C941="T",1,MIN(1,MAX(0,($N941-Inputs!$B$8)/MAX($P941-Inputs!$B$8,0.01))))))</f>
        <v/>
      </c>
      <c r="S941" s="17" t="str">
        <f aca="false">IF($C941="","",IF(OR($E941="G",$E941="H"),0,IF($E941="T",1,MIN(1,MAX(0,($O941-Inputs!$B$8)/MAX($P941-Inputs!$B$8,0.01))))))</f>
        <v/>
      </c>
    </row>
    <row r="942" customFormat="false" ht="15" hidden="false" customHeight="false" outlineLevel="0" collapsed="false">
      <c r="I942" s="7" t="str">
        <f aca="false">IF($C942="","",IF($C942="G","PUTT",IF(AND($C942="T",$M942&gt;3),"OTT",IF($D942&lt;=30,"ARG","APP"))))</f>
        <v/>
      </c>
      <c r="J942" s="17" t="str">
        <f aca="false">IF($C942="","",$N942+$Q942*$R942)</f>
        <v/>
      </c>
      <c r="K942" s="17" t="str">
        <f aca="false">IF($C942="","",$O942+$Q942*$S942)</f>
        <v/>
      </c>
      <c r="L942" s="17" t="str">
        <f aca="false">IF($C942="","",$J942-$K942-1-N($G942))</f>
        <v/>
      </c>
      <c r="M942" s="7" t="str">
        <f aca="false">IF($B942="","",INDEX(Course!$B$2:$B$19,MATCH($B942,Course!$A$2:$A$19,0)))</f>
        <v/>
      </c>
      <c r="N942" s="17" t="str">
        <f aca="false">IF($C942="","",IF($C942="H",0,IF($C942="G",INDEX(Baseline!$I$3:$I$102,MIN(MAX(ROUND($D942,0),1),100)),IF($C942="T",IF($M942=3,INDEX(Baseline!$B$3:$B$122,MATCH(MIN(MAX(ROUND(($D942)/5,0)*5,5),600),Baseline!$A$3:$A$122,0))-Inputs!$B$9,INDEX(Course!$N$2:$N$19,MATCH($B942,Course!$A$2:$A$19,0))),INDEX(Baseline!$B$3:$E$122,MATCH(MIN(MAX(ROUND(($D942)/5,0)*5,5),600),Baseline!$A$3:$A$122,0),MATCH($C942,Baseline!$B$2:$E$2,0))))))</f>
        <v/>
      </c>
      <c r="O942" s="17" t="str">
        <f aca="false">IF($C942="","",IF($E942="H",0,IF($E942="G",INDEX(Baseline!$I$3:$I$102,MIN(MAX(ROUND($F942,0),1),100)),IF($E942="T",IF($M942=3,INDEX(Baseline!$B$3:$B$122,MATCH(MIN(MAX(ROUND(($F942)/5,0)*5,5),600),Baseline!$A$3:$A$122,0))-Inputs!$B$9,INDEX(Course!$N$2:$N$19,MATCH($B942,Course!$A$2:$A$19,0))),INDEX(Baseline!$B$3:$E$122,MATCH(MIN(MAX(ROUND(($F942)/5,0)*5,5),600),Baseline!$A$3:$A$122,0),MATCH($E942,Baseline!$B$2:$E$2,0))))))</f>
        <v/>
      </c>
      <c r="P942" s="17" t="str">
        <f aca="false">IF($B942="","",INDEX(Course!$N$2:$N$19,MATCH($B942,Course!$A$2:$A$19,0)))</f>
        <v/>
      </c>
      <c r="Q942" s="17" t="str">
        <f aca="false">IF($B942="","",INDEX(Course!$P$2:$P$19,MATCH($B942,Course!$A$2:$A$19,0)))</f>
        <v/>
      </c>
      <c r="R942" s="17" t="str">
        <f aca="false">IF($C942="","",IF(OR($C942="G",$C942="H"),0,IF($C942="T",1,MIN(1,MAX(0,($N942-Inputs!$B$8)/MAX($P942-Inputs!$B$8,0.01))))))</f>
        <v/>
      </c>
      <c r="S942" s="17" t="str">
        <f aca="false">IF($C942="","",IF(OR($E942="G",$E942="H"),0,IF($E942="T",1,MIN(1,MAX(0,($O942-Inputs!$B$8)/MAX($P942-Inputs!$B$8,0.01))))))</f>
        <v/>
      </c>
    </row>
    <row r="943" customFormat="false" ht="15" hidden="false" customHeight="false" outlineLevel="0" collapsed="false">
      <c r="I943" s="7" t="str">
        <f aca="false">IF($C943="","",IF($C943="G","PUTT",IF(AND($C943="T",$M943&gt;3),"OTT",IF($D943&lt;=30,"ARG","APP"))))</f>
        <v/>
      </c>
      <c r="J943" s="17" t="str">
        <f aca="false">IF($C943="","",$N943+$Q943*$R943)</f>
        <v/>
      </c>
      <c r="K943" s="17" t="str">
        <f aca="false">IF($C943="","",$O943+$Q943*$S943)</f>
        <v/>
      </c>
      <c r="L943" s="17" t="str">
        <f aca="false">IF($C943="","",$J943-$K943-1-N($G943))</f>
        <v/>
      </c>
      <c r="M943" s="7" t="str">
        <f aca="false">IF($B943="","",INDEX(Course!$B$2:$B$19,MATCH($B943,Course!$A$2:$A$19,0)))</f>
        <v/>
      </c>
      <c r="N943" s="17" t="str">
        <f aca="false">IF($C943="","",IF($C943="H",0,IF($C943="G",INDEX(Baseline!$I$3:$I$102,MIN(MAX(ROUND($D943,0),1),100)),IF($C943="T",IF($M943=3,INDEX(Baseline!$B$3:$B$122,MATCH(MIN(MAX(ROUND(($D943)/5,0)*5,5),600),Baseline!$A$3:$A$122,0))-Inputs!$B$9,INDEX(Course!$N$2:$N$19,MATCH($B943,Course!$A$2:$A$19,0))),INDEX(Baseline!$B$3:$E$122,MATCH(MIN(MAX(ROUND(($D943)/5,0)*5,5),600),Baseline!$A$3:$A$122,0),MATCH($C943,Baseline!$B$2:$E$2,0))))))</f>
        <v/>
      </c>
      <c r="O943" s="17" t="str">
        <f aca="false">IF($C943="","",IF($E943="H",0,IF($E943="G",INDEX(Baseline!$I$3:$I$102,MIN(MAX(ROUND($F943,0),1),100)),IF($E943="T",IF($M943=3,INDEX(Baseline!$B$3:$B$122,MATCH(MIN(MAX(ROUND(($F943)/5,0)*5,5),600),Baseline!$A$3:$A$122,0))-Inputs!$B$9,INDEX(Course!$N$2:$N$19,MATCH($B943,Course!$A$2:$A$19,0))),INDEX(Baseline!$B$3:$E$122,MATCH(MIN(MAX(ROUND(($F943)/5,0)*5,5),600),Baseline!$A$3:$A$122,0),MATCH($E943,Baseline!$B$2:$E$2,0))))))</f>
        <v/>
      </c>
      <c r="P943" s="17" t="str">
        <f aca="false">IF($B943="","",INDEX(Course!$N$2:$N$19,MATCH($B943,Course!$A$2:$A$19,0)))</f>
        <v/>
      </c>
      <c r="Q943" s="17" t="str">
        <f aca="false">IF($B943="","",INDEX(Course!$P$2:$P$19,MATCH($B943,Course!$A$2:$A$19,0)))</f>
        <v/>
      </c>
      <c r="R943" s="17" t="str">
        <f aca="false">IF($C943="","",IF(OR($C943="G",$C943="H"),0,IF($C943="T",1,MIN(1,MAX(0,($N943-Inputs!$B$8)/MAX($P943-Inputs!$B$8,0.01))))))</f>
        <v/>
      </c>
      <c r="S943" s="17" t="str">
        <f aca="false">IF($C943="","",IF(OR($E943="G",$E943="H"),0,IF($E943="T",1,MIN(1,MAX(0,($O943-Inputs!$B$8)/MAX($P943-Inputs!$B$8,0.01))))))</f>
        <v/>
      </c>
    </row>
    <row r="944" customFormat="false" ht="15" hidden="false" customHeight="false" outlineLevel="0" collapsed="false">
      <c r="I944" s="7" t="str">
        <f aca="false">IF($C944="","",IF($C944="G","PUTT",IF(AND($C944="T",$M944&gt;3),"OTT",IF($D944&lt;=30,"ARG","APP"))))</f>
        <v/>
      </c>
      <c r="J944" s="17" t="str">
        <f aca="false">IF($C944="","",$N944+$Q944*$R944)</f>
        <v/>
      </c>
      <c r="K944" s="17" t="str">
        <f aca="false">IF($C944="","",$O944+$Q944*$S944)</f>
        <v/>
      </c>
      <c r="L944" s="17" t="str">
        <f aca="false">IF($C944="","",$J944-$K944-1-N($G944))</f>
        <v/>
      </c>
      <c r="M944" s="7" t="str">
        <f aca="false">IF($B944="","",INDEX(Course!$B$2:$B$19,MATCH($B944,Course!$A$2:$A$19,0)))</f>
        <v/>
      </c>
      <c r="N944" s="17" t="str">
        <f aca="false">IF($C944="","",IF($C944="H",0,IF($C944="G",INDEX(Baseline!$I$3:$I$102,MIN(MAX(ROUND($D944,0),1),100)),IF($C944="T",IF($M944=3,INDEX(Baseline!$B$3:$B$122,MATCH(MIN(MAX(ROUND(($D944)/5,0)*5,5),600),Baseline!$A$3:$A$122,0))-Inputs!$B$9,INDEX(Course!$N$2:$N$19,MATCH($B944,Course!$A$2:$A$19,0))),INDEX(Baseline!$B$3:$E$122,MATCH(MIN(MAX(ROUND(($D944)/5,0)*5,5),600),Baseline!$A$3:$A$122,0),MATCH($C944,Baseline!$B$2:$E$2,0))))))</f>
        <v/>
      </c>
      <c r="O944" s="17" t="str">
        <f aca="false">IF($C944="","",IF($E944="H",0,IF($E944="G",INDEX(Baseline!$I$3:$I$102,MIN(MAX(ROUND($F944,0),1),100)),IF($E944="T",IF($M944=3,INDEX(Baseline!$B$3:$B$122,MATCH(MIN(MAX(ROUND(($F944)/5,0)*5,5),600),Baseline!$A$3:$A$122,0))-Inputs!$B$9,INDEX(Course!$N$2:$N$19,MATCH($B944,Course!$A$2:$A$19,0))),INDEX(Baseline!$B$3:$E$122,MATCH(MIN(MAX(ROUND(($F944)/5,0)*5,5),600),Baseline!$A$3:$A$122,0),MATCH($E944,Baseline!$B$2:$E$2,0))))))</f>
        <v/>
      </c>
      <c r="P944" s="17" t="str">
        <f aca="false">IF($B944="","",INDEX(Course!$N$2:$N$19,MATCH($B944,Course!$A$2:$A$19,0)))</f>
        <v/>
      </c>
      <c r="Q944" s="17" t="str">
        <f aca="false">IF($B944="","",INDEX(Course!$P$2:$P$19,MATCH($B944,Course!$A$2:$A$19,0)))</f>
        <v/>
      </c>
      <c r="R944" s="17" t="str">
        <f aca="false">IF($C944="","",IF(OR($C944="G",$C944="H"),0,IF($C944="T",1,MIN(1,MAX(0,($N944-Inputs!$B$8)/MAX($P944-Inputs!$B$8,0.01))))))</f>
        <v/>
      </c>
      <c r="S944" s="17" t="str">
        <f aca="false">IF($C944="","",IF(OR($E944="G",$E944="H"),0,IF($E944="T",1,MIN(1,MAX(0,($O944-Inputs!$B$8)/MAX($P944-Inputs!$B$8,0.01))))))</f>
        <v/>
      </c>
    </row>
    <row r="945" customFormat="false" ht="15" hidden="false" customHeight="false" outlineLevel="0" collapsed="false">
      <c r="I945" s="7" t="str">
        <f aca="false">IF($C945="","",IF($C945="G","PUTT",IF(AND($C945="T",$M945&gt;3),"OTT",IF($D945&lt;=30,"ARG","APP"))))</f>
        <v/>
      </c>
      <c r="J945" s="17" t="str">
        <f aca="false">IF($C945="","",$N945+$Q945*$R945)</f>
        <v/>
      </c>
      <c r="K945" s="17" t="str">
        <f aca="false">IF($C945="","",$O945+$Q945*$S945)</f>
        <v/>
      </c>
      <c r="L945" s="17" t="str">
        <f aca="false">IF($C945="","",$J945-$K945-1-N($G945))</f>
        <v/>
      </c>
      <c r="M945" s="7" t="str">
        <f aca="false">IF($B945="","",INDEX(Course!$B$2:$B$19,MATCH($B945,Course!$A$2:$A$19,0)))</f>
        <v/>
      </c>
      <c r="N945" s="17" t="str">
        <f aca="false">IF($C945="","",IF($C945="H",0,IF($C945="G",INDEX(Baseline!$I$3:$I$102,MIN(MAX(ROUND($D945,0),1),100)),IF($C945="T",IF($M945=3,INDEX(Baseline!$B$3:$B$122,MATCH(MIN(MAX(ROUND(($D945)/5,0)*5,5),600),Baseline!$A$3:$A$122,0))-Inputs!$B$9,INDEX(Course!$N$2:$N$19,MATCH($B945,Course!$A$2:$A$19,0))),INDEX(Baseline!$B$3:$E$122,MATCH(MIN(MAX(ROUND(($D945)/5,0)*5,5),600),Baseline!$A$3:$A$122,0),MATCH($C945,Baseline!$B$2:$E$2,0))))))</f>
        <v/>
      </c>
      <c r="O945" s="17" t="str">
        <f aca="false">IF($C945="","",IF($E945="H",0,IF($E945="G",INDEX(Baseline!$I$3:$I$102,MIN(MAX(ROUND($F945,0),1),100)),IF($E945="T",IF($M945=3,INDEX(Baseline!$B$3:$B$122,MATCH(MIN(MAX(ROUND(($F945)/5,0)*5,5),600),Baseline!$A$3:$A$122,0))-Inputs!$B$9,INDEX(Course!$N$2:$N$19,MATCH($B945,Course!$A$2:$A$19,0))),INDEX(Baseline!$B$3:$E$122,MATCH(MIN(MAX(ROUND(($F945)/5,0)*5,5),600),Baseline!$A$3:$A$122,0),MATCH($E945,Baseline!$B$2:$E$2,0))))))</f>
        <v/>
      </c>
      <c r="P945" s="17" t="str">
        <f aca="false">IF($B945="","",INDEX(Course!$N$2:$N$19,MATCH($B945,Course!$A$2:$A$19,0)))</f>
        <v/>
      </c>
      <c r="Q945" s="17" t="str">
        <f aca="false">IF($B945="","",INDEX(Course!$P$2:$P$19,MATCH($B945,Course!$A$2:$A$19,0)))</f>
        <v/>
      </c>
      <c r="R945" s="17" t="str">
        <f aca="false">IF($C945="","",IF(OR($C945="G",$C945="H"),0,IF($C945="T",1,MIN(1,MAX(0,($N945-Inputs!$B$8)/MAX($P945-Inputs!$B$8,0.01))))))</f>
        <v/>
      </c>
      <c r="S945" s="17" t="str">
        <f aca="false">IF($C945="","",IF(OR($E945="G",$E945="H"),0,IF($E945="T",1,MIN(1,MAX(0,($O945-Inputs!$B$8)/MAX($P945-Inputs!$B$8,0.01))))))</f>
        <v/>
      </c>
    </row>
    <row r="946" customFormat="false" ht="15" hidden="false" customHeight="false" outlineLevel="0" collapsed="false">
      <c r="I946" s="7" t="str">
        <f aca="false">IF($C946="","",IF($C946="G","PUTT",IF(AND($C946="T",$M946&gt;3),"OTT",IF($D946&lt;=30,"ARG","APP"))))</f>
        <v/>
      </c>
      <c r="J946" s="17" t="str">
        <f aca="false">IF($C946="","",$N946+$Q946*$R946)</f>
        <v/>
      </c>
      <c r="K946" s="17" t="str">
        <f aca="false">IF($C946="","",$O946+$Q946*$S946)</f>
        <v/>
      </c>
      <c r="L946" s="17" t="str">
        <f aca="false">IF($C946="","",$J946-$K946-1-N($G946))</f>
        <v/>
      </c>
      <c r="M946" s="7" t="str">
        <f aca="false">IF($B946="","",INDEX(Course!$B$2:$B$19,MATCH($B946,Course!$A$2:$A$19,0)))</f>
        <v/>
      </c>
      <c r="N946" s="17" t="str">
        <f aca="false">IF($C946="","",IF($C946="H",0,IF($C946="G",INDEX(Baseline!$I$3:$I$102,MIN(MAX(ROUND($D946,0),1),100)),IF($C946="T",IF($M946=3,INDEX(Baseline!$B$3:$B$122,MATCH(MIN(MAX(ROUND(($D946)/5,0)*5,5),600),Baseline!$A$3:$A$122,0))-Inputs!$B$9,INDEX(Course!$N$2:$N$19,MATCH($B946,Course!$A$2:$A$19,0))),INDEX(Baseline!$B$3:$E$122,MATCH(MIN(MAX(ROUND(($D946)/5,0)*5,5),600),Baseline!$A$3:$A$122,0),MATCH($C946,Baseline!$B$2:$E$2,0))))))</f>
        <v/>
      </c>
      <c r="O946" s="17" t="str">
        <f aca="false">IF($C946="","",IF($E946="H",0,IF($E946="G",INDEX(Baseline!$I$3:$I$102,MIN(MAX(ROUND($F946,0),1),100)),IF($E946="T",IF($M946=3,INDEX(Baseline!$B$3:$B$122,MATCH(MIN(MAX(ROUND(($F946)/5,0)*5,5),600),Baseline!$A$3:$A$122,0))-Inputs!$B$9,INDEX(Course!$N$2:$N$19,MATCH($B946,Course!$A$2:$A$19,0))),INDEX(Baseline!$B$3:$E$122,MATCH(MIN(MAX(ROUND(($F946)/5,0)*5,5),600),Baseline!$A$3:$A$122,0),MATCH($E946,Baseline!$B$2:$E$2,0))))))</f>
        <v/>
      </c>
      <c r="P946" s="17" t="str">
        <f aca="false">IF($B946="","",INDEX(Course!$N$2:$N$19,MATCH($B946,Course!$A$2:$A$19,0)))</f>
        <v/>
      </c>
      <c r="Q946" s="17" t="str">
        <f aca="false">IF($B946="","",INDEX(Course!$P$2:$P$19,MATCH($B946,Course!$A$2:$A$19,0)))</f>
        <v/>
      </c>
      <c r="R946" s="17" t="str">
        <f aca="false">IF($C946="","",IF(OR($C946="G",$C946="H"),0,IF($C946="T",1,MIN(1,MAX(0,($N946-Inputs!$B$8)/MAX($P946-Inputs!$B$8,0.01))))))</f>
        <v/>
      </c>
      <c r="S946" s="17" t="str">
        <f aca="false">IF($C946="","",IF(OR($E946="G",$E946="H"),0,IF($E946="T",1,MIN(1,MAX(0,($O946-Inputs!$B$8)/MAX($P946-Inputs!$B$8,0.01))))))</f>
        <v/>
      </c>
    </row>
    <row r="947" customFormat="false" ht="15" hidden="false" customHeight="false" outlineLevel="0" collapsed="false">
      <c r="I947" s="7" t="str">
        <f aca="false">IF($C947="","",IF($C947="G","PUTT",IF(AND($C947="T",$M947&gt;3),"OTT",IF($D947&lt;=30,"ARG","APP"))))</f>
        <v/>
      </c>
      <c r="J947" s="17" t="str">
        <f aca="false">IF($C947="","",$N947+$Q947*$R947)</f>
        <v/>
      </c>
      <c r="K947" s="17" t="str">
        <f aca="false">IF($C947="","",$O947+$Q947*$S947)</f>
        <v/>
      </c>
      <c r="L947" s="17" t="str">
        <f aca="false">IF($C947="","",$J947-$K947-1-N($G947))</f>
        <v/>
      </c>
      <c r="M947" s="7" t="str">
        <f aca="false">IF($B947="","",INDEX(Course!$B$2:$B$19,MATCH($B947,Course!$A$2:$A$19,0)))</f>
        <v/>
      </c>
      <c r="N947" s="17" t="str">
        <f aca="false">IF($C947="","",IF($C947="H",0,IF($C947="G",INDEX(Baseline!$I$3:$I$102,MIN(MAX(ROUND($D947,0),1),100)),IF($C947="T",IF($M947=3,INDEX(Baseline!$B$3:$B$122,MATCH(MIN(MAX(ROUND(($D947)/5,0)*5,5),600),Baseline!$A$3:$A$122,0))-Inputs!$B$9,INDEX(Course!$N$2:$N$19,MATCH($B947,Course!$A$2:$A$19,0))),INDEX(Baseline!$B$3:$E$122,MATCH(MIN(MAX(ROUND(($D947)/5,0)*5,5),600),Baseline!$A$3:$A$122,0),MATCH($C947,Baseline!$B$2:$E$2,0))))))</f>
        <v/>
      </c>
      <c r="O947" s="17" t="str">
        <f aca="false">IF($C947="","",IF($E947="H",0,IF($E947="G",INDEX(Baseline!$I$3:$I$102,MIN(MAX(ROUND($F947,0),1),100)),IF($E947="T",IF($M947=3,INDEX(Baseline!$B$3:$B$122,MATCH(MIN(MAX(ROUND(($F947)/5,0)*5,5),600),Baseline!$A$3:$A$122,0))-Inputs!$B$9,INDEX(Course!$N$2:$N$19,MATCH($B947,Course!$A$2:$A$19,0))),INDEX(Baseline!$B$3:$E$122,MATCH(MIN(MAX(ROUND(($F947)/5,0)*5,5),600),Baseline!$A$3:$A$122,0),MATCH($E947,Baseline!$B$2:$E$2,0))))))</f>
        <v/>
      </c>
      <c r="P947" s="17" t="str">
        <f aca="false">IF($B947="","",INDEX(Course!$N$2:$N$19,MATCH($B947,Course!$A$2:$A$19,0)))</f>
        <v/>
      </c>
      <c r="Q947" s="17" t="str">
        <f aca="false">IF($B947="","",INDEX(Course!$P$2:$P$19,MATCH($B947,Course!$A$2:$A$19,0)))</f>
        <v/>
      </c>
      <c r="R947" s="17" t="str">
        <f aca="false">IF($C947="","",IF(OR($C947="G",$C947="H"),0,IF($C947="T",1,MIN(1,MAX(0,($N947-Inputs!$B$8)/MAX($P947-Inputs!$B$8,0.01))))))</f>
        <v/>
      </c>
      <c r="S947" s="17" t="str">
        <f aca="false">IF($C947="","",IF(OR($E947="G",$E947="H"),0,IF($E947="T",1,MIN(1,MAX(0,($O947-Inputs!$B$8)/MAX($P947-Inputs!$B$8,0.01))))))</f>
        <v/>
      </c>
    </row>
    <row r="948" customFormat="false" ht="15" hidden="false" customHeight="false" outlineLevel="0" collapsed="false">
      <c r="I948" s="7" t="str">
        <f aca="false">IF($C948="","",IF($C948="G","PUTT",IF(AND($C948="T",$M948&gt;3),"OTT",IF($D948&lt;=30,"ARG","APP"))))</f>
        <v/>
      </c>
      <c r="J948" s="17" t="str">
        <f aca="false">IF($C948="","",$N948+$Q948*$R948)</f>
        <v/>
      </c>
      <c r="K948" s="17" t="str">
        <f aca="false">IF($C948="","",$O948+$Q948*$S948)</f>
        <v/>
      </c>
      <c r="L948" s="17" t="str">
        <f aca="false">IF($C948="","",$J948-$K948-1-N($G948))</f>
        <v/>
      </c>
      <c r="M948" s="7" t="str">
        <f aca="false">IF($B948="","",INDEX(Course!$B$2:$B$19,MATCH($B948,Course!$A$2:$A$19,0)))</f>
        <v/>
      </c>
      <c r="N948" s="17" t="str">
        <f aca="false">IF($C948="","",IF($C948="H",0,IF($C948="G",INDEX(Baseline!$I$3:$I$102,MIN(MAX(ROUND($D948,0),1),100)),IF($C948="T",IF($M948=3,INDEX(Baseline!$B$3:$B$122,MATCH(MIN(MAX(ROUND(($D948)/5,0)*5,5),600),Baseline!$A$3:$A$122,0))-Inputs!$B$9,INDEX(Course!$N$2:$N$19,MATCH($B948,Course!$A$2:$A$19,0))),INDEX(Baseline!$B$3:$E$122,MATCH(MIN(MAX(ROUND(($D948)/5,0)*5,5),600),Baseline!$A$3:$A$122,0),MATCH($C948,Baseline!$B$2:$E$2,0))))))</f>
        <v/>
      </c>
      <c r="O948" s="17" t="str">
        <f aca="false">IF($C948="","",IF($E948="H",0,IF($E948="G",INDEX(Baseline!$I$3:$I$102,MIN(MAX(ROUND($F948,0),1),100)),IF($E948="T",IF($M948=3,INDEX(Baseline!$B$3:$B$122,MATCH(MIN(MAX(ROUND(($F948)/5,0)*5,5),600),Baseline!$A$3:$A$122,0))-Inputs!$B$9,INDEX(Course!$N$2:$N$19,MATCH($B948,Course!$A$2:$A$19,0))),INDEX(Baseline!$B$3:$E$122,MATCH(MIN(MAX(ROUND(($F948)/5,0)*5,5),600),Baseline!$A$3:$A$122,0),MATCH($E948,Baseline!$B$2:$E$2,0))))))</f>
        <v/>
      </c>
      <c r="P948" s="17" t="str">
        <f aca="false">IF($B948="","",INDEX(Course!$N$2:$N$19,MATCH($B948,Course!$A$2:$A$19,0)))</f>
        <v/>
      </c>
      <c r="Q948" s="17" t="str">
        <f aca="false">IF($B948="","",INDEX(Course!$P$2:$P$19,MATCH($B948,Course!$A$2:$A$19,0)))</f>
        <v/>
      </c>
      <c r="R948" s="17" t="str">
        <f aca="false">IF($C948="","",IF(OR($C948="G",$C948="H"),0,IF($C948="T",1,MIN(1,MAX(0,($N948-Inputs!$B$8)/MAX($P948-Inputs!$B$8,0.01))))))</f>
        <v/>
      </c>
      <c r="S948" s="17" t="str">
        <f aca="false">IF($C948="","",IF(OR($E948="G",$E948="H"),0,IF($E948="T",1,MIN(1,MAX(0,($O948-Inputs!$B$8)/MAX($P948-Inputs!$B$8,0.01))))))</f>
        <v/>
      </c>
    </row>
    <row r="949" customFormat="false" ht="15" hidden="false" customHeight="false" outlineLevel="0" collapsed="false">
      <c r="I949" s="7" t="str">
        <f aca="false">IF($C949="","",IF($C949="G","PUTT",IF(AND($C949="T",$M949&gt;3),"OTT",IF($D949&lt;=30,"ARG","APP"))))</f>
        <v/>
      </c>
      <c r="J949" s="17" t="str">
        <f aca="false">IF($C949="","",$N949+$Q949*$R949)</f>
        <v/>
      </c>
      <c r="K949" s="17" t="str">
        <f aca="false">IF($C949="","",$O949+$Q949*$S949)</f>
        <v/>
      </c>
      <c r="L949" s="17" t="str">
        <f aca="false">IF($C949="","",$J949-$K949-1-N($G949))</f>
        <v/>
      </c>
      <c r="M949" s="7" t="str">
        <f aca="false">IF($B949="","",INDEX(Course!$B$2:$B$19,MATCH($B949,Course!$A$2:$A$19,0)))</f>
        <v/>
      </c>
      <c r="N949" s="17" t="str">
        <f aca="false">IF($C949="","",IF($C949="H",0,IF($C949="G",INDEX(Baseline!$I$3:$I$102,MIN(MAX(ROUND($D949,0),1),100)),IF($C949="T",IF($M949=3,INDEX(Baseline!$B$3:$B$122,MATCH(MIN(MAX(ROUND(($D949)/5,0)*5,5),600),Baseline!$A$3:$A$122,0))-Inputs!$B$9,INDEX(Course!$N$2:$N$19,MATCH($B949,Course!$A$2:$A$19,0))),INDEX(Baseline!$B$3:$E$122,MATCH(MIN(MAX(ROUND(($D949)/5,0)*5,5),600),Baseline!$A$3:$A$122,0),MATCH($C949,Baseline!$B$2:$E$2,0))))))</f>
        <v/>
      </c>
      <c r="O949" s="17" t="str">
        <f aca="false">IF($C949="","",IF($E949="H",0,IF($E949="G",INDEX(Baseline!$I$3:$I$102,MIN(MAX(ROUND($F949,0),1),100)),IF($E949="T",IF($M949=3,INDEX(Baseline!$B$3:$B$122,MATCH(MIN(MAX(ROUND(($F949)/5,0)*5,5),600),Baseline!$A$3:$A$122,0))-Inputs!$B$9,INDEX(Course!$N$2:$N$19,MATCH($B949,Course!$A$2:$A$19,0))),INDEX(Baseline!$B$3:$E$122,MATCH(MIN(MAX(ROUND(($F949)/5,0)*5,5),600),Baseline!$A$3:$A$122,0),MATCH($E949,Baseline!$B$2:$E$2,0))))))</f>
        <v/>
      </c>
      <c r="P949" s="17" t="str">
        <f aca="false">IF($B949="","",INDEX(Course!$N$2:$N$19,MATCH($B949,Course!$A$2:$A$19,0)))</f>
        <v/>
      </c>
      <c r="Q949" s="17" t="str">
        <f aca="false">IF($B949="","",INDEX(Course!$P$2:$P$19,MATCH($B949,Course!$A$2:$A$19,0)))</f>
        <v/>
      </c>
      <c r="R949" s="17" t="str">
        <f aca="false">IF($C949="","",IF(OR($C949="G",$C949="H"),0,IF($C949="T",1,MIN(1,MAX(0,($N949-Inputs!$B$8)/MAX($P949-Inputs!$B$8,0.01))))))</f>
        <v/>
      </c>
      <c r="S949" s="17" t="str">
        <f aca="false">IF($C949="","",IF(OR($E949="G",$E949="H"),0,IF($E949="T",1,MIN(1,MAX(0,($O949-Inputs!$B$8)/MAX($P949-Inputs!$B$8,0.01))))))</f>
        <v/>
      </c>
    </row>
    <row r="950" customFormat="false" ht="15" hidden="false" customHeight="false" outlineLevel="0" collapsed="false">
      <c r="I950" s="7" t="str">
        <f aca="false">IF($C950="","",IF($C950="G","PUTT",IF(AND($C950="T",$M950&gt;3),"OTT",IF($D950&lt;=30,"ARG","APP"))))</f>
        <v/>
      </c>
      <c r="J950" s="17" t="str">
        <f aca="false">IF($C950="","",$N950+$Q950*$R950)</f>
        <v/>
      </c>
      <c r="K950" s="17" t="str">
        <f aca="false">IF($C950="","",$O950+$Q950*$S950)</f>
        <v/>
      </c>
      <c r="L950" s="17" t="str">
        <f aca="false">IF($C950="","",$J950-$K950-1-N($G950))</f>
        <v/>
      </c>
      <c r="M950" s="7" t="str">
        <f aca="false">IF($B950="","",INDEX(Course!$B$2:$B$19,MATCH($B950,Course!$A$2:$A$19,0)))</f>
        <v/>
      </c>
      <c r="N950" s="17" t="str">
        <f aca="false">IF($C950="","",IF($C950="H",0,IF($C950="G",INDEX(Baseline!$I$3:$I$102,MIN(MAX(ROUND($D950,0),1),100)),IF($C950="T",IF($M950=3,INDEX(Baseline!$B$3:$B$122,MATCH(MIN(MAX(ROUND(($D950)/5,0)*5,5),600),Baseline!$A$3:$A$122,0))-Inputs!$B$9,INDEX(Course!$N$2:$N$19,MATCH($B950,Course!$A$2:$A$19,0))),INDEX(Baseline!$B$3:$E$122,MATCH(MIN(MAX(ROUND(($D950)/5,0)*5,5),600),Baseline!$A$3:$A$122,0),MATCH($C950,Baseline!$B$2:$E$2,0))))))</f>
        <v/>
      </c>
      <c r="O950" s="17" t="str">
        <f aca="false">IF($C950="","",IF($E950="H",0,IF($E950="G",INDEX(Baseline!$I$3:$I$102,MIN(MAX(ROUND($F950,0),1),100)),IF($E950="T",IF($M950=3,INDEX(Baseline!$B$3:$B$122,MATCH(MIN(MAX(ROUND(($F950)/5,0)*5,5),600),Baseline!$A$3:$A$122,0))-Inputs!$B$9,INDEX(Course!$N$2:$N$19,MATCH($B950,Course!$A$2:$A$19,0))),INDEX(Baseline!$B$3:$E$122,MATCH(MIN(MAX(ROUND(($F950)/5,0)*5,5),600),Baseline!$A$3:$A$122,0),MATCH($E950,Baseline!$B$2:$E$2,0))))))</f>
        <v/>
      </c>
      <c r="P950" s="17" t="str">
        <f aca="false">IF($B950="","",INDEX(Course!$N$2:$N$19,MATCH($B950,Course!$A$2:$A$19,0)))</f>
        <v/>
      </c>
      <c r="Q950" s="17" t="str">
        <f aca="false">IF($B950="","",INDEX(Course!$P$2:$P$19,MATCH($B950,Course!$A$2:$A$19,0)))</f>
        <v/>
      </c>
      <c r="R950" s="17" t="str">
        <f aca="false">IF($C950="","",IF(OR($C950="G",$C950="H"),0,IF($C950="T",1,MIN(1,MAX(0,($N950-Inputs!$B$8)/MAX($P950-Inputs!$B$8,0.01))))))</f>
        <v/>
      </c>
      <c r="S950" s="17" t="str">
        <f aca="false">IF($C950="","",IF(OR($E950="G",$E950="H"),0,IF($E950="T",1,MIN(1,MAX(0,($O950-Inputs!$B$8)/MAX($P950-Inputs!$B$8,0.01))))))</f>
        <v/>
      </c>
    </row>
    <row r="951" customFormat="false" ht="15" hidden="false" customHeight="false" outlineLevel="0" collapsed="false">
      <c r="I951" s="7" t="str">
        <f aca="false">IF($C951="","",IF($C951="G","PUTT",IF(AND($C951="T",$M951&gt;3),"OTT",IF($D951&lt;=30,"ARG","APP"))))</f>
        <v/>
      </c>
      <c r="J951" s="17" t="str">
        <f aca="false">IF($C951="","",$N951+$Q951*$R951)</f>
        <v/>
      </c>
      <c r="K951" s="17" t="str">
        <f aca="false">IF($C951="","",$O951+$Q951*$S951)</f>
        <v/>
      </c>
      <c r="L951" s="17" t="str">
        <f aca="false">IF($C951="","",$J951-$K951-1-N($G951))</f>
        <v/>
      </c>
      <c r="M951" s="7" t="str">
        <f aca="false">IF($B951="","",INDEX(Course!$B$2:$B$19,MATCH($B951,Course!$A$2:$A$19,0)))</f>
        <v/>
      </c>
      <c r="N951" s="17" t="str">
        <f aca="false">IF($C951="","",IF($C951="H",0,IF($C951="G",INDEX(Baseline!$I$3:$I$102,MIN(MAX(ROUND($D951,0),1),100)),IF($C951="T",IF($M951=3,INDEX(Baseline!$B$3:$B$122,MATCH(MIN(MAX(ROUND(($D951)/5,0)*5,5),600),Baseline!$A$3:$A$122,0))-Inputs!$B$9,INDEX(Course!$N$2:$N$19,MATCH($B951,Course!$A$2:$A$19,0))),INDEX(Baseline!$B$3:$E$122,MATCH(MIN(MAX(ROUND(($D951)/5,0)*5,5),600),Baseline!$A$3:$A$122,0),MATCH($C951,Baseline!$B$2:$E$2,0))))))</f>
        <v/>
      </c>
      <c r="O951" s="17" t="str">
        <f aca="false">IF($C951="","",IF($E951="H",0,IF($E951="G",INDEX(Baseline!$I$3:$I$102,MIN(MAX(ROUND($F951,0),1),100)),IF($E951="T",IF($M951=3,INDEX(Baseline!$B$3:$B$122,MATCH(MIN(MAX(ROUND(($F951)/5,0)*5,5),600),Baseline!$A$3:$A$122,0))-Inputs!$B$9,INDEX(Course!$N$2:$N$19,MATCH($B951,Course!$A$2:$A$19,0))),INDEX(Baseline!$B$3:$E$122,MATCH(MIN(MAX(ROUND(($F951)/5,0)*5,5),600),Baseline!$A$3:$A$122,0),MATCH($E951,Baseline!$B$2:$E$2,0))))))</f>
        <v/>
      </c>
      <c r="P951" s="17" t="str">
        <f aca="false">IF($B951="","",INDEX(Course!$N$2:$N$19,MATCH($B951,Course!$A$2:$A$19,0)))</f>
        <v/>
      </c>
      <c r="Q951" s="17" t="str">
        <f aca="false">IF($B951="","",INDEX(Course!$P$2:$P$19,MATCH($B951,Course!$A$2:$A$19,0)))</f>
        <v/>
      </c>
      <c r="R951" s="17" t="str">
        <f aca="false">IF($C951="","",IF(OR($C951="G",$C951="H"),0,IF($C951="T",1,MIN(1,MAX(0,($N951-Inputs!$B$8)/MAX($P951-Inputs!$B$8,0.01))))))</f>
        <v/>
      </c>
      <c r="S951" s="17" t="str">
        <f aca="false">IF($C951="","",IF(OR($E951="G",$E951="H"),0,IF($E951="T",1,MIN(1,MAX(0,($O951-Inputs!$B$8)/MAX($P951-Inputs!$B$8,0.01))))))</f>
        <v/>
      </c>
    </row>
    <row r="952" customFormat="false" ht="15" hidden="false" customHeight="false" outlineLevel="0" collapsed="false">
      <c r="I952" s="7" t="str">
        <f aca="false">IF($C952="","",IF($C952="G","PUTT",IF(AND($C952="T",$M952&gt;3),"OTT",IF($D952&lt;=30,"ARG","APP"))))</f>
        <v/>
      </c>
      <c r="J952" s="17" t="str">
        <f aca="false">IF($C952="","",$N952+$Q952*$R952)</f>
        <v/>
      </c>
      <c r="K952" s="17" t="str">
        <f aca="false">IF($C952="","",$O952+$Q952*$S952)</f>
        <v/>
      </c>
      <c r="L952" s="17" t="str">
        <f aca="false">IF($C952="","",$J952-$K952-1-N($G952))</f>
        <v/>
      </c>
      <c r="M952" s="7" t="str">
        <f aca="false">IF($B952="","",INDEX(Course!$B$2:$B$19,MATCH($B952,Course!$A$2:$A$19,0)))</f>
        <v/>
      </c>
      <c r="N952" s="17" t="str">
        <f aca="false">IF($C952="","",IF($C952="H",0,IF($C952="G",INDEX(Baseline!$I$3:$I$102,MIN(MAX(ROUND($D952,0),1),100)),IF($C952="T",IF($M952=3,INDEX(Baseline!$B$3:$B$122,MATCH(MIN(MAX(ROUND(($D952)/5,0)*5,5),600),Baseline!$A$3:$A$122,0))-Inputs!$B$9,INDEX(Course!$N$2:$N$19,MATCH($B952,Course!$A$2:$A$19,0))),INDEX(Baseline!$B$3:$E$122,MATCH(MIN(MAX(ROUND(($D952)/5,0)*5,5),600),Baseline!$A$3:$A$122,0),MATCH($C952,Baseline!$B$2:$E$2,0))))))</f>
        <v/>
      </c>
      <c r="O952" s="17" t="str">
        <f aca="false">IF($C952="","",IF($E952="H",0,IF($E952="G",INDEX(Baseline!$I$3:$I$102,MIN(MAX(ROUND($F952,0),1),100)),IF($E952="T",IF($M952=3,INDEX(Baseline!$B$3:$B$122,MATCH(MIN(MAX(ROUND(($F952)/5,0)*5,5),600),Baseline!$A$3:$A$122,0))-Inputs!$B$9,INDEX(Course!$N$2:$N$19,MATCH($B952,Course!$A$2:$A$19,0))),INDEX(Baseline!$B$3:$E$122,MATCH(MIN(MAX(ROUND(($F952)/5,0)*5,5),600),Baseline!$A$3:$A$122,0),MATCH($E952,Baseline!$B$2:$E$2,0))))))</f>
        <v/>
      </c>
      <c r="P952" s="17" t="str">
        <f aca="false">IF($B952="","",INDEX(Course!$N$2:$N$19,MATCH($B952,Course!$A$2:$A$19,0)))</f>
        <v/>
      </c>
      <c r="Q952" s="17" t="str">
        <f aca="false">IF($B952="","",INDEX(Course!$P$2:$P$19,MATCH($B952,Course!$A$2:$A$19,0)))</f>
        <v/>
      </c>
      <c r="R952" s="17" t="str">
        <f aca="false">IF($C952="","",IF(OR($C952="G",$C952="H"),0,IF($C952="T",1,MIN(1,MAX(0,($N952-Inputs!$B$8)/MAX($P952-Inputs!$B$8,0.01))))))</f>
        <v/>
      </c>
      <c r="S952" s="17" t="str">
        <f aca="false">IF($C952="","",IF(OR($E952="G",$E952="H"),0,IF($E952="T",1,MIN(1,MAX(0,($O952-Inputs!$B$8)/MAX($P952-Inputs!$B$8,0.01))))))</f>
        <v/>
      </c>
    </row>
    <row r="953" customFormat="false" ht="15" hidden="false" customHeight="false" outlineLevel="0" collapsed="false">
      <c r="I953" s="7" t="str">
        <f aca="false">IF($C953="","",IF($C953="G","PUTT",IF(AND($C953="T",$M953&gt;3),"OTT",IF($D953&lt;=30,"ARG","APP"))))</f>
        <v/>
      </c>
      <c r="J953" s="17" t="str">
        <f aca="false">IF($C953="","",$N953+$Q953*$R953)</f>
        <v/>
      </c>
      <c r="K953" s="17" t="str">
        <f aca="false">IF($C953="","",$O953+$Q953*$S953)</f>
        <v/>
      </c>
      <c r="L953" s="17" t="str">
        <f aca="false">IF($C953="","",$J953-$K953-1-N($G953))</f>
        <v/>
      </c>
      <c r="M953" s="7" t="str">
        <f aca="false">IF($B953="","",INDEX(Course!$B$2:$B$19,MATCH($B953,Course!$A$2:$A$19,0)))</f>
        <v/>
      </c>
      <c r="N953" s="17" t="str">
        <f aca="false">IF($C953="","",IF($C953="H",0,IF($C953="G",INDEX(Baseline!$I$3:$I$102,MIN(MAX(ROUND($D953,0),1),100)),IF($C953="T",IF($M953=3,INDEX(Baseline!$B$3:$B$122,MATCH(MIN(MAX(ROUND(($D953)/5,0)*5,5),600),Baseline!$A$3:$A$122,0))-Inputs!$B$9,INDEX(Course!$N$2:$N$19,MATCH($B953,Course!$A$2:$A$19,0))),INDEX(Baseline!$B$3:$E$122,MATCH(MIN(MAX(ROUND(($D953)/5,0)*5,5),600),Baseline!$A$3:$A$122,0),MATCH($C953,Baseline!$B$2:$E$2,0))))))</f>
        <v/>
      </c>
      <c r="O953" s="17" t="str">
        <f aca="false">IF($C953="","",IF($E953="H",0,IF($E953="G",INDEX(Baseline!$I$3:$I$102,MIN(MAX(ROUND($F953,0),1),100)),IF($E953="T",IF($M953=3,INDEX(Baseline!$B$3:$B$122,MATCH(MIN(MAX(ROUND(($F953)/5,0)*5,5),600),Baseline!$A$3:$A$122,0))-Inputs!$B$9,INDEX(Course!$N$2:$N$19,MATCH($B953,Course!$A$2:$A$19,0))),INDEX(Baseline!$B$3:$E$122,MATCH(MIN(MAX(ROUND(($F953)/5,0)*5,5),600),Baseline!$A$3:$A$122,0),MATCH($E953,Baseline!$B$2:$E$2,0))))))</f>
        <v/>
      </c>
      <c r="P953" s="17" t="str">
        <f aca="false">IF($B953="","",INDEX(Course!$N$2:$N$19,MATCH($B953,Course!$A$2:$A$19,0)))</f>
        <v/>
      </c>
      <c r="Q953" s="17" t="str">
        <f aca="false">IF($B953="","",INDEX(Course!$P$2:$P$19,MATCH($B953,Course!$A$2:$A$19,0)))</f>
        <v/>
      </c>
      <c r="R953" s="17" t="str">
        <f aca="false">IF($C953="","",IF(OR($C953="G",$C953="H"),0,IF($C953="T",1,MIN(1,MAX(0,($N953-Inputs!$B$8)/MAX($P953-Inputs!$B$8,0.01))))))</f>
        <v/>
      </c>
      <c r="S953" s="17" t="str">
        <f aca="false">IF($C953="","",IF(OR($E953="G",$E953="H"),0,IF($E953="T",1,MIN(1,MAX(0,($O953-Inputs!$B$8)/MAX($P953-Inputs!$B$8,0.01))))))</f>
        <v/>
      </c>
    </row>
    <row r="954" customFormat="false" ht="15" hidden="false" customHeight="false" outlineLevel="0" collapsed="false">
      <c r="I954" s="7" t="str">
        <f aca="false">IF($C954="","",IF($C954="G","PUTT",IF(AND($C954="T",$M954&gt;3),"OTT",IF($D954&lt;=30,"ARG","APP"))))</f>
        <v/>
      </c>
      <c r="J954" s="17" t="str">
        <f aca="false">IF($C954="","",$N954+$Q954*$R954)</f>
        <v/>
      </c>
      <c r="K954" s="17" t="str">
        <f aca="false">IF($C954="","",$O954+$Q954*$S954)</f>
        <v/>
      </c>
      <c r="L954" s="17" t="str">
        <f aca="false">IF($C954="","",$J954-$K954-1-N($G954))</f>
        <v/>
      </c>
      <c r="M954" s="7" t="str">
        <f aca="false">IF($B954="","",INDEX(Course!$B$2:$B$19,MATCH($B954,Course!$A$2:$A$19,0)))</f>
        <v/>
      </c>
      <c r="N954" s="17" t="str">
        <f aca="false">IF($C954="","",IF($C954="H",0,IF($C954="G",INDEX(Baseline!$I$3:$I$102,MIN(MAX(ROUND($D954,0),1),100)),IF($C954="T",IF($M954=3,INDEX(Baseline!$B$3:$B$122,MATCH(MIN(MAX(ROUND(($D954)/5,0)*5,5),600),Baseline!$A$3:$A$122,0))-Inputs!$B$9,INDEX(Course!$N$2:$N$19,MATCH($B954,Course!$A$2:$A$19,0))),INDEX(Baseline!$B$3:$E$122,MATCH(MIN(MAX(ROUND(($D954)/5,0)*5,5),600),Baseline!$A$3:$A$122,0),MATCH($C954,Baseline!$B$2:$E$2,0))))))</f>
        <v/>
      </c>
      <c r="O954" s="17" t="str">
        <f aca="false">IF($C954="","",IF($E954="H",0,IF($E954="G",INDEX(Baseline!$I$3:$I$102,MIN(MAX(ROUND($F954,0),1),100)),IF($E954="T",IF($M954=3,INDEX(Baseline!$B$3:$B$122,MATCH(MIN(MAX(ROUND(($F954)/5,0)*5,5),600),Baseline!$A$3:$A$122,0))-Inputs!$B$9,INDEX(Course!$N$2:$N$19,MATCH($B954,Course!$A$2:$A$19,0))),INDEX(Baseline!$B$3:$E$122,MATCH(MIN(MAX(ROUND(($F954)/5,0)*5,5),600),Baseline!$A$3:$A$122,0),MATCH($E954,Baseline!$B$2:$E$2,0))))))</f>
        <v/>
      </c>
      <c r="P954" s="17" t="str">
        <f aca="false">IF($B954="","",INDEX(Course!$N$2:$N$19,MATCH($B954,Course!$A$2:$A$19,0)))</f>
        <v/>
      </c>
      <c r="Q954" s="17" t="str">
        <f aca="false">IF($B954="","",INDEX(Course!$P$2:$P$19,MATCH($B954,Course!$A$2:$A$19,0)))</f>
        <v/>
      </c>
      <c r="R954" s="17" t="str">
        <f aca="false">IF($C954="","",IF(OR($C954="G",$C954="H"),0,IF($C954="T",1,MIN(1,MAX(0,($N954-Inputs!$B$8)/MAX($P954-Inputs!$B$8,0.01))))))</f>
        <v/>
      </c>
      <c r="S954" s="17" t="str">
        <f aca="false">IF($C954="","",IF(OR($E954="G",$E954="H"),0,IF($E954="T",1,MIN(1,MAX(0,($O954-Inputs!$B$8)/MAX($P954-Inputs!$B$8,0.01))))))</f>
        <v/>
      </c>
    </row>
    <row r="955" customFormat="false" ht="15" hidden="false" customHeight="false" outlineLevel="0" collapsed="false">
      <c r="I955" s="7" t="str">
        <f aca="false">IF($C955="","",IF($C955="G","PUTT",IF(AND($C955="T",$M955&gt;3),"OTT",IF($D955&lt;=30,"ARG","APP"))))</f>
        <v/>
      </c>
      <c r="J955" s="17" t="str">
        <f aca="false">IF($C955="","",$N955+$Q955*$R955)</f>
        <v/>
      </c>
      <c r="K955" s="17" t="str">
        <f aca="false">IF($C955="","",$O955+$Q955*$S955)</f>
        <v/>
      </c>
      <c r="L955" s="17" t="str">
        <f aca="false">IF($C955="","",$J955-$K955-1-N($G955))</f>
        <v/>
      </c>
      <c r="M955" s="7" t="str">
        <f aca="false">IF($B955="","",INDEX(Course!$B$2:$B$19,MATCH($B955,Course!$A$2:$A$19,0)))</f>
        <v/>
      </c>
      <c r="N955" s="17" t="str">
        <f aca="false">IF($C955="","",IF($C955="H",0,IF($C955="G",INDEX(Baseline!$I$3:$I$102,MIN(MAX(ROUND($D955,0),1),100)),IF($C955="T",IF($M955=3,INDEX(Baseline!$B$3:$B$122,MATCH(MIN(MAX(ROUND(($D955)/5,0)*5,5),600),Baseline!$A$3:$A$122,0))-Inputs!$B$9,INDEX(Course!$N$2:$N$19,MATCH($B955,Course!$A$2:$A$19,0))),INDEX(Baseline!$B$3:$E$122,MATCH(MIN(MAX(ROUND(($D955)/5,0)*5,5),600),Baseline!$A$3:$A$122,0),MATCH($C955,Baseline!$B$2:$E$2,0))))))</f>
        <v/>
      </c>
      <c r="O955" s="17" t="str">
        <f aca="false">IF($C955="","",IF($E955="H",0,IF($E955="G",INDEX(Baseline!$I$3:$I$102,MIN(MAX(ROUND($F955,0),1),100)),IF($E955="T",IF($M955=3,INDEX(Baseline!$B$3:$B$122,MATCH(MIN(MAX(ROUND(($F955)/5,0)*5,5),600),Baseline!$A$3:$A$122,0))-Inputs!$B$9,INDEX(Course!$N$2:$N$19,MATCH($B955,Course!$A$2:$A$19,0))),INDEX(Baseline!$B$3:$E$122,MATCH(MIN(MAX(ROUND(($F955)/5,0)*5,5),600),Baseline!$A$3:$A$122,0),MATCH($E955,Baseline!$B$2:$E$2,0))))))</f>
        <v/>
      </c>
      <c r="P955" s="17" t="str">
        <f aca="false">IF($B955="","",INDEX(Course!$N$2:$N$19,MATCH($B955,Course!$A$2:$A$19,0)))</f>
        <v/>
      </c>
      <c r="Q955" s="17" t="str">
        <f aca="false">IF($B955="","",INDEX(Course!$P$2:$P$19,MATCH($B955,Course!$A$2:$A$19,0)))</f>
        <v/>
      </c>
      <c r="R955" s="17" t="str">
        <f aca="false">IF($C955="","",IF(OR($C955="G",$C955="H"),0,IF($C955="T",1,MIN(1,MAX(0,($N955-Inputs!$B$8)/MAX($P955-Inputs!$B$8,0.01))))))</f>
        <v/>
      </c>
      <c r="S955" s="17" t="str">
        <f aca="false">IF($C955="","",IF(OR($E955="G",$E955="H"),0,IF($E955="T",1,MIN(1,MAX(0,($O955-Inputs!$B$8)/MAX($P955-Inputs!$B$8,0.01))))))</f>
        <v/>
      </c>
    </row>
    <row r="956" customFormat="false" ht="15" hidden="false" customHeight="false" outlineLevel="0" collapsed="false">
      <c r="I956" s="7" t="str">
        <f aca="false">IF($C956="","",IF($C956="G","PUTT",IF(AND($C956="T",$M956&gt;3),"OTT",IF($D956&lt;=30,"ARG","APP"))))</f>
        <v/>
      </c>
      <c r="J956" s="17" t="str">
        <f aca="false">IF($C956="","",$N956+$Q956*$R956)</f>
        <v/>
      </c>
      <c r="K956" s="17" t="str">
        <f aca="false">IF($C956="","",$O956+$Q956*$S956)</f>
        <v/>
      </c>
      <c r="L956" s="17" t="str">
        <f aca="false">IF($C956="","",$J956-$K956-1-N($G956))</f>
        <v/>
      </c>
      <c r="M956" s="7" t="str">
        <f aca="false">IF($B956="","",INDEX(Course!$B$2:$B$19,MATCH($B956,Course!$A$2:$A$19,0)))</f>
        <v/>
      </c>
      <c r="N956" s="17" t="str">
        <f aca="false">IF($C956="","",IF($C956="H",0,IF($C956="G",INDEX(Baseline!$I$3:$I$102,MIN(MAX(ROUND($D956,0),1),100)),IF($C956="T",IF($M956=3,INDEX(Baseline!$B$3:$B$122,MATCH(MIN(MAX(ROUND(($D956)/5,0)*5,5),600),Baseline!$A$3:$A$122,0))-Inputs!$B$9,INDEX(Course!$N$2:$N$19,MATCH($B956,Course!$A$2:$A$19,0))),INDEX(Baseline!$B$3:$E$122,MATCH(MIN(MAX(ROUND(($D956)/5,0)*5,5),600),Baseline!$A$3:$A$122,0),MATCH($C956,Baseline!$B$2:$E$2,0))))))</f>
        <v/>
      </c>
      <c r="O956" s="17" t="str">
        <f aca="false">IF($C956="","",IF($E956="H",0,IF($E956="G",INDEX(Baseline!$I$3:$I$102,MIN(MAX(ROUND($F956,0),1),100)),IF($E956="T",IF($M956=3,INDEX(Baseline!$B$3:$B$122,MATCH(MIN(MAX(ROUND(($F956)/5,0)*5,5),600),Baseline!$A$3:$A$122,0))-Inputs!$B$9,INDEX(Course!$N$2:$N$19,MATCH($B956,Course!$A$2:$A$19,0))),INDEX(Baseline!$B$3:$E$122,MATCH(MIN(MAX(ROUND(($F956)/5,0)*5,5),600),Baseline!$A$3:$A$122,0),MATCH($E956,Baseline!$B$2:$E$2,0))))))</f>
        <v/>
      </c>
      <c r="P956" s="17" t="str">
        <f aca="false">IF($B956="","",INDEX(Course!$N$2:$N$19,MATCH($B956,Course!$A$2:$A$19,0)))</f>
        <v/>
      </c>
      <c r="Q956" s="17" t="str">
        <f aca="false">IF($B956="","",INDEX(Course!$P$2:$P$19,MATCH($B956,Course!$A$2:$A$19,0)))</f>
        <v/>
      </c>
      <c r="R956" s="17" t="str">
        <f aca="false">IF($C956="","",IF(OR($C956="G",$C956="H"),0,IF($C956="T",1,MIN(1,MAX(0,($N956-Inputs!$B$8)/MAX($P956-Inputs!$B$8,0.01))))))</f>
        <v/>
      </c>
      <c r="S956" s="17" t="str">
        <f aca="false">IF($C956="","",IF(OR($E956="G",$E956="H"),0,IF($E956="T",1,MIN(1,MAX(0,($O956-Inputs!$B$8)/MAX($P956-Inputs!$B$8,0.01))))))</f>
        <v/>
      </c>
    </row>
    <row r="957" customFormat="false" ht="15" hidden="false" customHeight="false" outlineLevel="0" collapsed="false">
      <c r="I957" s="7" t="str">
        <f aca="false">IF($C957="","",IF($C957="G","PUTT",IF(AND($C957="T",$M957&gt;3),"OTT",IF($D957&lt;=30,"ARG","APP"))))</f>
        <v/>
      </c>
      <c r="J957" s="17" t="str">
        <f aca="false">IF($C957="","",$N957+$Q957*$R957)</f>
        <v/>
      </c>
      <c r="K957" s="17" t="str">
        <f aca="false">IF($C957="","",$O957+$Q957*$S957)</f>
        <v/>
      </c>
      <c r="L957" s="17" t="str">
        <f aca="false">IF($C957="","",$J957-$K957-1-N($G957))</f>
        <v/>
      </c>
      <c r="M957" s="7" t="str">
        <f aca="false">IF($B957="","",INDEX(Course!$B$2:$B$19,MATCH($B957,Course!$A$2:$A$19,0)))</f>
        <v/>
      </c>
      <c r="N957" s="17" t="str">
        <f aca="false">IF($C957="","",IF($C957="H",0,IF($C957="G",INDEX(Baseline!$I$3:$I$102,MIN(MAX(ROUND($D957,0),1),100)),IF($C957="T",IF($M957=3,INDEX(Baseline!$B$3:$B$122,MATCH(MIN(MAX(ROUND(($D957)/5,0)*5,5),600),Baseline!$A$3:$A$122,0))-Inputs!$B$9,INDEX(Course!$N$2:$N$19,MATCH($B957,Course!$A$2:$A$19,0))),INDEX(Baseline!$B$3:$E$122,MATCH(MIN(MAX(ROUND(($D957)/5,0)*5,5),600),Baseline!$A$3:$A$122,0),MATCH($C957,Baseline!$B$2:$E$2,0))))))</f>
        <v/>
      </c>
      <c r="O957" s="17" t="str">
        <f aca="false">IF($C957="","",IF($E957="H",0,IF($E957="G",INDEX(Baseline!$I$3:$I$102,MIN(MAX(ROUND($F957,0),1),100)),IF($E957="T",IF($M957=3,INDEX(Baseline!$B$3:$B$122,MATCH(MIN(MAX(ROUND(($F957)/5,0)*5,5),600),Baseline!$A$3:$A$122,0))-Inputs!$B$9,INDEX(Course!$N$2:$N$19,MATCH($B957,Course!$A$2:$A$19,0))),INDEX(Baseline!$B$3:$E$122,MATCH(MIN(MAX(ROUND(($F957)/5,0)*5,5),600),Baseline!$A$3:$A$122,0),MATCH($E957,Baseline!$B$2:$E$2,0))))))</f>
        <v/>
      </c>
      <c r="P957" s="17" t="str">
        <f aca="false">IF($B957="","",INDEX(Course!$N$2:$N$19,MATCH($B957,Course!$A$2:$A$19,0)))</f>
        <v/>
      </c>
      <c r="Q957" s="17" t="str">
        <f aca="false">IF($B957="","",INDEX(Course!$P$2:$P$19,MATCH($B957,Course!$A$2:$A$19,0)))</f>
        <v/>
      </c>
      <c r="R957" s="17" t="str">
        <f aca="false">IF($C957="","",IF(OR($C957="G",$C957="H"),0,IF($C957="T",1,MIN(1,MAX(0,($N957-Inputs!$B$8)/MAX($P957-Inputs!$B$8,0.01))))))</f>
        <v/>
      </c>
      <c r="S957" s="17" t="str">
        <f aca="false">IF($C957="","",IF(OR($E957="G",$E957="H"),0,IF($E957="T",1,MIN(1,MAX(0,($O957-Inputs!$B$8)/MAX($P957-Inputs!$B$8,0.01))))))</f>
        <v/>
      </c>
    </row>
    <row r="958" customFormat="false" ht="15" hidden="false" customHeight="false" outlineLevel="0" collapsed="false">
      <c r="I958" s="7" t="str">
        <f aca="false">IF($C958="","",IF($C958="G","PUTT",IF(AND($C958="T",$M958&gt;3),"OTT",IF($D958&lt;=30,"ARG","APP"))))</f>
        <v/>
      </c>
      <c r="J958" s="17" t="str">
        <f aca="false">IF($C958="","",$N958+$Q958*$R958)</f>
        <v/>
      </c>
      <c r="K958" s="17" t="str">
        <f aca="false">IF($C958="","",$O958+$Q958*$S958)</f>
        <v/>
      </c>
      <c r="L958" s="17" t="str">
        <f aca="false">IF($C958="","",$J958-$K958-1-N($G958))</f>
        <v/>
      </c>
      <c r="M958" s="7" t="str">
        <f aca="false">IF($B958="","",INDEX(Course!$B$2:$B$19,MATCH($B958,Course!$A$2:$A$19,0)))</f>
        <v/>
      </c>
      <c r="N958" s="17" t="str">
        <f aca="false">IF($C958="","",IF($C958="H",0,IF($C958="G",INDEX(Baseline!$I$3:$I$102,MIN(MAX(ROUND($D958,0),1),100)),IF($C958="T",IF($M958=3,INDEX(Baseline!$B$3:$B$122,MATCH(MIN(MAX(ROUND(($D958)/5,0)*5,5),600),Baseline!$A$3:$A$122,0))-Inputs!$B$9,INDEX(Course!$N$2:$N$19,MATCH($B958,Course!$A$2:$A$19,0))),INDEX(Baseline!$B$3:$E$122,MATCH(MIN(MAX(ROUND(($D958)/5,0)*5,5),600),Baseline!$A$3:$A$122,0),MATCH($C958,Baseline!$B$2:$E$2,0))))))</f>
        <v/>
      </c>
      <c r="O958" s="17" t="str">
        <f aca="false">IF($C958="","",IF($E958="H",0,IF($E958="G",INDEX(Baseline!$I$3:$I$102,MIN(MAX(ROUND($F958,0),1),100)),IF($E958="T",IF($M958=3,INDEX(Baseline!$B$3:$B$122,MATCH(MIN(MAX(ROUND(($F958)/5,0)*5,5),600),Baseline!$A$3:$A$122,0))-Inputs!$B$9,INDEX(Course!$N$2:$N$19,MATCH($B958,Course!$A$2:$A$19,0))),INDEX(Baseline!$B$3:$E$122,MATCH(MIN(MAX(ROUND(($F958)/5,0)*5,5),600),Baseline!$A$3:$A$122,0),MATCH($E958,Baseline!$B$2:$E$2,0))))))</f>
        <v/>
      </c>
      <c r="P958" s="17" t="str">
        <f aca="false">IF($B958="","",INDEX(Course!$N$2:$N$19,MATCH($B958,Course!$A$2:$A$19,0)))</f>
        <v/>
      </c>
      <c r="Q958" s="17" t="str">
        <f aca="false">IF($B958="","",INDEX(Course!$P$2:$P$19,MATCH($B958,Course!$A$2:$A$19,0)))</f>
        <v/>
      </c>
      <c r="R958" s="17" t="str">
        <f aca="false">IF($C958="","",IF(OR($C958="G",$C958="H"),0,IF($C958="T",1,MIN(1,MAX(0,($N958-Inputs!$B$8)/MAX($P958-Inputs!$B$8,0.01))))))</f>
        <v/>
      </c>
      <c r="S958" s="17" t="str">
        <f aca="false">IF($C958="","",IF(OR($E958="G",$E958="H"),0,IF($E958="T",1,MIN(1,MAX(0,($O958-Inputs!$B$8)/MAX($P958-Inputs!$B$8,0.01))))))</f>
        <v/>
      </c>
    </row>
    <row r="959" customFormat="false" ht="15" hidden="false" customHeight="false" outlineLevel="0" collapsed="false">
      <c r="I959" s="7" t="str">
        <f aca="false">IF($C959="","",IF($C959="G","PUTT",IF(AND($C959="T",$M959&gt;3),"OTT",IF($D959&lt;=30,"ARG","APP"))))</f>
        <v/>
      </c>
      <c r="J959" s="17" t="str">
        <f aca="false">IF($C959="","",$N959+$Q959*$R959)</f>
        <v/>
      </c>
      <c r="K959" s="17" t="str">
        <f aca="false">IF($C959="","",$O959+$Q959*$S959)</f>
        <v/>
      </c>
      <c r="L959" s="17" t="str">
        <f aca="false">IF($C959="","",$J959-$K959-1-N($G959))</f>
        <v/>
      </c>
      <c r="M959" s="7" t="str">
        <f aca="false">IF($B959="","",INDEX(Course!$B$2:$B$19,MATCH($B959,Course!$A$2:$A$19,0)))</f>
        <v/>
      </c>
      <c r="N959" s="17" t="str">
        <f aca="false">IF($C959="","",IF($C959="H",0,IF($C959="G",INDEX(Baseline!$I$3:$I$102,MIN(MAX(ROUND($D959,0),1),100)),IF($C959="T",IF($M959=3,INDEX(Baseline!$B$3:$B$122,MATCH(MIN(MAX(ROUND(($D959)/5,0)*5,5),600),Baseline!$A$3:$A$122,0))-Inputs!$B$9,INDEX(Course!$N$2:$N$19,MATCH($B959,Course!$A$2:$A$19,0))),INDEX(Baseline!$B$3:$E$122,MATCH(MIN(MAX(ROUND(($D959)/5,0)*5,5),600),Baseline!$A$3:$A$122,0),MATCH($C959,Baseline!$B$2:$E$2,0))))))</f>
        <v/>
      </c>
      <c r="O959" s="17" t="str">
        <f aca="false">IF($C959="","",IF($E959="H",0,IF($E959="G",INDEX(Baseline!$I$3:$I$102,MIN(MAX(ROUND($F959,0),1),100)),IF($E959="T",IF($M959=3,INDEX(Baseline!$B$3:$B$122,MATCH(MIN(MAX(ROUND(($F959)/5,0)*5,5),600),Baseline!$A$3:$A$122,0))-Inputs!$B$9,INDEX(Course!$N$2:$N$19,MATCH($B959,Course!$A$2:$A$19,0))),INDEX(Baseline!$B$3:$E$122,MATCH(MIN(MAX(ROUND(($F959)/5,0)*5,5),600),Baseline!$A$3:$A$122,0),MATCH($E959,Baseline!$B$2:$E$2,0))))))</f>
        <v/>
      </c>
      <c r="P959" s="17" t="str">
        <f aca="false">IF($B959="","",INDEX(Course!$N$2:$N$19,MATCH($B959,Course!$A$2:$A$19,0)))</f>
        <v/>
      </c>
      <c r="Q959" s="17" t="str">
        <f aca="false">IF($B959="","",INDEX(Course!$P$2:$P$19,MATCH($B959,Course!$A$2:$A$19,0)))</f>
        <v/>
      </c>
      <c r="R959" s="17" t="str">
        <f aca="false">IF($C959="","",IF(OR($C959="G",$C959="H"),0,IF($C959="T",1,MIN(1,MAX(0,($N959-Inputs!$B$8)/MAX($P959-Inputs!$B$8,0.01))))))</f>
        <v/>
      </c>
      <c r="S959" s="17" t="str">
        <f aca="false">IF($C959="","",IF(OR($E959="G",$E959="H"),0,IF($E959="T",1,MIN(1,MAX(0,($O959-Inputs!$B$8)/MAX($P959-Inputs!$B$8,0.01))))))</f>
        <v/>
      </c>
    </row>
    <row r="960" customFormat="false" ht="15" hidden="false" customHeight="false" outlineLevel="0" collapsed="false">
      <c r="I960" s="7" t="str">
        <f aca="false">IF($C960="","",IF($C960="G","PUTT",IF(AND($C960="T",$M960&gt;3),"OTT",IF($D960&lt;=30,"ARG","APP"))))</f>
        <v/>
      </c>
      <c r="J960" s="17" t="str">
        <f aca="false">IF($C960="","",$N960+$Q960*$R960)</f>
        <v/>
      </c>
      <c r="K960" s="17" t="str">
        <f aca="false">IF($C960="","",$O960+$Q960*$S960)</f>
        <v/>
      </c>
      <c r="L960" s="17" t="str">
        <f aca="false">IF($C960="","",$J960-$K960-1-N($G960))</f>
        <v/>
      </c>
      <c r="M960" s="7" t="str">
        <f aca="false">IF($B960="","",INDEX(Course!$B$2:$B$19,MATCH($B960,Course!$A$2:$A$19,0)))</f>
        <v/>
      </c>
      <c r="N960" s="17" t="str">
        <f aca="false">IF($C960="","",IF($C960="H",0,IF($C960="G",INDEX(Baseline!$I$3:$I$102,MIN(MAX(ROUND($D960,0),1),100)),IF($C960="T",IF($M960=3,INDEX(Baseline!$B$3:$B$122,MATCH(MIN(MAX(ROUND(($D960)/5,0)*5,5),600),Baseline!$A$3:$A$122,0))-Inputs!$B$9,INDEX(Course!$N$2:$N$19,MATCH($B960,Course!$A$2:$A$19,0))),INDEX(Baseline!$B$3:$E$122,MATCH(MIN(MAX(ROUND(($D960)/5,0)*5,5),600),Baseline!$A$3:$A$122,0),MATCH($C960,Baseline!$B$2:$E$2,0))))))</f>
        <v/>
      </c>
      <c r="O960" s="17" t="str">
        <f aca="false">IF($C960="","",IF($E960="H",0,IF($E960="G",INDEX(Baseline!$I$3:$I$102,MIN(MAX(ROUND($F960,0),1),100)),IF($E960="T",IF($M960=3,INDEX(Baseline!$B$3:$B$122,MATCH(MIN(MAX(ROUND(($F960)/5,0)*5,5),600),Baseline!$A$3:$A$122,0))-Inputs!$B$9,INDEX(Course!$N$2:$N$19,MATCH($B960,Course!$A$2:$A$19,0))),INDEX(Baseline!$B$3:$E$122,MATCH(MIN(MAX(ROUND(($F960)/5,0)*5,5),600),Baseline!$A$3:$A$122,0),MATCH($E960,Baseline!$B$2:$E$2,0))))))</f>
        <v/>
      </c>
      <c r="P960" s="17" t="str">
        <f aca="false">IF($B960="","",INDEX(Course!$N$2:$N$19,MATCH($B960,Course!$A$2:$A$19,0)))</f>
        <v/>
      </c>
      <c r="Q960" s="17" t="str">
        <f aca="false">IF($B960="","",INDEX(Course!$P$2:$P$19,MATCH($B960,Course!$A$2:$A$19,0)))</f>
        <v/>
      </c>
      <c r="R960" s="17" t="str">
        <f aca="false">IF($C960="","",IF(OR($C960="G",$C960="H"),0,IF($C960="T",1,MIN(1,MAX(0,($N960-Inputs!$B$8)/MAX($P960-Inputs!$B$8,0.01))))))</f>
        <v/>
      </c>
      <c r="S960" s="17" t="str">
        <f aca="false">IF($C960="","",IF(OR($E960="G",$E960="H"),0,IF($E960="T",1,MIN(1,MAX(0,($O960-Inputs!$B$8)/MAX($P960-Inputs!$B$8,0.01))))))</f>
        <v/>
      </c>
    </row>
    <row r="961" customFormat="false" ht="15" hidden="false" customHeight="false" outlineLevel="0" collapsed="false">
      <c r="I961" s="7" t="str">
        <f aca="false">IF($C961="","",IF($C961="G","PUTT",IF(AND($C961="T",$M961&gt;3),"OTT",IF($D961&lt;=30,"ARG","APP"))))</f>
        <v/>
      </c>
      <c r="J961" s="17" t="str">
        <f aca="false">IF($C961="","",$N961+$Q961*$R961)</f>
        <v/>
      </c>
      <c r="K961" s="17" t="str">
        <f aca="false">IF($C961="","",$O961+$Q961*$S961)</f>
        <v/>
      </c>
      <c r="L961" s="17" t="str">
        <f aca="false">IF($C961="","",$J961-$K961-1-N($G961))</f>
        <v/>
      </c>
      <c r="M961" s="7" t="str">
        <f aca="false">IF($B961="","",INDEX(Course!$B$2:$B$19,MATCH($B961,Course!$A$2:$A$19,0)))</f>
        <v/>
      </c>
      <c r="N961" s="17" t="str">
        <f aca="false">IF($C961="","",IF($C961="H",0,IF($C961="G",INDEX(Baseline!$I$3:$I$102,MIN(MAX(ROUND($D961,0),1),100)),IF($C961="T",IF($M961=3,INDEX(Baseline!$B$3:$B$122,MATCH(MIN(MAX(ROUND(($D961)/5,0)*5,5),600),Baseline!$A$3:$A$122,0))-Inputs!$B$9,INDEX(Course!$N$2:$N$19,MATCH($B961,Course!$A$2:$A$19,0))),INDEX(Baseline!$B$3:$E$122,MATCH(MIN(MAX(ROUND(($D961)/5,0)*5,5),600),Baseline!$A$3:$A$122,0),MATCH($C961,Baseline!$B$2:$E$2,0))))))</f>
        <v/>
      </c>
      <c r="O961" s="17" t="str">
        <f aca="false">IF($C961="","",IF($E961="H",0,IF($E961="G",INDEX(Baseline!$I$3:$I$102,MIN(MAX(ROUND($F961,0),1),100)),IF($E961="T",IF($M961=3,INDEX(Baseline!$B$3:$B$122,MATCH(MIN(MAX(ROUND(($F961)/5,0)*5,5),600),Baseline!$A$3:$A$122,0))-Inputs!$B$9,INDEX(Course!$N$2:$N$19,MATCH($B961,Course!$A$2:$A$19,0))),INDEX(Baseline!$B$3:$E$122,MATCH(MIN(MAX(ROUND(($F961)/5,0)*5,5),600),Baseline!$A$3:$A$122,0),MATCH($E961,Baseline!$B$2:$E$2,0))))))</f>
        <v/>
      </c>
      <c r="P961" s="17" t="str">
        <f aca="false">IF($B961="","",INDEX(Course!$N$2:$N$19,MATCH($B961,Course!$A$2:$A$19,0)))</f>
        <v/>
      </c>
      <c r="Q961" s="17" t="str">
        <f aca="false">IF($B961="","",INDEX(Course!$P$2:$P$19,MATCH($B961,Course!$A$2:$A$19,0)))</f>
        <v/>
      </c>
      <c r="R961" s="17" t="str">
        <f aca="false">IF($C961="","",IF(OR($C961="G",$C961="H"),0,IF($C961="T",1,MIN(1,MAX(0,($N961-Inputs!$B$8)/MAX($P961-Inputs!$B$8,0.01))))))</f>
        <v/>
      </c>
      <c r="S961" s="17" t="str">
        <f aca="false">IF($C961="","",IF(OR($E961="G",$E961="H"),0,IF($E961="T",1,MIN(1,MAX(0,($O961-Inputs!$B$8)/MAX($P961-Inputs!$B$8,0.01))))))</f>
        <v/>
      </c>
    </row>
    <row r="962" customFormat="false" ht="15" hidden="false" customHeight="false" outlineLevel="0" collapsed="false">
      <c r="I962" s="7" t="str">
        <f aca="false">IF($C962="","",IF($C962="G","PUTT",IF(AND($C962="T",$M962&gt;3),"OTT",IF($D962&lt;=30,"ARG","APP"))))</f>
        <v/>
      </c>
      <c r="J962" s="17" t="str">
        <f aca="false">IF($C962="","",$N962+$Q962*$R962)</f>
        <v/>
      </c>
      <c r="K962" s="17" t="str">
        <f aca="false">IF($C962="","",$O962+$Q962*$S962)</f>
        <v/>
      </c>
      <c r="L962" s="17" t="str">
        <f aca="false">IF($C962="","",$J962-$K962-1-N($G962))</f>
        <v/>
      </c>
      <c r="M962" s="7" t="str">
        <f aca="false">IF($B962="","",INDEX(Course!$B$2:$B$19,MATCH($B962,Course!$A$2:$A$19,0)))</f>
        <v/>
      </c>
      <c r="N962" s="17" t="str">
        <f aca="false">IF($C962="","",IF($C962="H",0,IF($C962="G",INDEX(Baseline!$I$3:$I$102,MIN(MAX(ROUND($D962,0),1),100)),IF($C962="T",IF($M962=3,INDEX(Baseline!$B$3:$B$122,MATCH(MIN(MAX(ROUND(($D962)/5,0)*5,5),600),Baseline!$A$3:$A$122,0))-Inputs!$B$9,INDEX(Course!$N$2:$N$19,MATCH($B962,Course!$A$2:$A$19,0))),INDEX(Baseline!$B$3:$E$122,MATCH(MIN(MAX(ROUND(($D962)/5,0)*5,5),600),Baseline!$A$3:$A$122,0),MATCH($C962,Baseline!$B$2:$E$2,0))))))</f>
        <v/>
      </c>
      <c r="O962" s="17" t="str">
        <f aca="false">IF($C962="","",IF($E962="H",0,IF($E962="G",INDEX(Baseline!$I$3:$I$102,MIN(MAX(ROUND($F962,0),1),100)),IF($E962="T",IF($M962=3,INDEX(Baseline!$B$3:$B$122,MATCH(MIN(MAX(ROUND(($F962)/5,0)*5,5),600),Baseline!$A$3:$A$122,0))-Inputs!$B$9,INDEX(Course!$N$2:$N$19,MATCH($B962,Course!$A$2:$A$19,0))),INDEX(Baseline!$B$3:$E$122,MATCH(MIN(MAX(ROUND(($F962)/5,0)*5,5),600),Baseline!$A$3:$A$122,0),MATCH($E962,Baseline!$B$2:$E$2,0))))))</f>
        <v/>
      </c>
      <c r="P962" s="17" t="str">
        <f aca="false">IF($B962="","",INDEX(Course!$N$2:$N$19,MATCH($B962,Course!$A$2:$A$19,0)))</f>
        <v/>
      </c>
      <c r="Q962" s="17" t="str">
        <f aca="false">IF($B962="","",INDEX(Course!$P$2:$P$19,MATCH($B962,Course!$A$2:$A$19,0)))</f>
        <v/>
      </c>
      <c r="R962" s="17" t="str">
        <f aca="false">IF($C962="","",IF(OR($C962="G",$C962="H"),0,IF($C962="T",1,MIN(1,MAX(0,($N962-Inputs!$B$8)/MAX($P962-Inputs!$B$8,0.01))))))</f>
        <v/>
      </c>
      <c r="S962" s="17" t="str">
        <f aca="false">IF($C962="","",IF(OR($E962="G",$E962="H"),0,IF($E962="T",1,MIN(1,MAX(0,($O962-Inputs!$B$8)/MAX($P962-Inputs!$B$8,0.01))))))</f>
        <v/>
      </c>
    </row>
    <row r="963" customFormat="false" ht="15" hidden="false" customHeight="false" outlineLevel="0" collapsed="false">
      <c r="I963" s="7" t="str">
        <f aca="false">IF($C963="","",IF($C963="G","PUTT",IF(AND($C963="T",$M963&gt;3),"OTT",IF($D963&lt;=30,"ARG","APP"))))</f>
        <v/>
      </c>
      <c r="J963" s="17" t="str">
        <f aca="false">IF($C963="","",$N963+$Q963*$R963)</f>
        <v/>
      </c>
      <c r="K963" s="17" t="str">
        <f aca="false">IF($C963="","",$O963+$Q963*$S963)</f>
        <v/>
      </c>
      <c r="L963" s="17" t="str">
        <f aca="false">IF($C963="","",$J963-$K963-1-N($G963))</f>
        <v/>
      </c>
      <c r="M963" s="7" t="str">
        <f aca="false">IF($B963="","",INDEX(Course!$B$2:$B$19,MATCH($B963,Course!$A$2:$A$19,0)))</f>
        <v/>
      </c>
      <c r="N963" s="17" t="str">
        <f aca="false">IF($C963="","",IF($C963="H",0,IF($C963="G",INDEX(Baseline!$I$3:$I$102,MIN(MAX(ROUND($D963,0),1),100)),IF($C963="T",IF($M963=3,INDEX(Baseline!$B$3:$B$122,MATCH(MIN(MAX(ROUND(($D963)/5,0)*5,5),600),Baseline!$A$3:$A$122,0))-Inputs!$B$9,INDEX(Course!$N$2:$N$19,MATCH($B963,Course!$A$2:$A$19,0))),INDEX(Baseline!$B$3:$E$122,MATCH(MIN(MAX(ROUND(($D963)/5,0)*5,5),600),Baseline!$A$3:$A$122,0),MATCH($C963,Baseline!$B$2:$E$2,0))))))</f>
        <v/>
      </c>
      <c r="O963" s="17" t="str">
        <f aca="false">IF($C963="","",IF($E963="H",0,IF($E963="G",INDEX(Baseline!$I$3:$I$102,MIN(MAX(ROUND($F963,0),1),100)),IF($E963="T",IF($M963=3,INDEX(Baseline!$B$3:$B$122,MATCH(MIN(MAX(ROUND(($F963)/5,0)*5,5),600),Baseline!$A$3:$A$122,0))-Inputs!$B$9,INDEX(Course!$N$2:$N$19,MATCH($B963,Course!$A$2:$A$19,0))),INDEX(Baseline!$B$3:$E$122,MATCH(MIN(MAX(ROUND(($F963)/5,0)*5,5),600),Baseline!$A$3:$A$122,0),MATCH($E963,Baseline!$B$2:$E$2,0))))))</f>
        <v/>
      </c>
      <c r="P963" s="17" t="str">
        <f aca="false">IF($B963="","",INDEX(Course!$N$2:$N$19,MATCH($B963,Course!$A$2:$A$19,0)))</f>
        <v/>
      </c>
      <c r="Q963" s="17" t="str">
        <f aca="false">IF($B963="","",INDEX(Course!$P$2:$P$19,MATCH($B963,Course!$A$2:$A$19,0)))</f>
        <v/>
      </c>
      <c r="R963" s="17" t="str">
        <f aca="false">IF($C963="","",IF(OR($C963="G",$C963="H"),0,IF($C963="T",1,MIN(1,MAX(0,($N963-Inputs!$B$8)/MAX($P963-Inputs!$B$8,0.01))))))</f>
        <v/>
      </c>
      <c r="S963" s="17" t="str">
        <f aca="false">IF($C963="","",IF(OR($E963="G",$E963="H"),0,IF($E963="T",1,MIN(1,MAX(0,($O963-Inputs!$B$8)/MAX($P963-Inputs!$B$8,0.01))))))</f>
        <v/>
      </c>
    </row>
    <row r="964" customFormat="false" ht="15" hidden="false" customHeight="false" outlineLevel="0" collapsed="false">
      <c r="I964" s="7" t="str">
        <f aca="false">IF($C964="","",IF($C964="G","PUTT",IF(AND($C964="T",$M964&gt;3),"OTT",IF($D964&lt;=30,"ARG","APP"))))</f>
        <v/>
      </c>
      <c r="J964" s="17" t="str">
        <f aca="false">IF($C964="","",$N964+$Q964*$R964)</f>
        <v/>
      </c>
      <c r="K964" s="17" t="str">
        <f aca="false">IF($C964="","",$O964+$Q964*$S964)</f>
        <v/>
      </c>
      <c r="L964" s="17" t="str">
        <f aca="false">IF($C964="","",$J964-$K964-1-N($G964))</f>
        <v/>
      </c>
      <c r="M964" s="7" t="str">
        <f aca="false">IF($B964="","",INDEX(Course!$B$2:$B$19,MATCH($B964,Course!$A$2:$A$19,0)))</f>
        <v/>
      </c>
      <c r="N964" s="17" t="str">
        <f aca="false">IF($C964="","",IF($C964="H",0,IF($C964="G",INDEX(Baseline!$I$3:$I$102,MIN(MAX(ROUND($D964,0),1),100)),IF($C964="T",IF($M964=3,INDEX(Baseline!$B$3:$B$122,MATCH(MIN(MAX(ROUND(($D964)/5,0)*5,5),600),Baseline!$A$3:$A$122,0))-Inputs!$B$9,INDEX(Course!$N$2:$N$19,MATCH($B964,Course!$A$2:$A$19,0))),INDEX(Baseline!$B$3:$E$122,MATCH(MIN(MAX(ROUND(($D964)/5,0)*5,5),600),Baseline!$A$3:$A$122,0),MATCH($C964,Baseline!$B$2:$E$2,0))))))</f>
        <v/>
      </c>
      <c r="O964" s="17" t="str">
        <f aca="false">IF($C964="","",IF($E964="H",0,IF($E964="G",INDEX(Baseline!$I$3:$I$102,MIN(MAX(ROUND($F964,0),1),100)),IF($E964="T",IF($M964=3,INDEX(Baseline!$B$3:$B$122,MATCH(MIN(MAX(ROUND(($F964)/5,0)*5,5),600),Baseline!$A$3:$A$122,0))-Inputs!$B$9,INDEX(Course!$N$2:$N$19,MATCH($B964,Course!$A$2:$A$19,0))),INDEX(Baseline!$B$3:$E$122,MATCH(MIN(MAX(ROUND(($F964)/5,0)*5,5),600),Baseline!$A$3:$A$122,0),MATCH($E964,Baseline!$B$2:$E$2,0))))))</f>
        <v/>
      </c>
      <c r="P964" s="17" t="str">
        <f aca="false">IF($B964="","",INDEX(Course!$N$2:$N$19,MATCH($B964,Course!$A$2:$A$19,0)))</f>
        <v/>
      </c>
      <c r="Q964" s="17" t="str">
        <f aca="false">IF($B964="","",INDEX(Course!$P$2:$P$19,MATCH($B964,Course!$A$2:$A$19,0)))</f>
        <v/>
      </c>
      <c r="R964" s="17" t="str">
        <f aca="false">IF($C964="","",IF(OR($C964="G",$C964="H"),0,IF($C964="T",1,MIN(1,MAX(0,($N964-Inputs!$B$8)/MAX($P964-Inputs!$B$8,0.01))))))</f>
        <v/>
      </c>
      <c r="S964" s="17" t="str">
        <f aca="false">IF($C964="","",IF(OR($E964="G",$E964="H"),0,IF($E964="T",1,MIN(1,MAX(0,($O964-Inputs!$B$8)/MAX($P964-Inputs!$B$8,0.01))))))</f>
        <v/>
      </c>
    </row>
    <row r="965" customFormat="false" ht="15" hidden="false" customHeight="false" outlineLevel="0" collapsed="false">
      <c r="I965" s="7" t="str">
        <f aca="false">IF($C965="","",IF($C965="G","PUTT",IF(AND($C965="T",$M965&gt;3),"OTT",IF($D965&lt;=30,"ARG","APP"))))</f>
        <v/>
      </c>
      <c r="J965" s="17" t="str">
        <f aca="false">IF($C965="","",$N965+$Q965*$R965)</f>
        <v/>
      </c>
      <c r="K965" s="17" t="str">
        <f aca="false">IF($C965="","",$O965+$Q965*$S965)</f>
        <v/>
      </c>
      <c r="L965" s="17" t="str">
        <f aca="false">IF($C965="","",$J965-$K965-1-N($G965))</f>
        <v/>
      </c>
      <c r="M965" s="7" t="str">
        <f aca="false">IF($B965="","",INDEX(Course!$B$2:$B$19,MATCH($B965,Course!$A$2:$A$19,0)))</f>
        <v/>
      </c>
      <c r="N965" s="17" t="str">
        <f aca="false">IF($C965="","",IF($C965="H",0,IF($C965="G",INDEX(Baseline!$I$3:$I$102,MIN(MAX(ROUND($D965,0),1),100)),IF($C965="T",IF($M965=3,INDEX(Baseline!$B$3:$B$122,MATCH(MIN(MAX(ROUND(($D965)/5,0)*5,5),600),Baseline!$A$3:$A$122,0))-Inputs!$B$9,INDEX(Course!$N$2:$N$19,MATCH($B965,Course!$A$2:$A$19,0))),INDEX(Baseline!$B$3:$E$122,MATCH(MIN(MAX(ROUND(($D965)/5,0)*5,5),600),Baseline!$A$3:$A$122,0),MATCH($C965,Baseline!$B$2:$E$2,0))))))</f>
        <v/>
      </c>
      <c r="O965" s="17" t="str">
        <f aca="false">IF($C965="","",IF($E965="H",0,IF($E965="G",INDEX(Baseline!$I$3:$I$102,MIN(MAX(ROUND($F965,0),1),100)),IF($E965="T",IF($M965=3,INDEX(Baseline!$B$3:$B$122,MATCH(MIN(MAX(ROUND(($F965)/5,0)*5,5),600),Baseline!$A$3:$A$122,0))-Inputs!$B$9,INDEX(Course!$N$2:$N$19,MATCH($B965,Course!$A$2:$A$19,0))),INDEX(Baseline!$B$3:$E$122,MATCH(MIN(MAX(ROUND(($F965)/5,0)*5,5),600),Baseline!$A$3:$A$122,0),MATCH($E965,Baseline!$B$2:$E$2,0))))))</f>
        <v/>
      </c>
      <c r="P965" s="17" t="str">
        <f aca="false">IF($B965="","",INDEX(Course!$N$2:$N$19,MATCH($B965,Course!$A$2:$A$19,0)))</f>
        <v/>
      </c>
      <c r="Q965" s="17" t="str">
        <f aca="false">IF($B965="","",INDEX(Course!$P$2:$P$19,MATCH($B965,Course!$A$2:$A$19,0)))</f>
        <v/>
      </c>
      <c r="R965" s="17" t="str">
        <f aca="false">IF($C965="","",IF(OR($C965="G",$C965="H"),0,IF($C965="T",1,MIN(1,MAX(0,($N965-Inputs!$B$8)/MAX($P965-Inputs!$B$8,0.01))))))</f>
        <v/>
      </c>
      <c r="S965" s="17" t="str">
        <f aca="false">IF($C965="","",IF(OR($E965="G",$E965="H"),0,IF($E965="T",1,MIN(1,MAX(0,($O965-Inputs!$B$8)/MAX($P965-Inputs!$B$8,0.01))))))</f>
        <v/>
      </c>
    </row>
    <row r="966" customFormat="false" ht="15" hidden="false" customHeight="false" outlineLevel="0" collapsed="false">
      <c r="I966" s="7" t="str">
        <f aca="false">IF($C966="","",IF($C966="G","PUTT",IF(AND($C966="T",$M966&gt;3),"OTT",IF($D966&lt;=30,"ARG","APP"))))</f>
        <v/>
      </c>
      <c r="J966" s="17" t="str">
        <f aca="false">IF($C966="","",$N966+$Q966*$R966)</f>
        <v/>
      </c>
      <c r="K966" s="17" t="str">
        <f aca="false">IF($C966="","",$O966+$Q966*$S966)</f>
        <v/>
      </c>
      <c r="L966" s="17" t="str">
        <f aca="false">IF($C966="","",$J966-$K966-1-N($G966))</f>
        <v/>
      </c>
      <c r="M966" s="7" t="str">
        <f aca="false">IF($B966="","",INDEX(Course!$B$2:$B$19,MATCH($B966,Course!$A$2:$A$19,0)))</f>
        <v/>
      </c>
      <c r="N966" s="17" t="str">
        <f aca="false">IF($C966="","",IF($C966="H",0,IF($C966="G",INDEX(Baseline!$I$3:$I$102,MIN(MAX(ROUND($D966,0),1),100)),IF($C966="T",IF($M966=3,INDEX(Baseline!$B$3:$B$122,MATCH(MIN(MAX(ROUND(($D966)/5,0)*5,5),600),Baseline!$A$3:$A$122,0))-Inputs!$B$9,INDEX(Course!$N$2:$N$19,MATCH($B966,Course!$A$2:$A$19,0))),INDEX(Baseline!$B$3:$E$122,MATCH(MIN(MAX(ROUND(($D966)/5,0)*5,5),600),Baseline!$A$3:$A$122,0),MATCH($C966,Baseline!$B$2:$E$2,0))))))</f>
        <v/>
      </c>
      <c r="O966" s="17" t="str">
        <f aca="false">IF($C966="","",IF($E966="H",0,IF($E966="G",INDEX(Baseline!$I$3:$I$102,MIN(MAX(ROUND($F966,0),1),100)),IF($E966="T",IF($M966=3,INDEX(Baseline!$B$3:$B$122,MATCH(MIN(MAX(ROUND(($F966)/5,0)*5,5),600),Baseline!$A$3:$A$122,0))-Inputs!$B$9,INDEX(Course!$N$2:$N$19,MATCH($B966,Course!$A$2:$A$19,0))),INDEX(Baseline!$B$3:$E$122,MATCH(MIN(MAX(ROUND(($F966)/5,0)*5,5),600),Baseline!$A$3:$A$122,0),MATCH($E966,Baseline!$B$2:$E$2,0))))))</f>
        <v/>
      </c>
      <c r="P966" s="17" t="str">
        <f aca="false">IF($B966="","",INDEX(Course!$N$2:$N$19,MATCH($B966,Course!$A$2:$A$19,0)))</f>
        <v/>
      </c>
      <c r="Q966" s="17" t="str">
        <f aca="false">IF($B966="","",INDEX(Course!$P$2:$P$19,MATCH($B966,Course!$A$2:$A$19,0)))</f>
        <v/>
      </c>
      <c r="R966" s="17" t="str">
        <f aca="false">IF($C966="","",IF(OR($C966="G",$C966="H"),0,IF($C966="T",1,MIN(1,MAX(0,($N966-Inputs!$B$8)/MAX($P966-Inputs!$B$8,0.01))))))</f>
        <v/>
      </c>
      <c r="S966" s="17" t="str">
        <f aca="false">IF($C966="","",IF(OR($E966="G",$E966="H"),0,IF($E966="T",1,MIN(1,MAX(0,($O966-Inputs!$B$8)/MAX($P966-Inputs!$B$8,0.01))))))</f>
        <v/>
      </c>
    </row>
    <row r="967" customFormat="false" ht="15" hidden="false" customHeight="false" outlineLevel="0" collapsed="false">
      <c r="I967" s="7" t="str">
        <f aca="false">IF($C967="","",IF($C967="G","PUTT",IF(AND($C967="T",$M967&gt;3),"OTT",IF($D967&lt;=30,"ARG","APP"))))</f>
        <v/>
      </c>
      <c r="J967" s="17" t="str">
        <f aca="false">IF($C967="","",$N967+$Q967*$R967)</f>
        <v/>
      </c>
      <c r="K967" s="17" t="str">
        <f aca="false">IF($C967="","",$O967+$Q967*$S967)</f>
        <v/>
      </c>
      <c r="L967" s="17" t="str">
        <f aca="false">IF($C967="","",$J967-$K967-1-N($G967))</f>
        <v/>
      </c>
      <c r="M967" s="7" t="str">
        <f aca="false">IF($B967="","",INDEX(Course!$B$2:$B$19,MATCH($B967,Course!$A$2:$A$19,0)))</f>
        <v/>
      </c>
      <c r="N967" s="17" t="str">
        <f aca="false">IF($C967="","",IF($C967="H",0,IF($C967="G",INDEX(Baseline!$I$3:$I$102,MIN(MAX(ROUND($D967,0),1),100)),IF($C967="T",IF($M967=3,INDEX(Baseline!$B$3:$B$122,MATCH(MIN(MAX(ROUND(($D967)/5,0)*5,5),600),Baseline!$A$3:$A$122,0))-Inputs!$B$9,INDEX(Course!$N$2:$N$19,MATCH($B967,Course!$A$2:$A$19,0))),INDEX(Baseline!$B$3:$E$122,MATCH(MIN(MAX(ROUND(($D967)/5,0)*5,5),600),Baseline!$A$3:$A$122,0),MATCH($C967,Baseline!$B$2:$E$2,0))))))</f>
        <v/>
      </c>
      <c r="O967" s="17" t="str">
        <f aca="false">IF($C967="","",IF($E967="H",0,IF($E967="G",INDEX(Baseline!$I$3:$I$102,MIN(MAX(ROUND($F967,0),1),100)),IF($E967="T",IF($M967=3,INDEX(Baseline!$B$3:$B$122,MATCH(MIN(MAX(ROUND(($F967)/5,0)*5,5),600),Baseline!$A$3:$A$122,0))-Inputs!$B$9,INDEX(Course!$N$2:$N$19,MATCH($B967,Course!$A$2:$A$19,0))),INDEX(Baseline!$B$3:$E$122,MATCH(MIN(MAX(ROUND(($F967)/5,0)*5,5),600),Baseline!$A$3:$A$122,0),MATCH($E967,Baseline!$B$2:$E$2,0))))))</f>
        <v/>
      </c>
      <c r="P967" s="17" t="str">
        <f aca="false">IF($B967="","",INDEX(Course!$N$2:$N$19,MATCH($B967,Course!$A$2:$A$19,0)))</f>
        <v/>
      </c>
      <c r="Q967" s="17" t="str">
        <f aca="false">IF($B967="","",INDEX(Course!$P$2:$P$19,MATCH($B967,Course!$A$2:$A$19,0)))</f>
        <v/>
      </c>
      <c r="R967" s="17" t="str">
        <f aca="false">IF($C967="","",IF(OR($C967="G",$C967="H"),0,IF($C967="T",1,MIN(1,MAX(0,($N967-Inputs!$B$8)/MAX($P967-Inputs!$B$8,0.01))))))</f>
        <v/>
      </c>
      <c r="S967" s="17" t="str">
        <f aca="false">IF($C967="","",IF(OR($E967="G",$E967="H"),0,IF($E967="T",1,MIN(1,MAX(0,($O967-Inputs!$B$8)/MAX($P967-Inputs!$B$8,0.01))))))</f>
        <v/>
      </c>
    </row>
    <row r="968" customFormat="false" ht="15" hidden="false" customHeight="false" outlineLevel="0" collapsed="false">
      <c r="I968" s="7" t="str">
        <f aca="false">IF($C968="","",IF($C968="G","PUTT",IF(AND($C968="T",$M968&gt;3),"OTT",IF($D968&lt;=30,"ARG","APP"))))</f>
        <v/>
      </c>
      <c r="J968" s="17" t="str">
        <f aca="false">IF($C968="","",$N968+$Q968*$R968)</f>
        <v/>
      </c>
      <c r="K968" s="17" t="str">
        <f aca="false">IF($C968="","",$O968+$Q968*$S968)</f>
        <v/>
      </c>
      <c r="L968" s="17" t="str">
        <f aca="false">IF($C968="","",$J968-$K968-1-N($G968))</f>
        <v/>
      </c>
      <c r="M968" s="7" t="str">
        <f aca="false">IF($B968="","",INDEX(Course!$B$2:$B$19,MATCH($B968,Course!$A$2:$A$19,0)))</f>
        <v/>
      </c>
      <c r="N968" s="17" t="str">
        <f aca="false">IF($C968="","",IF($C968="H",0,IF($C968="G",INDEX(Baseline!$I$3:$I$102,MIN(MAX(ROUND($D968,0),1),100)),IF($C968="T",IF($M968=3,INDEX(Baseline!$B$3:$B$122,MATCH(MIN(MAX(ROUND(($D968)/5,0)*5,5),600),Baseline!$A$3:$A$122,0))-Inputs!$B$9,INDEX(Course!$N$2:$N$19,MATCH($B968,Course!$A$2:$A$19,0))),INDEX(Baseline!$B$3:$E$122,MATCH(MIN(MAX(ROUND(($D968)/5,0)*5,5),600),Baseline!$A$3:$A$122,0),MATCH($C968,Baseline!$B$2:$E$2,0))))))</f>
        <v/>
      </c>
      <c r="O968" s="17" t="str">
        <f aca="false">IF($C968="","",IF($E968="H",0,IF($E968="G",INDEX(Baseline!$I$3:$I$102,MIN(MAX(ROUND($F968,0),1),100)),IF($E968="T",IF($M968=3,INDEX(Baseline!$B$3:$B$122,MATCH(MIN(MAX(ROUND(($F968)/5,0)*5,5),600),Baseline!$A$3:$A$122,0))-Inputs!$B$9,INDEX(Course!$N$2:$N$19,MATCH($B968,Course!$A$2:$A$19,0))),INDEX(Baseline!$B$3:$E$122,MATCH(MIN(MAX(ROUND(($F968)/5,0)*5,5),600),Baseline!$A$3:$A$122,0),MATCH($E968,Baseline!$B$2:$E$2,0))))))</f>
        <v/>
      </c>
      <c r="P968" s="17" t="str">
        <f aca="false">IF($B968="","",INDEX(Course!$N$2:$N$19,MATCH($B968,Course!$A$2:$A$19,0)))</f>
        <v/>
      </c>
      <c r="Q968" s="17" t="str">
        <f aca="false">IF($B968="","",INDEX(Course!$P$2:$P$19,MATCH($B968,Course!$A$2:$A$19,0)))</f>
        <v/>
      </c>
      <c r="R968" s="17" t="str">
        <f aca="false">IF($C968="","",IF(OR($C968="G",$C968="H"),0,IF($C968="T",1,MIN(1,MAX(0,($N968-Inputs!$B$8)/MAX($P968-Inputs!$B$8,0.01))))))</f>
        <v/>
      </c>
      <c r="S968" s="17" t="str">
        <f aca="false">IF($C968="","",IF(OR($E968="G",$E968="H"),0,IF($E968="T",1,MIN(1,MAX(0,($O968-Inputs!$B$8)/MAX($P968-Inputs!$B$8,0.01))))))</f>
        <v/>
      </c>
    </row>
    <row r="969" customFormat="false" ht="15" hidden="false" customHeight="false" outlineLevel="0" collapsed="false">
      <c r="I969" s="7" t="str">
        <f aca="false">IF($C969="","",IF($C969="G","PUTT",IF(AND($C969="T",$M969&gt;3),"OTT",IF($D969&lt;=30,"ARG","APP"))))</f>
        <v/>
      </c>
      <c r="J969" s="17" t="str">
        <f aca="false">IF($C969="","",$N969+$Q969*$R969)</f>
        <v/>
      </c>
      <c r="K969" s="17" t="str">
        <f aca="false">IF($C969="","",$O969+$Q969*$S969)</f>
        <v/>
      </c>
      <c r="L969" s="17" t="str">
        <f aca="false">IF($C969="","",$J969-$K969-1-N($G969))</f>
        <v/>
      </c>
      <c r="M969" s="7" t="str">
        <f aca="false">IF($B969="","",INDEX(Course!$B$2:$B$19,MATCH($B969,Course!$A$2:$A$19,0)))</f>
        <v/>
      </c>
      <c r="N969" s="17" t="str">
        <f aca="false">IF($C969="","",IF($C969="H",0,IF($C969="G",INDEX(Baseline!$I$3:$I$102,MIN(MAX(ROUND($D969,0),1),100)),IF($C969="T",IF($M969=3,INDEX(Baseline!$B$3:$B$122,MATCH(MIN(MAX(ROUND(($D969)/5,0)*5,5),600),Baseline!$A$3:$A$122,0))-Inputs!$B$9,INDEX(Course!$N$2:$N$19,MATCH($B969,Course!$A$2:$A$19,0))),INDEX(Baseline!$B$3:$E$122,MATCH(MIN(MAX(ROUND(($D969)/5,0)*5,5),600),Baseline!$A$3:$A$122,0),MATCH($C969,Baseline!$B$2:$E$2,0))))))</f>
        <v/>
      </c>
      <c r="O969" s="17" t="str">
        <f aca="false">IF($C969="","",IF($E969="H",0,IF($E969="G",INDEX(Baseline!$I$3:$I$102,MIN(MAX(ROUND($F969,0),1),100)),IF($E969="T",IF($M969=3,INDEX(Baseline!$B$3:$B$122,MATCH(MIN(MAX(ROUND(($F969)/5,0)*5,5),600),Baseline!$A$3:$A$122,0))-Inputs!$B$9,INDEX(Course!$N$2:$N$19,MATCH($B969,Course!$A$2:$A$19,0))),INDEX(Baseline!$B$3:$E$122,MATCH(MIN(MAX(ROUND(($F969)/5,0)*5,5),600),Baseline!$A$3:$A$122,0),MATCH($E969,Baseline!$B$2:$E$2,0))))))</f>
        <v/>
      </c>
      <c r="P969" s="17" t="str">
        <f aca="false">IF($B969="","",INDEX(Course!$N$2:$N$19,MATCH($B969,Course!$A$2:$A$19,0)))</f>
        <v/>
      </c>
      <c r="Q969" s="17" t="str">
        <f aca="false">IF($B969="","",INDEX(Course!$P$2:$P$19,MATCH($B969,Course!$A$2:$A$19,0)))</f>
        <v/>
      </c>
      <c r="R969" s="17" t="str">
        <f aca="false">IF($C969="","",IF(OR($C969="G",$C969="H"),0,IF($C969="T",1,MIN(1,MAX(0,($N969-Inputs!$B$8)/MAX($P969-Inputs!$B$8,0.01))))))</f>
        <v/>
      </c>
      <c r="S969" s="17" t="str">
        <f aca="false">IF($C969="","",IF(OR($E969="G",$E969="H"),0,IF($E969="T",1,MIN(1,MAX(0,($O969-Inputs!$B$8)/MAX($P969-Inputs!$B$8,0.01))))))</f>
        <v/>
      </c>
    </row>
    <row r="970" customFormat="false" ht="15" hidden="false" customHeight="false" outlineLevel="0" collapsed="false">
      <c r="I970" s="7" t="str">
        <f aca="false">IF($C970="","",IF($C970="G","PUTT",IF(AND($C970="T",$M970&gt;3),"OTT",IF($D970&lt;=30,"ARG","APP"))))</f>
        <v/>
      </c>
      <c r="J970" s="17" t="str">
        <f aca="false">IF($C970="","",$N970+$Q970*$R970)</f>
        <v/>
      </c>
      <c r="K970" s="17" t="str">
        <f aca="false">IF($C970="","",$O970+$Q970*$S970)</f>
        <v/>
      </c>
      <c r="L970" s="17" t="str">
        <f aca="false">IF($C970="","",$J970-$K970-1-N($G970))</f>
        <v/>
      </c>
      <c r="M970" s="7" t="str">
        <f aca="false">IF($B970="","",INDEX(Course!$B$2:$B$19,MATCH($B970,Course!$A$2:$A$19,0)))</f>
        <v/>
      </c>
      <c r="N970" s="17" t="str">
        <f aca="false">IF($C970="","",IF($C970="H",0,IF($C970="G",INDEX(Baseline!$I$3:$I$102,MIN(MAX(ROUND($D970,0),1),100)),IF($C970="T",IF($M970=3,INDEX(Baseline!$B$3:$B$122,MATCH(MIN(MAX(ROUND(($D970)/5,0)*5,5),600),Baseline!$A$3:$A$122,0))-Inputs!$B$9,INDEX(Course!$N$2:$N$19,MATCH($B970,Course!$A$2:$A$19,0))),INDEX(Baseline!$B$3:$E$122,MATCH(MIN(MAX(ROUND(($D970)/5,0)*5,5),600),Baseline!$A$3:$A$122,0),MATCH($C970,Baseline!$B$2:$E$2,0))))))</f>
        <v/>
      </c>
      <c r="O970" s="17" t="str">
        <f aca="false">IF($C970="","",IF($E970="H",0,IF($E970="G",INDEX(Baseline!$I$3:$I$102,MIN(MAX(ROUND($F970,0),1),100)),IF($E970="T",IF($M970=3,INDEX(Baseline!$B$3:$B$122,MATCH(MIN(MAX(ROUND(($F970)/5,0)*5,5),600),Baseline!$A$3:$A$122,0))-Inputs!$B$9,INDEX(Course!$N$2:$N$19,MATCH($B970,Course!$A$2:$A$19,0))),INDEX(Baseline!$B$3:$E$122,MATCH(MIN(MAX(ROUND(($F970)/5,0)*5,5),600),Baseline!$A$3:$A$122,0),MATCH($E970,Baseline!$B$2:$E$2,0))))))</f>
        <v/>
      </c>
      <c r="P970" s="17" t="str">
        <f aca="false">IF($B970="","",INDEX(Course!$N$2:$N$19,MATCH($B970,Course!$A$2:$A$19,0)))</f>
        <v/>
      </c>
      <c r="Q970" s="17" t="str">
        <f aca="false">IF($B970="","",INDEX(Course!$P$2:$P$19,MATCH($B970,Course!$A$2:$A$19,0)))</f>
        <v/>
      </c>
      <c r="R970" s="17" t="str">
        <f aca="false">IF($C970="","",IF(OR($C970="G",$C970="H"),0,IF($C970="T",1,MIN(1,MAX(0,($N970-Inputs!$B$8)/MAX($P970-Inputs!$B$8,0.01))))))</f>
        <v/>
      </c>
      <c r="S970" s="17" t="str">
        <f aca="false">IF($C970="","",IF(OR($E970="G",$E970="H"),0,IF($E970="T",1,MIN(1,MAX(0,($O970-Inputs!$B$8)/MAX($P970-Inputs!$B$8,0.01))))))</f>
        <v/>
      </c>
    </row>
    <row r="971" customFormat="false" ht="15" hidden="false" customHeight="false" outlineLevel="0" collapsed="false">
      <c r="I971" s="7" t="str">
        <f aca="false">IF($C971="","",IF($C971="G","PUTT",IF(AND($C971="T",$M971&gt;3),"OTT",IF($D971&lt;=30,"ARG","APP"))))</f>
        <v/>
      </c>
      <c r="J971" s="17" t="str">
        <f aca="false">IF($C971="","",$N971+$Q971*$R971)</f>
        <v/>
      </c>
      <c r="K971" s="17" t="str">
        <f aca="false">IF($C971="","",$O971+$Q971*$S971)</f>
        <v/>
      </c>
      <c r="L971" s="17" t="str">
        <f aca="false">IF($C971="","",$J971-$K971-1-N($G971))</f>
        <v/>
      </c>
      <c r="M971" s="7" t="str">
        <f aca="false">IF($B971="","",INDEX(Course!$B$2:$B$19,MATCH($B971,Course!$A$2:$A$19,0)))</f>
        <v/>
      </c>
      <c r="N971" s="17" t="str">
        <f aca="false">IF($C971="","",IF($C971="H",0,IF($C971="G",INDEX(Baseline!$I$3:$I$102,MIN(MAX(ROUND($D971,0),1),100)),IF($C971="T",IF($M971=3,INDEX(Baseline!$B$3:$B$122,MATCH(MIN(MAX(ROUND(($D971)/5,0)*5,5),600),Baseline!$A$3:$A$122,0))-Inputs!$B$9,INDEX(Course!$N$2:$N$19,MATCH($B971,Course!$A$2:$A$19,0))),INDEX(Baseline!$B$3:$E$122,MATCH(MIN(MAX(ROUND(($D971)/5,0)*5,5),600),Baseline!$A$3:$A$122,0),MATCH($C971,Baseline!$B$2:$E$2,0))))))</f>
        <v/>
      </c>
      <c r="O971" s="17" t="str">
        <f aca="false">IF($C971="","",IF($E971="H",0,IF($E971="G",INDEX(Baseline!$I$3:$I$102,MIN(MAX(ROUND($F971,0),1),100)),IF($E971="T",IF($M971=3,INDEX(Baseline!$B$3:$B$122,MATCH(MIN(MAX(ROUND(($F971)/5,0)*5,5),600),Baseline!$A$3:$A$122,0))-Inputs!$B$9,INDEX(Course!$N$2:$N$19,MATCH($B971,Course!$A$2:$A$19,0))),INDEX(Baseline!$B$3:$E$122,MATCH(MIN(MAX(ROUND(($F971)/5,0)*5,5),600),Baseline!$A$3:$A$122,0),MATCH($E971,Baseline!$B$2:$E$2,0))))))</f>
        <v/>
      </c>
      <c r="P971" s="17" t="str">
        <f aca="false">IF($B971="","",INDEX(Course!$N$2:$N$19,MATCH($B971,Course!$A$2:$A$19,0)))</f>
        <v/>
      </c>
      <c r="Q971" s="17" t="str">
        <f aca="false">IF($B971="","",INDEX(Course!$P$2:$P$19,MATCH($B971,Course!$A$2:$A$19,0)))</f>
        <v/>
      </c>
      <c r="R971" s="17" t="str">
        <f aca="false">IF($C971="","",IF(OR($C971="G",$C971="H"),0,IF($C971="T",1,MIN(1,MAX(0,($N971-Inputs!$B$8)/MAX($P971-Inputs!$B$8,0.01))))))</f>
        <v/>
      </c>
      <c r="S971" s="17" t="str">
        <f aca="false">IF($C971="","",IF(OR($E971="G",$E971="H"),0,IF($E971="T",1,MIN(1,MAX(0,($O971-Inputs!$B$8)/MAX($P971-Inputs!$B$8,0.01))))))</f>
        <v/>
      </c>
    </row>
    <row r="972" customFormat="false" ht="15" hidden="false" customHeight="false" outlineLevel="0" collapsed="false">
      <c r="I972" s="7" t="str">
        <f aca="false">IF($C972="","",IF($C972="G","PUTT",IF(AND($C972="T",$M972&gt;3),"OTT",IF($D972&lt;=30,"ARG","APP"))))</f>
        <v/>
      </c>
      <c r="J972" s="17" t="str">
        <f aca="false">IF($C972="","",$N972+$Q972*$R972)</f>
        <v/>
      </c>
      <c r="K972" s="17" t="str">
        <f aca="false">IF($C972="","",$O972+$Q972*$S972)</f>
        <v/>
      </c>
      <c r="L972" s="17" t="str">
        <f aca="false">IF($C972="","",$J972-$K972-1-N($G972))</f>
        <v/>
      </c>
      <c r="M972" s="7" t="str">
        <f aca="false">IF($B972="","",INDEX(Course!$B$2:$B$19,MATCH($B972,Course!$A$2:$A$19,0)))</f>
        <v/>
      </c>
      <c r="N972" s="17" t="str">
        <f aca="false">IF($C972="","",IF($C972="H",0,IF($C972="G",INDEX(Baseline!$I$3:$I$102,MIN(MAX(ROUND($D972,0),1),100)),IF($C972="T",IF($M972=3,INDEX(Baseline!$B$3:$B$122,MATCH(MIN(MAX(ROUND(($D972)/5,0)*5,5),600),Baseline!$A$3:$A$122,0))-Inputs!$B$9,INDEX(Course!$N$2:$N$19,MATCH($B972,Course!$A$2:$A$19,0))),INDEX(Baseline!$B$3:$E$122,MATCH(MIN(MAX(ROUND(($D972)/5,0)*5,5),600),Baseline!$A$3:$A$122,0),MATCH($C972,Baseline!$B$2:$E$2,0))))))</f>
        <v/>
      </c>
      <c r="O972" s="17" t="str">
        <f aca="false">IF($C972="","",IF($E972="H",0,IF($E972="G",INDEX(Baseline!$I$3:$I$102,MIN(MAX(ROUND($F972,0),1),100)),IF($E972="T",IF($M972=3,INDEX(Baseline!$B$3:$B$122,MATCH(MIN(MAX(ROUND(($F972)/5,0)*5,5),600),Baseline!$A$3:$A$122,0))-Inputs!$B$9,INDEX(Course!$N$2:$N$19,MATCH($B972,Course!$A$2:$A$19,0))),INDEX(Baseline!$B$3:$E$122,MATCH(MIN(MAX(ROUND(($F972)/5,0)*5,5),600),Baseline!$A$3:$A$122,0),MATCH($E972,Baseline!$B$2:$E$2,0))))))</f>
        <v/>
      </c>
      <c r="P972" s="17" t="str">
        <f aca="false">IF($B972="","",INDEX(Course!$N$2:$N$19,MATCH($B972,Course!$A$2:$A$19,0)))</f>
        <v/>
      </c>
      <c r="Q972" s="17" t="str">
        <f aca="false">IF($B972="","",INDEX(Course!$P$2:$P$19,MATCH($B972,Course!$A$2:$A$19,0)))</f>
        <v/>
      </c>
      <c r="R972" s="17" t="str">
        <f aca="false">IF($C972="","",IF(OR($C972="G",$C972="H"),0,IF($C972="T",1,MIN(1,MAX(0,($N972-Inputs!$B$8)/MAX($P972-Inputs!$B$8,0.01))))))</f>
        <v/>
      </c>
      <c r="S972" s="17" t="str">
        <f aca="false">IF($C972="","",IF(OR($E972="G",$E972="H"),0,IF($E972="T",1,MIN(1,MAX(0,($O972-Inputs!$B$8)/MAX($P972-Inputs!$B$8,0.01))))))</f>
        <v/>
      </c>
    </row>
    <row r="973" customFormat="false" ht="15" hidden="false" customHeight="false" outlineLevel="0" collapsed="false">
      <c r="I973" s="7" t="str">
        <f aca="false">IF($C973="","",IF($C973="G","PUTT",IF(AND($C973="T",$M973&gt;3),"OTT",IF($D973&lt;=30,"ARG","APP"))))</f>
        <v/>
      </c>
      <c r="J973" s="17" t="str">
        <f aca="false">IF($C973="","",$N973+$Q973*$R973)</f>
        <v/>
      </c>
      <c r="K973" s="17" t="str">
        <f aca="false">IF($C973="","",$O973+$Q973*$S973)</f>
        <v/>
      </c>
      <c r="L973" s="17" t="str">
        <f aca="false">IF($C973="","",$J973-$K973-1-N($G973))</f>
        <v/>
      </c>
      <c r="M973" s="7" t="str">
        <f aca="false">IF($B973="","",INDEX(Course!$B$2:$B$19,MATCH($B973,Course!$A$2:$A$19,0)))</f>
        <v/>
      </c>
      <c r="N973" s="17" t="str">
        <f aca="false">IF($C973="","",IF($C973="H",0,IF($C973="G",INDEX(Baseline!$I$3:$I$102,MIN(MAX(ROUND($D973,0),1),100)),IF($C973="T",IF($M973=3,INDEX(Baseline!$B$3:$B$122,MATCH(MIN(MAX(ROUND(($D973)/5,0)*5,5),600),Baseline!$A$3:$A$122,0))-Inputs!$B$9,INDEX(Course!$N$2:$N$19,MATCH($B973,Course!$A$2:$A$19,0))),INDEX(Baseline!$B$3:$E$122,MATCH(MIN(MAX(ROUND(($D973)/5,0)*5,5),600),Baseline!$A$3:$A$122,0),MATCH($C973,Baseline!$B$2:$E$2,0))))))</f>
        <v/>
      </c>
      <c r="O973" s="17" t="str">
        <f aca="false">IF($C973="","",IF($E973="H",0,IF($E973="G",INDEX(Baseline!$I$3:$I$102,MIN(MAX(ROUND($F973,0),1),100)),IF($E973="T",IF($M973=3,INDEX(Baseline!$B$3:$B$122,MATCH(MIN(MAX(ROUND(($F973)/5,0)*5,5),600),Baseline!$A$3:$A$122,0))-Inputs!$B$9,INDEX(Course!$N$2:$N$19,MATCH($B973,Course!$A$2:$A$19,0))),INDEX(Baseline!$B$3:$E$122,MATCH(MIN(MAX(ROUND(($F973)/5,0)*5,5),600),Baseline!$A$3:$A$122,0),MATCH($E973,Baseline!$B$2:$E$2,0))))))</f>
        <v/>
      </c>
      <c r="P973" s="17" t="str">
        <f aca="false">IF($B973="","",INDEX(Course!$N$2:$N$19,MATCH($B973,Course!$A$2:$A$19,0)))</f>
        <v/>
      </c>
      <c r="Q973" s="17" t="str">
        <f aca="false">IF($B973="","",INDEX(Course!$P$2:$P$19,MATCH($B973,Course!$A$2:$A$19,0)))</f>
        <v/>
      </c>
      <c r="R973" s="17" t="str">
        <f aca="false">IF($C973="","",IF(OR($C973="G",$C973="H"),0,IF($C973="T",1,MIN(1,MAX(0,($N973-Inputs!$B$8)/MAX($P973-Inputs!$B$8,0.01))))))</f>
        <v/>
      </c>
      <c r="S973" s="17" t="str">
        <f aca="false">IF($C973="","",IF(OR($E973="G",$E973="H"),0,IF($E973="T",1,MIN(1,MAX(0,($O973-Inputs!$B$8)/MAX($P973-Inputs!$B$8,0.01))))))</f>
        <v/>
      </c>
    </row>
    <row r="974" customFormat="false" ht="15" hidden="false" customHeight="false" outlineLevel="0" collapsed="false">
      <c r="I974" s="7" t="str">
        <f aca="false">IF($C974="","",IF($C974="G","PUTT",IF(AND($C974="T",$M974&gt;3),"OTT",IF($D974&lt;=30,"ARG","APP"))))</f>
        <v/>
      </c>
      <c r="J974" s="17" t="str">
        <f aca="false">IF($C974="","",$N974+$Q974*$R974)</f>
        <v/>
      </c>
      <c r="K974" s="17" t="str">
        <f aca="false">IF($C974="","",$O974+$Q974*$S974)</f>
        <v/>
      </c>
      <c r="L974" s="17" t="str">
        <f aca="false">IF($C974="","",$J974-$K974-1-N($G974))</f>
        <v/>
      </c>
      <c r="M974" s="7" t="str">
        <f aca="false">IF($B974="","",INDEX(Course!$B$2:$B$19,MATCH($B974,Course!$A$2:$A$19,0)))</f>
        <v/>
      </c>
      <c r="N974" s="17" t="str">
        <f aca="false">IF($C974="","",IF($C974="H",0,IF($C974="G",INDEX(Baseline!$I$3:$I$102,MIN(MAX(ROUND($D974,0),1),100)),IF($C974="T",IF($M974=3,INDEX(Baseline!$B$3:$B$122,MATCH(MIN(MAX(ROUND(($D974)/5,0)*5,5),600),Baseline!$A$3:$A$122,0))-Inputs!$B$9,INDEX(Course!$N$2:$N$19,MATCH($B974,Course!$A$2:$A$19,0))),INDEX(Baseline!$B$3:$E$122,MATCH(MIN(MAX(ROUND(($D974)/5,0)*5,5),600),Baseline!$A$3:$A$122,0),MATCH($C974,Baseline!$B$2:$E$2,0))))))</f>
        <v/>
      </c>
      <c r="O974" s="17" t="str">
        <f aca="false">IF($C974="","",IF($E974="H",0,IF($E974="G",INDEX(Baseline!$I$3:$I$102,MIN(MAX(ROUND($F974,0),1),100)),IF($E974="T",IF($M974=3,INDEX(Baseline!$B$3:$B$122,MATCH(MIN(MAX(ROUND(($F974)/5,0)*5,5),600),Baseline!$A$3:$A$122,0))-Inputs!$B$9,INDEX(Course!$N$2:$N$19,MATCH($B974,Course!$A$2:$A$19,0))),INDEX(Baseline!$B$3:$E$122,MATCH(MIN(MAX(ROUND(($F974)/5,0)*5,5),600),Baseline!$A$3:$A$122,0),MATCH($E974,Baseline!$B$2:$E$2,0))))))</f>
        <v/>
      </c>
      <c r="P974" s="17" t="str">
        <f aca="false">IF($B974="","",INDEX(Course!$N$2:$N$19,MATCH($B974,Course!$A$2:$A$19,0)))</f>
        <v/>
      </c>
      <c r="Q974" s="17" t="str">
        <f aca="false">IF($B974="","",INDEX(Course!$P$2:$P$19,MATCH($B974,Course!$A$2:$A$19,0)))</f>
        <v/>
      </c>
      <c r="R974" s="17" t="str">
        <f aca="false">IF($C974="","",IF(OR($C974="G",$C974="H"),0,IF($C974="T",1,MIN(1,MAX(0,($N974-Inputs!$B$8)/MAX($P974-Inputs!$B$8,0.01))))))</f>
        <v/>
      </c>
      <c r="S974" s="17" t="str">
        <f aca="false">IF($C974="","",IF(OR($E974="G",$E974="H"),0,IF($E974="T",1,MIN(1,MAX(0,($O974-Inputs!$B$8)/MAX($P974-Inputs!$B$8,0.01))))))</f>
        <v/>
      </c>
    </row>
    <row r="975" customFormat="false" ht="15" hidden="false" customHeight="false" outlineLevel="0" collapsed="false">
      <c r="I975" s="7" t="str">
        <f aca="false">IF($C975="","",IF($C975="G","PUTT",IF(AND($C975="T",$M975&gt;3),"OTT",IF($D975&lt;=30,"ARG","APP"))))</f>
        <v/>
      </c>
      <c r="J975" s="17" t="str">
        <f aca="false">IF($C975="","",$N975+$Q975*$R975)</f>
        <v/>
      </c>
      <c r="K975" s="17" t="str">
        <f aca="false">IF($C975="","",$O975+$Q975*$S975)</f>
        <v/>
      </c>
      <c r="L975" s="17" t="str">
        <f aca="false">IF($C975="","",$J975-$K975-1-N($G975))</f>
        <v/>
      </c>
      <c r="M975" s="7" t="str">
        <f aca="false">IF($B975="","",INDEX(Course!$B$2:$B$19,MATCH($B975,Course!$A$2:$A$19,0)))</f>
        <v/>
      </c>
      <c r="N975" s="17" t="str">
        <f aca="false">IF($C975="","",IF($C975="H",0,IF($C975="G",INDEX(Baseline!$I$3:$I$102,MIN(MAX(ROUND($D975,0),1),100)),IF($C975="T",IF($M975=3,INDEX(Baseline!$B$3:$B$122,MATCH(MIN(MAX(ROUND(($D975)/5,0)*5,5),600),Baseline!$A$3:$A$122,0))-Inputs!$B$9,INDEX(Course!$N$2:$N$19,MATCH($B975,Course!$A$2:$A$19,0))),INDEX(Baseline!$B$3:$E$122,MATCH(MIN(MAX(ROUND(($D975)/5,0)*5,5),600),Baseline!$A$3:$A$122,0),MATCH($C975,Baseline!$B$2:$E$2,0))))))</f>
        <v/>
      </c>
      <c r="O975" s="17" t="str">
        <f aca="false">IF($C975="","",IF($E975="H",0,IF($E975="G",INDEX(Baseline!$I$3:$I$102,MIN(MAX(ROUND($F975,0),1),100)),IF($E975="T",IF($M975=3,INDEX(Baseline!$B$3:$B$122,MATCH(MIN(MAX(ROUND(($F975)/5,0)*5,5),600),Baseline!$A$3:$A$122,0))-Inputs!$B$9,INDEX(Course!$N$2:$N$19,MATCH($B975,Course!$A$2:$A$19,0))),INDEX(Baseline!$B$3:$E$122,MATCH(MIN(MAX(ROUND(($F975)/5,0)*5,5),600),Baseline!$A$3:$A$122,0),MATCH($E975,Baseline!$B$2:$E$2,0))))))</f>
        <v/>
      </c>
      <c r="P975" s="17" t="str">
        <f aca="false">IF($B975="","",INDEX(Course!$N$2:$N$19,MATCH($B975,Course!$A$2:$A$19,0)))</f>
        <v/>
      </c>
      <c r="Q975" s="17" t="str">
        <f aca="false">IF($B975="","",INDEX(Course!$P$2:$P$19,MATCH($B975,Course!$A$2:$A$19,0)))</f>
        <v/>
      </c>
      <c r="R975" s="17" t="str">
        <f aca="false">IF($C975="","",IF(OR($C975="G",$C975="H"),0,IF($C975="T",1,MIN(1,MAX(0,($N975-Inputs!$B$8)/MAX($P975-Inputs!$B$8,0.01))))))</f>
        <v/>
      </c>
      <c r="S975" s="17" t="str">
        <f aca="false">IF($C975="","",IF(OR($E975="G",$E975="H"),0,IF($E975="T",1,MIN(1,MAX(0,($O975-Inputs!$B$8)/MAX($P975-Inputs!$B$8,0.01))))))</f>
        <v/>
      </c>
    </row>
    <row r="976" customFormat="false" ht="15" hidden="false" customHeight="false" outlineLevel="0" collapsed="false">
      <c r="I976" s="7" t="str">
        <f aca="false">IF($C976="","",IF($C976="G","PUTT",IF(AND($C976="T",$M976&gt;3),"OTT",IF($D976&lt;=30,"ARG","APP"))))</f>
        <v/>
      </c>
      <c r="J976" s="17" t="str">
        <f aca="false">IF($C976="","",$N976+$Q976*$R976)</f>
        <v/>
      </c>
      <c r="K976" s="17" t="str">
        <f aca="false">IF($C976="","",$O976+$Q976*$S976)</f>
        <v/>
      </c>
      <c r="L976" s="17" t="str">
        <f aca="false">IF($C976="","",$J976-$K976-1-N($G976))</f>
        <v/>
      </c>
      <c r="M976" s="7" t="str">
        <f aca="false">IF($B976="","",INDEX(Course!$B$2:$B$19,MATCH($B976,Course!$A$2:$A$19,0)))</f>
        <v/>
      </c>
      <c r="N976" s="17" t="str">
        <f aca="false">IF($C976="","",IF($C976="H",0,IF($C976="G",INDEX(Baseline!$I$3:$I$102,MIN(MAX(ROUND($D976,0),1),100)),IF($C976="T",IF($M976=3,INDEX(Baseline!$B$3:$B$122,MATCH(MIN(MAX(ROUND(($D976)/5,0)*5,5),600),Baseline!$A$3:$A$122,0))-Inputs!$B$9,INDEX(Course!$N$2:$N$19,MATCH($B976,Course!$A$2:$A$19,0))),INDEX(Baseline!$B$3:$E$122,MATCH(MIN(MAX(ROUND(($D976)/5,0)*5,5),600),Baseline!$A$3:$A$122,0),MATCH($C976,Baseline!$B$2:$E$2,0))))))</f>
        <v/>
      </c>
      <c r="O976" s="17" t="str">
        <f aca="false">IF($C976="","",IF($E976="H",0,IF($E976="G",INDEX(Baseline!$I$3:$I$102,MIN(MAX(ROUND($F976,0),1),100)),IF($E976="T",IF($M976=3,INDEX(Baseline!$B$3:$B$122,MATCH(MIN(MAX(ROUND(($F976)/5,0)*5,5),600),Baseline!$A$3:$A$122,0))-Inputs!$B$9,INDEX(Course!$N$2:$N$19,MATCH($B976,Course!$A$2:$A$19,0))),INDEX(Baseline!$B$3:$E$122,MATCH(MIN(MAX(ROUND(($F976)/5,0)*5,5),600),Baseline!$A$3:$A$122,0),MATCH($E976,Baseline!$B$2:$E$2,0))))))</f>
        <v/>
      </c>
      <c r="P976" s="17" t="str">
        <f aca="false">IF($B976="","",INDEX(Course!$N$2:$N$19,MATCH($B976,Course!$A$2:$A$19,0)))</f>
        <v/>
      </c>
      <c r="Q976" s="17" t="str">
        <f aca="false">IF($B976="","",INDEX(Course!$P$2:$P$19,MATCH($B976,Course!$A$2:$A$19,0)))</f>
        <v/>
      </c>
      <c r="R976" s="17" t="str">
        <f aca="false">IF($C976="","",IF(OR($C976="G",$C976="H"),0,IF($C976="T",1,MIN(1,MAX(0,($N976-Inputs!$B$8)/MAX($P976-Inputs!$B$8,0.01))))))</f>
        <v/>
      </c>
      <c r="S976" s="17" t="str">
        <f aca="false">IF($C976="","",IF(OR($E976="G",$E976="H"),0,IF($E976="T",1,MIN(1,MAX(0,($O976-Inputs!$B$8)/MAX($P976-Inputs!$B$8,0.01))))))</f>
        <v/>
      </c>
    </row>
    <row r="977" customFormat="false" ht="15" hidden="false" customHeight="false" outlineLevel="0" collapsed="false">
      <c r="I977" s="7" t="str">
        <f aca="false">IF($C977="","",IF($C977="G","PUTT",IF(AND($C977="T",$M977&gt;3),"OTT",IF($D977&lt;=30,"ARG","APP"))))</f>
        <v/>
      </c>
      <c r="J977" s="17" t="str">
        <f aca="false">IF($C977="","",$N977+$Q977*$R977)</f>
        <v/>
      </c>
      <c r="K977" s="17" t="str">
        <f aca="false">IF($C977="","",$O977+$Q977*$S977)</f>
        <v/>
      </c>
      <c r="L977" s="17" t="str">
        <f aca="false">IF($C977="","",$J977-$K977-1-N($G977))</f>
        <v/>
      </c>
      <c r="M977" s="7" t="str">
        <f aca="false">IF($B977="","",INDEX(Course!$B$2:$B$19,MATCH($B977,Course!$A$2:$A$19,0)))</f>
        <v/>
      </c>
      <c r="N977" s="17" t="str">
        <f aca="false">IF($C977="","",IF($C977="H",0,IF($C977="G",INDEX(Baseline!$I$3:$I$102,MIN(MAX(ROUND($D977,0),1),100)),IF($C977="T",IF($M977=3,INDEX(Baseline!$B$3:$B$122,MATCH(MIN(MAX(ROUND(($D977)/5,0)*5,5),600),Baseline!$A$3:$A$122,0))-Inputs!$B$9,INDEX(Course!$N$2:$N$19,MATCH($B977,Course!$A$2:$A$19,0))),INDEX(Baseline!$B$3:$E$122,MATCH(MIN(MAX(ROUND(($D977)/5,0)*5,5),600),Baseline!$A$3:$A$122,0),MATCH($C977,Baseline!$B$2:$E$2,0))))))</f>
        <v/>
      </c>
      <c r="O977" s="17" t="str">
        <f aca="false">IF($C977="","",IF($E977="H",0,IF($E977="G",INDEX(Baseline!$I$3:$I$102,MIN(MAX(ROUND($F977,0),1),100)),IF($E977="T",IF($M977=3,INDEX(Baseline!$B$3:$B$122,MATCH(MIN(MAX(ROUND(($F977)/5,0)*5,5),600),Baseline!$A$3:$A$122,0))-Inputs!$B$9,INDEX(Course!$N$2:$N$19,MATCH($B977,Course!$A$2:$A$19,0))),INDEX(Baseline!$B$3:$E$122,MATCH(MIN(MAX(ROUND(($F977)/5,0)*5,5),600),Baseline!$A$3:$A$122,0),MATCH($E977,Baseline!$B$2:$E$2,0))))))</f>
        <v/>
      </c>
      <c r="P977" s="17" t="str">
        <f aca="false">IF($B977="","",INDEX(Course!$N$2:$N$19,MATCH($B977,Course!$A$2:$A$19,0)))</f>
        <v/>
      </c>
      <c r="Q977" s="17" t="str">
        <f aca="false">IF($B977="","",INDEX(Course!$P$2:$P$19,MATCH($B977,Course!$A$2:$A$19,0)))</f>
        <v/>
      </c>
      <c r="R977" s="17" t="str">
        <f aca="false">IF($C977="","",IF(OR($C977="G",$C977="H"),0,IF($C977="T",1,MIN(1,MAX(0,($N977-Inputs!$B$8)/MAX($P977-Inputs!$B$8,0.01))))))</f>
        <v/>
      </c>
      <c r="S977" s="17" t="str">
        <f aca="false">IF($C977="","",IF(OR($E977="G",$E977="H"),0,IF($E977="T",1,MIN(1,MAX(0,($O977-Inputs!$B$8)/MAX($P977-Inputs!$B$8,0.01))))))</f>
        <v/>
      </c>
    </row>
    <row r="978" customFormat="false" ht="15" hidden="false" customHeight="false" outlineLevel="0" collapsed="false">
      <c r="I978" s="7" t="str">
        <f aca="false">IF($C978="","",IF($C978="G","PUTT",IF(AND($C978="T",$M978&gt;3),"OTT",IF($D978&lt;=30,"ARG","APP"))))</f>
        <v/>
      </c>
      <c r="J978" s="17" t="str">
        <f aca="false">IF($C978="","",$N978+$Q978*$R978)</f>
        <v/>
      </c>
      <c r="K978" s="17" t="str">
        <f aca="false">IF($C978="","",$O978+$Q978*$S978)</f>
        <v/>
      </c>
      <c r="L978" s="17" t="str">
        <f aca="false">IF($C978="","",$J978-$K978-1-N($G978))</f>
        <v/>
      </c>
      <c r="M978" s="7" t="str">
        <f aca="false">IF($B978="","",INDEX(Course!$B$2:$B$19,MATCH($B978,Course!$A$2:$A$19,0)))</f>
        <v/>
      </c>
      <c r="N978" s="17" t="str">
        <f aca="false">IF($C978="","",IF($C978="H",0,IF($C978="G",INDEX(Baseline!$I$3:$I$102,MIN(MAX(ROUND($D978,0),1),100)),IF($C978="T",IF($M978=3,INDEX(Baseline!$B$3:$B$122,MATCH(MIN(MAX(ROUND(($D978)/5,0)*5,5),600),Baseline!$A$3:$A$122,0))-Inputs!$B$9,INDEX(Course!$N$2:$N$19,MATCH($B978,Course!$A$2:$A$19,0))),INDEX(Baseline!$B$3:$E$122,MATCH(MIN(MAX(ROUND(($D978)/5,0)*5,5),600),Baseline!$A$3:$A$122,0),MATCH($C978,Baseline!$B$2:$E$2,0))))))</f>
        <v/>
      </c>
      <c r="O978" s="17" t="str">
        <f aca="false">IF($C978="","",IF($E978="H",0,IF($E978="G",INDEX(Baseline!$I$3:$I$102,MIN(MAX(ROUND($F978,0),1),100)),IF($E978="T",IF($M978=3,INDEX(Baseline!$B$3:$B$122,MATCH(MIN(MAX(ROUND(($F978)/5,0)*5,5),600),Baseline!$A$3:$A$122,0))-Inputs!$B$9,INDEX(Course!$N$2:$N$19,MATCH($B978,Course!$A$2:$A$19,0))),INDEX(Baseline!$B$3:$E$122,MATCH(MIN(MAX(ROUND(($F978)/5,0)*5,5),600),Baseline!$A$3:$A$122,0),MATCH($E978,Baseline!$B$2:$E$2,0))))))</f>
        <v/>
      </c>
      <c r="P978" s="17" t="str">
        <f aca="false">IF($B978="","",INDEX(Course!$N$2:$N$19,MATCH($B978,Course!$A$2:$A$19,0)))</f>
        <v/>
      </c>
      <c r="Q978" s="17" t="str">
        <f aca="false">IF($B978="","",INDEX(Course!$P$2:$P$19,MATCH($B978,Course!$A$2:$A$19,0)))</f>
        <v/>
      </c>
      <c r="R978" s="17" t="str">
        <f aca="false">IF($C978="","",IF(OR($C978="G",$C978="H"),0,IF($C978="T",1,MIN(1,MAX(0,($N978-Inputs!$B$8)/MAX($P978-Inputs!$B$8,0.01))))))</f>
        <v/>
      </c>
      <c r="S978" s="17" t="str">
        <f aca="false">IF($C978="","",IF(OR($E978="G",$E978="H"),0,IF($E978="T",1,MIN(1,MAX(0,($O978-Inputs!$B$8)/MAX($P978-Inputs!$B$8,0.01))))))</f>
        <v/>
      </c>
    </row>
    <row r="979" customFormat="false" ht="15" hidden="false" customHeight="false" outlineLevel="0" collapsed="false">
      <c r="I979" s="7" t="str">
        <f aca="false">IF($C979="","",IF($C979="G","PUTT",IF(AND($C979="T",$M979&gt;3),"OTT",IF($D979&lt;=30,"ARG","APP"))))</f>
        <v/>
      </c>
      <c r="J979" s="17" t="str">
        <f aca="false">IF($C979="","",$N979+$Q979*$R979)</f>
        <v/>
      </c>
      <c r="K979" s="17" t="str">
        <f aca="false">IF($C979="","",$O979+$Q979*$S979)</f>
        <v/>
      </c>
      <c r="L979" s="17" t="str">
        <f aca="false">IF($C979="","",$J979-$K979-1-N($G979))</f>
        <v/>
      </c>
      <c r="M979" s="7" t="str">
        <f aca="false">IF($B979="","",INDEX(Course!$B$2:$B$19,MATCH($B979,Course!$A$2:$A$19,0)))</f>
        <v/>
      </c>
      <c r="N979" s="17" t="str">
        <f aca="false">IF($C979="","",IF($C979="H",0,IF($C979="G",INDEX(Baseline!$I$3:$I$102,MIN(MAX(ROUND($D979,0),1),100)),IF($C979="T",IF($M979=3,INDEX(Baseline!$B$3:$B$122,MATCH(MIN(MAX(ROUND(($D979)/5,0)*5,5),600),Baseline!$A$3:$A$122,0))-Inputs!$B$9,INDEX(Course!$N$2:$N$19,MATCH($B979,Course!$A$2:$A$19,0))),INDEX(Baseline!$B$3:$E$122,MATCH(MIN(MAX(ROUND(($D979)/5,0)*5,5),600),Baseline!$A$3:$A$122,0),MATCH($C979,Baseline!$B$2:$E$2,0))))))</f>
        <v/>
      </c>
      <c r="O979" s="17" t="str">
        <f aca="false">IF($C979="","",IF($E979="H",0,IF($E979="G",INDEX(Baseline!$I$3:$I$102,MIN(MAX(ROUND($F979,0),1),100)),IF($E979="T",IF($M979=3,INDEX(Baseline!$B$3:$B$122,MATCH(MIN(MAX(ROUND(($F979)/5,0)*5,5),600),Baseline!$A$3:$A$122,0))-Inputs!$B$9,INDEX(Course!$N$2:$N$19,MATCH($B979,Course!$A$2:$A$19,0))),INDEX(Baseline!$B$3:$E$122,MATCH(MIN(MAX(ROUND(($F979)/5,0)*5,5),600),Baseline!$A$3:$A$122,0),MATCH($E979,Baseline!$B$2:$E$2,0))))))</f>
        <v/>
      </c>
      <c r="P979" s="17" t="str">
        <f aca="false">IF($B979="","",INDEX(Course!$N$2:$N$19,MATCH($B979,Course!$A$2:$A$19,0)))</f>
        <v/>
      </c>
      <c r="Q979" s="17" t="str">
        <f aca="false">IF($B979="","",INDEX(Course!$P$2:$P$19,MATCH($B979,Course!$A$2:$A$19,0)))</f>
        <v/>
      </c>
      <c r="R979" s="17" t="str">
        <f aca="false">IF($C979="","",IF(OR($C979="G",$C979="H"),0,IF($C979="T",1,MIN(1,MAX(0,($N979-Inputs!$B$8)/MAX($P979-Inputs!$B$8,0.01))))))</f>
        <v/>
      </c>
      <c r="S979" s="17" t="str">
        <f aca="false">IF($C979="","",IF(OR($E979="G",$E979="H"),0,IF($E979="T",1,MIN(1,MAX(0,($O979-Inputs!$B$8)/MAX($P979-Inputs!$B$8,0.01))))))</f>
        <v/>
      </c>
    </row>
    <row r="980" customFormat="false" ht="15" hidden="false" customHeight="false" outlineLevel="0" collapsed="false">
      <c r="I980" s="7" t="str">
        <f aca="false">IF($C980="","",IF($C980="G","PUTT",IF(AND($C980="T",$M980&gt;3),"OTT",IF($D980&lt;=30,"ARG","APP"))))</f>
        <v/>
      </c>
      <c r="J980" s="17" t="str">
        <f aca="false">IF($C980="","",$N980+$Q980*$R980)</f>
        <v/>
      </c>
      <c r="K980" s="17" t="str">
        <f aca="false">IF($C980="","",$O980+$Q980*$S980)</f>
        <v/>
      </c>
      <c r="L980" s="17" t="str">
        <f aca="false">IF($C980="","",$J980-$K980-1-N($G980))</f>
        <v/>
      </c>
      <c r="M980" s="7" t="str">
        <f aca="false">IF($B980="","",INDEX(Course!$B$2:$B$19,MATCH($B980,Course!$A$2:$A$19,0)))</f>
        <v/>
      </c>
      <c r="N980" s="17" t="str">
        <f aca="false">IF($C980="","",IF($C980="H",0,IF($C980="G",INDEX(Baseline!$I$3:$I$102,MIN(MAX(ROUND($D980,0),1),100)),IF($C980="T",IF($M980=3,INDEX(Baseline!$B$3:$B$122,MATCH(MIN(MAX(ROUND(($D980)/5,0)*5,5),600),Baseline!$A$3:$A$122,0))-Inputs!$B$9,INDEX(Course!$N$2:$N$19,MATCH($B980,Course!$A$2:$A$19,0))),INDEX(Baseline!$B$3:$E$122,MATCH(MIN(MAX(ROUND(($D980)/5,0)*5,5),600),Baseline!$A$3:$A$122,0),MATCH($C980,Baseline!$B$2:$E$2,0))))))</f>
        <v/>
      </c>
      <c r="O980" s="17" t="str">
        <f aca="false">IF($C980="","",IF($E980="H",0,IF($E980="G",INDEX(Baseline!$I$3:$I$102,MIN(MAX(ROUND($F980,0),1),100)),IF($E980="T",IF($M980=3,INDEX(Baseline!$B$3:$B$122,MATCH(MIN(MAX(ROUND(($F980)/5,0)*5,5),600),Baseline!$A$3:$A$122,0))-Inputs!$B$9,INDEX(Course!$N$2:$N$19,MATCH($B980,Course!$A$2:$A$19,0))),INDEX(Baseline!$B$3:$E$122,MATCH(MIN(MAX(ROUND(($F980)/5,0)*5,5),600),Baseline!$A$3:$A$122,0),MATCH($E980,Baseline!$B$2:$E$2,0))))))</f>
        <v/>
      </c>
      <c r="P980" s="17" t="str">
        <f aca="false">IF($B980="","",INDEX(Course!$N$2:$N$19,MATCH($B980,Course!$A$2:$A$19,0)))</f>
        <v/>
      </c>
      <c r="Q980" s="17" t="str">
        <f aca="false">IF($B980="","",INDEX(Course!$P$2:$P$19,MATCH($B980,Course!$A$2:$A$19,0)))</f>
        <v/>
      </c>
      <c r="R980" s="17" t="str">
        <f aca="false">IF($C980="","",IF(OR($C980="G",$C980="H"),0,IF($C980="T",1,MIN(1,MAX(0,($N980-Inputs!$B$8)/MAX($P980-Inputs!$B$8,0.01))))))</f>
        <v/>
      </c>
      <c r="S980" s="17" t="str">
        <f aca="false">IF($C980="","",IF(OR($E980="G",$E980="H"),0,IF($E980="T",1,MIN(1,MAX(0,($O980-Inputs!$B$8)/MAX($P980-Inputs!$B$8,0.01))))))</f>
        <v/>
      </c>
    </row>
    <row r="981" customFormat="false" ht="15" hidden="false" customHeight="false" outlineLevel="0" collapsed="false">
      <c r="I981" s="7" t="str">
        <f aca="false">IF($C981="","",IF($C981="G","PUTT",IF(AND($C981="T",$M981&gt;3),"OTT",IF($D981&lt;=30,"ARG","APP"))))</f>
        <v/>
      </c>
      <c r="J981" s="17" t="str">
        <f aca="false">IF($C981="","",$N981+$Q981*$R981)</f>
        <v/>
      </c>
      <c r="K981" s="17" t="str">
        <f aca="false">IF($C981="","",$O981+$Q981*$S981)</f>
        <v/>
      </c>
      <c r="L981" s="17" t="str">
        <f aca="false">IF($C981="","",$J981-$K981-1-N($G981))</f>
        <v/>
      </c>
      <c r="M981" s="7" t="str">
        <f aca="false">IF($B981="","",INDEX(Course!$B$2:$B$19,MATCH($B981,Course!$A$2:$A$19,0)))</f>
        <v/>
      </c>
      <c r="N981" s="17" t="str">
        <f aca="false">IF($C981="","",IF($C981="H",0,IF($C981="G",INDEX(Baseline!$I$3:$I$102,MIN(MAX(ROUND($D981,0),1),100)),IF($C981="T",IF($M981=3,INDEX(Baseline!$B$3:$B$122,MATCH(MIN(MAX(ROUND(($D981)/5,0)*5,5),600),Baseline!$A$3:$A$122,0))-Inputs!$B$9,INDEX(Course!$N$2:$N$19,MATCH($B981,Course!$A$2:$A$19,0))),INDEX(Baseline!$B$3:$E$122,MATCH(MIN(MAX(ROUND(($D981)/5,0)*5,5),600),Baseline!$A$3:$A$122,0),MATCH($C981,Baseline!$B$2:$E$2,0))))))</f>
        <v/>
      </c>
      <c r="O981" s="17" t="str">
        <f aca="false">IF($C981="","",IF($E981="H",0,IF($E981="G",INDEX(Baseline!$I$3:$I$102,MIN(MAX(ROUND($F981,0),1),100)),IF($E981="T",IF($M981=3,INDEX(Baseline!$B$3:$B$122,MATCH(MIN(MAX(ROUND(($F981)/5,0)*5,5),600),Baseline!$A$3:$A$122,0))-Inputs!$B$9,INDEX(Course!$N$2:$N$19,MATCH($B981,Course!$A$2:$A$19,0))),INDEX(Baseline!$B$3:$E$122,MATCH(MIN(MAX(ROUND(($F981)/5,0)*5,5),600),Baseline!$A$3:$A$122,0),MATCH($E981,Baseline!$B$2:$E$2,0))))))</f>
        <v/>
      </c>
      <c r="P981" s="17" t="str">
        <f aca="false">IF($B981="","",INDEX(Course!$N$2:$N$19,MATCH($B981,Course!$A$2:$A$19,0)))</f>
        <v/>
      </c>
      <c r="Q981" s="17" t="str">
        <f aca="false">IF($B981="","",INDEX(Course!$P$2:$P$19,MATCH($B981,Course!$A$2:$A$19,0)))</f>
        <v/>
      </c>
      <c r="R981" s="17" t="str">
        <f aca="false">IF($C981="","",IF(OR($C981="G",$C981="H"),0,IF($C981="T",1,MIN(1,MAX(0,($N981-Inputs!$B$8)/MAX($P981-Inputs!$B$8,0.01))))))</f>
        <v/>
      </c>
      <c r="S981" s="17" t="str">
        <f aca="false">IF($C981="","",IF(OR($E981="G",$E981="H"),0,IF($E981="T",1,MIN(1,MAX(0,($O981-Inputs!$B$8)/MAX($P981-Inputs!$B$8,0.01))))))</f>
        <v/>
      </c>
    </row>
    <row r="982" customFormat="false" ht="15" hidden="false" customHeight="false" outlineLevel="0" collapsed="false">
      <c r="I982" s="7" t="str">
        <f aca="false">IF($C982="","",IF($C982="G","PUTT",IF(AND($C982="T",$M982&gt;3),"OTT",IF($D982&lt;=30,"ARG","APP"))))</f>
        <v/>
      </c>
      <c r="J982" s="17" t="str">
        <f aca="false">IF($C982="","",$N982+$Q982*$R982)</f>
        <v/>
      </c>
      <c r="K982" s="17" t="str">
        <f aca="false">IF($C982="","",$O982+$Q982*$S982)</f>
        <v/>
      </c>
      <c r="L982" s="17" t="str">
        <f aca="false">IF($C982="","",$J982-$K982-1-N($G982))</f>
        <v/>
      </c>
      <c r="M982" s="7" t="str">
        <f aca="false">IF($B982="","",INDEX(Course!$B$2:$B$19,MATCH($B982,Course!$A$2:$A$19,0)))</f>
        <v/>
      </c>
      <c r="N982" s="17" t="str">
        <f aca="false">IF($C982="","",IF($C982="H",0,IF($C982="G",INDEX(Baseline!$I$3:$I$102,MIN(MAX(ROUND($D982,0),1),100)),IF($C982="T",IF($M982=3,INDEX(Baseline!$B$3:$B$122,MATCH(MIN(MAX(ROUND(($D982)/5,0)*5,5),600),Baseline!$A$3:$A$122,0))-Inputs!$B$9,INDEX(Course!$N$2:$N$19,MATCH($B982,Course!$A$2:$A$19,0))),INDEX(Baseline!$B$3:$E$122,MATCH(MIN(MAX(ROUND(($D982)/5,0)*5,5),600),Baseline!$A$3:$A$122,0),MATCH($C982,Baseline!$B$2:$E$2,0))))))</f>
        <v/>
      </c>
      <c r="O982" s="17" t="str">
        <f aca="false">IF($C982="","",IF($E982="H",0,IF($E982="G",INDEX(Baseline!$I$3:$I$102,MIN(MAX(ROUND($F982,0),1),100)),IF($E982="T",IF($M982=3,INDEX(Baseline!$B$3:$B$122,MATCH(MIN(MAX(ROUND(($F982)/5,0)*5,5),600),Baseline!$A$3:$A$122,0))-Inputs!$B$9,INDEX(Course!$N$2:$N$19,MATCH($B982,Course!$A$2:$A$19,0))),INDEX(Baseline!$B$3:$E$122,MATCH(MIN(MAX(ROUND(($F982)/5,0)*5,5),600),Baseline!$A$3:$A$122,0),MATCH($E982,Baseline!$B$2:$E$2,0))))))</f>
        <v/>
      </c>
      <c r="P982" s="17" t="str">
        <f aca="false">IF($B982="","",INDEX(Course!$N$2:$N$19,MATCH($B982,Course!$A$2:$A$19,0)))</f>
        <v/>
      </c>
      <c r="Q982" s="17" t="str">
        <f aca="false">IF($B982="","",INDEX(Course!$P$2:$P$19,MATCH($B982,Course!$A$2:$A$19,0)))</f>
        <v/>
      </c>
      <c r="R982" s="17" t="str">
        <f aca="false">IF($C982="","",IF(OR($C982="G",$C982="H"),0,IF($C982="T",1,MIN(1,MAX(0,($N982-Inputs!$B$8)/MAX($P982-Inputs!$B$8,0.01))))))</f>
        <v/>
      </c>
      <c r="S982" s="17" t="str">
        <f aca="false">IF($C982="","",IF(OR($E982="G",$E982="H"),0,IF($E982="T",1,MIN(1,MAX(0,($O982-Inputs!$B$8)/MAX($P982-Inputs!$B$8,0.01))))))</f>
        <v/>
      </c>
    </row>
    <row r="983" customFormat="false" ht="15" hidden="false" customHeight="false" outlineLevel="0" collapsed="false">
      <c r="I983" s="7" t="str">
        <f aca="false">IF($C983="","",IF($C983="G","PUTT",IF(AND($C983="T",$M983&gt;3),"OTT",IF($D983&lt;=30,"ARG","APP"))))</f>
        <v/>
      </c>
      <c r="J983" s="17" t="str">
        <f aca="false">IF($C983="","",$N983+$Q983*$R983)</f>
        <v/>
      </c>
      <c r="K983" s="17" t="str">
        <f aca="false">IF($C983="","",$O983+$Q983*$S983)</f>
        <v/>
      </c>
      <c r="L983" s="17" t="str">
        <f aca="false">IF($C983="","",$J983-$K983-1-N($G983))</f>
        <v/>
      </c>
      <c r="M983" s="7" t="str">
        <f aca="false">IF($B983="","",INDEX(Course!$B$2:$B$19,MATCH($B983,Course!$A$2:$A$19,0)))</f>
        <v/>
      </c>
      <c r="N983" s="17" t="str">
        <f aca="false">IF($C983="","",IF($C983="H",0,IF($C983="G",INDEX(Baseline!$I$3:$I$102,MIN(MAX(ROUND($D983,0),1),100)),IF($C983="T",IF($M983=3,INDEX(Baseline!$B$3:$B$122,MATCH(MIN(MAX(ROUND(($D983)/5,0)*5,5),600),Baseline!$A$3:$A$122,0))-Inputs!$B$9,INDEX(Course!$N$2:$N$19,MATCH($B983,Course!$A$2:$A$19,0))),INDEX(Baseline!$B$3:$E$122,MATCH(MIN(MAX(ROUND(($D983)/5,0)*5,5),600),Baseline!$A$3:$A$122,0),MATCH($C983,Baseline!$B$2:$E$2,0))))))</f>
        <v/>
      </c>
      <c r="O983" s="17" t="str">
        <f aca="false">IF($C983="","",IF($E983="H",0,IF($E983="G",INDEX(Baseline!$I$3:$I$102,MIN(MAX(ROUND($F983,0),1),100)),IF($E983="T",IF($M983=3,INDEX(Baseline!$B$3:$B$122,MATCH(MIN(MAX(ROUND(($F983)/5,0)*5,5),600),Baseline!$A$3:$A$122,0))-Inputs!$B$9,INDEX(Course!$N$2:$N$19,MATCH($B983,Course!$A$2:$A$19,0))),INDEX(Baseline!$B$3:$E$122,MATCH(MIN(MAX(ROUND(($F983)/5,0)*5,5),600),Baseline!$A$3:$A$122,0),MATCH($E983,Baseline!$B$2:$E$2,0))))))</f>
        <v/>
      </c>
      <c r="P983" s="17" t="str">
        <f aca="false">IF($B983="","",INDEX(Course!$N$2:$N$19,MATCH($B983,Course!$A$2:$A$19,0)))</f>
        <v/>
      </c>
      <c r="Q983" s="17" t="str">
        <f aca="false">IF($B983="","",INDEX(Course!$P$2:$P$19,MATCH($B983,Course!$A$2:$A$19,0)))</f>
        <v/>
      </c>
      <c r="R983" s="17" t="str">
        <f aca="false">IF($C983="","",IF(OR($C983="G",$C983="H"),0,IF($C983="T",1,MIN(1,MAX(0,($N983-Inputs!$B$8)/MAX($P983-Inputs!$B$8,0.01))))))</f>
        <v/>
      </c>
      <c r="S983" s="17" t="str">
        <f aca="false">IF($C983="","",IF(OR($E983="G",$E983="H"),0,IF($E983="T",1,MIN(1,MAX(0,($O983-Inputs!$B$8)/MAX($P983-Inputs!$B$8,0.01))))))</f>
        <v/>
      </c>
    </row>
    <row r="984" customFormat="false" ht="15" hidden="false" customHeight="false" outlineLevel="0" collapsed="false">
      <c r="I984" s="7" t="str">
        <f aca="false">IF($C984="","",IF($C984="G","PUTT",IF(AND($C984="T",$M984&gt;3),"OTT",IF($D984&lt;=30,"ARG","APP"))))</f>
        <v/>
      </c>
      <c r="J984" s="17" t="str">
        <f aca="false">IF($C984="","",$N984+$Q984*$R984)</f>
        <v/>
      </c>
      <c r="K984" s="17" t="str">
        <f aca="false">IF($C984="","",$O984+$Q984*$S984)</f>
        <v/>
      </c>
      <c r="L984" s="17" t="str">
        <f aca="false">IF($C984="","",$J984-$K984-1-N($G984))</f>
        <v/>
      </c>
      <c r="M984" s="7" t="str">
        <f aca="false">IF($B984="","",INDEX(Course!$B$2:$B$19,MATCH($B984,Course!$A$2:$A$19,0)))</f>
        <v/>
      </c>
      <c r="N984" s="17" t="str">
        <f aca="false">IF($C984="","",IF($C984="H",0,IF($C984="G",INDEX(Baseline!$I$3:$I$102,MIN(MAX(ROUND($D984,0),1),100)),IF($C984="T",IF($M984=3,INDEX(Baseline!$B$3:$B$122,MATCH(MIN(MAX(ROUND(($D984)/5,0)*5,5),600),Baseline!$A$3:$A$122,0))-Inputs!$B$9,INDEX(Course!$N$2:$N$19,MATCH($B984,Course!$A$2:$A$19,0))),INDEX(Baseline!$B$3:$E$122,MATCH(MIN(MAX(ROUND(($D984)/5,0)*5,5),600),Baseline!$A$3:$A$122,0),MATCH($C984,Baseline!$B$2:$E$2,0))))))</f>
        <v/>
      </c>
      <c r="O984" s="17" t="str">
        <f aca="false">IF($C984="","",IF($E984="H",0,IF($E984="G",INDEX(Baseline!$I$3:$I$102,MIN(MAX(ROUND($F984,0),1),100)),IF($E984="T",IF($M984=3,INDEX(Baseline!$B$3:$B$122,MATCH(MIN(MAX(ROUND(($F984)/5,0)*5,5),600),Baseline!$A$3:$A$122,0))-Inputs!$B$9,INDEX(Course!$N$2:$N$19,MATCH($B984,Course!$A$2:$A$19,0))),INDEX(Baseline!$B$3:$E$122,MATCH(MIN(MAX(ROUND(($F984)/5,0)*5,5),600),Baseline!$A$3:$A$122,0),MATCH($E984,Baseline!$B$2:$E$2,0))))))</f>
        <v/>
      </c>
      <c r="P984" s="17" t="str">
        <f aca="false">IF($B984="","",INDEX(Course!$N$2:$N$19,MATCH($B984,Course!$A$2:$A$19,0)))</f>
        <v/>
      </c>
      <c r="Q984" s="17" t="str">
        <f aca="false">IF($B984="","",INDEX(Course!$P$2:$P$19,MATCH($B984,Course!$A$2:$A$19,0)))</f>
        <v/>
      </c>
      <c r="R984" s="17" t="str">
        <f aca="false">IF($C984="","",IF(OR($C984="G",$C984="H"),0,IF($C984="T",1,MIN(1,MAX(0,($N984-Inputs!$B$8)/MAX($P984-Inputs!$B$8,0.01))))))</f>
        <v/>
      </c>
      <c r="S984" s="17" t="str">
        <f aca="false">IF($C984="","",IF(OR($E984="G",$E984="H"),0,IF($E984="T",1,MIN(1,MAX(0,($O984-Inputs!$B$8)/MAX($P984-Inputs!$B$8,0.01))))))</f>
        <v/>
      </c>
    </row>
    <row r="985" customFormat="false" ht="15" hidden="false" customHeight="false" outlineLevel="0" collapsed="false">
      <c r="I985" s="7" t="str">
        <f aca="false">IF($C985="","",IF($C985="G","PUTT",IF(AND($C985="T",$M985&gt;3),"OTT",IF($D985&lt;=30,"ARG","APP"))))</f>
        <v/>
      </c>
      <c r="J985" s="17" t="str">
        <f aca="false">IF($C985="","",$N985+$Q985*$R985)</f>
        <v/>
      </c>
      <c r="K985" s="17" t="str">
        <f aca="false">IF($C985="","",$O985+$Q985*$S985)</f>
        <v/>
      </c>
      <c r="L985" s="17" t="str">
        <f aca="false">IF($C985="","",$J985-$K985-1-N($G985))</f>
        <v/>
      </c>
      <c r="M985" s="7" t="str">
        <f aca="false">IF($B985="","",INDEX(Course!$B$2:$B$19,MATCH($B985,Course!$A$2:$A$19,0)))</f>
        <v/>
      </c>
      <c r="N985" s="17" t="str">
        <f aca="false">IF($C985="","",IF($C985="H",0,IF($C985="G",INDEX(Baseline!$I$3:$I$102,MIN(MAX(ROUND($D985,0),1),100)),IF($C985="T",IF($M985=3,INDEX(Baseline!$B$3:$B$122,MATCH(MIN(MAX(ROUND(($D985)/5,0)*5,5),600),Baseline!$A$3:$A$122,0))-Inputs!$B$9,INDEX(Course!$N$2:$N$19,MATCH($B985,Course!$A$2:$A$19,0))),INDEX(Baseline!$B$3:$E$122,MATCH(MIN(MAX(ROUND(($D985)/5,0)*5,5),600),Baseline!$A$3:$A$122,0),MATCH($C985,Baseline!$B$2:$E$2,0))))))</f>
        <v/>
      </c>
      <c r="O985" s="17" t="str">
        <f aca="false">IF($C985="","",IF($E985="H",0,IF($E985="G",INDEX(Baseline!$I$3:$I$102,MIN(MAX(ROUND($F985,0),1),100)),IF($E985="T",IF($M985=3,INDEX(Baseline!$B$3:$B$122,MATCH(MIN(MAX(ROUND(($F985)/5,0)*5,5),600),Baseline!$A$3:$A$122,0))-Inputs!$B$9,INDEX(Course!$N$2:$N$19,MATCH($B985,Course!$A$2:$A$19,0))),INDEX(Baseline!$B$3:$E$122,MATCH(MIN(MAX(ROUND(($F985)/5,0)*5,5),600),Baseline!$A$3:$A$122,0),MATCH($E985,Baseline!$B$2:$E$2,0))))))</f>
        <v/>
      </c>
      <c r="P985" s="17" t="str">
        <f aca="false">IF($B985="","",INDEX(Course!$N$2:$N$19,MATCH($B985,Course!$A$2:$A$19,0)))</f>
        <v/>
      </c>
      <c r="Q985" s="17" t="str">
        <f aca="false">IF($B985="","",INDEX(Course!$P$2:$P$19,MATCH($B985,Course!$A$2:$A$19,0)))</f>
        <v/>
      </c>
      <c r="R985" s="17" t="str">
        <f aca="false">IF($C985="","",IF(OR($C985="G",$C985="H"),0,IF($C985="T",1,MIN(1,MAX(0,($N985-Inputs!$B$8)/MAX($P985-Inputs!$B$8,0.01))))))</f>
        <v/>
      </c>
      <c r="S985" s="17" t="str">
        <f aca="false">IF($C985="","",IF(OR($E985="G",$E985="H"),0,IF($E985="T",1,MIN(1,MAX(0,($O985-Inputs!$B$8)/MAX($P985-Inputs!$B$8,0.01))))))</f>
        <v/>
      </c>
    </row>
    <row r="986" customFormat="false" ht="15" hidden="false" customHeight="false" outlineLevel="0" collapsed="false">
      <c r="I986" s="7" t="str">
        <f aca="false">IF($C986="","",IF($C986="G","PUTT",IF(AND($C986="T",$M986&gt;3),"OTT",IF($D986&lt;=30,"ARG","APP"))))</f>
        <v/>
      </c>
      <c r="J986" s="17" t="str">
        <f aca="false">IF($C986="","",$N986+$Q986*$R986)</f>
        <v/>
      </c>
      <c r="K986" s="17" t="str">
        <f aca="false">IF($C986="","",$O986+$Q986*$S986)</f>
        <v/>
      </c>
      <c r="L986" s="17" t="str">
        <f aca="false">IF($C986="","",$J986-$K986-1-N($G986))</f>
        <v/>
      </c>
      <c r="M986" s="7" t="str">
        <f aca="false">IF($B986="","",INDEX(Course!$B$2:$B$19,MATCH($B986,Course!$A$2:$A$19,0)))</f>
        <v/>
      </c>
      <c r="N986" s="17" t="str">
        <f aca="false">IF($C986="","",IF($C986="H",0,IF($C986="G",INDEX(Baseline!$I$3:$I$102,MIN(MAX(ROUND($D986,0),1),100)),IF($C986="T",IF($M986=3,INDEX(Baseline!$B$3:$B$122,MATCH(MIN(MAX(ROUND(($D986)/5,0)*5,5),600),Baseline!$A$3:$A$122,0))-Inputs!$B$9,INDEX(Course!$N$2:$N$19,MATCH($B986,Course!$A$2:$A$19,0))),INDEX(Baseline!$B$3:$E$122,MATCH(MIN(MAX(ROUND(($D986)/5,0)*5,5),600),Baseline!$A$3:$A$122,0),MATCH($C986,Baseline!$B$2:$E$2,0))))))</f>
        <v/>
      </c>
      <c r="O986" s="17" t="str">
        <f aca="false">IF($C986="","",IF($E986="H",0,IF($E986="G",INDEX(Baseline!$I$3:$I$102,MIN(MAX(ROUND($F986,0),1),100)),IF($E986="T",IF($M986=3,INDEX(Baseline!$B$3:$B$122,MATCH(MIN(MAX(ROUND(($F986)/5,0)*5,5),600),Baseline!$A$3:$A$122,0))-Inputs!$B$9,INDEX(Course!$N$2:$N$19,MATCH($B986,Course!$A$2:$A$19,0))),INDEX(Baseline!$B$3:$E$122,MATCH(MIN(MAX(ROUND(($F986)/5,0)*5,5),600),Baseline!$A$3:$A$122,0),MATCH($E986,Baseline!$B$2:$E$2,0))))))</f>
        <v/>
      </c>
      <c r="P986" s="17" t="str">
        <f aca="false">IF($B986="","",INDEX(Course!$N$2:$N$19,MATCH($B986,Course!$A$2:$A$19,0)))</f>
        <v/>
      </c>
      <c r="Q986" s="17" t="str">
        <f aca="false">IF($B986="","",INDEX(Course!$P$2:$P$19,MATCH($B986,Course!$A$2:$A$19,0)))</f>
        <v/>
      </c>
      <c r="R986" s="17" t="str">
        <f aca="false">IF($C986="","",IF(OR($C986="G",$C986="H"),0,IF($C986="T",1,MIN(1,MAX(0,($N986-Inputs!$B$8)/MAX($P986-Inputs!$B$8,0.01))))))</f>
        <v/>
      </c>
      <c r="S986" s="17" t="str">
        <f aca="false">IF($C986="","",IF(OR($E986="G",$E986="H"),0,IF($E986="T",1,MIN(1,MAX(0,($O986-Inputs!$B$8)/MAX($P986-Inputs!$B$8,0.01))))))</f>
        <v/>
      </c>
    </row>
    <row r="987" customFormat="false" ht="15" hidden="false" customHeight="false" outlineLevel="0" collapsed="false">
      <c r="I987" s="7" t="str">
        <f aca="false">IF($C987="","",IF($C987="G","PUTT",IF(AND($C987="T",$M987&gt;3),"OTT",IF($D987&lt;=30,"ARG","APP"))))</f>
        <v/>
      </c>
      <c r="J987" s="17" t="str">
        <f aca="false">IF($C987="","",$N987+$Q987*$R987)</f>
        <v/>
      </c>
      <c r="K987" s="17" t="str">
        <f aca="false">IF($C987="","",$O987+$Q987*$S987)</f>
        <v/>
      </c>
      <c r="L987" s="17" t="str">
        <f aca="false">IF($C987="","",$J987-$K987-1-N($G987))</f>
        <v/>
      </c>
      <c r="M987" s="7" t="str">
        <f aca="false">IF($B987="","",INDEX(Course!$B$2:$B$19,MATCH($B987,Course!$A$2:$A$19,0)))</f>
        <v/>
      </c>
      <c r="N987" s="17" t="str">
        <f aca="false">IF($C987="","",IF($C987="H",0,IF($C987="G",INDEX(Baseline!$I$3:$I$102,MIN(MAX(ROUND($D987,0),1),100)),IF($C987="T",IF($M987=3,INDEX(Baseline!$B$3:$B$122,MATCH(MIN(MAX(ROUND(($D987)/5,0)*5,5),600),Baseline!$A$3:$A$122,0))-Inputs!$B$9,INDEX(Course!$N$2:$N$19,MATCH($B987,Course!$A$2:$A$19,0))),INDEX(Baseline!$B$3:$E$122,MATCH(MIN(MAX(ROUND(($D987)/5,0)*5,5),600),Baseline!$A$3:$A$122,0),MATCH($C987,Baseline!$B$2:$E$2,0))))))</f>
        <v/>
      </c>
      <c r="O987" s="17" t="str">
        <f aca="false">IF($C987="","",IF($E987="H",0,IF($E987="G",INDEX(Baseline!$I$3:$I$102,MIN(MAX(ROUND($F987,0),1),100)),IF($E987="T",IF($M987=3,INDEX(Baseline!$B$3:$B$122,MATCH(MIN(MAX(ROUND(($F987)/5,0)*5,5),600),Baseline!$A$3:$A$122,0))-Inputs!$B$9,INDEX(Course!$N$2:$N$19,MATCH($B987,Course!$A$2:$A$19,0))),INDEX(Baseline!$B$3:$E$122,MATCH(MIN(MAX(ROUND(($F987)/5,0)*5,5),600),Baseline!$A$3:$A$122,0),MATCH($E987,Baseline!$B$2:$E$2,0))))))</f>
        <v/>
      </c>
      <c r="P987" s="17" t="str">
        <f aca="false">IF($B987="","",INDEX(Course!$N$2:$N$19,MATCH($B987,Course!$A$2:$A$19,0)))</f>
        <v/>
      </c>
      <c r="Q987" s="17" t="str">
        <f aca="false">IF($B987="","",INDEX(Course!$P$2:$P$19,MATCH($B987,Course!$A$2:$A$19,0)))</f>
        <v/>
      </c>
      <c r="R987" s="17" t="str">
        <f aca="false">IF($C987="","",IF(OR($C987="G",$C987="H"),0,IF($C987="T",1,MIN(1,MAX(0,($N987-Inputs!$B$8)/MAX($P987-Inputs!$B$8,0.01))))))</f>
        <v/>
      </c>
      <c r="S987" s="17" t="str">
        <f aca="false">IF($C987="","",IF(OR($E987="G",$E987="H"),0,IF($E987="T",1,MIN(1,MAX(0,($O987-Inputs!$B$8)/MAX($P987-Inputs!$B$8,0.01))))))</f>
        <v/>
      </c>
    </row>
    <row r="988" customFormat="false" ht="15" hidden="false" customHeight="false" outlineLevel="0" collapsed="false">
      <c r="I988" s="7" t="str">
        <f aca="false">IF($C988="","",IF($C988="G","PUTT",IF(AND($C988="T",$M988&gt;3),"OTT",IF($D988&lt;=30,"ARG","APP"))))</f>
        <v/>
      </c>
      <c r="J988" s="17" t="str">
        <f aca="false">IF($C988="","",$N988+$Q988*$R988)</f>
        <v/>
      </c>
      <c r="K988" s="17" t="str">
        <f aca="false">IF($C988="","",$O988+$Q988*$S988)</f>
        <v/>
      </c>
      <c r="L988" s="17" t="str">
        <f aca="false">IF($C988="","",$J988-$K988-1-N($G988))</f>
        <v/>
      </c>
      <c r="M988" s="7" t="str">
        <f aca="false">IF($B988="","",INDEX(Course!$B$2:$B$19,MATCH($B988,Course!$A$2:$A$19,0)))</f>
        <v/>
      </c>
      <c r="N988" s="17" t="str">
        <f aca="false">IF($C988="","",IF($C988="H",0,IF($C988="G",INDEX(Baseline!$I$3:$I$102,MIN(MAX(ROUND($D988,0),1),100)),IF($C988="T",IF($M988=3,INDEX(Baseline!$B$3:$B$122,MATCH(MIN(MAX(ROUND(($D988)/5,0)*5,5),600),Baseline!$A$3:$A$122,0))-Inputs!$B$9,INDEX(Course!$N$2:$N$19,MATCH($B988,Course!$A$2:$A$19,0))),INDEX(Baseline!$B$3:$E$122,MATCH(MIN(MAX(ROUND(($D988)/5,0)*5,5),600),Baseline!$A$3:$A$122,0),MATCH($C988,Baseline!$B$2:$E$2,0))))))</f>
        <v/>
      </c>
      <c r="O988" s="17" t="str">
        <f aca="false">IF($C988="","",IF($E988="H",0,IF($E988="G",INDEX(Baseline!$I$3:$I$102,MIN(MAX(ROUND($F988,0),1),100)),IF($E988="T",IF($M988=3,INDEX(Baseline!$B$3:$B$122,MATCH(MIN(MAX(ROUND(($F988)/5,0)*5,5),600),Baseline!$A$3:$A$122,0))-Inputs!$B$9,INDEX(Course!$N$2:$N$19,MATCH($B988,Course!$A$2:$A$19,0))),INDEX(Baseline!$B$3:$E$122,MATCH(MIN(MAX(ROUND(($F988)/5,0)*5,5),600),Baseline!$A$3:$A$122,0),MATCH($E988,Baseline!$B$2:$E$2,0))))))</f>
        <v/>
      </c>
      <c r="P988" s="17" t="str">
        <f aca="false">IF($B988="","",INDEX(Course!$N$2:$N$19,MATCH($B988,Course!$A$2:$A$19,0)))</f>
        <v/>
      </c>
      <c r="Q988" s="17" t="str">
        <f aca="false">IF($B988="","",INDEX(Course!$P$2:$P$19,MATCH($B988,Course!$A$2:$A$19,0)))</f>
        <v/>
      </c>
      <c r="R988" s="17" t="str">
        <f aca="false">IF($C988="","",IF(OR($C988="G",$C988="H"),0,IF($C988="T",1,MIN(1,MAX(0,($N988-Inputs!$B$8)/MAX($P988-Inputs!$B$8,0.01))))))</f>
        <v/>
      </c>
      <c r="S988" s="17" t="str">
        <f aca="false">IF($C988="","",IF(OR($E988="G",$E988="H"),0,IF($E988="T",1,MIN(1,MAX(0,($O988-Inputs!$B$8)/MAX($P988-Inputs!$B$8,0.01))))))</f>
        <v/>
      </c>
    </row>
    <row r="989" customFormat="false" ht="15" hidden="false" customHeight="false" outlineLevel="0" collapsed="false">
      <c r="I989" s="7" t="str">
        <f aca="false">IF($C989="","",IF($C989="G","PUTT",IF(AND($C989="T",$M989&gt;3),"OTT",IF($D989&lt;=30,"ARG","APP"))))</f>
        <v/>
      </c>
      <c r="J989" s="17" t="str">
        <f aca="false">IF($C989="","",$N989+$Q989*$R989)</f>
        <v/>
      </c>
      <c r="K989" s="17" t="str">
        <f aca="false">IF($C989="","",$O989+$Q989*$S989)</f>
        <v/>
      </c>
      <c r="L989" s="17" t="str">
        <f aca="false">IF($C989="","",$J989-$K989-1-N($G989))</f>
        <v/>
      </c>
      <c r="M989" s="7" t="str">
        <f aca="false">IF($B989="","",INDEX(Course!$B$2:$B$19,MATCH($B989,Course!$A$2:$A$19,0)))</f>
        <v/>
      </c>
      <c r="N989" s="17" t="str">
        <f aca="false">IF($C989="","",IF($C989="H",0,IF($C989="G",INDEX(Baseline!$I$3:$I$102,MIN(MAX(ROUND($D989,0),1),100)),IF($C989="T",IF($M989=3,INDEX(Baseline!$B$3:$B$122,MATCH(MIN(MAX(ROUND(($D989)/5,0)*5,5),600),Baseline!$A$3:$A$122,0))-Inputs!$B$9,INDEX(Course!$N$2:$N$19,MATCH($B989,Course!$A$2:$A$19,0))),INDEX(Baseline!$B$3:$E$122,MATCH(MIN(MAX(ROUND(($D989)/5,0)*5,5),600),Baseline!$A$3:$A$122,0),MATCH($C989,Baseline!$B$2:$E$2,0))))))</f>
        <v/>
      </c>
      <c r="O989" s="17" t="str">
        <f aca="false">IF($C989="","",IF($E989="H",0,IF($E989="G",INDEX(Baseline!$I$3:$I$102,MIN(MAX(ROUND($F989,0),1),100)),IF($E989="T",IF($M989=3,INDEX(Baseline!$B$3:$B$122,MATCH(MIN(MAX(ROUND(($F989)/5,0)*5,5),600),Baseline!$A$3:$A$122,0))-Inputs!$B$9,INDEX(Course!$N$2:$N$19,MATCH($B989,Course!$A$2:$A$19,0))),INDEX(Baseline!$B$3:$E$122,MATCH(MIN(MAX(ROUND(($F989)/5,0)*5,5),600),Baseline!$A$3:$A$122,0),MATCH($E989,Baseline!$B$2:$E$2,0))))))</f>
        <v/>
      </c>
      <c r="P989" s="17" t="str">
        <f aca="false">IF($B989="","",INDEX(Course!$N$2:$N$19,MATCH($B989,Course!$A$2:$A$19,0)))</f>
        <v/>
      </c>
      <c r="Q989" s="17" t="str">
        <f aca="false">IF($B989="","",INDEX(Course!$P$2:$P$19,MATCH($B989,Course!$A$2:$A$19,0)))</f>
        <v/>
      </c>
      <c r="R989" s="17" t="str">
        <f aca="false">IF($C989="","",IF(OR($C989="G",$C989="H"),0,IF($C989="T",1,MIN(1,MAX(0,($N989-Inputs!$B$8)/MAX($P989-Inputs!$B$8,0.01))))))</f>
        <v/>
      </c>
      <c r="S989" s="17" t="str">
        <f aca="false">IF($C989="","",IF(OR($E989="G",$E989="H"),0,IF($E989="T",1,MIN(1,MAX(0,($O989-Inputs!$B$8)/MAX($P989-Inputs!$B$8,0.01))))))</f>
        <v/>
      </c>
    </row>
    <row r="990" customFormat="false" ht="15" hidden="false" customHeight="false" outlineLevel="0" collapsed="false">
      <c r="I990" s="7" t="str">
        <f aca="false">IF($C990="","",IF($C990="G","PUTT",IF(AND($C990="T",$M990&gt;3),"OTT",IF($D990&lt;=30,"ARG","APP"))))</f>
        <v/>
      </c>
      <c r="J990" s="17" t="str">
        <f aca="false">IF($C990="","",$N990+$Q990*$R990)</f>
        <v/>
      </c>
      <c r="K990" s="17" t="str">
        <f aca="false">IF($C990="","",$O990+$Q990*$S990)</f>
        <v/>
      </c>
      <c r="L990" s="17" t="str">
        <f aca="false">IF($C990="","",$J990-$K990-1-N($G990))</f>
        <v/>
      </c>
      <c r="M990" s="7" t="str">
        <f aca="false">IF($B990="","",INDEX(Course!$B$2:$B$19,MATCH($B990,Course!$A$2:$A$19,0)))</f>
        <v/>
      </c>
      <c r="N990" s="17" t="str">
        <f aca="false">IF($C990="","",IF($C990="H",0,IF($C990="G",INDEX(Baseline!$I$3:$I$102,MIN(MAX(ROUND($D990,0),1),100)),IF($C990="T",IF($M990=3,INDEX(Baseline!$B$3:$B$122,MATCH(MIN(MAX(ROUND(($D990)/5,0)*5,5),600),Baseline!$A$3:$A$122,0))-Inputs!$B$9,INDEX(Course!$N$2:$N$19,MATCH($B990,Course!$A$2:$A$19,0))),INDEX(Baseline!$B$3:$E$122,MATCH(MIN(MAX(ROUND(($D990)/5,0)*5,5),600),Baseline!$A$3:$A$122,0),MATCH($C990,Baseline!$B$2:$E$2,0))))))</f>
        <v/>
      </c>
      <c r="O990" s="17" t="str">
        <f aca="false">IF($C990="","",IF($E990="H",0,IF($E990="G",INDEX(Baseline!$I$3:$I$102,MIN(MAX(ROUND($F990,0),1),100)),IF($E990="T",IF($M990=3,INDEX(Baseline!$B$3:$B$122,MATCH(MIN(MAX(ROUND(($F990)/5,0)*5,5),600),Baseline!$A$3:$A$122,0))-Inputs!$B$9,INDEX(Course!$N$2:$N$19,MATCH($B990,Course!$A$2:$A$19,0))),INDEX(Baseline!$B$3:$E$122,MATCH(MIN(MAX(ROUND(($F990)/5,0)*5,5),600),Baseline!$A$3:$A$122,0),MATCH($E990,Baseline!$B$2:$E$2,0))))))</f>
        <v/>
      </c>
      <c r="P990" s="17" t="str">
        <f aca="false">IF($B990="","",INDEX(Course!$N$2:$N$19,MATCH($B990,Course!$A$2:$A$19,0)))</f>
        <v/>
      </c>
      <c r="Q990" s="17" t="str">
        <f aca="false">IF($B990="","",INDEX(Course!$P$2:$P$19,MATCH($B990,Course!$A$2:$A$19,0)))</f>
        <v/>
      </c>
      <c r="R990" s="17" t="str">
        <f aca="false">IF($C990="","",IF(OR($C990="G",$C990="H"),0,IF($C990="T",1,MIN(1,MAX(0,($N990-Inputs!$B$8)/MAX($P990-Inputs!$B$8,0.01))))))</f>
        <v/>
      </c>
      <c r="S990" s="17" t="str">
        <f aca="false">IF($C990="","",IF(OR($E990="G",$E990="H"),0,IF($E990="T",1,MIN(1,MAX(0,($O990-Inputs!$B$8)/MAX($P990-Inputs!$B$8,0.01))))))</f>
        <v/>
      </c>
    </row>
    <row r="991" customFormat="false" ht="15" hidden="false" customHeight="false" outlineLevel="0" collapsed="false">
      <c r="I991" s="7" t="str">
        <f aca="false">IF($C991="","",IF($C991="G","PUTT",IF(AND($C991="T",$M991&gt;3),"OTT",IF($D991&lt;=30,"ARG","APP"))))</f>
        <v/>
      </c>
      <c r="J991" s="17" t="str">
        <f aca="false">IF($C991="","",$N991+$Q991*$R991)</f>
        <v/>
      </c>
      <c r="K991" s="17" t="str">
        <f aca="false">IF($C991="","",$O991+$Q991*$S991)</f>
        <v/>
      </c>
      <c r="L991" s="17" t="str">
        <f aca="false">IF($C991="","",$J991-$K991-1-N($G991))</f>
        <v/>
      </c>
      <c r="M991" s="7" t="str">
        <f aca="false">IF($B991="","",INDEX(Course!$B$2:$B$19,MATCH($B991,Course!$A$2:$A$19,0)))</f>
        <v/>
      </c>
      <c r="N991" s="17" t="str">
        <f aca="false">IF($C991="","",IF($C991="H",0,IF($C991="G",INDEX(Baseline!$I$3:$I$102,MIN(MAX(ROUND($D991,0),1),100)),IF($C991="T",IF($M991=3,INDEX(Baseline!$B$3:$B$122,MATCH(MIN(MAX(ROUND(($D991)/5,0)*5,5),600),Baseline!$A$3:$A$122,0))-Inputs!$B$9,INDEX(Course!$N$2:$N$19,MATCH($B991,Course!$A$2:$A$19,0))),INDEX(Baseline!$B$3:$E$122,MATCH(MIN(MAX(ROUND(($D991)/5,0)*5,5),600),Baseline!$A$3:$A$122,0),MATCH($C991,Baseline!$B$2:$E$2,0))))))</f>
        <v/>
      </c>
      <c r="O991" s="17" t="str">
        <f aca="false">IF($C991="","",IF($E991="H",0,IF($E991="G",INDEX(Baseline!$I$3:$I$102,MIN(MAX(ROUND($F991,0),1),100)),IF($E991="T",IF($M991=3,INDEX(Baseline!$B$3:$B$122,MATCH(MIN(MAX(ROUND(($F991)/5,0)*5,5),600),Baseline!$A$3:$A$122,0))-Inputs!$B$9,INDEX(Course!$N$2:$N$19,MATCH($B991,Course!$A$2:$A$19,0))),INDEX(Baseline!$B$3:$E$122,MATCH(MIN(MAX(ROUND(($F991)/5,0)*5,5),600),Baseline!$A$3:$A$122,0),MATCH($E991,Baseline!$B$2:$E$2,0))))))</f>
        <v/>
      </c>
      <c r="P991" s="17" t="str">
        <f aca="false">IF($B991="","",INDEX(Course!$N$2:$N$19,MATCH($B991,Course!$A$2:$A$19,0)))</f>
        <v/>
      </c>
      <c r="Q991" s="17" t="str">
        <f aca="false">IF($B991="","",INDEX(Course!$P$2:$P$19,MATCH($B991,Course!$A$2:$A$19,0)))</f>
        <v/>
      </c>
      <c r="R991" s="17" t="str">
        <f aca="false">IF($C991="","",IF(OR($C991="G",$C991="H"),0,IF($C991="T",1,MIN(1,MAX(0,($N991-Inputs!$B$8)/MAX($P991-Inputs!$B$8,0.01))))))</f>
        <v/>
      </c>
      <c r="S991" s="17" t="str">
        <f aca="false">IF($C991="","",IF(OR($E991="G",$E991="H"),0,IF($E991="T",1,MIN(1,MAX(0,($O991-Inputs!$B$8)/MAX($P991-Inputs!$B$8,0.01))))))</f>
        <v/>
      </c>
    </row>
    <row r="992" customFormat="false" ht="15" hidden="false" customHeight="false" outlineLevel="0" collapsed="false">
      <c r="I992" s="7" t="str">
        <f aca="false">IF($C992="","",IF($C992="G","PUTT",IF(AND($C992="T",$M992&gt;3),"OTT",IF($D992&lt;=30,"ARG","APP"))))</f>
        <v/>
      </c>
      <c r="J992" s="17" t="str">
        <f aca="false">IF($C992="","",$N992+$Q992*$R992)</f>
        <v/>
      </c>
      <c r="K992" s="17" t="str">
        <f aca="false">IF($C992="","",$O992+$Q992*$S992)</f>
        <v/>
      </c>
      <c r="L992" s="17" t="str">
        <f aca="false">IF($C992="","",$J992-$K992-1-N($G992))</f>
        <v/>
      </c>
      <c r="M992" s="7" t="str">
        <f aca="false">IF($B992="","",INDEX(Course!$B$2:$B$19,MATCH($B992,Course!$A$2:$A$19,0)))</f>
        <v/>
      </c>
      <c r="N992" s="17" t="str">
        <f aca="false">IF($C992="","",IF($C992="H",0,IF($C992="G",INDEX(Baseline!$I$3:$I$102,MIN(MAX(ROUND($D992,0),1),100)),IF($C992="T",IF($M992=3,INDEX(Baseline!$B$3:$B$122,MATCH(MIN(MAX(ROUND(($D992)/5,0)*5,5),600),Baseline!$A$3:$A$122,0))-Inputs!$B$9,INDEX(Course!$N$2:$N$19,MATCH($B992,Course!$A$2:$A$19,0))),INDEX(Baseline!$B$3:$E$122,MATCH(MIN(MAX(ROUND(($D992)/5,0)*5,5),600),Baseline!$A$3:$A$122,0),MATCH($C992,Baseline!$B$2:$E$2,0))))))</f>
        <v/>
      </c>
      <c r="O992" s="17" t="str">
        <f aca="false">IF($C992="","",IF($E992="H",0,IF($E992="G",INDEX(Baseline!$I$3:$I$102,MIN(MAX(ROUND($F992,0),1),100)),IF($E992="T",IF($M992=3,INDEX(Baseline!$B$3:$B$122,MATCH(MIN(MAX(ROUND(($F992)/5,0)*5,5),600),Baseline!$A$3:$A$122,0))-Inputs!$B$9,INDEX(Course!$N$2:$N$19,MATCH($B992,Course!$A$2:$A$19,0))),INDEX(Baseline!$B$3:$E$122,MATCH(MIN(MAX(ROUND(($F992)/5,0)*5,5),600),Baseline!$A$3:$A$122,0),MATCH($E992,Baseline!$B$2:$E$2,0))))))</f>
        <v/>
      </c>
      <c r="P992" s="17" t="str">
        <f aca="false">IF($B992="","",INDEX(Course!$N$2:$N$19,MATCH($B992,Course!$A$2:$A$19,0)))</f>
        <v/>
      </c>
      <c r="Q992" s="17" t="str">
        <f aca="false">IF($B992="","",INDEX(Course!$P$2:$P$19,MATCH($B992,Course!$A$2:$A$19,0)))</f>
        <v/>
      </c>
      <c r="R992" s="17" t="str">
        <f aca="false">IF($C992="","",IF(OR($C992="G",$C992="H"),0,IF($C992="T",1,MIN(1,MAX(0,($N992-Inputs!$B$8)/MAX($P992-Inputs!$B$8,0.01))))))</f>
        <v/>
      </c>
      <c r="S992" s="17" t="str">
        <f aca="false">IF($C992="","",IF(OR($E992="G",$E992="H"),0,IF($E992="T",1,MIN(1,MAX(0,($O992-Inputs!$B$8)/MAX($P992-Inputs!$B$8,0.01))))))</f>
        <v/>
      </c>
    </row>
    <row r="993" customFormat="false" ht="15" hidden="false" customHeight="false" outlineLevel="0" collapsed="false">
      <c r="I993" s="7" t="str">
        <f aca="false">IF($C993="","",IF($C993="G","PUTT",IF(AND($C993="T",$M993&gt;3),"OTT",IF($D993&lt;=30,"ARG","APP"))))</f>
        <v/>
      </c>
      <c r="J993" s="17" t="str">
        <f aca="false">IF($C993="","",$N993+$Q993*$R993)</f>
        <v/>
      </c>
      <c r="K993" s="17" t="str">
        <f aca="false">IF($C993="","",$O993+$Q993*$S993)</f>
        <v/>
      </c>
      <c r="L993" s="17" t="str">
        <f aca="false">IF($C993="","",$J993-$K993-1-N($G993))</f>
        <v/>
      </c>
      <c r="M993" s="7" t="str">
        <f aca="false">IF($B993="","",INDEX(Course!$B$2:$B$19,MATCH($B993,Course!$A$2:$A$19,0)))</f>
        <v/>
      </c>
      <c r="N993" s="17" t="str">
        <f aca="false">IF($C993="","",IF($C993="H",0,IF($C993="G",INDEX(Baseline!$I$3:$I$102,MIN(MAX(ROUND($D993,0),1),100)),IF($C993="T",IF($M993=3,INDEX(Baseline!$B$3:$B$122,MATCH(MIN(MAX(ROUND(($D993)/5,0)*5,5),600),Baseline!$A$3:$A$122,0))-Inputs!$B$9,INDEX(Course!$N$2:$N$19,MATCH($B993,Course!$A$2:$A$19,0))),INDEX(Baseline!$B$3:$E$122,MATCH(MIN(MAX(ROUND(($D993)/5,0)*5,5),600),Baseline!$A$3:$A$122,0),MATCH($C993,Baseline!$B$2:$E$2,0))))))</f>
        <v/>
      </c>
      <c r="O993" s="17" t="str">
        <f aca="false">IF($C993="","",IF($E993="H",0,IF($E993="G",INDEX(Baseline!$I$3:$I$102,MIN(MAX(ROUND($F993,0),1),100)),IF($E993="T",IF($M993=3,INDEX(Baseline!$B$3:$B$122,MATCH(MIN(MAX(ROUND(($F993)/5,0)*5,5),600),Baseline!$A$3:$A$122,0))-Inputs!$B$9,INDEX(Course!$N$2:$N$19,MATCH($B993,Course!$A$2:$A$19,0))),INDEX(Baseline!$B$3:$E$122,MATCH(MIN(MAX(ROUND(($F993)/5,0)*5,5),600),Baseline!$A$3:$A$122,0),MATCH($E993,Baseline!$B$2:$E$2,0))))))</f>
        <v/>
      </c>
      <c r="P993" s="17" t="str">
        <f aca="false">IF($B993="","",INDEX(Course!$N$2:$N$19,MATCH($B993,Course!$A$2:$A$19,0)))</f>
        <v/>
      </c>
      <c r="Q993" s="17" t="str">
        <f aca="false">IF($B993="","",INDEX(Course!$P$2:$P$19,MATCH($B993,Course!$A$2:$A$19,0)))</f>
        <v/>
      </c>
      <c r="R993" s="17" t="str">
        <f aca="false">IF($C993="","",IF(OR($C993="G",$C993="H"),0,IF($C993="T",1,MIN(1,MAX(0,($N993-Inputs!$B$8)/MAX($P993-Inputs!$B$8,0.01))))))</f>
        <v/>
      </c>
      <c r="S993" s="17" t="str">
        <f aca="false">IF($C993="","",IF(OR($E993="G",$E993="H"),0,IF($E993="T",1,MIN(1,MAX(0,($O993-Inputs!$B$8)/MAX($P993-Inputs!$B$8,0.01))))))</f>
        <v/>
      </c>
    </row>
    <row r="994" customFormat="false" ht="15" hidden="false" customHeight="false" outlineLevel="0" collapsed="false">
      <c r="I994" s="7" t="str">
        <f aca="false">IF($C994="","",IF($C994="G","PUTT",IF(AND($C994="T",$M994&gt;3),"OTT",IF($D994&lt;=30,"ARG","APP"))))</f>
        <v/>
      </c>
      <c r="J994" s="17" t="str">
        <f aca="false">IF($C994="","",$N994+$Q994*$R994)</f>
        <v/>
      </c>
      <c r="K994" s="17" t="str">
        <f aca="false">IF($C994="","",$O994+$Q994*$S994)</f>
        <v/>
      </c>
      <c r="L994" s="17" t="str">
        <f aca="false">IF($C994="","",$J994-$K994-1-N($G994))</f>
        <v/>
      </c>
      <c r="M994" s="7" t="str">
        <f aca="false">IF($B994="","",INDEX(Course!$B$2:$B$19,MATCH($B994,Course!$A$2:$A$19,0)))</f>
        <v/>
      </c>
      <c r="N994" s="17" t="str">
        <f aca="false">IF($C994="","",IF($C994="H",0,IF($C994="G",INDEX(Baseline!$I$3:$I$102,MIN(MAX(ROUND($D994,0),1),100)),IF($C994="T",IF($M994=3,INDEX(Baseline!$B$3:$B$122,MATCH(MIN(MAX(ROUND(($D994)/5,0)*5,5),600),Baseline!$A$3:$A$122,0))-Inputs!$B$9,INDEX(Course!$N$2:$N$19,MATCH($B994,Course!$A$2:$A$19,0))),INDEX(Baseline!$B$3:$E$122,MATCH(MIN(MAX(ROUND(($D994)/5,0)*5,5),600),Baseline!$A$3:$A$122,0),MATCH($C994,Baseline!$B$2:$E$2,0))))))</f>
        <v/>
      </c>
      <c r="O994" s="17" t="str">
        <f aca="false">IF($C994="","",IF($E994="H",0,IF($E994="G",INDEX(Baseline!$I$3:$I$102,MIN(MAX(ROUND($F994,0),1),100)),IF($E994="T",IF($M994=3,INDEX(Baseline!$B$3:$B$122,MATCH(MIN(MAX(ROUND(($F994)/5,0)*5,5),600),Baseline!$A$3:$A$122,0))-Inputs!$B$9,INDEX(Course!$N$2:$N$19,MATCH($B994,Course!$A$2:$A$19,0))),INDEX(Baseline!$B$3:$E$122,MATCH(MIN(MAX(ROUND(($F994)/5,0)*5,5),600),Baseline!$A$3:$A$122,0),MATCH($E994,Baseline!$B$2:$E$2,0))))))</f>
        <v/>
      </c>
      <c r="P994" s="17" t="str">
        <f aca="false">IF($B994="","",INDEX(Course!$N$2:$N$19,MATCH($B994,Course!$A$2:$A$19,0)))</f>
        <v/>
      </c>
      <c r="Q994" s="17" t="str">
        <f aca="false">IF($B994="","",INDEX(Course!$P$2:$P$19,MATCH($B994,Course!$A$2:$A$19,0)))</f>
        <v/>
      </c>
      <c r="R994" s="17" t="str">
        <f aca="false">IF($C994="","",IF(OR($C994="G",$C994="H"),0,IF($C994="T",1,MIN(1,MAX(0,($N994-Inputs!$B$8)/MAX($P994-Inputs!$B$8,0.01))))))</f>
        <v/>
      </c>
      <c r="S994" s="17" t="str">
        <f aca="false">IF($C994="","",IF(OR($E994="G",$E994="H"),0,IF($E994="T",1,MIN(1,MAX(0,($O994-Inputs!$B$8)/MAX($P994-Inputs!$B$8,0.01))))))</f>
        <v/>
      </c>
    </row>
    <row r="995" customFormat="false" ht="15" hidden="false" customHeight="false" outlineLevel="0" collapsed="false">
      <c r="I995" s="7" t="str">
        <f aca="false">IF($C995="","",IF($C995="G","PUTT",IF(AND($C995="T",$M995&gt;3),"OTT",IF($D995&lt;=30,"ARG","APP"))))</f>
        <v/>
      </c>
      <c r="J995" s="17" t="str">
        <f aca="false">IF($C995="","",$N995+$Q995*$R995)</f>
        <v/>
      </c>
      <c r="K995" s="17" t="str">
        <f aca="false">IF($C995="","",$O995+$Q995*$S995)</f>
        <v/>
      </c>
      <c r="L995" s="17" t="str">
        <f aca="false">IF($C995="","",$J995-$K995-1-N($G995))</f>
        <v/>
      </c>
      <c r="M995" s="7" t="str">
        <f aca="false">IF($B995="","",INDEX(Course!$B$2:$B$19,MATCH($B995,Course!$A$2:$A$19,0)))</f>
        <v/>
      </c>
      <c r="N995" s="17" t="str">
        <f aca="false">IF($C995="","",IF($C995="H",0,IF($C995="G",INDEX(Baseline!$I$3:$I$102,MIN(MAX(ROUND($D995,0),1),100)),IF($C995="T",IF($M995=3,INDEX(Baseline!$B$3:$B$122,MATCH(MIN(MAX(ROUND(($D995)/5,0)*5,5),600),Baseline!$A$3:$A$122,0))-Inputs!$B$9,INDEX(Course!$N$2:$N$19,MATCH($B995,Course!$A$2:$A$19,0))),INDEX(Baseline!$B$3:$E$122,MATCH(MIN(MAX(ROUND(($D995)/5,0)*5,5),600),Baseline!$A$3:$A$122,0),MATCH($C995,Baseline!$B$2:$E$2,0))))))</f>
        <v/>
      </c>
      <c r="O995" s="17" t="str">
        <f aca="false">IF($C995="","",IF($E995="H",0,IF($E995="G",INDEX(Baseline!$I$3:$I$102,MIN(MAX(ROUND($F995,0),1),100)),IF($E995="T",IF($M995=3,INDEX(Baseline!$B$3:$B$122,MATCH(MIN(MAX(ROUND(($F995)/5,0)*5,5),600),Baseline!$A$3:$A$122,0))-Inputs!$B$9,INDEX(Course!$N$2:$N$19,MATCH($B995,Course!$A$2:$A$19,0))),INDEX(Baseline!$B$3:$E$122,MATCH(MIN(MAX(ROUND(($F995)/5,0)*5,5),600),Baseline!$A$3:$A$122,0),MATCH($E995,Baseline!$B$2:$E$2,0))))))</f>
        <v/>
      </c>
      <c r="P995" s="17" t="str">
        <f aca="false">IF($B995="","",INDEX(Course!$N$2:$N$19,MATCH($B995,Course!$A$2:$A$19,0)))</f>
        <v/>
      </c>
      <c r="Q995" s="17" t="str">
        <f aca="false">IF($B995="","",INDEX(Course!$P$2:$P$19,MATCH($B995,Course!$A$2:$A$19,0)))</f>
        <v/>
      </c>
      <c r="R995" s="17" t="str">
        <f aca="false">IF($C995="","",IF(OR($C995="G",$C995="H"),0,IF($C995="T",1,MIN(1,MAX(0,($N995-Inputs!$B$8)/MAX($P995-Inputs!$B$8,0.01))))))</f>
        <v/>
      </c>
      <c r="S995" s="17" t="str">
        <f aca="false">IF($C995="","",IF(OR($E995="G",$E995="H"),0,IF($E995="T",1,MIN(1,MAX(0,($O995-Inputs!$B$8)/MAX($P995-Inputs!$B$8,0.01))))))</f>
        <v/>
      </c>
    </row>
    <row r="996" customFormat="false" ht="15" hidden="false" customHeight="false" outlineLevel="0" collapsed="false">
      <c r="I996" s="7" t="str">
        <f aca="false">IF($C996="","",IF($C996="G","PUTT",IF(AND($C996="T",$M996&gt;3),"OTT",IF($D996&lt;=30,"ARG","APP"))))</f>
        <v/>
      </c>
      <c r="J996" s="17" t="str">
        <f aca="false">IF($C996="","",$N996+$Q996*$R996)</f>
        <v/>
      </c>
      <c r="K996" s="17" t="str">
        <f aca="false">IF($C996="","",$O996+$Q996*$S996)</f>
        <v/>
      </c>
      <c r="L996" s="17" t="str">
        <f aca="false">IF($C996="","",$J996-$K996-1-N($G996))</f>
        <v/>
      </c>
      <c r="M996" s="7" t="str">
        <f aca="false">IF($B996="","",INDEX(Course!$B$2:$B$19,MATCH($B996,Course!$A$2:$A$19,0)))</f>
        <v/>
      </c>
      <c r="N996" s="17" t="str">
        <f aca="false">IF($C996="","",IF($C996="H",0,IF($C996="G",INDEX(Baseline!$I$3:$I$102,MIN(MAX(ROUND($D996,0),1),100)),IF($C996="T",IF($M996=3,INDEX(Baseline!$B$3:$B$122,MATCH(MIN(MAX(ROUND(($D996)/5,0)*5,5),600),Baseline!$A$3:$A$122,0))-Inputs!$B$9,INDEX(Course!$N$2:$N$19,MATCH($B996,Course!$A$2:$A$19,0))),INDEX(Baseline!$B$3:$E$122,MATCH(MIN(MAX(ROUND(($D996)/5,0)*5,5),600),Baseline!$A$3:$A$122,0),MATCH($C996,Baseline!$B$2:$E$2,0))))))</f>
        <v/>
      </c>
      <c r="O996" s="17" t="str">
        <f aca="false">IF($C996="","",IF($E996="H",0,IF($E996="G",INDEX(Baseline!$I$3:$I$102,MIN(MAX(ROUND($F996,0),1),100)),IF($E996="T",IF($M996=3,INDEX(Baseline!$B$3:$B$122,MATCH(MIN(MAX(ROUND(($F996)/5,0)*5,5),600),Baseline!$A$3:$A$122,0))-Inputs!$B$9,INDEX(Course!$N$2:$N$19,MATCH($B996,Course!$A$2:$A$19,0))),INDEX(Baseline!$B$3:$E$122,MATCH(MIN(MAX(ROUND(($F996)/5,0)*5,5),600),Baseline!$A$3:$A$122,0),MATCH($E996,Baseline!$B$2:$E$2,0))))))</f>
        <v/>
      </c>
      <c r="P996" s="17" t="str">
        <f aca="false">IF($B996="","",INDEX(Course!$N$2:$N$19,MATCH($B996,Course!$A$2:$A$19,0)))</f>
        <v/>
      </c>
      <c r="Q996" s="17" t="str">
        <f aca="false">IF($B996="","",INDEX(Course!$P$2:$P$19,MATCH($B996,Course!$A$2:$A$19,0)))</f>
        <v/>
      </c>
      <c r="R996" s="17" t="str">
        <f aca="false">IF($C996="","",IF(OR($C996="G",$C996="H"),0,IF($C996="T",1,MIN(1,MAX(0,($N996-Inputs!$B$8)/MAX($P996-Inputs!$B$8,0.01))))))</f>
        <v/>
      </c>
      <c r="S996" s="17" t="str">
        <f aca="false">IF($C996="","",IF(OR($E996="G",$E996="H"),0,IF($E996="T",1,MIN(1,MAX(0,($O996-Inputs!$B$8)/MAX($P996-Inputs!$B$8,0.01))))))</f>
        <v/>
      </c>
    </row>
    <row r="997" customFormat="false" ht="15" hidden="false" customHeight="false" outlineLevel="0" collapsed="false">
      <c r="I997" s="7" t="str">
        <f aca="false">IF($C997="","",IF($C997="G","PUTT",IF(AND($C997="T",$M997&gt;3),"OTT",IF($D997&lt;=30,"ARG","APP"))))</f>
        <v/>
      </c>
      <c r="J997" s="17" t="str">
        <f aca="false">IF($C997="","",$N997+$Q997*$R997)</f>
        <v/>
      </c>
      <c r="K997" s="17" t="str">
        <f aca="false">IF($C997="","",$O997+$Q997*$S997)</f>
        <v/>
      </c>
      <c r="L997" s="17" t="str">
        <f aca="false">IF($C997="","",$J997-$K997-1-N($G997))</f>
        <v/>
      </c>
      <c r="M997" s="7" t="str">
        <f aca="false">IF($B997="","",INDEX(Course!$B$2:$B$19,MATCH($B997,Course!$A$2:$A$19,0)))</f>
        <v/>
      </c>
      <c r="N997" s="17" t="str">
        <f aca="false">IF($C997="","",IF($C997="H",0,IF($C997="G",INDEX(Baseline!$I$3:$I$102,MIN(MAX(ROUND($D997,0),1),100)),IF($C997="T",IF($M997=3,INDEX(Baseline!$B$3:$B$122,MATCH(MIN(MAX(ROUND(($D997)/5,0)*5,5),600),Baseline!$A$3:$A$122,0))-Inputs!$B$9,INDEX(Course!$N$2:$N$19,MATCH($B997,Course!$A$2:$A$19,0))),INDEX(Baseline!$B$3:$E$122,MATCH(MIN(MAX(ROUND(($D997)/5,0)*5,5),600),Baseline!$A$3:$A$122,0),MATCH($C997,Baseline!$B$2:$E$2,0))))))</f>
        <v/>
      </c>
      <c r="O997" s="17" t="str">
        <f aca="false">IF($C997="","",IF($E997="H",0,IF($E997="G",INDEX(Baseline!$I$3:$I$102,MIN(MAX(ROUND($F997,0),1),100)),IF($E997="T",IF($M997=3,INDEX(Baseline!$B$3:$B$122,MATCH(MIN(MAX(ROUND(($F997)/5,0)*5,5),600),Baseline!$A$3:$A$122,0))-Inputs!$B$9,INDEX(Course!$N$2:$N$19,MATCH($B997,Course!$A$2:$A$19,0))),INDEX(Baseline!$B$3:$E$122,MATCH(MIN(MAX(ROUND(($F997)/5,0)*5,5),600),Baseline!$A$3:$A$122,0),MATCH($E997,Baseline!$B$2:$E$2,0))))))</f>
        <v/>
      </c>
      <c r="P997" s="17" t="str">
        <f aca="false">IF($B997="","",INDEX(Course!$N$2:$N$19,MATCH($B997,Course!$A$2:$A$19,0)))</f>
        <v/>
      </c>
      <c r="Q997" s="17" t="str">
        <f aca="false">IF($B997="","",INDEX(Course!$P$2:$P$19,MATCH($B997,Course!$A$2:$A$19,0)))</f>
        <v/>
      </c>
      <c r="R997" s="17" t="str">
        <f aca="false">IF($C997="","",IF(OR($C997="G",$C997="H"),0,IF($C997="T",1,MIN(1,MAX(0,($N997-Inputs!$B$8)/MAX($P997-Inputs!$B$8,0.01))))))</f>
        <v/>
      </c>
      <c r="S997" s="17" t="str">
        <f aca="false">IF($C997="","",IF(OR($E997="G",$E997="H"),0,IF($E997="T",1,MIN(1,MAX(0,($O997-Inputs!$B$8)/MAX($P997-Inputs!$B$8,0.01))))))</f>
        <v/>
      </c>
    </row>
    <row r="998" customFormat="false" ht="15" hidden="false" customHeight="false" outlineLevel="0" collapsed="false">
      <c r="I998" s="7" t="str">
        <f aca="false">IF($C998="","",IF($C998="G","PUTT",IF(AND($C998="T",$M998&gt;3),"OTT",IF($D998&lt;=30,"ARG","APP"))))</f>
        <v/>
      </c>
      <c r="J998" s="17" t="str">
        <f aca="false">IF($C998="","",$N998+$Q998*$R998)</f>
        <v/>
      </c>
      <c r="K998" s="17" t="str">
        <f aca="false">IF($C998="","",$O998+$Q998*$S998)</f>
        <v/>
      </c>
      <c r="L998" s="17" t="str">
        <f aca="false">IF($C998="","",$J998-$K998-1-N($G998))</f>
        <v/>
      </c>
      <c r="M998" s="7" t="str">
        <f aca="false">IF($B998="","",INDEX(Course!$B$2:$B$19,MATCH($B998,Course!$A$2:$A$19,0)))</f>
        <v/>
      </c>
      <c r="N998" s="17" t="str">
        <f aca="false">IF($C998="","",IF($C998="H",0,IF($C998="G",INDEX(Baseline!$I$3:$I$102,MIN(MAX(ROUND($D998,0),1),100)),IF($C998="T",IF($M998=3,INDEX(Baseline!$B$3:$B$122,MATCH(MIN(MAX(ROUND(($D998)/5,0)*5,5),600),Baseline!$A$3:$A$122,0))-Inputs!$B$9,INDEX(Course!$N$2:$N$19,MATCH($B998,Course!$A$2:$A$19,0))),INDEX(Baseline!$B$3:$E$122,MATCH(MIN(MAX(ROUND(($D998)/5,0)*5,5),600),Baseline!$A$3:$A$122,0),MATCH($C998,Baseline!$B$2:$E$2,0))))))</f>
        <v/>
      </c>
      <c r="O998" s="17" t="str">
        <f aca="false">IF($C998="","",IF($E998="H",0,IF($E998="G",INDEX(Baseline!$I$3:$I$102,MIN(MAX(ROUND($F998,0),1),100)),IF($E998="T",IF($M998=3,INDEX(Baseline!$B$3:$B$122,MATCH(MIN(MAX(ROUND(($F998)/5,0)*5,5),600),Baseline!$A$3:$A$122,0))-Inputs!$B$9,INDEX(Course!$N$2:$N$19,MATCH($B998,Course!$A$2:$A$19,0))),INDEX(Baseline!$B$3:$E$122,MATCH(MIN(MAX(ROUND(($F998)/5,0)*5,5),600),Baseline!$A$3:$A$122,0),MATCH($E998,Baseline!$B$2:$E$2,0))))))</f>
        <v/>
      </c>
      <c r="P998" s="17" t="str">
        <f aca="false">IF($B998="","",INDEX(Course!$N$2:$N$19,MATCH($B998,Course!$A$2:$A$19,0)))</f>
        <v/>
      </c>
      <c r="Q998" s="17" t="str">
        <f aca="false">IF($B998="","",INDEX(Course!$P$2:$P$19,MATCH($B998,Course!$A$2:$A$19,0)))</f>
        <v/>
      </c>
      <c r="R998" s="17" t="str">
        <f aca="false">IF($C998="","",IF(OR($C998="G",$C998="H"),0,IF($C998="T",1,MIN(1,MAX(0,($N998-Inputs!$B$8)/MAX($P998-Inputs!$B$8,0.01))))))</f>
        <v/>
      </c>
      <c r="S998" s="17" t="str">
        <f aca="false">IF($C998="","",IF(OR($E998="G",$E998="H"),0,IF($E998="T",1,MIN(1,MAX(0,($O998-Inputs!$B$8)/MAX($P998-Inputs!$B$8,0.01))))))</f>
        <v/>
      </c>
    </row>
    <row r="999" customFormat="false" ht="15" hidden="false" customHeight="false" outlineLevel="0" collapsed="false">
      <c r="I999" s="7" t="str">
        <f aca="false">IF($C999="","",IF($C999="G","PUTT",IF(AND($C999="T",$M999&gt;3),"OTT",IF($D999&lt;=30,"ARG","APP"))))</f>
        <v/>
      </c>
      <c r="J999" s="17" t="str">
        <f aca="false">IF($C999="","",$N999+$Q999*$R999)</f>
        <v/>
      </c>
      <c r="K999" s="17" t="str">
        <f aca="false">IF($C999="","",$O999+$Q999*$S999)</f>
        <v/>
      </c>
      <c r="L999" s="17" t="str">
        <f aca="false">IF($C999="","",$J999-$K999-1-N($G999))</f>
        <v/>
      </c>
      <c r="M999" s="7" t="str">
        <f aca="false">IF($B999="","",INDEX(Course!$B$2:$B$19,MATCH($B999,Course!$A$2:$A$19,0)))</f>
        <v/>
      </c>
      <c r="N999" s="17" t="str">
        <f aca="false">IF($C999="","",IF($C999="H",0,IF($C999="G",INDEX(Baseline!$I$3:$I$102,MIN(MAX(ROUND($D999,0),1),100)),IF($C999="T",IF($M999=3,INDEX(Baseline!$B$3:$B$122,MATCH(MIN(MAX(ROUND(($D999)/5,0)*5,5),600),Baseline!$A$3:$A$122,0))-Inputs!$B$9,INDEX(Course!$N$2:$N$19,MATCH($B999,Course!$A$2:$A$19,0))),INDEX(Baseline!$B$3:$E$122,MATCH(MIN(MAX(ROUND(($D999)/5,0)*5,5),600),Baseline!$A$3:$A$122,0),MATCH($C999,Baseline!$B$2:$E$2,0))))))</f>
        <v/>
      </c>
      <c r="O999" s="17" t="str">
        <f aca="false">IF($C999="","",IF($E999="H",0,IF($E999="G",INDEX(Baseline!$I$3:$I$102,MIN(MAX(ROUND($F999,0),1),100)),IF($E999="T",IF($M999=3,INDEX(Baseline!$B$3:$B$122,MATCH(MIN(MAX(ROUND(($F999)/5,0)*5,5),600),Baseline!$A$3:$A$122,0))-Inputs!$B$9,INDEX(Course!$N$2:$N$19,MATCH($B999,Course!$A$2:$A$19,0))),INDEX(Baseline!$B$3:$E$122,MATCH(MIN(MAX(ROUND(($F999)/5,0)*5,5),600),Baseline!$A$3:$A$122,0),MATCH($E999,Baseline!$B$2:$E$2,0))))))</f>
        <v/>
      </c>
      <c r="P999" s="17" t="str">
        <f aca="false">IF($B999="","",INDEX(Course!$N$2:$N$19,MATCH($B999,Course!$A$2:$A$19,0)))</f>
        <v/>
      </c>
      <c r="Q999" s="17" t="str">
        <f aca="false">IF($B999="","",INDEX(Course!$P$2:$P$19,MATCH($B999,Course!$A$2:$A$19,0)))</f>
        <v/>
      </c>
      <c r="R999" s="17" t="str">
        <f aca="false">IF($C999="","",IF(OR($C999="G",$C999="H"),0,IF($C999="T",1,MIN(1,MAX(0,($N999-Inputs!$B$8)/MAX($P999-Inputs!$B$8,0.01))))))</f>
        <v/>
      </c>
      <c r="S999" s="17" t="str">
        <f aca="false">IF($C999="","",IF(OR($E999="G",$E999="H"),0,IF($E999="T",1,MIN(1,MAX(0,($O999-Inputs!$B$8)/MAX($P999-Inputs!$B$8,0.01))))))</f>
        <v/>
      </c>
    </row>
    <row r="1000" customFormat="false" ht="15" hidden="false" customHeight="false" outlineLevel="0" collapsed="false">
      <c r="I1000" s="7" t="str">
        <f aca="false">IF($C1000="","",IF($C1000="G","PUTT",IF(AND($C1000="T",$M1000&gt;3),"OTT",IF($D1000&lt;=30,"ARG","APP"))))</f>
        <v/>
      </c>
      <c r="J1000" s="17" t="str">
        <f aca="false">IF($C1000="","",$N1000+$Q1000*$R1000)</f>
        <v/>
      </c>
      <c r="K1000" s="17" t="str">
        <f aca="false">IF($C1000="","",$O1000+$Q1000*$S1000)</f>
        <v/>
      </c>
      <c r="L1000" s="17" t="str">
        <f aca="false">IF($C1000="","",$J1000-$K1000-1-N($G1000))</f>
        <v/>
      </c>
      <c r="M1000" s="7" t="str">
        <f aca="false">IF($B1000="","",INDEX(Course!$B$2:$B$19,MATCH($B1000,Course!$A$2:$A$19,0)))</f>
        <v/>
      </c>
      <c r="N1000" s="17" t="str">
        <f aca="false">IF($C1000="","",IF($C1000="H",0,IF($C1000="G",INDEX(Baseline!$I$3:$I$102,MIN(MAX(ROUND($D1000,0),1),100)),IF($C1000="T",IF($M1000=3,INDEX(Baseline!$B$3:$B$122,MATCH(MIN(MAX(ROUND(($D1000)/5,0)*5,5),600),Baseline!$A$3:$A$122,0))-Inputs!$B$9,INDEX(Course!$N$2:$N$19,MATCH($B1000,Course!$A$2:$A$19,0))),INDEX(Baseline!$B$3:$E$122,MATCH(MIN(MAX(ROUND(($D1000)/5,0)*5,5),600),Baseline!$A$3:$A$122,0),MATCH($C1000,Baseline!$B$2:$E$2,0))))))</f>
        <v/>
      </c>
      <c r="O1000" s="17" t="str">
        <f aca="false">IF($C1000="","",IF($E1000="H",0,IF($E1000="G",INDEX(Baseline!$I$3:$I$102,MIN(MAX(ROUND($F1000,0),1),100)),IF($E1000="T",IF($M1000=3,INDEX(Baseline!$B$3:$B$122,MATCH(MIN(MAX(ROUND(($F1000)/5,0)*5,5),600),Baseline!$A$3:$A$122,0))-Inputs!$B$9,INDEX(Course!$N$2:$N$19,MATCH($B1000,Course!$A$2:$A$19,0))),INDEX(Baseline!$B$3:$E$122,MATCH(MIN(MAX(ROUND(($F1000)/5,0)*5,5),600),Baseline!$A$3:$A$122,0),MATCH($E1000,Baseline!$B$2:$E$2,0))))))</f>
        <v/>
      </c>
      <c r="P1000" s="17" t="str">
        <f aca="false">IF($B1000="","",INDEX(Course!$N$2:$N$19,MATCH($B1000,Course!$A$2:$A$19,0)))</f>
        <v/>
      </c>
      <c r="Q1000" s="17" t="str">
        <f aca="false">IF($B1000="","",INDEX(Course!$P$2:$P$19,MATCH($B1000,Course!$A$2:$A$19,0)))</f>
        <v/>
      </c>
      <c r="R1000" s="17" t="str">
        <f aca="false">IF($C1000="","",IF(OR($C1000="G",$C1000="H"),0,IF($C1000="T",1,MIN(1,MAX(0,($N1000-Inputs!$B$8)/MAX($P1000-Inputs!$B$8,0.01))))))</f>
        <v/>
      </c>
      <c r="S1000" s="17" t="str">
        <f aca="false">IF($C1000="","",IF(OR($E1000="G",$E1000="H"),0,IF($E1000="T",1,MIN(1,MAX(0,($O1000-Inputs!$B$8)/MAX($P1000-Inputs!$B$8,0.01))))))</f>
        <v/>
      </c>
    </row>
    <row r="1001" customFormat="false" ht="15" hidden="false" customHeight="false" outlineLevel="0" collapsed="false">
      <c r="I1001" s="7" t="str">
        <f aca="false">IF($C1001="","",IF($C1001="G","PUTT",IF(AND($C1001="T",$M1001&gt;3),"OTT",IF($D1001&lt;=30,"ARG","APP"))))</f>
        <v/>
      </c>
      <c r="J1001" s="17" t="str">
        <f aca="false">IF($C1001="","",$N1001+$Q1001*$R1001)</f>
        <v/>
      </c>
      <c r="K1001" s="17" t="str">
        <f aca="false">IF($C1001="","",$O1001+$Q1001*$S1001)</f>
        <v/>
      </c>
      <c r="L1001" s="17" t="str">
        <f aca="false">IF($C1001="","",$J1001-$K1001-1-N($G1001))</f>
        <v/>
      </c>
      <c r="M1001" s="7" t="str">
        <f aca="false">IF($B1001="","",INDEX(Course!$B$2:$B$19,MATCH($B1001,Course!$A$2:$A$19,0)))</f>
        <v/>
      </c>
      <c r="N1001" s="17" t="str">
        <f aca="false">IF($C1001="","",IF($C1001="H",0,IF($C1001="G",INDEX(Baseline!$I$3:$I$102,MIN(MAX(ROUND($D1001,0),1),100)),IF($C1001="T",IF($M1001=3,INDEX(Baseline!$B$3:$B$122,MATCH(MIN(MAX(ROUND(($D1001)/5,0)*5,5),600),Baseline!$A$3:$A$122,0))-Inputs!$B$9,INDEX(Course!$N$2:$N$19,MATCH($B1001,Course!$A$2:$A$19,0))),INDEX(Baseline!$B$3:$E$122,MATCH(MIN(MAX(ROUND(($D1001)/5,0)*5,5),600),Baseline!$A$3:$A$122,0),MATCH($C1001,Baseline!$B$2:$E$2,0))))))</f>
        <v/>
      </c>
      <c r="O1001" s="17" t="str">
        <f aca="false">IF($C1001="","",IF($E1001="H",0,IF($E1001="G",INDEX(Baseline!$I$3:$I$102,MIN(MAX(ROUND($F1001,0),1),100)),IF($E1001="T",IF($M1001=3,INDEX(Baseline!$B$3:$B$122,MATCH(MIN(MAX(ROUND(($F1001)/5,0)*5,5),600),Baseline!$A$3:$A$122,0))-Inputs!$B$9,INDEX(Course!$N$2:$N$19,MATCH($B1001,Course!$A$2:$A$19,0))),INDEX(Baseline!$B$3:$E$122,MATCH(MIN(MAX(ROUND(($F1001)/5,0)*5,5),600),Baseline!$A$3:$A$122,0),MATCH($E1001,Baseline!$B$2:$E$2,0))))))</f>
        <v/>
      </c>
      <c r="P1001" s="17" t="str">
        <f aca="false">IF($B1001="","",INDEX(Course!$N$2:$N$19,MATCH($B1001,Course!$A$2:$A$19,0)))</f>
        <v/>
      </c>
      <c r="Q1001" s="17" t="str">
        <f aca="false">IF($B1001="","",INDEX(Course!$P$2:$P$19,MATCH($B1001,Course!$A$2:$A$19,0)))</f>
        <v/>
      </c>
      <c r="R1001" s="17" t="str">
        <f aca="false">IF($C1001="","",IF(OR($C1001="G",$C1001="H"),0,IF($C1001="T",1,MIN(1,MAX(0,($N1001-Inputs!$B$8)/MAX($P1001-Inputs!$B$8,0.01))))))</f>
        <v/>
      </c>
      <c r="S1001" s="17" t="str">
        <f aca="false">IF($C1001="","",IF(OR($E1001="G",$E1001="H"),0,IF($E1001="T",1,MIN(1,MAX(0,($O1001-Inputs!$B$8)/MAX($P1001-Inputs!$B$8,0.01))))))</f>
        <v/>
      </c>
    </row>
    <row r="1002" customFormat="false" ht="15" hidden="false" customHeight="false" outlineLevel="0" collapsed="false">
      <c r="I1002" s="7" t="str">
        <f aca="false">IF($C1002="","",IF($C1002="G","PUTT",IF(AND($C1002="T",$M1002&gt;3),"OTT",IF($D1002&lt;=30,"ARG","APP"))))</f>
        <v/>
      </c>
      <c r="J1002" s="17" t="str">
        <f aca="false">IF($C1002="","",$N1002+$Q1002*$R1002)</f>
        <v/>
      </c>
      <c r="K1002" s="17" t="str">
        <f aca="false">IF($C1002="","",$O1002+$Q1002*$S1002)</f>
        <v/>
      </c>
      <c r="L1002" s="17" t="str">
        <f aca="false">IF($C1002="","",$J1002-$K1002-1-N($G1002))</f>
        <v/>
      </c>
      <c r="M1002" s="7" t="str">
        <f aca="false">IF($B1002="","",INDEX(Course!$B$2:$B$19,MATCH($B1002,Course!$A$2:$A$19,0)))</f>
        <v/>
      </c>
      <c r="N1002" s="17" t="str">
        <f aca="false">IF($C1002="","",IF($C1002="H",0,IF($C1002="G",INDEX(Baseline!$I$3:$I$102,MIN(MAX(ROUND($D1002,0),1),100)),IF($C1002="T",IF($M1002=3,INDEX(Baseline!$B$3:$B$122,MATCH(MIN(MAX(ROUND(($D1002)/5,0)*5,5),600),Baseline!$A$3:$A$122,0))-Inputs!$B$9,INDEX(Course!$N$2:$N$19,MATCH($B1002,Course!$A$2:$A$19,0))),INDEX(Baseline!$B$3:$E$122,MATCH(MIN(MAX(ROUND(($D1002)/5,0)*5,5),600),Baseline!$A$3:$A$122,0),MATCH($C1002,Baseline!$B$2:$E$2,0))))))</f>
        <v/>
      </c>
      <c r="O1002" s="17" t="str">
        <f aca="false">IF($C1002="","",IF($E1002="H",0,IF($E1002="G",INDEX(Baseline!$I$3:$I$102,MIN(MAX(ROUND($F1002,0),1),100)),IF($E1002="T",IF($M1002=3,INDEX(Baseline!$B$3:$B$122,MATCH(MIN(MAX(ROUND(($F1002)/5,0)*5,5),600),Baseline!$A$3:$A$122,0))-Inputs!$B$9,INDEX(Course!$N$2:$N$19,MATCH($B1002,Course!$A$2:$A$19,0))),INDEX(Baseline!$B$3:$E$122,MATCH(MIN(MAX(ROUND(($F1002)/5,0)*5,5),600),Baseline!$A$3:$A$122,0),MATCH($E1002,Baseline!$B$2:$E$2,0))))))</f>
        <v/>
      </c>
      <c r="P1002" s="17" t="str">
        <f aca="false">IF($B1002="","",INDEX(Course!$N$2:$N$19,MATCH($B1002,Course!$A$2:$A$19,0)))</f>
        <v/>
      </c>
      <c r="Q1002" s="17" t="str">
        <f aca="false">IF($B1002="","",INDEX(Course!$P$2:$P$19,MATCH($B1002,Course!$A$2:$A$19,0)))</f>
        <v/>
      </c>
      <c r="R1002" s="17" t="str">
        <f aca="false">IF($C1002="","",IF(OR($C1002="G",$C1002="H"),0,IF($C1002="T",1,MIN(1,MAX(0,($N1002-Inputs!$B$8)/MAX($P1002-Inputs!$B$8,0.01))))))</f>
        <v/>
      </c>
      <c r="S1002" s="17" t="str">
        <f aca="false">IF($C1002="","",IF(OR($E1002="G",$E1002="H"),0,IF($E1002="T",1,MIN(1,MAX(0,($O1002-Inputs!$B$8)/MAX($P1002-Inputs!$B$8,0.01))))))</f>
        <v/>
      </c>
    </row>
    <row r="1003" customFormat="false" ht="15" hidden="false" customHeight="false" outlineLevel="0" collapsed="false">
      <c r="I1003" s="7" t="str">
        <f aca="false">IF($C1003="","",IF($C1003="G","PUTT",IF(AND($C1003="T",$M1003&gt;3),"OTT",IF($D1003&lt;=30,"ARG","APP"))))</f>
        <v/>
      </c>
      <c r="J1003" s="17" t="str">
        <f aca="false">IF($C1003="","",$N1003+$Q1003*$R1003)</f>
        <v/>
      </c>
      <c r="K1003" s="17" t="str">
        <f aca="false">IF($C1003="","",$O1003+$Q1003*$S1003)</f>
        <v/>
      </c>
      <c r="L1003" s="17" t="str">
        <f aca="false">IF($C1003="","",$J1003-$K1003-1-N($G1003))</f>
        <v/>
      </c>
      <c r="M1003" s="7" t="str">
        <f aca="false">IF($B1003="","",INDEX(Course!$B$2:$B$19,MATCH($B1003,Course!$A$2:$A$19,0)))</f>
        <v/>
      </c>
      <c r="N1003" s="17" t="str">
        <f aca="false">IF($C1003="","",IF($C1003="H",0,IF($C1003="G",INDEX(Baseline!$I$3:$I$102,MIN(MAX(ROUND($D1003,0),1),100)),IF($C1003="T",IF($M1003=3,INDEX(Baseline!$B$3:$B$122,MATCH(MIN(MAX(ROUND(($D1003)/5,0)*5,5),600),Baseline!$A$3:$A$122,0))-Inputs!$B$9,INDEX(Course!$N$2:$N$19,MATCH($B1003,Course!$A$2:$A$19,0))),INDEX(Baseline!$B$3:$E$122,MATCH(MIN(MAX(ROUND(($D1003)/5,0)*5,5),600),Baseline!$A$3:$A$122,0),MATCH($C1003,Baseline!$B$2:$E$2,0))))))</f>
        <v/>
      </c>
      <c r="O1003" s="17" t="str">
        <f aca="false">IF($C1003="","",IF($E1003="H",0,IF($E1003="G",INDEX(Baseline!$I$3:$I$102,MIN(MAX(ROUND($F1003,0),1),100)),IF($E1003="T",IF($M1003=3,INDEX(Baseline!$B$3:$B$122,MATCH(MIN(MAX(ROUND(($F1003)/5,0)*5,5),600),Baseline!$A$3:$A$122,0))-Inputs!$B$9,INDEX(Course!$N$2:$N$19,MATCH($B1003,Course!$A$2:$A$19,0))),INDEX(Baseline!$B$3:$E$122,MATCH(MIN(MAX(ROUND(($F1003)/5,0)*5,5),600),Baseline!$A$3:$A$122,0),MATCH($E1003,Baseline!$B$2:$E$2,0))))))</f>
        <v/>
      </c>
      <c r="P1003" s="17" t="str">
        <f aca="false">IF($B1003="","",INDEX(Course!$N$2:$N$19,MATCH($B1003,Course!$A$2:$A$19,0)))</f>
        <v/>
      </c>
      <c r="Q1003" s="17" t="str">
        <f aca="false">IF($B1003="","",INDEX(Course!$P$2:$P$19,MATCH($B1003,Course!$A$2:$A$19,0)))</f>
        <v/>
      </c>
      <c r="R1003" s="17" t="str">
        <f aca="false">IF($C1003="","",IF(OR($C1003="G",$C1003="H"),0,IF($C1003="T",1,MIN(1,MAX(0,($N1003-Inputs!$B$8)/MAX($P1003-Inputs!$B$8,0.01))))))</f>
        <v/>
      </c>
      <c r="S1003" s="17" t="str">
        <f aca="false">IF($C1003="","",IF(OR($E1003="G",$E1003="H"),0,IF($E1003="T",1,MIN(1,MAX(0,($O1003-Inputs!$B$8)/MAX($P1003-Inputs!$B$8,0.01))))))</f>
        <v/>
      </c>
    </row>
    <row r="1004" customFormat="false" ht="15" hidden="false" customHeight="false" outlineLevel="0" collapsed="false">
      <c r="I1004" s="7" t="str">
        <f aca="false">IF($C1004="","",IF($C1004="G","PUTT",IF(AND($C1004="T",$M1004&gt;3),"OTT",IF($D1004&lt;=30,"ARG","APP"))))</f>
        <v/>
      </c>
      <c r="J1004" s="17" t="str">
        <f aca="false">IF($C1004="","",$N1004+$Q1004*$R1004)</f>
        <v/>
      </c>
      <c r="K1004" s="17" t="str">
        <f aca="false">IF($C1004="","",$O1004+$Q1004*$S1004)</f>
        <v/>
      </c>
      <c r="L1004" s="17" t="str">
        <f aca="false">IF($C1004="","",$J1004-$K1004-1-N($G1004))</f>
        <v/>
      </c>
      <c r="M1004" s="7" t="str">
        <f aca="false">IF($B1004="","",INDEX(Course!$B$2:$B$19,MATCH($B1004,Course!$A$2:$A$19,0)))</f>
        <v/>
      </c>
      <c r="N1004" s="17" t="str">
        <f aca="false">IF($C1004="","",IF($C1004="H",0,IF($C1004="G",INDEX(Baseline!$I$3:$I$102,MIN(MAX(ROUND($D1004,0),1),100)),IF($C1004="T",IF($M1004=3,INDEX(Baseline!$B$3:$B$122,MATCH(MIN(MAX(ROUND(($D1004)/5,0)*5,5),600),Baseline!$A$3:$A$122,0))-Inputs!$B$9,INDEX(Course!$N$2:$N$19,MATCH($B1004,Course!$A$2:$A$19,0))),INDEX(Baseline!$B$3:$E$122,MATCH(MIN(MAX(ROUND(($D1004)/5,0)*5,5),600),Baseline!$A$3:$A$122,0),MATCH($C1004,Baseline!$B$2:$E$2,0))))))</f>
        <v/>
      </c>
      <c r="O1004" s="17" t="str">
        <f aca="false">IF($C1004="","",IF($E1004="H",0,IF($E1004="G",INDEX(Baseline!$I$3:$I$102,MIN(MAX(ROUND($F1004,0),1),100)),IF($E1004="T",IF($M1004=3,INDEX(Baseline!$B$3:$B$122,MATCH(MIN(MAX(ROUND(($F1004)/5,0)*5,5),600),Baseline!$A$3:$A$122,0))-Inputs!$B$9,INDEX(Course!$N$2:$N$19,MATCH($B1004,Course!$A$2:$A$19,0))),INDEX(Baseline!$B$3:$E$122,MATCH(MIN(MAX(ROUND(($F1004)/5,0)*5,5),600),Baseline!$A$3:$A$122,0),MATCH($E1004,Baseline!$B$2:$E$2,0))))))</f>
        <v/>
      </c>
      <c r="P1004" s="17" t="str">
        <f aca="false">IF($B1004="","",INDEX(Course!$N$2:$N$19,MATCH($B1004,Course!$A$2:$A$19,0)))</f>
        <v/>
      </c>
      <c r="Q1004" s="17" t="str">
        <f aca="false">IF($B1004="","",INDEX(Course!$P$2:$P$19,MATCH($B1004,Course!$A$2:$A$19,0)))</f>
        <v/>
      </c>
      <c r="R1004" s="17" t="str">
        <f aca="false">IF($C1004="","",IF(OR($C1004="G",$C1004="H"),0,IF($C1004="T",1,MIN(1,MAX(0,($N1004-Inputs!$B$8)/MAX($P1004-Inputs!$B$8,0.01))))))</f>
        <v/>
      </c>
      <c r="S1004" s="17" t="str">
        <f aca="false">IF($C1004="","",IF(OR($E1004="G",$E1004="H"),0,IF($E1004="T",1,MIN(1,MAX(0,($O1004-Inputs!$B$8)/MAX($P1004-Inputs!$B$8,0.01))))))</f>
        <v/>
      </c>
    </row>
    <row r="1005" customFormat="false" ht="15" hidden="false" customHeight="false" outlineLevel="0" collapsed="false">
      <c r="I1005" s="7" t="str">
        <f aca="false">IF($C1005="","",IF($C1005="G","PUTT",IF(AND($C1005="T",$M1005&gt;3),"OTT",IF($D1005&lt;=30,"ARG","APP"))))</f>
        <v/>
      </c>
      <c r="J1005" s="17" t="str">
        <f aca="false">IF($C1005="","",$N1005+$Q1005*$R1005)</f>
        <v/>
      </c>
      <c r="K1005" s="17" t="str">
        <f aca="false">IF($C1005="","",$O1005+$Q1005*$S1005)</f>
        <v/>
      </c>
      <c r="L1005" s="17" t="str">
        <f aca="false">IF($C1005="","",$J1005-$K1005-1-N($G1005))</f>
        <v/>
      </c>
      <c r="M1005" s="7" t="str">
        <f aca="false">IF($B1005="","",INDEX(Course!$B$2:$B$19,MATCH($B1005,Course!$A$2:$A$19,0)))</f>
        <v/>
      </c>
      <c r="N1005" s="17" t="str">
        <f aca="false">IF($C1005="","",IF($C1005="H",0,IF($C1005="G",INDEX(Baseline!$I$3:$I$102,MIN(MAX(ROUND($D1005,0),1),100)),IF($C1005="T",IF($M1005=3,INDEX(Baseline!$B$3:$B$122,MATCH(MIN(MAX(ROUND(($D1005)/5,0)*5,5),600),Baseline!$A$3:$A$122,0))-Inputs!$B$9,INDEX(Course!$N$2:$N$19,MATCH($B1005,Course!$A$2:$A$19,0))),INDEX(Baseline!$B$3:$E$122,MATCH(MIN(MAX(ROUND(($D1005)/5,0)*5,5),600),Baseline!$A$3:$A$122,0),MATCH($C1005,Baseline!$B$2:$E$2,0))))))</f>
        <v/>
      </c>
      <c r="O1005" s="17" t="str">
        <f aca="false">IF($C1005="","",IF($E1005="H",0,IF($E1005="G",INDEX(Baseline!$I$3:$I$102,MIN(MAX(ROUND($F1005,0),1),100)),IF($E1005="T",IF($M1005=3,INDEX(Baseline!$B$3:$B$122,MATCH(MIN(MAX(ROUND(($F1005)/5,0)*5,5),600),Baseline!$A$3:$A$122,0))-Inputs!$B$9,INDEX(Course!$N$2:$N$19,MATCH($B1005,Course!$A$2:$A$19,0))),INDEX(Baseline!$B$3:$E$122,MATCH(MIN(MAX(ROUND(($F1005)/5,0)*5,5),600),Baseline!$A$3:$A$122,0),MATCH($E1005,Baseline!$B$2:$E$2,0))))))</f>
        <v/>
      </c>
      <c r="P1005" s="17" t="str">
        <f aca="false">IF($B1005="","",INDEX(Course!$N$2:$N$19,MATCH($B1005,Course!$A$2:$A$19,0)))</f>
        <v/>
      </c>
      <c r="Q1005" s="17" t="str">
        <f aca="false">IF($B1005="","",INDEX(Course!$P$2:$P$19,MATCH($B1005,Course!$A$2:$A$19,0)))</f>
        <v/>
      </c>
      <c r="R1005" s="17" t="str">
        <f aca="false">IF($C1005="","",IF(OR($C1005="G",$C1005="H"),0,IF($C1005="T",1,MIN(1,MAX(0,($N1005-Inputs!$B$8)/MAX($P1005-Inputs!$B$8,0.01))))))</f>
        <v/>
      </c>
      <c r="S1005" s="17" t="str">
        <f aca="false">IF($C1005="","",IF(OR($E1005="G",$E1005="H"),0,IF($E1005="T",1,MIN(1,MAX(0,($O1005-Inputs!$B$8)/MAX($P1005-Inputs!$B$8,0.01))))))</f>
        <v/>
      </c>
    </row>
    <row r="1006" customFormat="false" ht="15" hidden="false" customHeight="false" outlineLevel="0" collapsed="false">
      <c r="I1006" s="7" t="str">
        <f aca="false">IF($C1006="","",IF($C1006="G","PUTT",IF(AND($C1006="T",$M1006&gt;3),"OTT",IF($D1006&lt;=30,"ARG","APP"))))</f>
        <v/>
      </c>
      <c r="J1006" s="17" t="str">
        <f aca="false">IF($C1006="","",$N1006+$Q1006*$R1006)</f>
        <v/>
      </c>
      <c r="K1006" s="17" t="str">
        <f aca="false">IF($C1006="","",$O1006+$Q1006*$S1006)</f>
        <v/>
      </c>
      <c r="L1006" s="17" t="str">
        <f aca="false">IF($C1006="","",$J1006-$K1006-1-N($G1006))</f>
        <v/>
      </c>
      <c r="M1006" s="7" t="str">
        <f aca="false">IF($B1006="","",INDEX(Course!$B$2:$B$19,MATCH($B1006,Course!$A$2:$A$19,0)))</f>
        <v/>
      </c>
      <c r="N1006" s="17" t="str">
        <f aca="false">IF($C1006="","",IF($C1006="H",0,IF($C1006="G",INDEX(Baseline!$I$3:$I$102,MIN(MAX(ROUND($D1006,0),1),100)),IF($C1006="T",IF($M1006=3,INDEX(Baseline!$B$3:$B$122,MATCH(MIN(MAX(ROUND(($D1006)/5,0)*5,5),600),Baseline!$A$3:$A$122,0))-Inputs!$B$9,INDEX(Course!$N$2:$N$19,MATCH($B1006,Course!$A$2:$A$19,0))),INDEX(Baseline!$B$3:$E$122,MATCH(MIN(MAX(ROUND(($D1006)/5,0)*5,5),600),Baseline!$A$3:$A$122,0),MATCH($C1006,Baseline!$B$2:$E$2,0))))))</f>
        <v/>
      </c>
      <c r="O1006" s="17" t="str">
        <f aca="false">IF($C1006="","",IF($E1006="H",0,IF($E1006="G",INDEX(Baseline!$I$3:$I$102,MIN(MAX(ROUND($F1006,0),1),100)),IF($E1006="T",IF($M1006=3,INDEX(Baseline!$B$3:$B$122,MATCH(MIN(MAX(ROUND(($F1006)/5,0)*5,5),600),Baseline!$A$3:$A$122,0))-Inputs!$B$9,INDEX(Course!$N$2:$N$19,MATCH($B1006,Course!$A$2:$A$19,0))),INDEX(Baseline!$B$3:$E$122,MATCH(MIN(MAX(ROUND(($F1006)/5,0)*5,5),600),Baseline!$A$3:$A$122,0),MATCH($E1006,Baseline!$B$2:$E$2,0))))))</f>
        <v/>
      </c>
      <c r="P1006" s="17" t="str">
        <f aca="false">IF($B1006="","",INDEX(Course!$N$2:$N$19,MATCH($B1006,Course!$A$2:$A$19,0)))</f>
        <v/>
      </c>
      <c r="Q1006" s="17" t="str">
        <f aca="false">IF($B1006="","",INDEX(Course!$P$2:$P$19,MATCH($B1006,Course!$A$2:$A$19,0)))</f>
        <v/>
      </c>
      <c r="R1006" s="17" t="str">
        <f aca="false">IF($C1006="","",IF(OR($C1006="G",$C1006="H"),0,IF($C1006="T",1,MIN(1,MAX(0,($N1006-Inputs!$B$8)/MAX($P1006-Inputs!$B$8,0.01))))))</f>
        <v/>
      </c>
      <c r="S1006" s="17" t="str">
        <f aca="false">IF($C1006="","",IF(OR($E1006="G",$E1006="H"),0,IF($E1006="T",1,MIN(1,MAX(0,($O1006-Inputs!$B$8)/MAX($P1006-Inputs!$B$8,0.01))))))</f>
        <v/>
      </c>
    </row>
    <row r="1007" customFormat="false" ht="15" hidden="false" customHeight="false" outlineLevel="0" collapsed="false">
      <c r="I1007" s="7" t="str">
        <f aca="false">IF($C1007="","",IF($C1007="G","PUTT",IF(AND($C1007="T",$M1007&gt;3),"OTT",IF($D1007&lt;=30,"ARG","APP"))))</f>
        <v/>
      </c>
      <c r="J1007" s="17" t="str">
        <f aca="false">IF($C1007="","",$N1007+$Q1007*$R1007)</f>
        <v/>
      </c>
      <c r="K1007" s="17" t="str">
        <f aca="false">IF($C1007="","",$O1007+$Q1007*$S1007)</f>
        <v/>
      </c>
      <c r="L1007" s="17" t="str">
        <f aca="false">IF($C1007="","",$J1007-$K1007-1-N($G1007))</f>
        <v/>
      </c>
      <c r="M1007" s="7" t="str">
        <f aca="false">IF($B1007="","",INDEX(Course!$B$2:$B$19,MATCH($B1007,Course!$A$2:$A$19,0)))</f>
        <v/>
      </c>
      <c r="N1007" s="17" t="str">
        <f aca="false">IF($C1007="","",IF($C1007="H",0,IF($C1007="G",INDEX(Baseline!$I$3:$I$102,MIN(MAX(ROUND($D1007,0),1),100)),IF($C1007="T",IF($M1007=3,INDEX(Baseline!$B$3:$B$122,MATCH(MIN(MAX(ROUND(($D1007)/5,0)*5,5),600),Baseline!$A$3:$A$122,0))-Inputs!$B$9,INDEX(Course!$N$2:$N$19,MATCH($B1007,Course!$A$2:$A$19,0))),INDEX(Baseline!$B$3:$E$122,MATCH(MIN(MAX(ROUND(($D1007)/5,0)*5,5),600),Baseline!$A$3:$A$122,0),MATCH($C1007,Baseline!$B$2:$E$2,0))))))</f>
        <v/>
      </c>
      <c r="O1007" s="17" t="str">
        <f aca="false">IF($C1007="","",IF($E1007="H",0,IF($E1007="G",INDEX(Baseline!$I$3:$I$102,MIN(MAX(ROUND($F1007,0),1),100)),IF($E1007="T",IF($M1007=3,INDEX(Baseline!$B$3:$B$122,MATCH(MIN(MAX(ROUND(($F1007)/5,0)*5,5),600),Baseline!$A$3:$A$122,0))-Inputs!$B$9,INDEX(Course!$N$2:$N$19,MATCH($B1007,Course!$A$2:$A$19,0))),INDEX(Baseline!$B$3:$E$122,MATCH(MIN(MAX(ROUND(($F1007)/5,0)*5,5),600),Baseline!$A$3:$A$122,0),MATCH($E1007,Baseline!$B$2:$E$2,0))))))</f>
        <v/>
      </c>
      <c r="P1007" s="17" t="str">
        <f aca="false">IF($B1007="","",INDEX(Course!$N$2:$N$19,MATCH($B1007,Course!$A$2:$A$19,0)))</f>
        <v/>
      </c>
      <c r="Q1007" s="17" t="str">
        <f aca="false">IF($B1007="","",INDEX(Course!$P$2:$P$19,MATCH($B1007,Course!$A$2:$A$19,0)))</f>
        <v/>
      </c>
      <c r="R1007" s="17" t="str">
        <f aca="false">IF($C1007="","",IF(OR($C1007="G",$C1007="H"),0,IF($C1007="T",1,MIN(1,MAX(0,($N1007-Inputs!$B$8)/MAX($P1007-Inputs!$B$8,0.01))))))</f>
        <v/>
      </c>
      <c r="S1007" s="17" t="str">
        <f aca="false">IF($C1007="","",IF(OR($E1007="G",$E1007="H"),0,IF($E1007="T",1,MIN(1,MAX(0,($O1007-Inputs!$B$8)/MAX($P1007-Inputs!$B$8,0.01))))))</f>
        <v/>
      </c>
    </row>
    <row r="1008" customFormat="false" ht="15" hidden="false" customHeight="false" outlineLevel="0" collapsed="false">
      <c r="I1008" s="7" t="str">
        <f aca="false">IF($C1008="","",IF($C1008="G","PUTT",IF(AND($C1008="T",$M1008&gt;3),"OTT",IF($D1008&lt;=30,"ARG","APP"))))</f>
        <v/>
      </c>
      <c r="J1008" s="17" t="str">
        <f aca="false">IF($C1008="","",$N1008+$Q1008*$R1008)</f>
        <v/>
      </c>
      <c r="K1008" s="17" t="str">
        <f aca="false">IF($C1008="","",$O1008+$Q1008*$S1008)</f>
        <v/>
      </c>
      <c r="L1008" s="17" t="str">
        <f aca="false">IF($C1008="","",$J1008-$K1008-1-N($G1008))</f>
        <v/>
      </c>
      <c r="M1008" s="7" t="str">
        <f aca="false">IF($B1008="","",INDEX(Course!$B$2:$B$19,MATCH($B1008,Course!$A$2:$A$19,0)))</f>
        <v/>
      </c>
      <c r="N1008" s="17" t="str">
        <f aca="false">IF($C1008="","",IF($C1008="H",0,IF($C1008="G",INDEX(Baseline!$I$3:$I$102,MIN(MAX(ROUND($D1008,0),1),100)),IF($C1008="T",IF($M1008=3,INDEX(Baseline!$B$3:$B$122,MATCH(MIN(MAX(ROUND(($D1008)/5,0)*5,5),600),Baseline!$A$3:$A$122,0))-Inputs!$B$9,INDEX(Course!$N$2:$N$19,MATCH($B1008,Course!$A$2:$A$19,0))),INDEX(Baseline!$B$3:$E$122,MATCH(MIN(MAX(ROUND(($D1008)/5,0)*5,5),600),Baseline!$A$3:$A$122,0),MATCH($C1008,Baseline!$B$2:$E$2,0))))))</f>
        <v/>
      </c>
      <c r="O1008" s="17" t="str">
        <f aca="false">IF($C1008="","",IF($E1008="H",0,IF($E1008="G",INDEX(Baseline!$I$3:$I$102,MIN(MAX(ROUND($F1008,0),1),100)),IF($E1008="T",IF($M1008=3,INDEX(Baseline!$B$3:$B$122,MATCH(MIN(MAX(ROUND(($F1008)/5,0)*5,5),600),Baseline!$A$3:$A$122,0))-Inputs!$B$9,INDEX(Course!$N$2:$N$19,MATCH($B1008,Course!$A$2:$A$19,0))),INDEX(Baseline!$B$3:$E$122,MATCH(MIN(MAX(ROUND(($F1008)/5,0)*5,5),600),Baseline!$A$3:$A$122,0),MATCH($E1008,Baseline!$B$2:$E$2,0))))))</f>
        <v/>
      </c>
      <c r="P1008" s="17" t="str">
        <f aca="false">IF($B1008="","",INDEX(Course!$N$2:$N$19,MATCH($B1008,Course!$A$2:$A$19,0)))</f>
        <v/>
      </c>
      <c r="Q1008" s="17" t="str">
        <f aca="false">IF($B1008="","",INDEX(Course!$P$2:$P$19,MATCH($B1008,Course!$A$2:$A$19,0)))</f>
        <v/>
      </c>
      <c r="R1008" s="17" t="str">
        <f aca="false">IF($C1008="","",IF(OR($C1008="G",$C1008="H"),0,IF($C1008="T",1,MIN(1,MAX(0,($N1008-Inputs!$B$8)/MAX($P1008-Inputs!$B$8,0.01))))))</f>
        <v/>
      </c>
      <c r="S1008" s="17" t="str">
        <f aca="false">IF($C1008="","",IF(OR($E1008="G",$E1008="H"),0,IF($E1008="T",1,MIN(1,MAX(0,($O1008-Inputs!$B$8)/MAX($P1008-Inputs!$B$8,0.01))))))</f>
        <v/>
      </c>
    </row>
    <row r="1009" customFormat="false" ht="15" hidden="false" customHeight="false" outlineLevel="0" collapsed="false">
      <c r="I1009" s="7" t="str">
        <f aca="false">IF($C1009="","",IF($C1009="G","PUTT",IF(AND($C1009="T",$M1009&gt;3),"OTT",IF($D1009&lt;=30,"ARG","APP"))))</f>
        <v/>
      </c>
      <c r="J1009" s="17" t="str">
        <f aca="false">IF($C1009="","",$N1009+$Q1009*$R1009)</f>
        <v/>
      </c>
      <c r="K1009" s="17" t="str">
        <f aca="false">IF($C1009="","",$O1009+$Q1009*$S1009)</f>
        <v/>
      </c>
      <c r="L1009" s="17" t="str">
        <f aca="false">IF($C1009="","",$J1009-$K1009-1-N($G1009))</f>
        <v/>
      </c>
      <c r="M1009" s="7" t="str">
        <f aca="false">IF($B1009="","",INDEX(Course!$B$2:$B$19,MATCH($B1009,Course!$A$2:$A$19,0)))</f>
        <v/>
      </c>
      <c r="N1009" s="17" t="str">
        <f aca="false">IF($C1009="","",IF($C1009="H",0,IF($C1009="G",INDEX(Baseline!$I$3:$I$102,MIN(MAX(ROUND($D1009,0),1),100)),IF($C1009="T",IF($M1009=3,INDEX(Baseline!$B$3:$B$122,MATCH(MIN(MAX(ROUND(($D1009)/5,0)*5,5),600),Baseline!$A$3:$A$122,0))-Inputs!$B$9,INDEX(Course!$N$2:$N$19,MATCH($B1009,Course!$A$2:$A$19,0))),INDEX(Baseline!$B$3:$E$122,MATCH(MIN(MAX(ROUND(($D1009)/5,0)*5,5),600),Baseline!$A$3:$A$122,0),MATCH($C1009,Baseline!$B$2:$E$2,0))))))</f>
        <v/>
      </c>
      <c r="O1009" s="17" t="str">
        <f aca="false">IF($C1009="","",IF($E1009="H",0,IF($E1009="G",INDEX(Baseline!$I$3:$I$102,MIN(MAX(ROUND($F1009,0),1),100)),IF($E1009="T",IF($M1009=3,INDEX(Baseline!$B$3:$B$122,MATCH(MIN(MAX(ROUND(($F1009)/5,0)*5,5),600),Baseline!$A$3:$A$122,0))-Inputs!$B$9,INDEX(Course!$N$2:$N$19,MATCH($B1009,Course!$A$2:$A$19,0))),INDEX(Baseline!$B$3:$E$122,MATCH(MIN(MAX(ROUND(($F1009)/5,0)*5,5),600),Baseline!$A$3:$A$122,0),MATCH($E1009,Baseline!$B$2:$E$2,0))))))</f>
        <v/>
      </c>
      <c r="P1009" s="17" t="str">
        <f aca="false">IF($B1009="","",INDEX(Course!$N$2:$N$19,MATCH($B1009,Course!$A$2:$A$19,0)))</f>
        <v/>
      </c>
      <c r="Q1009" s="17" t="str">
        <f aca="false">IF($B1009="","",INDEX(Course!$P$2:$P$19,MATCH($B1009,Course!$A$2:$A$19,0)))</f>
        <v/>
      </c>
      <c r="R1009" s="17" t="str">
        <f aca="false">IF($C1009="","",IF(OR($C1009="G",$C1009="H"),0,IF($C1009="T",1,MIN(1,MAX(0,($N1009-Inputs!$B$8)/MAX($P1009-Inputs!$B$8,0.01))))))</f>
        <v/>
      </c>
      <c r="S1009" s="17" t="str">
        <f aca="false">IF($C1009="","",IF(OR($E1009="G",$E1009="H"),0,IF($E1009="T",1,MIN(1,MAX(0,($O1009-Inputs!$B$8)/MAX($P1009-Inputs!$B$8,0.01))))))</f>
        <v/>
      </c>
    </row>
    <row r="1010" customFormat="false" ht="15" hidden="false" customHeight="false" outlineLevel="0" collapsed="false">
      <c r="I1010" s="7" t="str">
        <f aca="false">IF($C1010="","",IF($C1010="G","PUTT",IF(AND($C1010="T",$M1010&gt;3),"OTT",IF($D1010&lt;=30,"ARG","APP"))))</f>
        <v/>
      </c>
      <c r="J1010" s="17" t="str">
        <f aca="false">IF($C1010="","",$N1010+$Q1010*$R1010)</f>
        <v/>
      </c>
      <c r="K1010" s="17" t="str">
        <f aca="false">IF($C1010="","",$O1010+$Q1010*$S1010)</f>
        <v/>
      </c>
      <c r="L1010" s="17" t="str">
        <f aca="false">IF($C1010="","",$J1010-$K1010-1-N($G1010))</f>
        <v/>
      </c>
      <c r="M1010" s="7" t="str">
        <f aca="false">IF($B1010="","",INDEX(Course!$B$2:$B$19,MATCH($B1010,Course!$A$2:$A$19,0)))</f>
        <v/>
      </c>
      <c r="N1010" s="17" t="str">
        <f aca="false">IF($C1010="","",IF($C1010="H",0,IF($C1010="G",INDEX(Baseline!$I$3:$I$102,MIN(MAX(ROUND($D1010,0),1),100)),IF($C1010="T",IF($M1010=3,INDEX(Baseline!$B$3:$B$122,MATCH(MIN(MAX(ROUND(($D1010)/5,0)*5,5),600),Baseline!$A$3:$A$122,0))-Inputs!$B$9,INDEX(Course!$N$2:$N$19,MATCH($B1010,Course!$A$2:$A$19,0))),INDEX(Baseline!$B$3:$E$122,MATCH(MIN(MAX(ROUND(($D1010)/5,0)*5,5),600),Baseline!$A$3:$A$122,0),MATCH($C1010,Baseline!$B$2:$E$2,0))))))</f>
        <v/>
      </c>
      <c r="O1010" s="17" t="str">
        <f aca="false">IF($C1010="","",IF($E1010="H",0,IF($E1010="G",INDEX(Baseline!$I$3:$I$102,MIN(MAX(ROUND($F1010,0),1),100)),IF($E1010="T",IF($M1010=3,INDEX(Baseline!$B$3:$B$122,MATCH(MIN(MAX(ROUND(($F1010)/5,0)*5,5),600),Baseline!$A$3:$A$122,0))-Inputs!$B$9,INDEX(Course!$N$2:$N$19,MATCH($B1010,Course!$A$2:$A$19,0))),INDEX(Baseline!$B$3:$E$122,MATCH(MIN(MAX(ROUND(($F1010)/5,0)*5,5),600),Baseline!$A$3:$A$122,0),MATCH($E1010,Baseline!$B$2:$E$2,0))))))</f>
        <v/>
      </c>
      <c r="P1010" s="17" t="str">
        <f aca="false">IF($B1010="","",INDEX(Course!$N$2:$N$19,MATCH($B1010,Course!$A$2:$A$19,0)))</f>
        <v/>
      </c>
      <c r="Q1010" s="17" t="str">
        <f aca="false">IF($B1010="","",INDEX(Course!$P$2:$P$19,MATCH($B1010,Course!$A$2:$A$19,0)))</f>
        <v/>
      </c>
      <c r="R1010" s="17" t="str">
        <f aca="false">IF($C1010="","",IF(OR($C1010="G",$C1010="H"),0,IF($C1010="T",1,MIN(1,MAX(0,($N1010-Inputs!$B$8)/MAX($P1010-Inputs!$B$8,0.01))))))</f>
        <v/>
      </c>
      <c r="S1010" s="17" t="str">
        <f aca="false">IF($C1010="","",IF(OR($E1010="G",$E1010="H"),0,IF($E1010="T",1,MIN(1,MAX(0,($O1010-Inputs!$B$8)/MAX($P1010-Inputs!$B$8,0.01))))))</f>
        <v/>
      </c>
    </row>
    <row r="1011" customFormat="false" ht="15" hidden="false" customHeight="false" outlineLevel="0" collapsed="false">
      <c r="I1011" s="7" t="str">
        <f aca="false">IF($C1011="","",IF($C1011="G","PUTT",IF(AND($C1011="T",$M1011&gt;3),"OTT",IF($D1011&lt;=30,"ARG","APP"))))</f>
        <v/>
      </c>
      <c r="J1011" s="17" t="str">
        <f aca="false">IF($C1011="","",$N1011+$Q1011*$R1011)</f>
        <v/>
      </c>
      <c r="K1011" s="17" t="str">
        <f aca="false">IF($C1011="","",$O1011+$Q1011*$S1011)</f>
        <v/>
      </c>
      <c r="L1011" s="17" t="str">
        <f aca="false">IF($C1011="","",$J1011-$K1011-1-N($G1011))</f>
        <v/>
      </c>
      <c r="M1011" s="7" t="str">
        <f aca="false">IF($B1011="","",INDEX(Course!$B$2:$B$19,MATCH($B1011,Course!$A$2:$A$19,0)))</f>
        <v/>
      </c>
      <c r="N1011" s="17" t="str">
        <f aca="false">IF($C1011="","",IF($C1011="H",0,IF($C1011="G",INDEX(Baseline!$I$3:$I$102,MIN(MAX(ROUND($D1011,0),1),100)),IF($C1011="T",IF($M1011=3,INDEX(Baseline!$B$3:$B$122,MATCH(MIN(MAX(ROUND(($D1011)/5,0)*5,5),600),Baseline!$A$3:$A$122,0))-Inputs!$B$9,INDEX(Course!$N$2:$N$19,MATCH($B1011,Course!$A$2:$A$19,0))),INDEX(Baseline!$B$3:$E$122,MATCH(MIN(MAX(ROUND(($D1011)/5,0)*5,5),600),Baseline!$A$3:$A$122,0),MATCH($C1011,Baseline!$B$2:$E$2,0))))))</f>
        <v/>
      </c>
      <c r="O1011" s="17" t="str">
        <f aca="false">IF($C1011="","",IF($E1011="H",0,IF($E1011="G",INDEX(Baseline!$I$3:$I$102,MIN(MAX(ROUND($F1011,0),1),100)),IF($E1011="T",IF($M1011=3,INDEX(Baseline!$B$3:$B$122,MATCH(MIN(MAX(ROUND(($F1011)/5,0)*5,5),600),Baseline!$A$3:$A$122,0))-Inputs!$B$9,INDEX(Course!$N$2:$N$19,MATCH($B1011,Course!$A$2:$A$19,0))),INDEX(Baseline!$B$3:$E$122,MATCH(MIN(MAX(ROUND(($F1011)/5,0)*5,5),600),Baseline!$A$3:$A$122,0),MATCH($E1011,Baseline!$B$2:$E$2,0))))))</f>
        <v/>
      </c>
      <c r="P1011" s="17" t="str">
        <f aca="false">IF($B1011="","",INDEX(Course!$N$2:$N$19,MATCH($B1011,Course!$A$2:$A$19,0)))</f>
        <v/>
      </c>
      <c r="Q1011" s="17" t="str">
        <f aca="false">IF($B1011="","",INDEX(Course!$P$2:$P$19,MATCH($B1011,Course!$A$2:$A$19,0)))</f>
        <v/>
      </c>
      <c r="R1011" s="17" t="str">
        <f aca="false">IF($C1011="","",IF(OR($C1011="G",$C1011="H"),0,IF($C1011="T",1,MIN(1,MAX(0,($N1011-Inputs!$B$8)/MAX($P1011-Inputs!$B$8,0.01))))))</f>
        <v/>
      </c>
      <c r="S1011" s="17" t="str">
        <f aca="false">IF($C1011="","",IF(OR($E1011="G",$E1011="H"),0,IF($E1011="T",1,MIN(1,MAX(0,($O1011-Inputs!$B$8)/MAX($P1011-Inputs!$B$8,0.01))))))</f>
        <v/>
      </c>
    </row>
    <row r="1012" customFormat="false" ht="15" hidden="false" customHeight="false" outlineLevel="0" collapsed="false">
      <c r="I1012" s="7" t="str">
        <f aca="false">IF($C1012="","",IF($C1012="G","PUTT",IF(AND($C1012="T",$M1012&gt;3),"OTT",IF($D1012&lt;=30,"ARG","APP"))))</f>
        <v/>
      </c>
      <c r="J1012" s="17" t="str">
        <f aca="false">IF($C1012="","",$N1012+$Q1012*$R1012)</f>
        <v/>
      </c>
      <c r="K1012" s="17" t="str">
        <f aca="false">IF($C1012="","",$O1012+$Q1012*$S1012)</f>
        <v/>
      </c>
      <c r="L1012" s="17" t="str">
        <f aca="false">IF($C1012="","",$J1012-$K1012-1-N($G1012))</f>
        <v/>
      </c>
      <c r="M1012" s="7" t="str">
        <f aca="false">IF($B1012="","",INDEX(Course!$B$2:$B$19,MATCH($B1012,Course!$A$2:$A$19,0)))</f>
        <v/>
      </c>
      <c r="N1012" s="17" t="str">
        <f aca="false">IF($C1012="","",IF($C1012="H",0,IF($C1012="G",INDEX(Baseline!$I$3:$I$102,MIN(MAX(ROUND($D1012,0),1),100)),IF($C1012="T",IF($M1012=3,INDEX(Baseline!$B$3:$B$122,MATCH(MIN(MAX(ROUND(($D1012)/5,0)*5,5),600),Baseline!$A$3:$A$122,0))-Inputs!$B$9,INDEX(Course!$N$2:$N$19,MATCH($B1012,Course!$A$2:$A$19,0))),INDEX(Baseline!$B$3:$E$122,MATCH(MIN(MAX(ROUND(($D1012)/5,0)*5,5),600),Baseline!$A$3:$A$122,0),MATCH($C1012,Baseline!$B$2:$E$2,0))))))</f>
        <v/>
      </c>
      <c r="O1012" s="17" t="str">
        <f aca="false">IF($C1012="","",IF($E1012="H",0,IF($E1012="G",INDEX(Baseline!$I$3:$I$102,MIN(MAX(ROUND($F1012,0),1),100)),IF($E1012="T",IF($M1012=3,INDEX(Baseline!$B$3:$B$122,MATCH(MIN(MAX(ROUND(($F1012)/5,0)*5,5),600),Baseline!$A$3:$A$122,0))-Inputs!$B$9,INDEX(Course!$N$2:$N$19,MATCH($B1012,Course!$A$2:$A$19,0))),INDEX(Baseline!$B$3:$E$122,MATCH(MIN(MAX(ROUND(($F1012)/5,0)*5,5),600),Baseline!$A$3:$A$122,0),MATCH($E1012,Baseline!$B$2:$E$2,0))))))</f>
        <v/>
      </c>
      <c r="P1012" s="17" t="str">
        <f aca="false">IF($B1012="","",INDEX(Course!$N$2:$N$19,MATCH($B1012,Course!$A$2:$A$19,0)))</f>
        <v/>
      </c>
      <c r="Q1012" s="17" t="str">
        <f aca="false">IF($B1012="","",INDEX(Course!$P$2:$P$19,MATCH($B1012,Course!$A$2:$A$19,0)))</f>
        <v/>
      </c>
      <c r="R1012" s="17" t="str">
        <f aca="false">IF($C1012="","",IF(OR($C1012="G",$C1012="H"),0,IF($C1012="T",1,MIN(1,MAX(0,($N1012-Inputs!$B$8)/MAX($P1012-Inputs!$B$8,0.01))))))</f>
        <v/>
      </c>
      <c r="S1012" s="17" t="str">
        <f aca="false">IF($C1012="","",IF(OR($E1012="G",$E1012="H"),0,IF($E1012="T",1,MIN(1,MAX(0,($O1012-Inputs!$B$8)/MAX($P1012-Inputs!$B$8,0.01))))))</f>
        <v/>
      </c>
    </row>
    <row r="1013" customFormat="false" ht="15" hidden="false" customHeight="false" outlineLevel="0" collapsed="false">
      <c r="I1013" s="7" t="str">
        <f aca="false">IF($C1013="","",IF($C1013="G","PUTT",IF(AND($C1013="T",$M1013&gt;3),"OTT",IF($D1013&lt;=30,"ARG","APP"))))</f>
        <v/>
      </c>
      <c r="J1013" s="17" t="str">
        <f aca="false">IF($C1013="","",$N1013+$Q1013*$R1013)</f>
        <v/>
      </c>
      <c r="K1013" s="17" t="str">
        <f aca="false">IF($C1013="","",$O1013+$Q1013*$S1013)</f>
        <v/>
      </c>
      <c r="L1013" s="17" t="str">
        <f aca="false">IF($C1013="","",$J1013-$K1013-1-N($G1013))</f>
        <v/>
      </c>
      <c r="M1013" s="7" t="str">
        <f aca="false">IF($B1013="","",INDEX(Course!$B$2:$B$19,MATCH($B1013,Course!$A$2:$A$19,0)))</f>
        <v/>
      </c>
      <c r="N1013" s="17" t="str">
        <f aca="false">IF($C1013="","",IF($C1013="H",0,IF($C1013="G",INDEX(Baseline!$I$3:$I$102,MIN(MAX(ROUND($D1013,0),1),100)),IF($C1013="T",IF($M1013=3,INDEX(Baseline!$B$3:$B$122,MATCH(MIN(MAX(ROUND(($D1013)/5,0)*5,5),600),Baseline!$A$3:$A$122,0))-Inputs!$B$9,INDEX(Course!$N$2:$N$19,MATCH($B1013,Course!$A$2:$A$19,0))),INDEX(Baseline!$B$3:$E$122,MATCH(MIN(MAX(ROUND(($D1013)/5,0)*5,5),600),Baseline!$A$3:$A$122,0),MATCH($C1013,Baseline!$B$2:$E$2,0))))))</f>
        <v/>
      </c>
      <c r="O1013" s="17" t="str">
        <f aca="false">IF($C1013="","",IF($E1013="H",0,IF($E1013="G",INDEX(Baseline!$I$3:$I$102,MIN(MAX(ROUND($F1013,0),1),100)),IF($E1013="T",IF($M1013=3,INDEX(Baseline!$B$3:$B$122,MATCH(MIN(MAX(ROUND(($F1013)/5,0)*5,5),600),Baseline!$A$3:$A$122,0))-Inputs!$B$9,INDEX(Course!$N$2:$N$19,MATCH($B1013,Course!$A$2:$A$19,0))),INDEX(Baseline!$B$3:$E$122,MATCH(MIN(MAX(ROUND(($F1013)/5,0)*5,5),600),Baseline!$A$3:$A$122,0),MATCH($E1013,Baseline!$B$2:$E$2,0))))))</f>
        <v/>
      </c>
      <c r="P1013" s="17" t="str">
        <f aca="false">IF($B1013="","",INDEX(Course!$N$2:$N$19,MATCH($B1013,Course!$A$2:$A$19,0)))</f>
        <v/>
      </c>
      <c r="Q1013" s="17" t="str">
        <f aca="false">IF($B1013="","",INDEX(Course!$P$2:$P$19,MATCH($B1013,Course!$A$2:$A$19,0)))</f>
        <v/>
      </c>
      <c r="R1013" s="17" t="str">
        <f aca="false">IF($C1013="","",IF(OR($C1013="G",$C1013="H"),0,IF($C1013="T",1,MIN(1,MAX(0,($N1013-Inputs!$B$8)/MAX($P1013-Inputs!$B$8,0.01))))))</f>
        <v/>
      </c>
      <c r="S1013" s="17" t="str">
        <f aca="false">IF($C1013="","",IF(OR($E1013="G",$E1013="H"),0,IF($E1013="T",1,MIN(1,MAX(0,($O1013-Inputs!$B$8)/MAX($P1013-Inputs!$B$8,0.01))))))</f>
        <v/>
      </c>
    </row>
    <row r="1014" customFormat="false" ht="15" hidden="false" customHeight="false" outlineLevel="0" collapsed="false">
      <c r="I1014" s="7" t="str">
        <f aca="false">IF($C1014="","",IF($C1014="G","PUTT",IF(AND($C1014="T",$M1014&gt;3),"OTT",IF($D1014&lt;=30,"ARG","APP"))))</f>
        <v/>
      </c>
      <c r="J1014" s="17" t="str">
        <f aca="false">IF($C1014="","",$N1014+$Q1014*$R1014)</f>
        <v/>
      </c>
      <c r="K1014" s="17" t="str">
        <f aca="false">IF($C1014="","",$O1014+$Q1014*$S1014)</f>
        <v/>
      </c>
      <c r="L1014" s="17" t="str">
        <f aca="false">IF($C1014="","",$J1014-$K1014-1-N($G1014))</f>
        <v/>
      </c>
      <c r="M1014" s="7" t="str">
        <f aca="false">IF($B1014="","",INDEX(Course!$B$2:$B$19,MATCH($B1014,Course!$A$2:$A$19,0)))</f>
        <v/>
      </c>
      <c r="N1014" s="17" t="str">
        <f aca="false">IF($C1014="","",IF($C1014="H",0,IF($C1014="G",INDEX(Baseline!$I$3:$I$102,MIN(MAX(ROUND($D1014,0),1),100)),IF($C1014="T",IF($M1014=3,INDEX(Baseline!$B$3:$B$122,MATCH(MIN(MAX(ROUND(($D1014)/5,0)*5,5),600),Baseline!$A$3:$A$122,0))-Inputs!$B$9,INDEX(Course!$N$2:$N$19,MATCH($B1014,Course!$A$2:$A$19,0))),INDEX(Baseline!$B$3:$E$122,MATCH(MIN(MAX(ROUND(($D1014)/5,0)*5,5),600),Baseline!$A$3:$A$122,0),MATCH($C1014,Baseline!$B$2:$E$2,0))))))</f>
        <v/>
      </c>
      <c r="O1014" s="17" t="str">
        <f aca="false">IF($C1014="","",IF($E1014="H",0,IF($E1014="G",INDEX(Baseline!$I$3:$I$102,MIN(MAX(ROUND($F1014,0),1),100)),IF($E1014="T",IF($M1014=3,INDEX(Baseline!$B$3:$B$122,MATCH(MIN(MAX(ROUND(($F1014)/5,0)*5,5),600),Baseline!$A$3:$A$122,0))-Inputs!$B$9,INDEX(Course!$N$2:$N$19,MATCH($B1014,Course!$A$2:$A$19,0))),INDEX(Baseline!$B$3:$E$122,MATCH(MIN(MAX(ROUND(($F1014)/5,0)*5,5),600),Baseline!$A$3:$A$122,0),MATCH($E1014,Baseline!$B$2:$E$2,0))))))</f>
        <v/>
      </c>
      <c r="P1014" s="17" t="str">
        <f aca="false">IF($B1014="","",INDEX(Course!$N$2:$N$19,MATCH($B1014,Course!$A$2:$A$19,0)))</f>
        <v/>
      </c>
      <c r="Q1014" s="17" t="str">
        <f aca="false">IF($B1014="","",INDEX(Course!$P$2:$P$19,MATCH($B1014,Course!$A$2:$A$19,0)))</f>
        <v/>
      </c>
      <c r="R1014" s="17" t="str">
        <f aca="false">IF($C1014="","",IF(OR($C1014="G",$C1014="H"),0,IF($C1014="T",1,MIN(1,MAX(0,($N1014-Inputs!$B$8)/MAX($P1014-Inputs!$B$8,0.01))))))</f>
        <v/>
      </c>
      <c r="S1014" s="17" t="str">
        <f aca="false">IF($C1014="","",IF(OR($E1014="G",$E1014="H"),0,IF($E1014="T",1,MIN(1,MAX(0,($O1014-Inputs!$B$8)/MAX($P1014-Inputs!$B$8,0.01))))))</f>
        <v/>
      </c>
    </row>
    <row r="1015" customFormat="false" ht="15" hidden="false" customHeight="false" outlineLevel="0" collapsed="false">
      <c r="I1015" s="7" t="str">
        <f aca="false">IF($C1015="","",IF($C1015="G","PUTT",IF(AND($C1015="T",$M1015&gt;3),"OTT",IF($D1015&lt;=30,"ARG","APP"))))</f>
        <v/>
      </c>
      <c r="J1015" s="17" t="str">
        <f aca="false">IF($C1015="","",$N1015+$Q1015*$R1015)</f>
        <v/>
      </c>
      <c r="K1015" s="17" t="str">
        <f aca="false">IF($C1015="","",$O1015+$Q1015*$S1015)</f>
        <v/>
      </c>
      <c r="L1015" s="17" t="str">
        <f aca="false">IF($C1015="","",$J1015-$K1015-1-N($G1015))</f>
        <v/>
      </c>
      <c r="M1015" s="7" t="str">
        <f aca="false">IF($B1015="","",INDEX(Course!$B$2:$B$19,MATCH($B1015,Course!$A$2:$A$19,0)))</f>
        <v/>
      </c>
      <c r="N1015" s="17" t="str">
        <f aca="false">IF($C1015="","",IF($C1015="H",0,IF($C1015="G",INDEX(Baseline!$I$3:$I$102,MIN(MAX(ROUND($D1015,0),1),100)),IF($C1015="T",IF($M1015=3,INDEX(Baseline!$B$3:$B$122,MATCH(MIN(MAX(ROUND(($D1015)/5,0)*5,5),600),Baseline!$A$3:$A$122,0))-Inputs!$B$9,INDEX(Course!$N$2:$N$19,MATCH($B1015,Course!$A$2:$A$19,0))),INDEX(Baseline!$B$3:$E$122,MATCH(MIN(MAX(ROUND(($D1015)/5,0)*5,5),600),Baseline!$A$3:$A$122,0),MATCH($C1015,Baseline!$B$2:$E$2,0))))))</f>
        <v/>
      </c>
      <c r="O1015" s="17" t="str">
        <f aca="false">IF($C1015="","",IF($E1015="H",0,IF($E1015="G",INDEX(Baseline!$I$3:$I$102,MIN(MAX(ROUND($F1015,0),1),100)),IF($E1015="T",IF($M1015=3,INDEX(Baseline!$B$3:$B$122,MATCH(MIN(MAX(ROUND(($F1015)/5,0)*5,5),600),Baseline!$A$3:$A$122,0))-Inputs!$B$9,INDEX(Course!$N$2:$N$19,MATCH($B1015,Course!$A$2:$A$19,0))),INDEX(Baseline!$B$3:$E$122,MATCH(MIN(MAX(ROUND(($F1015)/5,0)*5,5),600),Baseline!$A$3:$A$122,0),MATCH($E1015,Baseline!$B$2:$E$2,0))))))</f>
        <v/>
      </c>
      <c r="P1015" s="17" t="str">
        <f aca="false">IF($B1015="","",INDEX(Course!$N$2:$N$19,MATCH($B1015,Course!$A$2:$A$19,0)))</f>
        <v/>
      </c>
      <c r="Q1015" s="17" t="str">
        <f aca="false">IF($B1015="","",INDEX(Course!$P$2:$P$19,MATCH($B1015,Course!$A$2:$A$19,0)))</f>
        <v/>
      </c>
      <c r="R1015" s="17" t="str">
        <f aca="false">IF($C1015="","",IF(OR($C1015="G",$C1015="H"),0,IF($C1015="T",1,MIN(1,MAX(0,($N1015-Inputs!$B$8)/MAX($P1015-Inputs!$B$8,0.01))))))</f>
        <v/>
      </c>
      <c r="S1015" s="17" t="str">
        <f aca="false">IF($C1015="","",IF(OR($E1015="G",$E1015="H"),0,IF($E1015="T",1,MIN(1,MAX(0,($O1015-Inputs!$B$8)/MAX($P1015-Inputs!$B$8,0.01))))))</f>
        <v/>
      </c>
    </row>
    <row r="1016" customFormat="false" ht="15" hidden="false" customHeight="false" outlineLevel="0" collapsed="false">
      <c r="I1016" s="7" t="str">
        <f aca="false">IF($C1016="","",IF($C1016="G","PUTT",IF(AND($C1016="T",$M1016&gt;3),"OTT",IF($D1016&lt;=30,"ARG","APP"))))</f>
        <v/>
      </c>
      <c r="J1016" s="17" t="str">
        <f aca="false">IF($C1016="","",$N1016+$Q1016*$R1016)</f>
        <v/>
      </c>
      <c r="K1016" s="17" t="str">
        <f aca="false">IF($C1016="","",$O1016+$Q1016*$S1016)</f>
        <v/>
      </c>
      <c r="L1016" s="17" t="str">
        <f aca="false">IF($C1016="","",$J1016-$K1016-1-N($G1016))</f>
        <v/>
      </c>
      <c r="M1016" s="7" t="str">
        <f aca="false">IF($B1016="","",INDEX(Course!$B$2:$B$19,MATCH($B1016,Course!$A$2:$A$19,0)))</f>
        <v/>
      </c>
      <c r="N1016" s="17" t="str">
        <f aca="false">IF($C1016="","",IF($C1016="H",0,IF($C1016="G",INDEX(Baseline!$I$3:$I$102,MIN(MAX(ROUND($D1016,0),1),100)),IF($C1016="T",IF($M1016=3,INDEX(Baseline!$B$3:$B$122,MATCH(MIN(MAX(ROUND(($D1016)/5,0)*5,5),600),Baseline!$A$3:$A$122,0))-Inputs!$B$9,INDEX(Course!$N$2:$N$19,MATCH($B1016,Course!$A$2:$A$19,0))),INDEX(Baseline!$B$3:$E$122,MATCH(MIN(MAX(ROUND(($D1016)/5,0)*5,5),600),Baseline!$A$3:$A$122,0),MATCH($C1016,Baseline!$B$2:$E$2,0))))))</f>
        <v/>
      </c>
      <c r="O1016" s="17" t="str">
        <f aca="false">IF($C1016="","",IF($E1016="H",0,IF($E1016="G",INDEX(Baseline!$I$3:$I$102,MIN(MAX(ROUND($F1016,0),1),100)),IF($E1016="T",IF($M1016=3,INDEX(Baseline!$B$3:$B$122,MATCH(MIN(MAX(ROUND(($F1016)/5,0)*5,5),600),Baseline!$A$3:$A$122,0))-Inputs!$B$9,INDEX(Course!$N$2:$N$19,MATCH($B1016,Course!$A$2:$A$19,0))),INDEX(Baseline!$B$3:$E$122,MATCH(MIN(MAX(ROUND(($F1016)/5,0)*5,5),600),Baseline!$A$3:$A$122,0),MATCH($E1016,Baseline!$B$2:$E$2,0))))))</f>
        <v/>
      </c>
      <c r="P1016" s="17" t="str">
        <f aca="false">IF($B1016="","",INDEX(Course!$N$2:$N$19,MATCH($B1016,Course!$A$2:$A$19,0)))</f>
        <v/>
      </c>
      <c r="Q1016" s="17" t="str">
        <f aca="false">IF($B1016="","",INDEX(Course!$P$2:$P$19,MATCH($B1016,Course!$A$2:$A$19,0)))</f>
        <v/>
      </c>
      <c r="R1016" s="17" t="str">
        <f aca="false">IF($C1016="","",IF(OR($C1016="G",$C1016="H"),0,IF($C1016="T",1,MIN(1,MAX(0,($N1016-Inputs!$B$8)/MAX($P1016-Inputs!$B$8,0.01))))))</f>
        <v/>
      </c>
      <c r="S1016" s="17" t="str">
        <f aca="false">IF($C1016="","",IF(OR($E1016="G",$E1016="H"),0,IF($E1016="T",1,MIN(1,MAX(0,($O1016-Inputs!$B$8)/MAX($P1016-Inputs!$B$8,0.01))))))</f>
        <v/>
      </c>
    </row>
    <row r="1017" customFormat="false" ht="15" hidden="false" customHeight="false" outlineLevel="0" collapsed="false">
      <c r="I1017" s="7" t="str">
        <f aca="false">IF($C1017="","",IF($C1017="G","PUTT",IF(AND($C1017="T",$M1017&gt;3),"OTT",IF($D1017&lt;=30,"ARG","APP"))))</f>
        <v/>
      </c>
      <c r="J1017" s="17" t="str">
        <f aca="false">IF($C1017="","",$N1017+$Q1017*$R1017)</f>
        <v/>
      </c>
      <c r="K1017" s="17" t="str">
        <f aca="false">IF($C1017="","",$O1017+$Q1017*$S1017)</f>
        <v/>
      </c>
      <c r="L1017" s="17" t="str">
        <f aca="false">IF($C1017="","",$J1017-$K1017-1-N($G1017))</f>
        <v/>
      </c>
      <c r="M1017" s="7" t="str">
        <f aca="false">IF($B1017="","",INDEX(Course!$B$2:$B$19,MATCH($B1017,Course!$A$2:$A$19,0)))</f>
        <v/>
      </c>
      <c r="N1017" s="17" t="str">
        <f aca="false">IF($C1017="","",IF($C1017="H",0,IF($C1017="G",INDEX(Baseline!$I$3:$I$102,MIN(MAX(ROUND($D1017,0),1),100)),IF($C1017="T",IF($M1017=3,INDEX(Baseline!$B$3:$B$122,MATCH(MIN(MAX(ROUND(($D1017)/5,0)*5,5),600),Baseline!$A$3:$A$122,0))-Inputs!$B$9,INDEX(Course!$N$2:$N$19,MATCH($B1017,Course!$A$2:$A$19,0))),INDEX(Baseline!$B$3:$E$122,MATCH(MIN(MAX(ROUND(($D1017)/5,0)*5,5),600),Baseline!$A$3:$A$122,0),MATCH($C1017,Baseline!$B$2:$E$2,0))))))</f>
        <v/>
      </c>
      <c r="O1017" s="17" t="str">
        <f aca="false">IF($C1017="","",IF($E1017="H",0,IF($E1017="G",INDEX(Baseline!$I$3:$I$102,MIN(MAX(ROUND($F1017,0),1),100)),IF($E1017="T",IF($M1017=3,INDEX(Baseline!$B$3:$B$122,MATCH(MIN(MAX(ROUND(($F1017)/5,0)*5,5),600),Baseline!$A$3:$A$122,0))-Inputs!$B$9,INDEX(Course!$N$2:$N$19,MATCH($B1017,Course!$A$2:$A$19,0))),INDEX(Baseline!$B$3:$E$122,MATCH(MIN(MAX(ROUND(($F1017)/5,0)*5,5),600),Baseline!$A$3:$A$122,0),MATCH($E1017,Baseline!$B$2:$E$2,0))))))</f>
        <v/>
      </c>
      <c r="P1017" s="17" t="str">
        <f aca="false">IF($B1017="","",INDEX(Course!$N$2:$N$19,MATCH($B1017,Course!$A$2:$A$19,0)))</f>
        <v/>
      </c>
      <c r="Q1017" s="17" t="str">
        <f aca="false">IF($B1017="","",INDEX(Course!$P$2:$P$19,MATCH($B1017,Course!$A$2:$A$19,0)))</f>
        <v/>
      </c>
      <c r="R1017" s="17" t="str">
        <f aca="false">IF($C1017="","",IF(OR($C1017="G",$C1017="H"),0,IF($C1017="T",1,MIN(1,MAX(0,($N1017-Inputs!$B$8)/MAX($P1017-Inputs!$B$8,0.01))))))</f>
        <v/>
      </c>
      <c r="S1017" s="17" t="str">
        <f aca="false">IF($C1017="","",IF(OR($E1017="G",$E1017="H"),0,IF($E1017="T",1,MIN(1,MAX(0,($O1017-Inputs!$B$8)/MAX($P1017-Inputs!$B$8,0.01))))))</f>
        <v/>
      </c>
    </row>
    <row r="1018" customFormat="false" ht="15" hidden="false" customHeight="false" outlineLevel="0" collapsed="false">
      <c r="I1018" s="7" t="str">
        <f aca="false">IF($C1018="","",IF($C1018="G","PUTT",IF(AND($C1018="T",$M1018&gt;3),"OTT",IF($D1018&lt;=30,"ARG","APP"))))</f>
        <v/>
      </c>
      <c r="J1018" s="17" t="str">
        <f aca="false">IF($C1018="","",$N1018+$Q1018*$R1018)</f>
        <v/>
      </c>
      <c r="K1018" s="17" t="str">
        <f aca="false">IF($C1018="","",$O1018+$Q1018*$S1018)</f>
        <v/>
      </c>
      <c r="L1018" s="17" t="str">
        <f aca="false">IF($C1018="","",$J1018-$K1018-1-N($G1018))</f>
        <v/>
      </c>
      <c r="M1018" s="7" t="str">
        <f aca="false">IF($B1018="","",INDEX(Course!$B$2:$B$19,MATCH($B1018,Course!$A$2:$A$19,0)))</f>
        <v/>
      </c>
      <c r="N1018" s="17" t="str">
        <f aca="false">IF($C1018="","",IF($C1018="H",0,IF($C1018="G",INDEX(Baseline!$I$3:$I$102,MIN(MAX(ROUND($D1018,0),1),100)),IF($C1018="T",IF($M1018=3,INDEX(Baseline!$B$3:$B$122,MATCH(MIN(MAX(ROUND(($D1018)/5,0)*5,5),600),Baseline!$A$3:$A$122,0))-Inputs!$B$9,INDEX(Course!$N$2:$N$19,MATCH($B1018,Course!$A$2:$A$19,0))),INDEX(Baseline!$B$3:$E$122,MATCH(MIN(MAX(ROUND(($D1018)/5,0)*5,5),600),Baseline!$A$3:$A$122,0),MATCH($C1018,Baseline!$B$2:$E$2,0))))))</f>
        <v/>
      </c>
      <c r="O1018" s="17" t="str">
        <f aca="false">IF($C1018="","",IF($E1018="H",0,IF($E1018="G",INDEX(Baseline!$I$3:$I$102,MIN(MAX(ROUND($F1018,0),1),100)),IF($E1018="T",IF($M1018=3,INDEX(Baseline!$B$3:$B$122,MATCH(MIN(MAX(ROUND(($F1018)/5,0)*5,5),600),Baseline!$A$3:$A$122,0))-Inputs!$B$9,INDEX(Course!$N$2:$N$19,MATCH($B1018,Course!$A$2:$A$19,0))),INDEX(Baseline!$B$3:$E$122,MATCH(MIN(MAX(ROUND(($F1018)/5,0)*5,5),600),Baseline!$A$3:$A$122,0),MATCH($E1018,Baseline!$B$2:$E$2,0))))))</f>
        <v/>
      </c>
      <c r="P1018" s="17" t="str">
        <f aca="false">IF($B1018="","",INDEX(Course!$N$2:$N$19,MATCH($B1018,Course!$A$2:$A$19,0)))</f>
        <v/>
      </c>
      <c r="Q1018" s="17" t="str">
        <f aca="false">IF($B1018="","",INDEX(Course!$P$2:$P$19,MATCH($B1018,Course!$A$2:$A$19,0)))</f>
        <v/>
      </c>
      <c r="R1018" s="17" t="str">
        <f aca="false">IF($C1018="","",IF(OR($C1018="G",$C1018="H"),0,IF($C1018="T",1,MIN(1,MAX(0,($N1018-Inputs!$B$8)/MAX($P1018-Inputs!$B$8,0.01))))))</f>
        <v/>
      </c>
      <c r="S1018" s="17" t="str">
        <f aca="false">IF($C1018="","",IF(OR($E1018="G",$E1018="H"),0,IF($E1018="T",1,MIN(1,MAX(0,($O1018-Inputs!$B$8)/MAX($P1018-Inputs!$B$8,0.01))))))</f>
        <v/>
      </c>
    </row>
    <row r="1019" customFormat="false" ht="15" hidden="false" customHeight="false" outlineLevel="0" collapsed="false">
      <c r="I1019" s="7" t="str">
        <f aca="false">IF($C1019="","",IF($C1019="G","PUTT",IF(AND($C1019="T",$M1019&gt;3),"OTT",IF($D1019&lt;=30,"ARG","APP"))))</f>
        <v/>
      </c>
      <c r="J1019" s="17" t="str">
        <f aca="false">IF($C1019="","",$N1019+$Q1019*$R1019)</f>
        <v/>
      </c>
      <c r="K1019" s="17" t="str">
        <f aca="false">IF($C1019="","",$O1019+$Q1019*$S1019)</f>
        <v/>
      </c>
      <c r="L1019" s="17" t="str">
        <f aca="false">IF($C1019="","",$J1019-$K1019-1-N($G1019))</f>
        <v/>
      </c>
      <c r="M1019" s="7" t="str">
        <f aca="false">IF($B1019="","",INDEX(Course!$B$2:$B$19,MATCH($B1019,Course!$A$2:$A$19,0)))</f>
        <v/>
      </c>
      <c r="N1019" s="17" t="str">
        <f aca="false">IF($C1019="","",IF($C1019="H",0,IF($C1019="G",INDEX(Baseline!$I$3:$I$102,MIN(MAX(ROUND($D1019,0),1),100)),IF($C1019="T",IF($M1019=3,INDEX(Baseline!$B$3:$B$122,MATCH(MIN(MAX(ROUND(($D1019)/5,0)*5,5),600),Baseline!$A$3:$A$122,0))-Inputs!$B$9,INDEX(Course!$N$2:$N$19,MATCH($B1019,Course!$A$2:$A$19,0))),INDEX(Baseline!$B$3:$E$122,MATCH(MIN(MAX(ROUND(($D1019)/5,0)*5,5),600),Baseline!$A$3:$A$122,0),MATCH($C1019,Baseline!$B$2:$E$2,0))))))</f>
        <v/>
      </c>
      <c r="O1019" s="17" t="str">
        <f aca="false">IF($C1019="","",IF($E1019="H",0,IF($E1019="G",INDEX(Baseline!$I$3:$I$102,MIN(MAX(ROUND($F1019,0),1),100)),IF($E1019="T",IF($M1019=3,INDEX(Baseline!$B$3:$B$122,MATCH(MIN(MAX(ROUND(($F1019)/5,0)*5,5),600),Baseline!$A$3:$A$122,0))-Inputs!$B$9,INDEX(Course!$N$2:$N$19,MATCH($B1019,Course!$A$2:$A$19,0))),INDEX(Baseline!$B$3:$E$122,MATCH(MIN(MAX(ROUND(($F1019)/5,0)*5,5),600),Baseline!$A$3:$A$122,0),MATCH($E1019,Baseline!$B$2:$E$2,0))))))</f>
        <v/>
      </c>
      <c r="P1019" s="17" t="str">
        <f aca="false">IF($B1019="","",INDEX(Course!$N$2:$N$19,MATCH($B1019,Course!$A$2:$A$19,0)))</f>
        <v/>
      </c>
      <c r="Q1019" s="17" t="str">
        <f aca="false">IF($B1019="","",INDEX(Course!$P$2:$P$19,MATCH($B1019,Course!$A$2:$A$19,0)))</f>
        <v/>
      </c>
      <c r="R1019" s="17" t="str">
        <f aca="false">IF($C1019="","",IF(OR($C1019="G",$C1019="H"),0,IF($C1019="T",1,MIN(1,MAX(0,($N1019-Inputs!$B$8)/MAX($P1019-Inputs!$B$8,0.01))))))</f>
        <v/>
      </c>
      <c r="S1019" s="17" t="str">
        <f aca="false">IF($C1019="","",IF(OR($E1019="G",$E1019="H"),0,IF($E1019="T",1,MIN(1,MAX(0,($O1019-Inputs!$B$8)/MAX($P1019-Inputs!$B$8,0.01))))))</f>
        <v/>
      </c>
    </row>
    <row r="1020" customFormat="false" ht="15" hidden="false" customHeight="false" outlineLevel="0" collapsed="false">
      <c r="I1020" s="7" t="str">
        <f aca="false">IF($C1020="","",IF($C1020="G","PUTT",IF(AND($C1020="T",$M1020&gt;3),"OTT",IF($D1020&lt;=30,"ARG","APP"))))</f>
        <v/>
      </c>
      <c r="J1020" s="17" t="str">
        <f aca="false">IF($C1020="","",$N1020+$Q1020*$R1020)</f>
        <v/>
      </c>
      <c r="K1020" s="17" t="str">
        <f aca="false">IF($C1020="","",$O1020+$Q1020*$S1020)</f>
        <v/>
      </c>
      <c r="L1020" s="17" t="str">
        <f aca="false">IF($C1020="","",$J1020-$K1020-1-N($G1020))</f>
        <v/>
      </c>
      <c r="M1020" s="7" t="str">
        <f aca="false">IF($B1020="","",INDEX(Course!$B$2:$B$19,MATCH($B1020,Course!$A$2:$A$19,0)))</f>
        <v/>
      </c>
      <c r="N1020" s="17" t="str">
        <f aca="false">IF($C1020="","",IF($C1020="H",0,IF($C1020="G",INDEX(Baseline!$I$3:$I$102,MIN(MAX(ROUND($D1020,0),1),100)),IF($C1020="T",IF($M1020=3,INDEX(Baseline!$B$3:$B$122,MATCH(MIN(MAX(ROUND(($D1020)/5,0)*5,5),600),Baseline!$A$3:$A$122,0))-Inputs!$B$9,INDEX(Course!$N$2:$N$19,MATCH($B1020,Course!$A$2:$A$19,0))),INDEX(Baseline!$B$3:$E$122,MATCH(MIN(MAX(ROUND(($D1020)/5,0)*5,5),600),Baseline!$A$3:$A$122,0),MATCH($C1020,Baseline!$B$2:$E$2,0))))))</f>
        <v/>
      </c>
      <c r="O1020" s="17" t="str">
        <f aca="false">IF($C1020="","",IF($E1020="H",0,IF($E1020="G",INDEX(Baseline!$I$3:$I$102,MIN(MAX(ROUND($F1020,0),1),100)),IF($E1020="T",IF($M1020=3,INDEX(Baseline!$B$3:$B$122,MATCH(MIN(MAX(ROUND(($F1020)/5,0)*5,5),600),Baseline!$A$3:$A$122,0))-Inputs!$B$9,INDEX(Course!$N$2:$N$19,MATCH($B1020,Course!$A$2:$A$19,0))),INDEX(Baseline!$B$3:$E$122,MATCH(MIN(MAX(ROUND(($F1020)/5,0)*5,5),600),Baseline!$A$3:$A$122,0),MATCH($E1020,Baseline!$B$2:$E$2,0))))))</f>
        <v/>
      </c>
      <c r="P1020" s="17" t="str">
        <f aca="false">IF($B1020="","",INDEX(Course!$N$2:$N$19,MATCH($B1020,Course!$A$2:$A$19,0)))</f>
        <v/>
      </c>
      <c r="Q1020" s="17" t="str">
        <f aca="false">IF($B1020="","",INDEX(Course!$P$2:$P$19,MATCH($B1020,Course!$A$2:$A$19,0)))</f>
        <v/>
      </c>
      <c r="R1020" s="17" t="str">
        <f aca="false">IF($C1020="","",IF(OR($C1020="G",$C1020="H"),0,IF($C1020="T",1,MIN(1,MAX(0,($N1020-Inputs!$B$8)/MAX($P1020-Inputs!$B$8,0.01))))))</f>
        <v/>
      </c>
      <c r="S1020" s="17" t="str">
        <f aca="false">IF($C1020="","",IF(OR($E1020="G",$E1020="H"),0,IF($E1020="T",1,MIN(1,MAX(0,($O1020-Inputs!$B$8)/MAX($P1020-Inputs!$B$8,0.01))))))</f>
        <v/>
      </c>
    </row>
    <row r="1021" customFormat="false" ht="15" hidden="false" customHeight="false" outlineLevel="0" collapsed="false">
      <c r="I1021" s="7" t="str">
        <f aca="false">IF($C1021="","",IF($C1021="G","PUTT",IF(AND($C1021="T",$M1021&gt;3),"OTT",IF($D1021&lt;=30,"ARG","APP"))))</f>
        <v/>
      </c>
      <c r="J1021" s="17" t="str">
        <f aca="false">IF($C1021="","",$N1021+$Q1021*$R1021)</f>
        <v/>
      </c>
      <c r="K1021" s="17" t="str">
        <f aca="false">IF($C1021="","",$O1021+$Q1021*$S1021)</f>
        <v/>
      </c>
      <c r="L1021" s="17" t="str">
        <f aca="false">IF($C1021="","",$J1021-$K1021-1-N($G1021))</f>
        <v/>
      </c>
      <c r="M1021" s="7" t="str">
        <f aca="false">IF($B1021="","",INDEX(Course!$B$2:$B$19,MATCH($B1021,Course!$A$2:$A$19,0)))</f>
        <v/>
      </c>
      <c r="N1021" s="17" t="str">
        <f aca="false">IF($C1021="","",IF($C1021="H",0,IF($C1021="G",INDEX(Baseline!$I$3:$I$102,MIN(MAX(ROUND($D1021,0),1),100)),IF($C1021="T",IF($M1021=3,INDEX(Baseline!$B$3:$B$122,MATCH(MIN(MAX(ROUND(($D1021)/5,0)*5,5),600),Baseline!$A$3:$A$122,0))-Inputs!$B$9,INDEX(Course!$N$2:$N$19,MATCH($B1021,Course!$A$2:$A$19,0))),INDEX(Baseline!$B$3:$E$122,MATCH(MIN(MAX(ROUND(($D1021)/5,0)*5,5),600),Baseline!$A$3:$A$122,0),MATCH($C1021,Baseline!$B$2:$E$2,0))))))</f>
        <v/>
      </c>
      <c r="O1021" s="17" t="str">
        <f aca="false">IF($C1021="","",IF($E1021="H",0,IF($E1021="G",INDEX(Baseline!$I$3:$I$102,MIN(MAX(ROUND($F1021,0),1),100)),IF($E1021="T",IF($M1021=3,INDEX(Baseline!$B$3:$B$122,MATCH(MIN(MAX(ROUND(($F1021)/5,0)*5,5),600),Baseline!$A$3:$A$122,0))-Inputs!$B$9,INDEX(Course!$N$2:$N$19,MATCH($B1021,Course!$A$2:$A$19,0))),INDEX(Baseline!$B$3:$E$122,MATCH(MIN(MAX(ROUND(($F1021)/5,0)*5,5),600),Baseline!$A$3:$A$122,0),MATCH($E1021,Baseline!$B$2:$E$2,0))))))</f>
        <v/>
      </c>
      <c r="P1021" s="17" t="str">
        <f aca="false">IF($B1021="","",INDEX(Course!$N$2:$N$19,MATCH($B1021,Course!$A$2:$A$19,0)))</f>
        <v/>
      </c>
      <c r="Q1021" s="17" t="str">
        <f aca="false">IF($B1021="","",INDEX(Course!$P$2:$P$19,MATCH($B1021,Course!$A$2:$A$19,0)))</f>
        <v/>
      </c>
      <c r="R1021" s="17" t="str">
        <f aca="false">IF($C1021="","",IF(OR($C1021="G",$C1021="H"),0,IF($C1021="T",1,MIN(1,MAX(0,($N1021-Inputs!$B$8)/MAX($P1021-Inputs!$B$8,0.01))))))</f>
        <v/>
      </c>
      <c r="S1021" s="17" t="str">
        <f aca="false">IF($C1021="","",IF(OR($E1021="G",$E1021="H"),0,IF($E1021="T",1,MIN(1,MAX(0,($O1021-Inputs!$B$8)/MAX($P1021-Inputs!$B$8,0.01))))))</f>
        <v/>
      </c>
    </row>
    <row r="1022" customFormat="false" ht="15" hidden="false" customHeight="false" outlineLevel="0" collapsed="false">
      <c r="I1022" s="7" t="str">
        <f aca="false">IF($C1022="","",IF($C1022="G","PUTT",IF(AND($C1022="T",$M1022&gt;3),"OTT",IF($D1022&lt;=30,"ARG","APP"))))</f>
        <v/>
      </c>
      <c r="J1022" s="17" t="str">
        <f aca="false">IF($C1022="","",$N1022+$Q1022*$R1022)</f>
        <v/>
      </c>
      <c r="K1022" s="17" t="str">
        <f aca="false">IF($C1022="","",$O1022+$Q1022*$S1022)</f>
        <v/>
      </c>
      <c r="L1022" s="17" t="str">
        <f aca="false">IF($C1022="","",$J1022-$K1022-1-N($G1022))</f>
        <v/>
      </c>
      <c r="M1022" s="7" t="str">
        <f aca="false">IF($B1022="","",INDEX(Course!$B$2:$B$19,MATCH($B1022,Course!$A$2:$A$19,0)))</f>
        <v/>
      </c>
      <c r="N1022" s="17" t="str">
        <f aca="false">IF($C1022="","",IF($C1022="H",0,IF($C1022="G",INDEX(Baseline!$I$3:$I$102,MIN(MAX(ROUND($D1022,0),1),100)),IF($C1022="T",IF($M1022=3,INDEX(Baseline!$B$3:$B$122,MATCH(MIN(MAX(ROUND(($D1022)/5,0)*5,5),600),Baseline!$A$3:$A$122,0))-Inputs!$B$9,INDEX(Course!$N$2:$N$19,MATCH($B1022,Course!$A$2:$A$19,0))),INDEX(Baseline!$B$3:$E$122,MATCH(MIN(MAX(ROUND(($D1022)/5,0)*5,5),600),Baseline!$A$3:$A$122,0),MATCH($C1022,Baseline!$B$2:$E$2,0))))))</f>
        <v/>
      </c>
      <c r="O1022" s="17" t="str">
        <f aca="false">IF($C1022="","",IF($E1022="H",0,IF($E1022="G",INDEX(Baseline!$I$3:$I$102,MIN(MAX(ROUND($F1022,0),1),100)),IF($E1022="T",IF($M1022=3,INDEX(Baseline!$B$3:$B$122,MATCH(MIN(MAX(ROUND(($F1022)/5,0)*5,5),600),Baseline!$A$3:$A$122,0))-Inputs!$B$9,INDEX(Course!$N$2:$N$19,MATCH($B1022,Course!$A$2:$A$19,0))),INDEX(Baseline!$B$3:$E$122,MATCH(MIN(MAX(ROUND(($F1022)/5,0)*5,5),600),Baseline!$A$3:$A$122,0),MATCH($E1022,Baseline!$B$2:$E$2,0))))))</f>
        <v/>
      </c>
      <c r="P1022" s="17" t="str">
        <f aca="false">IF($B1022="","",INDEX(Course!$N$2:$N$19,MATCH($B1022,Course!$A$2:$A$19,0)))</f>
        <v/>
      </c>
      <c r="Q1022" s="17" t="str">
        <f aca="false">IF($B1022="","",INDEX(Course!$P$2:$P$19,MATCH($B1022,Course!$A$2:$A$19,0)))</f>
        <v/>
      </c>
      <c r="R1022" s="17" t="str">
        <f aca="false">IF($C1022="","",IF(OR($C1022="G",$C1022="H"),0,IF($C1022="T",1,MIN(1,MAX(0,($N1022-Inputs!$B$8)/MAX($P1022-Inputs!$B$8,0.01))))))</f>
        <v/>
      </c>
      <c r="S1022" s="17" t="str">
        <f aca="false">IF($C1022="","",IF(OR($E1022="G",$E1022="H"),0,IF($E1022="T",1,MIN(1,MAX(0,($O1022-Inputs!$B$8)/MAX($P1022-Inputs!$B$8,0.01))))))</f>
        <v/>
      </c>
    </row>
    <row r="1023" customFormat="false" ht="15" hidden="false" customHeight="false" outlineLevel="0" collapsed="false">
      <c r="I1023" s="7" t="str">
        <f aca="false">IF($C1023="","",IF($C1023="G","PUTT",IF(AND($C1023="T",$M1023&gt;3),"OTT",IF($D1023&lt;=30,"ARG","APP"))))</f>
        <v/>
      </c>
      <c r="J1023" s="17" t="str">
        <f aca="false">IF($C1023="","",$N1023+$Q1023*$R1023)</f>
        <v/>
      </c>
      <c r="K1023" s="17" t="str">
        <f aca="false">IF($C1023="","",$O1023+$Q1023*$S1023)</f>
        <v/>
      </c>
      <c r="L1023" s="17" t="str">
        <f aca="false">IF($C1023="","",$J1023-$K1023-1-N($G1023))</f>
        <v/>
      </c>
      <c r="M1023" s="7" t="str">
        <f aca="false">IF($B1023="","",INDEX(Course!$B$2:$B$19,MATCH($B1023,Course!$A$2:$A$19,0)))</f>
        <v/>
      </c>
      <c r="N1023" s="17" t="str">
        <f aca="false">IF($C1023="","",IF($C1023="H",0,IF($C1023="G",INDEX(Baseline!$I$3:$I$102,MIN(MAX(ROUND($D1023,0),1),100)),IF($C1023="T",IF($M1023=3,INDEX(Baseline!$B$3:$B$122,MATCH(MIN(MAX(ROUND(($D1023)/5,0)*5,5),600),Baseline!$A$3:$A$122,0))-Inputs!$B$9,INDEX(Course!$N$2:$N$19,MATCH($B1023,Course!$A$2:$A$19,0))),INDEX(Baseline!$B$3:$E$122,MATCH(MIN(MAX(ROUND(($D1023)/5,0)*5,5),600),Baseline!$A$3:$A$122,0),MATCH($C1023,Baseline!$B$2:$E$2,0))))))</f>
        <v/>
      </c>
      <c r="O1023" s="17" t="str">
        <f aca="false">IF($C1023="","",IF($E1023="H",0,IF($E1023="G",INDEX(Baseline!$I$3:$I$102,MIN(MAX(ROUND($F1023,0),1),100)),IF($E1023="T",IF($M1023=3,INDEX(Baseline!$B$3:$B$122,MATCH(MIN(MAX(ROUND(($F1023)/5,0)*5,5),600),Baseline!$A$3:$A$122,0))-Inputs!$B$9,INDEX(Course!$N$2:$N$19,MATCH($B1023,Course!$A$2:$A$19,0))),INDEX(Baseline!$B$3:$E$122,MATCH(MIN(MAX(ROUND(($F1023)/5,0)*5,5),600),Baseline!$A$3:$A$122,0),MATCH($E1023,Baseline!$B$2:$E$2,0))))))</f>
        <v/>
      </c>
      <c r="P1023" s="17" t="str">
        <f aca="false">IF($B1023="","",INDEX(Course!$N$2:$N$19,MATCH($B1023,Course!$A$2:$A$19,0)))</f>
        <v/>
      </c>
      <c r="Q1023" s="17" t="str">
        <f aca="false">IF($B1023="","",INDEX(Course!$P$2:$P$19,MATCH($B1023,Course!$A$2:$A$19,0)))</f>
        <v/>
      </c>
      <c r="R1023" s="17" t="str">
        <f aca="false">IF($C1023="","",IF(OR($C1023="G",$C1023="H"),0,IF($C1023="T",1,MIN(1,MAX(0,($N1023-Inputs!$B$8)/MAX($P1023-Inputs!$B$8,0.01))))))</f>
        <v/>
      </c>
      <c r="S1023" s="17" t="str">
        <f aca="false">IF($C1023="","",IF(OR($E1023="G",$E1023="H"),0,IF($E1023="T",1,MIN(1,MAX(0,($O1023-Inputs!$B$8)/MAX($P1023-Inputs!$B$8,0.01))))))</f>
        <v/>
      </c>
    </row>
    <row r="1024" customFormat="false" ht="15" hidden="false" customHeight="false" outlineLevel="0" collapsed="false">
      <c r="I1024" s="7" t="str">
        <f aca="false">IF($C1024="","",IF($C1024="G","PUTT",IF(AND($C1024="T",$M1024&gt;3),"OTT",IF($D1024&lt;=30,"ARG","APP"))))</f>
        <v/>
      </c>
      <c r="J1024" s="17" t="str">
        <f aca="false">IF($C1024="","",$N1024+$Q1024*$R1024)</f>
        <v/>
      </c>
      <c r="K1024" s="17" t="str">
        <f aca="false">IF($C1024="","",$O1024+$Q1024*$S1024)</f>
        <v/>
      </c>
      <c r="L1024" s="17" t="str">
        <f aca="false">IF($C1024="","",$J1024-$K1024-1-N($G1024))</f>
        <v/>
      </c>
      <c r="M1024" s="7" t="str">
        <f aca="false">IF($B1024="","",INDEX(Course!$B$2:$B$19,MATCH($B1024,Course!$A$2:$A$19,0)))</f>
        <v/>
      </c>
      <c r="N1024" s="17" t="str">
        <f aca="false">IF($C1024="","",IF($C1024="H",0,IF($C1024="G",INDEX(Baseline!$I$3:$I$102,MIN(MAX(ROUND($D1024,0),1),100)),IF($C1024="T",IF($M1024=3,INDEX(Baseline!$B$3:$B$122,MATCH(MIN(MAX(ROUND(($D1024)/5,0)*5,5),600),Baseline!$A$3:$A$122,0))-Inputs!$B$9,INDEX(Course!$N$2:$N$19,MATCH($B1024,Course!$A$2:$A$19,0))),INDEX(Baseline!$B$3:$E$122,MATCH(MIN(MAX(ROUND(($D1024)/5,0)*5,5),600),Baseline!$A$3:$A$122,0),MATCH($C1024,Baseline!$B$2:$E$2,0))))))</f>
        <v/>
      </c>
      <c r="O1024" s="17" t="str">
        <f aca="false">IF($C1024="","",IF($E1024="H",0,IF($E1024="G",INDEX(Baseline!$I$3:$I$102,MIN(MAX(ROUND($F1024,0),1),100)),IF($E1024="T",IF($M1024=3,INDEX(Baseline!$B$3:$B$122,MATCH(MIN(MAX(ROUND(($F1024)/5,0)*5,5),600),Baseline!$A$3:$A$122,0))-Inputs!$B$9,INDEX(Course!$N$2:$N$19,MATCH($B1024,Course!$A$2:$A$19,0))),INDEX(Baseline!$B$3:$E$122,MATCH(MIN(MAX(ROUND(($F1024)/5,0)*5,5),600),Baseline!$A$3:$A$122,0),MATCH($E1024,Baseline!$B$2:$E$2,0))))))</f>
        <v/>
      </c>
      <c r="P1024" s="17" t="str">
        <f aca="false">IF($B1024="","",INDEX(Course!$N$2:$N$19,MATCH($B1024,Course!$A$2:$A$19,0)))</f>
        <v/>
      </c>
      <c r="Q1024" s="17" t="str">
        <f aca="false">IF($B1024="","",INDEX(Course!$P$2:$P$19,MATCH($B1024,Course!$A$2:$A$19,0)))</f>
        <v/>
      </c>
      <c r="R1024" s="17" t="str">
        <f aca="false">IF($C1024="","",IF(OR($C1024="G",$C1024="H"),0,IF($C1024="T",1,MIN(1,MAX(0,($N1024-Inputs!$B$8)/MAX($P1024-Inputs!$B$8,0.01))))))</f>
        <v/>
      </c>
      <c r="S1024" s="17" t="str">
        <f aca="false">IF($C1024="","",IF(OR($E1024="G",$E1024="H"),0,IF($E1024="T",1,MIN(1,MAX(0,($O1024-Inputs!$B$8)/MAX($P1024-Inputs!$B$8,0.01))))))</f>
        <v/>
      </c>
    </row>
    <row r="1025" customFormat="false" ht="15" hidden="false" customHeight="false" outlineLevel="0" collapsed="false">
      <c r="I1025" s="7" t="str">
        <f aca="false">IF($C1025="","",IF($C1025="G","PUTT",IF(AND($C1025="T",$M1025&gt;3),"OTT",IF($D1025&lt;=30,"ARG","APP"))))</f>
        <v/>
      </c>
      <c r="J1025" s="17" t="str">
        <f aca="false">IF($C1025="","",$N1025+$Q1025*$R1025)</f>
        <v/>
      </c>
      <c r="K1025" s="17" t="str">
        <f aca="false">IF($C1025="","",$O1025+$Q1025*$S1025)</f>
        <v/>
      </c>
      <c r="L1025" s="17" t="str">
        <f aca="false">IF($C1025="","",$J1025-$K1025-1-N($G1025))</f>
        <v/>
      </c>
      <c r="M1025" s="7" t="str">
        <f aca="false">IF($B1025="","",INDEX(Course!$B$2:$B$19,MATCH($B1025,Course!$A$2:$A$19,0)))</f>
        <v/>
      </c>
      <c r="N1025" s="17" t="str">
        <f aca="false">IF($C1025="","",IF($C1025="H",0,IF($C1025="G",INDEX(Baseline!$I$3:$I$102,MIN(MAX(ROUND($D1025,0),1),100)),IF($C1025="T",IF($M1025=3,INDEX(Baseline!$B$3:$B$122,MATCH(MIN(MAX(ROUND(($D1025)/5,0)*5,5),600),Baseline!$A$3:$A$122,0))-Inputs!$B$9,INDEX(Course!$N$2:$N$19,MATCH($B1025,Course!$A$2:$A$19,0))),INDEX(Baseline!$B$3:$E$122,MATCH(MIN(MAX(ROUND(($D1025)/5,0)*5,5),600),Baseline!$A$3:$A$122,0),MATCH($C1025,Baseline!$B$2:$E$2,0))))))</f>
        <v/>
      </c>
      <c r="O1025" s="17" t="str">
        <f aca="false">IF($C1025="","",IF($E1025="H",0,IF($E1025="G",INDEX(Baseline!$I$3:$I$102,MIN(MAX(ROUND($F1025,0),1),100)),IF($E1025="T",IF($M1025=3,INDEX(Baseline!$B$3:$B$122,MATCH(MIN(MAX(ROUND(($F1025)/5,0)*5,5),600),Baseline!$A$3:$A$122,0))-Inputs!$B$9,INDEX(Course!$N$2:$N$19,MATCH($B1025,Course!$A$2:$A$19,0))),INDEX(Baseline!$B$3:$E$122,MATCH(MIN(MAX(ROUND(($F1025)/5,0)*5,5),600),Baseline!$A$3:$A$122,0),MATCH($E1025,Baseline!$B$2:$E$2,0))))))</f>
        <v/>
      </c>
      <c r="P1025" s="17" t="str">
        <f aca="false">IF($B1025="","",INDEX(Course!$N$2:$N$19,MATCH($B1025,Course!$A$2:$A$19,0)))</f>
        <v/>
      </c>
      <c r="Q1025" s="17" t="str">
        <f aca="false">IF($B1025="","",INDEX(Course!$P$2:$P$19,MATCH($B1025,Course!$A$2:$A$19,0)))</f>
        <v/>
      </c>
      <c r="R1025" s="17" t="str">
        <f aca="false">IF($C1025="","",IF(OR($C1025="G",$C1025="H"),0,IF($C1025="T",1,MIN(1,MAX(0,($N1025-Inputs!$B$8)/MAX($P1025-Inputs!$B$8,0.01))))))</f>
        <v/>
      </c>
      <c r="S1025" s="17" t="str">
        <f aca="false">IF($C1025="","",IF(OR($E1025="G",$E1025="H"),0,IF($E1025="T",1,MIN(1,MAX(0,($O1025-Inputs!$B$8)/MAX($P1025-Inputs!$B$8,0.01))))))</f>
        <v/>
      </c>
    </row>
    <row r="1026" customFormat="false" ht="15" hidden="false" customHeight="false" outlineLevel="0" collapsed="false">
      <c r="I1026" s="7" t="str">
        <f aca="false">IF($C1026="","",IF($C1026="G","PUTT",IF(AND($C1026="T",$M1026&gt;3),"OTT",IF($D1026&lt;=30,"ARG","APP"))))</f>
        <v/>
      </c>
      <c r="J1026" s="17" t="str">
        <f aca="false">IF($C1026="","",$N1026+$Q1026*$R1026)</f>
        <v/>
      </c>
      <c r="K1026" s="17" t="str">
        <f aca="false">IF($C1026="","",$O1026+$Q1026*$S1026)</f>
        <v/>
      </c>
      <c r="L1026" s="17" t="str">
        <f aca="false">IF($C1026="","",$J1026-$K1026-1-N($G1026))</f>
        <v/>
      </c>
      <c r="M1026" s="7" t="str">
        <f aca="false">IF($B1026="","",INDEX(Course!$B$2:$B$19,MATCH($B1026,Course!$A$2:$A$19,0)))</f>
        <v/>
      </c>
      <c r="N1026" s="17" t="str">
        <f aca="false">IF($C1026="","",IF($C1026="H",0,IF($C1026="G",INDEX(Baseline!$I$3:$I$102,MIN(MAX(ROUND($D1026,0),1),100)),IF($C1026="T",IF($M1026=3,INDEX(Baseline!$B$3:$B$122,MATCH(MIN(MAX(ROUND(($D1026)/5,0)*5,5),600),Baseline!$A$3:$A$122,0))-Inputs!$B$9,INDEX(Course!$N$2:$N$19,MATCH($B1026,Course!$A$2:$A$19,0))),INDEX(Baseline!$B$3:$E$122,MATCH(MIN(MAX(ROUND(($D1026)/5,0)*5,5),600),Baseline!$A$3:$A$122,0),MATCH($C1026,Baseline!$B$2:$E$2,0))))))</f>
        <v/>
      </c>
      <c r="O1026" s="17" t="str">
        <f aca="false">IF($C1026="","",IF($E1026="H",0,IF($E1026="G",INDEX(Baseline!$I$3:$I$102,MIN(MAX(ROUND($F1026,0),1),100)),IF($E1026="T",IF($M1026=3,INDEX(Baseline!$B$3:$B$122,MATCH(MIN(MAX(ROUND(($F1026)/5,0)*5,5),600),Baseline!$A$3:$A$122,0))-Inputs!$B$9,INDEX(Course!$N$2:$N$19,MATCH($B1026,Course!$A$2:$A$19,0))),INDEX(Baseline!$B$3:$E$122,MATCH(MIN(MAX(ROUND(($F1026)/5,0)*5,5),600),Baseline!$A$3:$A$122,0),MATCH($E1026,Baseline!$B$2:$E$2,0))))))</f>
        <v/>
      </c>
      <c r="P1026" s="17" t="str">
        <f aca="false">IF($B1026="","",INDEX(Course!$N$2:$N$19,MATCH($B1026,Course!$A$2:$A$19,0)))</f>
        <v/>
      </c>
      <c r="Q1026" s="17" t="str">
        <f aca="false">IF($B1026="","",INDEX(Course!$P$2:$P$19,MATCH($B1026,Course!$A$2:$A$19,0)))</f>
        <v/>
      </c>
      <c r="R1026" s="17" t="str">
        <f aca="false">IF($C1026="","",IF(OR($C1026="G",$C1026="H"),0,IF($C1026="T",1,MIN(1,MAX(0,($N1026-Inputs!$B$8)/MAX($P1026-Inputs!$B$8,0.01))))))</f>
        <v/>
      </c>
      <c r="S1026" s="17" t="str">
        <f aca="false">IF($C1026="","",IF(OR($E1026="G",$E1026="H"),0,IF($E1026="T",1,MIN(1,MAX(0,($O1026-Inputs!$B$8)/MAX($P1026-Inputs!$B$8,0.01))))))</f>
        <v/>
      </c>
    </row>
    <row r="1027" customFormat="false" ht="15" hidden="false" customHeight="false" outlineLevel="0" collapsed="false">
      <c r="I1027" s="7" t="str">
        <f aca="false">IF($C1027="","",IF($C1027="G","PUTT",IF(AND($C1027="T",$M1027&gt;3),"OTT",IF($D1027&lt;=30,"ARG","APP"))))</f>
        <v/>
      </c>
      <c r="J1027" s="17" t="str">
        <f aca="false">IF($C1027="","",$N1027+$Q1027*$R1027)</f>
        <v/>
      </c>
      <c r="K1027" s="17" t="str">
        <f aca="false">IF($C1027="","",$O1027+$Q1027*$S1027)</f>
        <v/>
      </c>
      <c r="L1027" s="17" t="str">
        <f aca="false">IF($C1027="","",$J1027-$K1027-1-N($G1027))</f>
        <v/>
      </c>
      <c r="M1027" s="7" t="str">
        <f aca="false">IF($B1027="","",INDEX(Course!$B$2:$B$19,MATCH($B1027,Course!$A$2:$A$19,0)))</f>
        <v/>
      </c>
      <c r="N1027" s="17" t="str">
        <f aca="false">IF($C1027="","",IF($C1027="H",0,IF($C1027="G",INDEX(Baseline!$I$3:$I$102,MIN(MAX(ROUND($D1027,0),1),100)),IF($C1027="T",IF($M1027=3,INDEX(Baseline!$B$3:$B$122,MATCH(MIN(MAX(ROUND(($D1027)/5,0)*5,5),600),Baseline!$A$3:$A$122,0))-Inputs!$B$9,INDEX(Course!$N$2:$N$19,MATCH($B1027,Course!$A$2:$A$19,0))),INDEX(Baseline!$B$3:$E$122,MATCH(MIN(MAX(ROUND(($D1027)/5,0)*5,5),600),Baseline!$A$3:$A$122,0),MATCH($C1027,Baseline!$B$2:$E$2,0))))))</f>
        <v/>
      </c>
      <c r="O1027" s="17" t="str">
        <f aca="false">IF($C1027="","",IF($E1027="H",0,IF($E1027="G",INDEX(Baseline!$I$3:$I$102,MIN(MAX(ROUND($F1027,0),1),100)),IF($E1027="T",IF($M1027=3,INDEX(Baseline!$B$3:$B$122,MATCH(MIN(MAX(ROUND(($F1027)/5,0)*5,5),600),Baseline!$A$3:$A$122,0))-Inputs!$B$9,INDEX(Course!$N$2:$N$19,MATCH($B1027,Course!$A$2:$A$19,0))),INDEX(Baseline!$B$3:$E$122,MATCH(MIN(MAX(ROUND(($F1027)/5,0)*5,5),600),Baseline!$A$3:$A$122,0),MATCH($E1027,Baseline!$B$2:$E$2,0))))))</f>
        <v/>
      </c>
      <c r="P1027" s="17" t="str">
        <f aca="false">IF($B1027="","",INDEX(Course!$N$2:$N$19,MATCH($B1027,Course!$A$2:$A$19,0)))</f>
        <v/>
      </c>
      <c r="Q1027" s="17" t="str">
        <f aca="false">IF($B1027="","",INDEX(Course!$P$2:$P$19,MATCH($B1027,Course!$A$2:$A$19,0)))</f>
        <v/>
      </c>
      <c r="R1027" s="17" t="str">
        <f aca="false">IF($C1027="","",IF(OR($C1027="G",$C1027="H"),0,IF($C1027="T",1,MIN(1,MAX(0,($N1027-Inputs!$B$8)/MAX($P1027-Inputs!$B$8,0.01))))))</f>
        <v/>
      </c>
      <c r="S1027" s="17" t="str">
        <f aca="false">IF($C1027="","",IF(OR($E1027="G",$E1027="H"),0,IF($E1027="T",1,MIN(1,MAX(0,($O1027-Inputs!$B$8)/MAX($P1027-Inputs!$B$8,0.01))))))</f>
        <v/>
      </c>
    </row>
    <row r="1028" customFormat="false" ht="15" hidden="false" customHeight="false" outlineLevel="0" collapsed="false">
      <c r="I1028" s="7" t="str">
        <f aca="false">IF($C1028="","",IF($C1028="G","PUTT",IF(AND($C1028="T",$M1028&gt;3),"OTT",IF($D1028&lt;=30,"ARG","APP"))))</f>
        <v/>
      </c>
      <c r="J1028" s="17" t="str">
        <f aca="false">IF($C1028="","",$N1028+$Q1028*$R1028)</f>
        <v/>
      </c>
      <c r="K1028" s="17" t="str">
        <f aca="false">IF($C1028="","",$O1028+$Q1028*$S1028)</f>
        <v/>
      </c>
      <c r="L1028" s="17" t="str">
        <f aca="false">IF($C1028="","",$J1028-$K1028-1-N($G1028))</f>
        <v/>
      </c>
      <c r="M1028" s="7" t="str">
        <f aca="false">IF($B1028="","",INDEX(Course!$B$2:$B$19,MATCH($B1028,Course!$A$2:$A$19,0)))</f>
        <v/>
      </c>
      <c r="N1028" s="17" t="str">
        <f aca="false">IF($C1028="","",IF($C1028="H",0,IF($C1028="G",INDEX(Baseline!$I$3:$I$102,MIN(MAX(ROUND($D1028,0),1),100)),IF($C1028="T",IF($M1028=3,INDEX(Baseline!$B$3:$B$122,MATCH(MIN(MAX(ROUND(($D1028)/5,0)*5,5),600),Baseline!$A$3:$A$122,0))-Inputs!$B$9,INDEX(Course!$N$2:$N$19,MATCH($B1028,Course!$A$2:$A$19,0))),INDEX(Baseline!$B$3:$E$122,MATCH(MIN(MAX(ROUND(($D1028)/5,0)*5,5),600),Baseline!$A$3:$A$122,0),MATCH($C1028,Baseline!$B$2:$E$2,0))))))</f>
        <v/>
      </c>
      <c r="O1028" s="17" t="str">
        <f aca="false">IF($C1028="","",IF($E1028="H",0,IF($E1028="G",INDEX(Baseline!$I$3:$I$102,MIN(MAX(ROUND($F1028,0),1),100)),IF($E1028="T",IF($M1028=3,INDEX(Baseline!$B$3:$B$122,MATCH(MIN(MAX(ROUND(($F1028)/5,0)*5,5),600),Baseline!$A$3:$A$122,0))-Inputs!$B$9,INDEX(Course!$N$2:$N$19,MATCH($B1028,Course!$A$2:$A$19,0))),INDEX(Baseline!$B$3:$E$122,MATCH(MIN(MAX(ROUND(($F1028)/5,0)*5,5),600),Baseline!$A$3:$A$122,0),MATCH($E1028,Baseline!$B$2:$E$2,0))))))</f>
        <v/>
      </c>
      <c r="P1028" s="17" t="str">
        <f aca="false">IF($B1028="","",INDEX(Course!$N$2:$N$19,MATCH($B1028,Course!$A$2:$A$19,0)))</f>
        <v/>
      </c>
      <c r="Q1028" s="17" t="str">
        <f aca="false">IF($B1028="","",INDEX(Course!$P$2:$P$19,MATCH($B1028,Course!$A$2:$A$19,0)))</f>
        <v/>
      </c>
      <c r="R1028" s="17" t="str">
        <f aca="false">IF($C1028="","",IF(OR($C1028="G",$C1028="H"),0,IF($C1028="T",1,MIN(1,MAX(0,($N1028-Inputs!$B$8)/MAX($P1028-Inputs!$B$8,0.01))))))</f>
        <v/>
      </c>
      <c r="S1028" s="17" t="str">
        <f aca="false">IF($C1028="","",IF(OR($E1028="G",$E1028="H"),0,IF($E1028="T",1,MIN(1,MAX(0,($O1028-Inputs!$B$8)/MAX($P1028-Inputs!$B$8,0.01))))))</f>
        <v/>
      </c>
    </row>
    <row r="1029" customFormat="false" ht="15" hidden="false" customHeight="false" outlineLevel="0" collapsed="false">
      <c r="I1029" s="7" t="str">
        <f aca="false">IF($C1029="","",IF($C1029="G","PUTT",IF(AND($C1029="T",$M1029&gt;3),"OTT",IF($D1029&lt;=30,"ARG","APP"))))</f>
        <v/>
      </c>
      <c r="J1029" s="17" t="str">
        <f aca="false">IF($C1029="","",$N1029+$Q1029*$R1029)</f>
        <v/>
      </c>
      <c r="K1029" s="17" t="str">
        <f aca="false">IF($C1029="","",$O1029+$Q1029*$S1029)</f>
        <v/>
      </c>
      <c r="L1029" s="17" t="str">
        <f aca="false">IF($C1029="","",$J1029-$K1029-1-N($G1029))</f>
        <v/>
      </c>
      <c r="M1029" s="7" t="str">
        <f aca="false">IF($B1029="","",INDEX(Course!$B$2:$B$19,MATCH($B1029,Course!$A$2:$A$19,0)))</f>
        <v/>
      </c>
      <c r="N1029" s="17" t="str">
        <f aca="false">IF($C1029="","",IF($C1029="H",0,IF($C1029="G",INDEX(Baseline!$I$3:$I$102,MIN(MAX(ROUND($D1029,0),1),100)),IF($C1029="T",IF($M1029=3,INDEX(Baseline!$B$3:$B$122,MATCH(MIN(MAX(ROUND(($D1029)/5,0)*5,5),600),Baseline!$A$3:$A$122,0))-Inputs!$B$9,INDEX(Course!$N$2:$N$19,MATCH($B1029,Course!$A$2:$A$19,0))),INDEX(Baseline!$B$3:$E$122,MATCH(MIN(MAX(ROUND(($D1029)/5,0)*5,5),600),Baseline!$A$3:$A$122,0),MATCH($C1029,Baseline!$B$2:$E$2,0))))))</f>
        <v/>
      </c>
      <c r="O1029" s="17" t="str">
        <f aca="false">IF($C1029="","",IF($E1029="H",0,IF($E1029="G",INDEX(Baseline!$I$3:$I$102,MIN(MAX(ROUND($F1029,0),1),100)),IF($E1029="T",IF($M1029=3,INDEX(Baseline!$B$3:$B$122,MATCH(MIN(MAX(ROUND(($F1029)/5,0)*5,5),600),Baseline!$A$3:$A$122,0))-Inputs!$B$9,INDEX(Course!$N$2:$N$19,MATCH($B1029,Course!$A$2:$A$19,0))),INDEX(Baseline!$B$3:$E$122,MATCH(MIN(MAX(ROUND(($F1029)/5,0)*5,5),600),Baseline!$A$3:$A$122,0),MATCH($E1029,Baseline!$B$2:$E$2,0))))))</f>
        <v/>
      </c>
      <c r="P1029" s="17" t="str">
        <f aca="false">IF($B1029="","",INDEX(Course!$N$2:$N$19,MATCH($B1029,Course!$A$2:$A$19,0)))</f>
        <v/>
      </c>
      <c r="Q1029" s="17" t="str">
        <f aca="false">IF($B1029="","",INDEX(Course!$P$2:$P$19,MATCH($B1029,Course!$A$2:$A$19,0)))</f>
        <v/>
      </c>
      <c r="R1029" s="17" t="str">
        <f aca="false">IF($C1029="","",IF(OR($C1029="G",$C1029="H"),0,IF($C1029="T",1,MIN(1,MAX(0,($N1029-Inputs!$B$8)/MAX($P1029-Inputs!$B$8,0.01))))))</f>
        <v/>
      </c>
      <c r="S1029" s="17" t="str">
        <f aca="false">IF($C1029="","",IF(OR($E1029="G",$E1029="H"),0,IF($E1029="T",1,MIN(1,MAX(0,($O1029-Inputs!$B$8)/MAX($P1029-Inputs!$B$8,0.01))))))</f>
        <v/>
      </c>
    </row>
    <row r="1030" customFormat="false" ht="15" hidden="false" customHeight="false" outlineLevel="0" collapsed="false">
      <c r="I1030" s="7" t="str">
        <f aca="false">IF($C1030="","",IF($C1030="G","PUTT",IF(AND($C1030="T",$M1030&gt;3),"OTT",IF($D1030&lt;=30,"ARG","APP"))))</f>
        <v/>
      </c>
      <c r="J1030" s="17" t="str">
        <f aca="false">IF($C1030="","",$N1030+$Q1030*$R1030)</f>
        <v/>
      </c>
      <c r="K1030" s="17" t="str">
        <f aca="false">IF($C1030="","",$O1030+$Q1030*$S1030)</f>
        <v/>
      </c>
      <c r="L1030" s="17" t="str">
        <f aca="false">IF($C1030="","",$J1030-$K1030-1-N($G1030))</f>
        <v/>
      </c>
      <c r="M1030" s="7" t="str">
        <f aca="false">IF($B1030="","",INDEX(Course!$B$2:$B$19,MATCH($B1030,Course!$A$2:$A$19,0)))</f>
        <v/>
      </c>
      <c r="N1030" s="17" t="str">
        <f aca="false">IF($C1030="","",IF($C1030="H",0,IF($C1030="G",INDEX(Baseline!$I$3:$I$102,MIN(MAX(ROUND($D1030,0),1),100)),IF($C1030="T",IF($M1030=3,INDEX(Baseline!$B$3:$B$122,MATCH(MIN(MAX(ROUND(($D1030)/5,0)*5,5),600),Baseline!$A$3:$A$122,0))-Inputs!$B$9,INDEX(Course!$N$2:$N$19,MATCH($B1030,Course!$A$2:$A$19,0))),INDEX(Baseline!$B$3:$E$122,MATCH(MIN(MAX(ROUND(($D1030)/5,0)*5,5),600),Baseline!$A$3:$A$122,0),MATCH($C1030,Baseline!$B$2:$E$2,0))))))</f>
        <v/>
      </c>
      <c r="O1030" s="17" t="str">
        <f aca="false">IF($C1030="","",IF($E1030="H",0,IF($E1030="G",INDEX(Baseline!$I$3:$I$102,MIN(MAX(ROUND($F1030,0),1),100)),IF($E1030="T",IF($M1030=3,INDEX(Baseline!$B$3:$B$122,MATCH(MIN(MAX(ROUND(($F1030)/5,0)*5,5),600),Baseline!$A$3:$A$122,0))-Inputs!$B$9,INDEX(Course!$N$2:$N$19,MATCH($B1030,Course!$A$2:$A$19,0))),INDEX(Baseline!$B$3:$E$122,MATCH(MIN(MAX(ROUND(($F1030)/5,0)*5,5),600),Baseline!$A$3:$A$122,0),MATCH($E1030,Baseline!$B$2:$E$2,0))))))</f>
        <v/>
      </c>
      <c r="P1030" s="17" t="str">
        <f aca="false">IF($B1030="","",INDEX(Course!$N$2:$N$19,MATCH($B1030,Course!$A$2:$A$19,0)))</f>
        <v/>
      </c>
      <c r="Q1030" s="17" t="str">
        <f aca="false">IF($B1030="","",INDEX(Course!$P$2:$P$19,MATCH($B1030,Course!$A$2:$A$19,0)))</f>
        <v/>
      </c>
      <c r="R1030" s="17" t="str">
        <f aca="false">IF($C1030="","",IF(OR($C1030="G",$C1030="H"),0,IF($C1030="T",1,MIN(1,MAX(0,($N1030-Inputs!$B$8)/MAX($P1030-Inputs!$B$8,0.01))))))</f>
        <v/>
      </c>
      <c r="S1030" s="17" t="str">
        <f aca="false">IF($C1030="","",IF(OR($E1030="G",$E1030="H"),0,IF($E1030="T",1,MIN(1,MAX(0,($O1030-Inputs!$B$8)/MAX($P1030-Inputs!$B$8,0.01))))))</f>
        <v/>
      </c>
    </row>
    <row r="1031" customFormat="false" ht="15" hidden="false" customHeight="false" outlineLevel="0" collapsed="false">
      <c r="I1031" s="7" t="str">
        <f aca="false">IF($C1031="","",IF($C1031="G","PUTT",IF(AND($C1031="T",$M1031&gt;3),"OTT",IF($D1031&lt;=30,"ARG","APP"))))</f>
        <v/>
      </c>
      <c r="J1031" s="17" t="str">
        <f aca="false">IF($C1031="","",$N1031+$Q1031*$R1031)</f>
        <v/>
      </c>
      <c r="K1031" s="17" t="str">
        <f aca="false">IF($C1031="","",$O1031+$Q1031*$S1031)</f>
        <v/>
      </c>
      <c r="L1031" s="17" t="str">
        <f aca="false">IF($C1031="","",$J1031-$K1031-1-N($G1031))</f>
        <v/>
      </c>
      <c r="M1031" s="7" t="str">
        <f aca="false">IF($B1031="","",INDEX(Course!$B$2:$B$19,MATCH($B1031,Course!$A$2:$A$19,0)))</f>
        <v/>
      </c>
      <c r="N1031" s="17" t="str">
        <f aca="false">IF($C1031="","",IF($C1031="H",0,IF($C1031="G",INDEX(Baseline!$I$3:$I$102,MIN(MAX(ROUND($D1031,0),1),100)),IF($C1031="T",IF($M1031=3,INDEX(Baseline!$B$3:$B$122,MATCH(MIN(MAX(ROUND(($D1031)/5,0)*5,5),600),Baseline!$A$3:$A$122,0))-Inputs!$B$9,INDEX(Course!$N$2:$N$19,MATCH($B1031,Course!$A$2:$A$19,0))),INDEX(Baseline!$B$3:$E$122,MATCH(MIN(MAX(ROUND(($D1031)/5,0)*5,5),600),Baseline!$A$3:$A$122,0),MATCH($C1031,Baseline!$B$2:$E$2,0))))))</f>
        <v/>
      </c>
      <c r="O1031" s="17" t="str">
        <f aca="false">IF($C1031="","",IF($E1031="H",0,IF($E1031="G",INDEX(Baseline!$I$3:$I$102,MIN(MAX(ROUND($F1031,0),1),100)),IF($E1031="T",IF($M1031=3,INDEX(Baseline!$B$3:$B$122,MATCH(MIN(MAX(ROUND(($F1031)/5,0)*5,5),600),Baseline!$A$3:$A$122,0))-Inputs!$B$9,INDEX(Course!$N$2:$N$19,MATCH($B1031,Course!$A$2:$A$19,0))),INDEX(Baseline!$B$3:$E$122,MATCH(MIN(MAX(ROUND(($F1031)/5,0)*5,5),600),Baseline!$A$3:$A$122,0),MATCH($E1031,Baseline!$B$2:$E$2,0))))))</f>
        <v/>
      </c>
      <c r="P1031" s="17" t="str">
        <f aca="false">IF($B1031="","",INDEX(Course!$N$2:$N$19,MATCH($B1031,Course!$A$2:$A$19,0)))</f>
        <v/>
      </c>
      <c r="Q1031" s="17" t="str">
        <f aca="false">IF($B1031="","",INDEX(Course!$P$2:$P$19,MATCH($B1031,Course!$A$2:$A$19,0)))</f>
        <v/>
      </c>
      <c r="R1031" s="17" t="str">
        <f aca="false">IF($C1031="","",IF(OR($C1031="G",$C1031="H"),0,IF($C1031="T",1,MIN(1,MAX(0,($N1031-Inputs!$B$8)/MAX($P1031-Inputs!$B$8,0.01))))))</f>
        <v/>
      </c>
      <c r="S1031" s="17" t="str">
        <f aca="false">IF($C1031="","",IF(OR($E1031="G",$E1031="H"),0,IF($E1031="T",1,MIN(1,MAX(0,($O1031-Inputs!$B$8)/MAX($P1031-Inputs!$B$8,0.01))))))</f>
        <v/>
      </c>
    </row>
    <row r="1032" customFormat="false" ht="15" hidden="false" customHeight="false" outlineLevel="0" collapsed="false">
      <c r="I1032" s="7" t="str">
        <f aca="false">IF($C1032="","",IF($C1032="G","PUTT",IF(AND($C1032="T",$M1032&gt;3),"OTT",IF($D1032&lt;=30,"ARG","APP"))))</f>
        <v/>
      </c>
      <c r="J1032" s="17" t="str">
        <f aca="false">IF($C1032="","",$N1032+$Q1032*$R1032)</f>
        <v/>
      </c>
      <c r="K1032" s="17" t="str">
        <f aca="false">IF($C1032="","",$O1032+$Q1032*$S1032)</f>
        <v/>
      </c>
      <c r="L1032" s="17" t="str">
        <f aca="false">IF($C1032="","",$J1032-$K1032-1-N($G1032))</f>
        <v/>
      </c>
      <c r="M1032" s="7" t="str">
        <f aca="false">IF($B1032="","",INDEX(Course!$B$2:$B$19,MATCH($B1032,Course!$A$2:$A$19,0)))</f>
        <v/>
      </c>
      <c r="N1032" s="17" t="str">
        <f aca="false">IF($C1032="","",IF($C1032="H",0,IF($C1032="G",INDEX(Baseline!$I$3:$I$102,MIN(MAX(ROUND($D1032,0),1),100)),IF($C1032="T",IF($M1032=3,INDEX(Baseline!$B$3:$B$122,MATCH(MIN(MAX(ROUND(($D1032)/5,0)*5,5),600),Baseline!$A$3:$A$122,0))-Inputs!$B$9,INDEX(Course!$N$2:$N$19,MATCH($B1032,Course!$A$2:$A$19,0))),INDEX(Baseline!$B$3:$E$122,MATCH(MIN(MAX(ROUND(($D1032)/5,0)*5,5),600),Baseline!$A$3:$A$122,0),MATCH($C1032,Baseline!$B$2:$E$2,0))))))</f>
        <v/>
      </c>
      <c r="O1032" s="17" t="str">
        <f aca="false">IF($C1032="","",IF($E1032="H",0,IF($E1032="G",INDEX(Baseline!$I$3:$I$102,MIN(MAX(ROUND($F1032,0),1),100)),IF($E1032="T",IF($M1032=3,INDEX(Baseline!$B$3:$B$122,MATCH(MIN(MAX(ROUND(($F1032)/5,0)*5,5),600),Baseline!$A$3:$A$122,0))-Inputs!$B$9,INDEX(Course!$N$2:$N$19,MATCH($B1032,Course!$A$2:$A$19,0))),INDEX(Baseline!$B$3:$E$122,MATCH(MIN(MAX(ROUND(($F1032)/5,0)*5,5),600),Baseline!$A$3:$A$122,0),MATCH($E1032,Baseline!$B$2:$E$2,0))))))</f>
        <v/>
      </c>
      <c r="P1032" s="17" t="str">
        <f aca="false">IF($B1032="","",INDEX(Course!$N$2:$N$19,MATCH($B1032,Course!$A$2:$A$19,0)))</f>
        <v/>
      </c>
      <c r="Q1032" s="17" t="str">
        <f aca="false">IF($B1032="","",INDEX(Course!$P$2:$P$19,MATCH($B1032,Course!$A$2:$A$19,0)))</f>
        <v/>
      </c>
      <c r="R1032" s="17" t="str">
        <f aca="false">IF($C1032="","",IF(OR($C1032="G",$C1032="H"),0,IF($C1032="T",1,MIN(1,MAX(0,($N1032-Inputs!$B$8)/MAX($P1032-Inputs!$B$8,0.01))))))</f>
        <v/>
      </c>
      <c r="S1032" s="17" t="str">
        <f aca="false">IF($C1032="","",IF(OR($E1032="G",$E1032="H"),0,IF($E1032="T",1,MIN(1,MAX(0,($O1032-Inputs!$B$8)/MAX($P1032-Inputs!$B$8,0.01))))))</f>
        <v/>
      </c>
    </row>
    <row r="1033" customFormat="false" ht="15" hidden="false" customHeight="false" outlineLevel="0" collapsed="false">
      <c r="I1033" s="7" t="str">
        <f aca="false">IF($C1033="","",IF($C1033="G","PUTT",IF(AND($C1033="T",$M1033&gt;3),"OTT",IF($D1033&lt;=30,"ARG","APP"))))</f>
        <v/>
      </c>
      <c r="J1033" s="17" t="str">
        <f aca="false">IF($C1033="","",$N1033+$Q1033*$R1033)</f>
        <v/>
      </c>
      <c r="K1033" s="17" t="str">
        <f aca="false">IF($C1033="","",$O1033+$Q1033*$S1033)</f>
        <v/>
      </c>
      <c r="L1033" s="17" t="str">
        <f aca="false">IF($C1033="","",$J1033-$K1033-1-N($G1033))</f>
        <v/>
      </c>
      <c r="M1033" s="7" t="str">
        <f aca="false">IF($B1033="","",INDEX(Course!$B$2:$B$19,MATCH($B1033,Course!$A$2:$A$19,0)))</f>
        <v/>
      </c>
      <c r="N1033" s="17" t="str">
        <f aca="false">IF($C1033="","",IF($C1033="H",0,IF($C1033="G",INDEX(Baseline!$I$3:$I$102,MIN(MAX(ROUND($D1033,0),1),100)),IF($C1033="T",IF($M1033=3,INDEX(Baseline!$B$3:$B$122,MATCH(MIN(MAX(ROUND(($D1033)/5,0)*5,5),600),Baseline!$A$3:$A$122,0))-Inputs!$B$9,INDEX(Course!$N$2:$N$19,MATCH($B1033,Course!$A$2:$A$19,0))),INDEX(Baseline!$B$3:$E$122,MATCH(MIN(MAX(ROUND(($D1033)/5,0)*5,5),600),Baseline!$A$3:$A$122,0),MATCH($C1033,Baseline!$B$2:$E$2,0))))))</f>
        <v/>
      </c>
      <c r="O1033" s="17" t="str">
        <f aca="false">IF($C1033="","",IF($E1033="H",0,IF($E1033="G",INDEX(Baseline!$I$3:$I$102,MIN(MAX(ROUND($F1033,0),1),100)),IF($E1033="T",IF($M1033=3,INDEX(Baseline!$B$3:$B$122,MATCH(MIN(MAX(ROUND(($F1033)/5,0)*5,5),600),Baseline!$A$3:$A$122,0))-Inputs!$B$9,INDEX(Course!$N$2:$N$19,MATCH($B1033,Course!$A$2:$A$19,0))),INDEX(Baseline!$B$3:$E$122,MATCH(MIN(MAX(ROUND(($F1033)/5,0)*5,5),600),Baseline!$A$3:$A$122,0),MATCH($E1033,Baseline!$B$2:$E$2,0))))))</f>
        <v/>
      </c>
      <c r="P1033" s="17" t="str">
        <f aca="false">IF($B1033="","",INDEX(Course!$N$2:$N$19,MATCH($B1033,Course!$A$2:$A$19,0)))</f>
        <v/>
      </c>
      <c r="Q1033" s="17" t="str">
        <f aca="false">IF($B1033="","",INDEX(Course!$P$2:$P$19,MATCH($B1033,Course!$A$2:$A$19,0)))</f>
        <v/>
      </c>
      <c r="R1033" s="17" t="str">
        <f aca="false">IF($C1033="","",IF(OR($C1033="G",$C1033="H"),0,IF($C1033="T",1,MIN(1,MAX(0,($N1033-Inputs!$B$8)/MAX($P1033-Inputs!$B$8,0.01))))))</f>
        <v/>
      </c>
      <c r="S1033" s="17" t="str">
        <f aca="false">IF($C1033="","",IF(OR($E1033="G",$E1033="H"),0,IF($E1033="T",1,MIN(1,MAX(0,($O1033-Inputs!$B$8)/MAX($P1033-Inputs!$B$8,0.01))))))</f>
        <v/>
      </c>
    </row>
    <row r="1034" customFormat="false" ht="15" hidden="false" customHeight="false" outlineLevel="0" collapsed="false">
      <c r="I1034" s="7" t="str">
        <f aca="false">IF($C1034="","",IF($C1034="G","PUTT",IF(AND($C1034="T",$M1034&gt;3),"OTT",IF($D1034&lt;=30,"ARG","APP"))))</f>
        <v/>
      </c>
      <c r="J1034" s="17" t="str">
        <f aca="false">IF($C1034="","",$N1034+$Q1034*$R1034)</f>
        <v/>
      </c>
      <c r="K1034" s="17" t="str">
        <f aca="false">IF($C1034="","",$O1034+$Q1034*$S1034)</f>
        <v/>
      </c>
      <c r="L1034" s="17" t="str">
        <f aca="false">IF($C1034="","",$J1034-$K1034-1-N($G1034))</f>
        <v/>
      </c>
      <c r="M1034" s="7" t="str">
        <f aca="false">IF($B1034="","",INDEX(Course!$B$2:$B$19,MATCH($B1034,Course!$A$2:$A$19,0)))</f>
        <v/>
      </c>
      <c r="N1034" s="17" t="str">
        <f aca="false">IF($C1034="","",IF($C1034="H",0,IF($C1034="G",INDEX(Baseline!$I$3:$I$102,MIN(MAX(ROUND($D1034,0),1),100)),IF($C1034="T",IF($M1034=3,INDEX(Baseline!$B$3:$B$122,MATCH(MIN(MAX(ROUND(($D1034)/5,0)*5,5),600),Baseline!$A$3:$A$122,0))-Inputs!$B$9,INDEX(Course!$N$2:$N$19,MATCH($B1034,Course!$A$2:$A$19,0))),INDEX(Baseline!$B$3:$E$122,MATCH(MIN(MAX(ROUND(($D1034)/5,0)*5,5),600),Baseline!$A$3:$A$122,0),MATCH($C1034,Baseline!$B$2:$E$2,0))))))</f>
        <v/>
      </c>
      <c r="O1034" s="17" t="str">
        <f aca="false">IF($C1034="","",IF($E1034="H",0,IF($E1034="G",INDEX(Baseline!$I$3:$I$102,MIN(MAX(ROUND($F1034,0),1),100)),IF($E1034="T",IF($M1034=3,INDEX(Baseline!$B$3:$B$122,MATCH(MIN(MAX(ROUND(($F1034)/5,0)*5,5),600),Baseline!$A$3:$A$122,0))-Inputs!$B$9,INDEX(Course!$N$2:$N$19,MATCH($B1034,Course!$A$2:$A$19,0))),INDEX(Baseline!$B$3:$E$122,MATCH(MIN(MAX(ROUND(($F1034)/5,0)*5,5),600),Baseline!$A$3:$A$122,0),MATCH($E1034,Baseline!$B$2:$E$2,0))))))</f>
        <v/>
      </c>
      <c r="P1034" s="17" t="str">
        <f aca="false">IF($B1034="","",INDEX(Course!$N$2:$N$19,MATCH($B1034,Course!$A$2:$A$19,0)))</f>
        <v/>
      </c>
      <c r="Q1034" s="17" t="str">
        <f aca="false">IF($B1034="","",INDEX(Course!$P$2:$P$19,MATCH($B1034,Course!$A$2:$A$19,0)))</f>
        <v/>
      </c>
      <c r="R1034" s="17" t="str">
        <f aca="false">IF($C1034="","",IF(OR($C1034="G",$C1034="H"),0,IF($C1034="T",1,MIN(1,MAX(0,($N1034-Inputs!$B$8)/MAX($P1034-Inputs!$B$8,0.01))))))</f>
        <v/>
      </c>
      <c r="S1034" s="17" t="str">
        <f aca="false">IF($C1034="","",IF(OR($E1034="G",$E1034="H"),0,IF($E1034="T",1,MIN(1,MAX(0,($O1034-Inputs!$B$8)/MAX($P1034-Inputs!$B$8,0.01))))))</f>
        <v/>
      </c>
    </row>
    <row r="1035" customFormat="false" ht="15" hidden="false" customHeight="false" outlineLevel="0" collapsed="false">
      <c r="I1035" s="7" t="str">
        <f aca="false">IF($C1035="","",IF($C1035="G","PUTT",IF(AND($C1035="T",$M1035&gt;3),"OTT",IF($D1035&lt;=30,"ARG","APP"))))</f>
        <v/>
      </c>
      <c r="J1035" s="17" t="str">
        <f aca="false">IF($C1035="","",$N1035+$Q1035*$R1035)</f>
        <v/>
      </c>
      <c r="K1035" s="17" t="str">
        <f aca="false">IF($C1035="","",$O1035+$Q1035*$S1035)</f>
        <v/>
      </c>
      <c r="L1035" s="17" t="str">
        <f aca="false">IF($C1035="","",$J1035-$K1035-1-N($G1035))</f>
        <v/>
      </c>
      <c r="M1035" s="7" t="str">
        <f aca="false">IF($B1035="","",INDEX(Course!$B$2:$B$19,MATCH($B1035,Course!$A$2:$A$19,0)))</f>
        <v/>
      </c>
      <c r="N1035" s="17" t="str">
        <f aca="false">IF($C1035="","",IF($C1035="H",0,IF($C1035="G",INDEX(Baseline!$I$3:$I$102,MIN(MAX(ROUND($D1035,0),1),100)),IF($C1035="T",IF($M1035=3,INDEX(Baseline!$B$3:$B$122,MATCH(MIN(MAX(ROUND(($D1035)/5,0)*5,5),600),Baseline!$A$3:$A$122,0))-Inputs!$B$9,INDEX(Course!$N$2:$N$19,MATCH($B1035,Course!$A$2:$A$19,0))),INDEX(Baseline!$B$3:$E$122,MATCH(MIN(MAX(ROUND(($D1035)/5,0)*5,5),600),Baseline!$A$3:$A$122,0),MATCH($C1035,Baseline!$B$2:$E$2,0))))))</f>
        <v/>
      </c>
      <c r="O1035" s="17" t="str">
        <f aca="false">IF($C1035="","",IF($E1035="H",0,IF($E1035="G",INDEX(Baseline!$I$3:$I$102,MIN(MAX(ROUND($F1035,0),1),100)),IF($E1035="T",IF($M1035=3,INDEX(Baseline!$B$3:$B$122,MATCH(MIN(MAX(ROUND(($F1035)/5,0)*5,5),600),Baseline!$A$3:$A$122,0))-Inputs!$B$9,INDEX(Course!$N$2:$N$19,MATCH($B1035,Course!$A$2:$A$19,0))),INDEX(Baseline!$B$3:$E$122,MATCH(MIN(MAX(ROUND(($F1035)/5,0)*5,5),600),Baseline!$A$3:$A$122,0),MATCH($E1035,Baseline!$B$2:$E$2,0))))))</f>
        <v/>
      </c>
      <c r="P1035" s="17" t="str">
        <f aca="false">IF($B1035="","",INDEX(Course!$N$2:$N$19,MATCH($B1035,Course!$A$2:$A$19,0)))</f>
        <v/>
      </c>
      <c r="Q1035" s="17" t="str">
        <f aca="false">IF($B1035="","",INDEX(Course!$P$2:$P$19,MATCH($B1035,Course!$A$2:$A$19,0)))</f>
        <v/>
      </c>
      <c r="R1035" s="17" t="str">
        <f aca="false">IF($C1035="","",IF(OR($C1035="G",$C1035="H"),0,IF($C1035="T",1,MIN(1,MAX(0,($N1035-Inputs!$B$8)/MAX($P1035-Inputs!$B$8,0.01))))))</f>
        <v/>
      </c>
      <c r="S1035" s="17" t="str">
        <f aca="false">IF($C1035="","",IF(OR($E1035="G",$E1035="H"),0,IF($E1035="T",1,MIN(1,MAX(0,($O1035-Inputs!$B$8)/MAX($P1035-Inputs!$B$8,0.01))))))</f>
        <v/>
      </c>
    </row>
    <row r="1036" customFormat="false" ht="15" hidden="false" customHeight="false" outlineLevel="0" collapsed="false">
      <c r="I1036" s="7" t="str">
        <f aca="false">IF($C1036="","",IF($C1036="G","PUTT",IF(AND($C1036="T",$M1036&gt;3),"OTT",IF($D1036&lt;=30,"ARG","APP"))))</f>
        <v/>
      </c>
      <c r="J1036" s="17" t="str">
        <f aca="false">IF($C1036="","",$N1036+$Q1036*$R1036)</f>
        <v/>
      </c>
      <c r="K1036" s="17" t="str">
        <f aca="false">IF($C1036="","",$O1036+$Q1036*$S1036)</f>
        <v/>
      </c>
      <c r="L1036" s="17" t="str">
        <f aca="false">IF($C1036="","",$J1036-$K1036-1-N($G1036))</f>
        <v/>
      </c>
      <c r="M1036" s="7" t="str">
        <f aca="false">IF($B1036="","",INDEX(Course!$B$2:$B$19,MATCH($B1036,Course!$A$2:$A$19,0)))</f>
        <v/>
      </c>
      <c r="N1036" s="17" t="str">
        <f aca="false">IF($C1036="","",IF($C1036="H",0,IF($C1036="G",INDEX(Baseline!$I$3:$I$102,MIN(MAX(ROUND($D1036,0),1),100)),IF($C1036="T",IF($M1036=3,INDEX(Baseline!$B$3:$B$122,MATCH(MIN(MAX(ROUND(($D1036)/5,0)*5,5),600),Baseline!$A$3:$A$122,0))-Inputs!$B$9,INDEX(Course!$N$2:$N$19,MATCH($B1036,Course!$A$2:$A$19,0))),INDEX(Baseline!$B$3:$E$122,MATCH(MIN(MAX(ROUND(($D1036)/5,0)*5,5),600),Baseline!$A$3:$A$122,0),MATCH($C1036,Baseline!$B$2:$E$2,0))))))</f>
        <v/>
      </c>
      <c r="O1036" s="17" t="str">
        <f aca="false">IF($C1036="","",IF($E1036="H",0,IF($E1036="G",INDEX(Baseline!$I$3:$I$102,MIN(MAX(ROUND($F1036,0),1),100)),IF($E1036="T",IF($M1036=3,INDEX(Baseline!$B$3:$B$122,MATCH(MIN(MAX(ROUND(($F1036)/5,0)*5,5),600),Baseline!$A$3:$A$122,0))-Inputs!$B$9,INDEX(Course!$N$2:$N$19,MATCH($B1036,Course!$A$2:$A$19,0))),INDEX(Baseline!$B$3:$E$122,MATCH(MIN(MAX(ROUND(($F1036)/5,0)*5,5),600),Baseline!$A$3:$A$122,0),MATCH($E1036,Baseline!$B$2:$E$2,0))))))</f>
        <v/>
      </c>
      <c r="P1036" s="17" t="str">
        <f aca="false">IF($B1036="","",INDEX(Course!$N$2:$N$19,MATCH($B1036,Course!$A$2:$A$19,0)))</f>
        <v/>
      </c>
      <c r="Q1036" s="17" t="str">
        <f aca="false">IF($B1036="","",INDEX(Course!$P$2:$P$19,MATCH($B1036,Course!$A$2:$A$19,0)))</f>
        <v/>
      </c>
      <c r="R1036" s="17" t="str">
        <f aca="false">IF($C1036="","",IF(OR($C1036="G",$C1036="H"),0,IF($C1036="T",1,MIN(1,MAX(0,($N1036-Inputs!$B$8)/MAX($P1036-Inputs!$B$8,0.01))))))</f>
        <v/>
      </c>
      <c r="S1036" s="17" t="str">
        <f aca="false">IF($C1036="","",IF(OR($E1036="G",$E1036="H"),0,IF($E1036="T",1,MIN(1,MAX(0,($O1036-Inputs!$B$8)/MAX($P1036-Inputs!$B$8,0.01))))))</f>
        <v/>
      </c>
    </row>
    <row r="1037" customFormat="false" ht="15" hidden="false" customHeight="false" outlineLevel="0" collapsed="false">
      <c r="I1037" s="7" t="str">
        <f aca="false">IF($C1037="","",IF($C1037="G","PUTT",IF(AND($C1037="T",$M1037&gt;3),"OTT",IF($D1037&lt;=30,"ARG","APP"))))</f>
        <v/>
      </c>
      <c r="J1037" s="17" t="str">
        <f aca="false">IF($C1037="","",$N1037+$Q1037*$R1037)</f>
        <v/>
      </c>
      <c r="K1037" s="17" t="str">
        <f aca="false">IF($C1037="","",$O1037+$Q1037*$S1037)</f>
        <v/>
      </c>
      <c r="L1037" s="17" t="str">
        <f aca="false">IF($C1037="","",$J1037-$K1037-1-N($G1037))</f>
        <v/>
      </c>
      <c r="M1037" s="7" t="str">
        <f aca="false">IF($B1037="","",INDEX(Course!$B$2:$B$19,MATCH($B1037,Course!$A$2:$A$19,0)))</f>
        <v/>
      </c>
      <c r="N1037" s="17" t="str">
        <f aca="false">IF($C1037="","",IF($C1037="H",0,IF($C1037="G",INDEX(Baseline!$I$3:$I$102,MIN(MAX(ROUND($D1037,0),1),100)),IF($C1037="T",IF($M1037=3,INDEX(Baseline!$B$3:$B$122,MATCH(MIN(MAX(ROUND(($D1037)/5,0)*5,5),600),Baseline!$A$3:$A$122,0))-Inputs!$B$9,INDEX(Course!$N$2:$N$19,MATCH($B1037,Course!$A$2:$A$19,0))),INDEX(Baseline!$B$3:$E$122,MATCH(MIN(MAX(ROUND(($D1037)/5,0)*5,5),600),Baseline!$A$3:$A$122,0),MATCH($C1037,Baseline!$B$2:$E$2,0))))))</f>
        <v/>
      </c>
      <c r="O1037" s="17" t="str">
        <f aca="false">IF($C1037="","",IF($E1037="H",0,IF($E1037="G",INDEX(Baseline!$I$3:$I$102,MIN(MAX(ROUND($F1037,0),1),100)),IF($E1037="T",IF($M1037=3,INDEX(Baseline!$B$3:$B$122,MATCH(MIN(MAX(ROUND(($F1037)/5,0)*5,5),600),Baseline!$A$3:$A$122,0))-Inputs!$B$9,INDEX(Course!$N$2:$N$19,MATCH($B1037,Course!$A$2:$A$19,0))),INDEX(Baseline!$B$3:$E$122,MATCH(MIN(MAX(ROUND(($F1037)/5,0)*5,5),600),Baseline!$A$3:$A$122,0),MATCH($E1037,Baseline!$B$2:$E$2,0))))))</f>
        <v/>
      </c>
      <c r="P1037" s="17" t="str">
        <f aca="false">IF($B1037="","",INDEX(Course!$N$2:$N$19,MATCH($B1037,Course!$A$2:$A$19,0)))</f>
        <v/>
      </c>
      <c r="Q1037" s="17" t="str">
        <f aca="false">IF($B1037="","",INDEX(Course!$P$2:$P$19,MATCH($B1037,Course!$A$2:$A$19,0)))</f>
        <v/>
      </c>
      <c r="R1037" s="17" t="str">
        <f aca="false">IF($C1037="","",IF(OR($C1037="G",$C1037="H"),0,IF($C1037="T",1,MIN(1,MAX(0,($N1037-Inputs!$B$8)/MAX($P1037-Inputs!$B$8,0.01))))))</f>
        <v/>
      </c>
      <c r="S1037" s="17" t="str">
        <f aca="false">IF($C1037="","",IF(OR($E1037="G",$E1037="H"),0,IF($E1037="T",1,MIN(1,MAX(0,($O1037-Inputs!$B$8)/MAX($P1037-Inputs!$B$8,0.01))))))</f>
        <v/>
      </c>
    </row>
    <row r="1038" customFormat="false" ht="15" hidden="false" customHeight="false" outlineLevel="0" collapsed="false">
      <c r="I1038" s="7" t="str">
        <f aca="false">IF($C1038="","",IF($C1038="G","PUTT",IF(AND($C1038="T",$M1038&gt;3),"OTT",IF($D1038&lt;=30,"ARG","APP"))))</f>
        <v/>
      </c>
      <c r="J1038" s="17" t="str">
        <f aca="false">IF($C1038="","",$N1038+$Q1038*$R1038)</f>
        <v/>
      </c>
      <c r="K1038" s="17" t="str">
        <f aca="false">IF($C1038="","",$O1038+$Q1038*$S1038)</f>
        <v/>
      </c>
      <c r="L1038" s="17" t="str">
        <f aca="false">IF($C1038="","",$J1038-$K1038-1-N($G1038))</f>
        <v/>
      </c>
      <c r="M1038" s="7" t="str">
        <f aca="false">IF($B1038="","",INDEX(Course!$B$2:$B$19,MATCH($B1038,Course!$A$2:$A$19,0)))</f>
        <v/>
      </c>
      <c r="N1038" s="17" t="str">
        <f aca="false">IF($C1038="","",IF($C1038="H",0,IF($C1038="G",INDEX(Baseline!$I$3:$I$102,MIN(MAX(ROUND($D1038,0),1),100)),IF($C1038="T",IF($M1038=3,INDEX(Baseline!$B$3:$B$122,MATCH(MIN(MAX(ROUND(($D1038)/5,0)*5,5),600),Baseline!$A$3:$A$122,0))-Inputs!$B$9,INDEX(Course!$N$2:$N$19,MATCH($B1038,Course!$A$2:$A$19,0))),INDEX(Baseline!$B$3:$E$122,MATCH(MIN(MAX(ROUND(($D1038)/5,0)*5,5),600),Baseline!$A$3:$A$122,0),MATCH($C1038,Baseline!$B$2:$E$2,0))))))</f>
        <v/>
      </c>
      <c r="O1038" s="17" t="str">
        <f aca="false">IF($C1038="","",IF($E1038="H",0,IF($E1038="G",INDEX(Baseline!$I$3:$I$102,MIN(MAX(ROUND($F1038,0),1),100)),IF($E1038="T",IF($M1038=3,INDEX(Baseline!$B$3:$B$122,MATCH(MIN(MAX(ROUND(($F1038)/5,0)*5,5),600),Baseline!$A$3:$A$122,0))-Inputs!$B$9,INDEX(Course!$N$2:$N$19,MATCH($B1038,Course!$A$2:$A$19,0))),INDEX(Baseline!$B$3:$E$122,MATCH(MIN(MAX(ROUND(($F1038)/5,0)*5,5),600),Baseline!$A$3:$A$122,0),MATCH($E1038,Baseline!$B$2:$E$2,0))))))</f>
        <v/>
      </c>
      <c r="P1038" s="17" t="str">
        <f aca="false">IF($B1038="","",INDEX(Course!$N$2:$N$19,MATCH($B1038,Course!$A$2:$A$19,0)))</f>
        <v/>
      </c>
      <c r="Q1038" s="17" t="str">
        <f aca="false">IF($B1038="","",INDEX(Course!$P$2:$P$19,MATCH($B1038,Course!$A$2:$A$19,0)))</f>
        <v/>
      </c>
      <c r="R1038" s="17" t="str">
        <f aca="false">IF($C1038="","",IF(OR($C1038="G",$C1038="H"),0,IF($C1038="T",1,MIN(1,MAX(0,($N1038-Inputs!$B$8)/MAX($P1038-Inputs!$B$8,0.01))))))</f>
        <v/>
      </c>
      <c r="S1038" s="17" t="str">
        <f aca="false">IF($C1038="","",IF(OR($E1038="G",$E1038="H"),0,IF($E1038="T",1,MIN(1,MAX(0,($O1038-Inputs!$B$8)/MAX($P1038-Inputs!$B$8,0.01))))))</f>
        <v/>
      </c>
    </row>
    <row r="1039" customFormat="false" ht="15" hidden="false" customHeight="false" outlineLevel="0" collapsed="false">
      <c r="I1039" s="7" t="str">
        <f aca="false">IF($C1039="","",IF($C1039="G","PUTT",IF(AND($C1039="T",$M1039&gt;3),"OTT",IF($D1039&lt;=30,"ARG","APP"))))</f>
        <v/>
      </c>
      <c r="J1039" s="17" t="str">
        <f aca="false">IF($C1039="","",$N1039+$Q1039*$R1039)</f>
        <v/>
      </c>
      <c r="K1039" s="17" t="str">
        <f aca="false">IF($C1039="","",$O1039+$Q1039*$S1039)</f>
        <v/>
      </c>
      <c r="L1039" s="17" t="str">
        <f aca="false">IF($C1039="","",$J1039-$K1039-1-N($G1039))</f>
        <v/>
      </c>
      <c r="M1039" s="7" t="str">
        <f aca="false">IF($B1039="","",INDEX(Course!$B$2:$B$19,MATCH($B1039,Course!$A$2:$A$19,0)))</f>
        <v/>
      </c>
      <c r="N1039" s="17" t="str">
        <f aca="false">IF($C1039="","",IF($C1039="H",0,IF($C1039="G",INDEX(Baseline!$I$3:$I$102,MIN(MAX(ROUND($D1039,0),1),100)),IF($C1039="T",IF($M1039=3,INDEX(Baseline!$B$3:$B$122,MATCH(MIN(MAX(ROUND(($D1039)/5,0)*5,5),600),Baseline!$A$3:$A$122,0))-Inputs!$B$9,INDEX(Course!$N$2:$N$19,MATCH($B1039,Course!$A$2:$A$19,0))),INDEX(Baseline!$B$3:$E$122,MATCH(MIN(MAX(ROUND(($D1039)/5,0)*5,5),600),Baseline!$A$3:$A$122,0),MATCH($C1039,Baseline!$B$2:$E$2,0))))))</f>
        <v/>
      </c>
      <c r="O1039" s="17" t="str">
        <f aca="false">IF($C1039="","",IF($E1039="H",0,IF($E1039="G",INDEX(Baseline!$I$3:$I$102,MIN(MAX(ROUND($F1039,0),1),100)),IF($E1039="T",IF($M1039=3,INDEX(Baseline!$B$3:$B$122,MATCH(MIN(MAX(ROUND(($F1039)/5,0)*5,5),600),Baseline!$A$3:$A$122,0))-Inputs!$B$9,INDEX(Course!$N$2:$N$19,MATCH($B1039,Course!$A$2:$A$19,0))),INDEX(Baseline!$B$3:$E$122,MATCH(MIN(MAX(ROUND(($F1039)/5,0)*5,5),600),Baseline!$A$3:$A$122,0),MATCH($E1039,Baseline!$B$2:$E$2,0))))))</f>
        <v/>
      </c>
      <c r="P1039" s="17" t="str">
        <f aca="false">IF($B1039="","",INDEX(Course!$N$2:$N$19,MATCH($B1039,Course!$A$2:$A$19,0)))</f>
        <v/>
      </c>
      <c r="Q1039" s="17" t="str">
        <f aca="false">IF($B1039="","",INDEX(Course!$P$2:$P$19,MATCH($B1039,Course!$A$2:$A$19,0)))</f>
        <v/>
      </c>
      <c r="R1039" s="17" t="str">
        <f aca="false">IF($C1039="","",IF(OR($C1039="G",$C1039="H"),0,IF($C1039="T",1,MIN(1,MAX(0,($N1039-Inputs!$B$8)/MAX($P1039-Inputs!$B$8,0.01))))))</f>
        <v/>
      </c>
      <c r="S1039" s="17" t="str">
        <f aca="false">IF($C1039="","",IF(OR($E1039="G",$E1039="H"),0,IF($E1039="T",1,MIN(1,MAX(0,($O1039-Inputs!$B$8)/MAX($P1039-Inputs!$B$8,0.01))))))</f>
        <v/>
      </c>
    </row>
    <row r="1040" customFormat="false" ht="15" hidden="false" customHeight="false" outlineLevel="0" collapsed="false">
      <c r="I1040" s="7" t="str">
        <f aca="false">IF($C1040="","",IF($C1040="G","PUTT",IF(AND($C1040="T",$M1040&gt;3),"OTT",IF($D1040&lt;=30,"ARG","APP"))))</f>
        <v/>
      </c>
      <c r="J1040" s="17" t="str">
        <f aca="false">IF($C1040="","",$N1040+$Q1040*$R1040)</f>
        <v/>
      </c>
      <c r="K1040" s="17" t="str">
        <f aca="false">IF($C1040="","",$O1040+$Q1040*$S1040)</f>
        <v/>
      </c>
      <c r="L1040" s="17" t="str">
        <f aca="false">IF($C1040="","",$J1040-$K1040-1-N($G1040))</f>
        <v/>
      </c>
      <c r="M1040" s="7" t="str">
        <f aca="false">IF($B1040="","",INDEX(Course!$B$2:$B$19,MATCH($B1040,Course!$A$2:$A$19,0)))</f>
        <v/>
      </c>
      <c r="N1040" s="17" t="str">
        <f aca="false">IF($C1040="","",IF($C1040="H",0,IF($C1040="G",INDEX(Baseline!$I$3:$I$102,MIN(MAX(ROUND($D1040,0),1),100)),IF($C1040="T",IF($M1040=3,INDEX(Baseline!$B$3:$B$122,MATCH(MIN(MAX(ROUND(($D1040)/5,0)*5,5),600),Baseline!$A$3:$A$122,0))-Inputs!$B$9,INDEX(Course!$N$2:$N$19,MATCH($B1040,Course!$A$2:$A$19,0))),INDEX(Baseline!$B$3:$E$122,MATCH(MIN(MAX(ROUND(($D1040)/5,0)*5,5),600),Baseline!$A$3:$A$122,0),MATCH($C1040,Baseline!$B$2:$E$2,0))))))</f>
        <v/>
      </c>
      <c r="O1040" s="17" t="str">
        <f aca="false">IF($C1040="","",IF($E1040="H",0,IF($E1040="G",INDEX(Baseline!$I$3:$I$102,MIN(MAX(ROUND($F1040,0),1),100)),IF($E1040="T",IF($M1040=3,INDEX(Baseline!$B$3:$B$122,MATCH(MIN(MAX(ROUND(($F1040)/5,0)*5,5),600),Baseline!$A$3:$A$122,0))-Inputs!$B$9,INDEX(Course!$N$2:$N$19,MATCH($B1040,Course!$A$2:$A$19,0))),INDEX(Baseline!$B$3:$E$122,MATCH(MIN(MAX(ROUND(($F1040)/5,0)*5,5),600),Baseline!$A$3:$A$122,0),MATCH($E1040,Baseline!$B$2:$E$2,0))))))</f>
        <v/>
      </c>
      <c r="P1040" s="17" t="str">
        <f aca="false">IF($B1040="","",INDEX(Course!$N$2:$N$19,MATCH($B1040,Course!$A$2:$A$19,0)))</f>
        <v/>
      </c>
      <c r="Q1040" s="17" t="str">
        <f aca="false">IF($B1040="","",INDEX(Course!$P$2:$P$19,MATCH($B1040,Course!$A$2:$A$19,0)))</f>
        <v/>
      </c>
      <c r="R1040" s="17" t="str">
        <f aca="false">IF($C1040="","",IF(OR($C1040="G",$C1040="H"),0,IF($C1040="T",1,MIN(1,MAX(0,($N1040-Inputs!$B$8)/MAX($P1040-Inputs!$B$8,0.01))))))</f>
        <v/>
      </c>
      <c r="S1040" s="17" t="str">
        <f aca="false">IF($C1040="","",IF(OR($E1040="G",$E1040="H"),0,IF($E1040="T",1,MIN(1,MAX(0,($O1040-Inputs!$B$8)/MAX($P1040-Inputs!$B$8,0.01))))))</f>
        <v/>
      </c>
    </row>
    <row r="1041" customFormat="false" ht="15" hidden="false" customHeight="false" outlineLevel="0" collapsed="false">
      <c r="I1041" s="7" t="str">
        <f aca="false">IF($C1041="","",IF($C1041="G","PUTT",IF(AND($C1041="T",$M1041&gt;3),"OTT",IF($D1041&lt;=30,"ARG","APP"))))</f>
        <v/>
      </c>
      <c r="J1041" s="17" t="str">
        <f aca="false">IF($C1041="","",$N1041+$Q1041*$R1041)</f>
        <v/>
      </c>
      <c r="K1041" s="17" t="str">
        <f aca="false">IF($C1041="","",$O1041+$Q1041*$S1041)</f>
        <v/>
      </c>
      <c r="L1041" s="17" t="str">
        <f aca="false">IF($C1041="","",$J1041-$K1041-1-N($G1041))</f>
        <v/>
      </c>
      <c r="M1041" s="7" t="str">
        <f aca="false">IF($B1041="","",INDEX(Course!$B$2:$B$19,MATCH($B1041,Course!$A$2:$A$19,0)))</f>
        <v/>
      </c>
      <c r="N1041" s="17" t="str">
        <f aca="false">IF($C1041="","",IF($C1041="H",0,IF($C1041="G",INDEX(Baseline!$I$3:$I$102,MIN(MAX(ROUND($D1041,0),1),100)),IF($C1041="T",IF($M1041=3,INDEX(Baseline!$B$3:$B$122,MATCH(MIN(MAX(ROUND(($D1041)/5,0)*5,5),600),Baseline!$A$3:$A$122,0))-Inputs!$B$9,INDEX(Course!$N$2:$N$19,MATCH($B1041,Course!$A$2:$A$19,0))),INDEX(Baseline!$B$3:$E$122,MATCH(MIN(MAX(ROUND(($D1041)/5,0)*5,5),600),Baseline!$A$3:$A$122,0),MATCH($C1041,Baseline!$B$2:$E$2,0))))))</f>
        <v/>
      </c>
      <c r="O1041" s="17" t="str">
        <f aca="false">IF($C1041="","",IF($E1041="H",0,IF($E1041="G",INDEX(Baseline!$I$3:$I$102,MIN(MAX(ROUND($F1041,0),1),100)),IF($E1041="T",IF($M1041=3,INDEX(Baseline!$B$3:$B$122,MATCH(MIN(MAX(ROUND(($F1041)/5,0)*5,5),600),Baseline!$A$3:$A$122,0))-Inputs!$B$9,INDEX(Course!$N$2:$N$19,MATCH($B1041,Course!$A$2:$A$19,0))),INDEX(Baseline!$B$3:$E$122,MATCH(MIN(MAX(ROUND(($F1041)/5,0)*5,5),600),Baseline!$A$3:$A$122,0),MATCH($E1041,Baseline!$B$2:$E$2,0))))))</f>
        <v/>
      </c>
      <c r="P1041" s="17" t="str">
        <f aca="false">IF($B1041="","",INDEX(Course!$N$2:$N$19,MATCH($B1041,Course!$A$2:$A$19,0)))</f>
        <v/>
      </c>
      <c r="Q1041" s="17" t="str">
        <f aca="false">IF($B1041="","",INDEX(Course!$P$2:$P$19,MATCH($B1041,Course!$A$2:$A$19,0)))</f>
        <v/>
      </c>
      <c r="R1041" s="17" t="str">
        <f aca="false">IF($C1041="","",IF(OR($C1041="G",$C1041="H"),0,IF($C1041="T",1,MIN(1,MAX(0,($N1041-Inputs!$B$8)/MAX($P1041-Inputs!$B$8,0.01))))))</f>
        <v/>
      </c>
      <c r="S1041" s="17" t="str">
        <f aca="false">IF($C1041="","",IF(OR($E1041="G",$E1041="H"),0,IF($E1041="T",1,MIN(1,MAX(0,($O1041-Inputs!$B$8)/MAX($P1041-Inputs!$B$8,0.01))))))</f>
        <v/>
      </c>
    </row>
    <row r="1042" customFormat="false" ht="15" hidden="false" customHeight="false" outlineLevel="0" collapsed="false">
      <c r="I1042" s="7" t="str">
        <f aca="false">IF($C1042="","",IF($C1042="G","PUTT",IF(AND($C1042="T",$M1042&gt;3),"OTT",IF($D1042&lt;=30,"ARG","APP"))))</f>
        <v/>
      </c>
      <c r="J1042" s="17" t="str">
        <f aca="false">IF($C1042="","",$N1042+$Q1042*$R1042)</f>
        <v/>
      </c>
      <c r="K1042" s="17" t="str">
        <f aca="false">IF($C1042="","",$O1042+$Q1042*$S1042)</f>
        <v/>
      </c>
      <c r="L1042" s="17" t="str">
        <f aca="false">IF($C1042="","",$J1042-$K1042-1-N($G1042))</f>
        <v/>
      </c>
      <c r="M1042" s="7" t="str">
        <f aca="false">IF($B1042="","",INDEX(Course!$B$2:$B$19,MATCH($B1042,Course!$A$2:$A$19,0)))</f>
        <v/>
      </c>
      <c r="N1042" s="17" t="str">
        <f aca="false">IF($C1042="","",IF($C1042="H",0,IF($C1042="G",INDEX(Baseline!$I$3:$I$102,MIN(MAX(ROUND($D1042,0),1),100)),IF($C1042="T",IF($M1042=3,INDEX(Baseline!$B$3:$B$122,MATCH(MIN(MAX(ROUND(($D1042)/5,0)*5,5),600),Baseline!$A$3:$A$122,0))-Inputs!$B$9,INDEX(Course!$N$2:$N$19,MATCH($B1042,Course!$A$2:$A$19,0))),INDEX(Baseline!$B$3:$E$122,MATCH(MIN(MAX(ROUND(($D1042)/5,0)*5,5),600),Baseline!$A$3:$A$122,0),MATCH($C1042,Baseline!$B$2:$E$2,0))))))</f>
        <v/>
      </c>
      <c r="O1042" s="17" t="str">
        <f aca="false">IF($C1042="","",IF($E1042="H",0,IF($E1042="G",INDEX(Baseline!$I$3:$I$102,MIN(MAX(ROUND($F1042,0),1),100)),IF($E1042="T",IF($M1042=3,INDEX(Baseline!$B$3:$B$122,MATCH(MIN(MAX(ROUND(($F1042)/5,0)*5,5),600),Baseline!$A$3:$A$122,0))-Inputs!$B$9,INDEX(Course!$N$2:$N$19,MATCH($B1042,Course!$A$2:$A$19,0))),INDEX(Baseline!$B$3:$E$122,MATCH(MIN(MAX(ROUND(($F1042)/5,0)*5,5),600),Baseline!$A$3:$A$122,0),MATCH($E1042,Baseline!$B$2:$E$2,0))))))</f>
        <v/>
      </c>
      <c r="P1042" s="17" t="str">
        <f aca="false">IF($B1042="","",INDEX(Course!$N$2:$N$19,MATCH($B1042,Course!$A$2:$A$19,0)))</f>
        <v/>
      </c>
      <c r="Q1042" s="17" t="str">
        <f aca="false">IF($B1042="","",INDEX(Course!$P$2:$P$19,MATCH($B1042,Course!$A$2:$A$19,0)))</f>
        <v/>
      </c>
      <c r="R1042" s="17" t="str">
        <f aca="false">IF($C1042="","",IF(OR($C1042="G",$C1042="H"),0,IF($C1042="T",1,MIN(1,MAX(0,($N1042-Inputs!$B$8)/MAX($P1042-Inputs!$B$8,0.01))))))</f>
        <v/>
      </c>
      <c r="S1042" s="17" t="str">
        <f aca="false">IF($C1042="","",IF(OR($E1042="G",$E1042="H"),0,IF($E1042="T",1,MIN(1,MAX(0,($O1042-Inputs!$B$8)/MAX($P1042-Inputs!$B$8,0.01))))))</f>
        <v/>
      </c>
    </row>
    <row r="1043" customFormat="false" ht="15" hidden="false" customHeight="false" outlineLevel="0" collapsed="false">
      <c r="I1043" s="7" t="str">
        <f aca="false">IF($C1043="","",IF($C1043="G","PUTT",IF(AND($C1043="T",$M1043&gt;3),"OTT",IF($D1043&lt;=30,"ARG","APP"))))</f>
        <v/>
      </c>
      <c r="J1043" s="17" t="str">
        <f aca="false">IF($C1043="","",$N1043+$Q1043*$R1043)</f>
        <v/>
      </c>
      <c r="K1043" s="17" t="str">
        <f aca="false">IF($C1043="","",$O1043+$Q1043*$S1043)</f>
        <v/>
      </c>
      <c r="L1043" s="17" t="str">
        <f aca="false">IF($C1043="","",$J1043-$K1043-1-N($G1043))</f>
        <v/>
      </c>
      <c r="M1043" s="7" t="str">
        <f aca="false">IF($B1043="","",INDEX(Course!$B$2:$B$19,MATCH($B1043,Course!$A$2:$A$19,0)))</f>
        <v/>
      </c>
      <c r="N1043" s="17" t="str">
        <f aca="false">IF($C1043="","",IF($C1043="H",0,IF($C1043="G",INDEX(Baseline!$I$3:$I$102,MIN(MAX(ROUND($D1043,0),1),100)),IF($C1043="T",IF($M1043=3,INDEX(Baseline!$B$3:$B$122,MATCH(MIN(MAX(ROUND(($D1043)/5,0)*5,5),600),Baseline!$A$3:$A$122,0))-Inputs!$B$9,INDEX(Course!$N$2:$N$19,MATCH($B1043,Course!$A$2:$A$19,0))),INDEX(Baseline!$B$3:$E$122,MATCH(MIN(MAX(ROUND(($D1043)/5,0)*5,5),600),Baseline!$A$3:$A$122,0),MATCH($C1043,Baseline!$B$2:$E$2,0))))))</f>
        <v/>
      </c>
      <c r="O1043" s="17" t="str">
        <f aca="false">IF($C1043="","",IF($E1043="H",0,IF($E1043="G",INDEX(Baseline!$I$3:$I$102,MIN(MAX(ROUND($F1043,0),1),100)),IF($E1043="T",IF($M1043=3,INDEX(Baseline!$B$3:$B$122,MATCH(MIN(MAX(ROUND(($F1043)/5,0)*5,5),600),Baseline!$A$3:$A$122,0))-Inputs!$B$9,INDEX(Course!$N$2:$N$19,MATCH($B1043,Course!$A$2:$A$19,0))),INDEX(Baseline!$B$3:$E$122,MATCH(MIN(MAX(ROUND(($F1043)/5,0)*5,5),600),Baseline!$A$3:$A$122,0),MATCH($E1043,Baseline!$B$2:$E$2,0))))))</f>
        <v/>
      </c>
      <c r="P1043" s="17" t="str">
        <f aca="false">IF($B1043="","",INDEX(Course!$N$2:$N$19,MATCH($B1043,Course!$A$2:$A$19,0)))</f>
        <v/>
      </c>
      <c r="Q1043" s="17" t="str">
        <f aca="false">IF($B1043="","",INDEX(Course!$P$2:$P$19,MATCH($B1043,Course!$A$2:$A$19,0)))</f>
        <v/>
      </c>
      <c r="R1043" s="17" t="str">
        <f aca="false">IF($C1043="","",IF(OR($C1043="G",$C1043="H"),0,IF($C1043="T",1,MIN(1,MAX(0,($N1043-Inputs!$B$8)/MAX($P1043-Inputs!$B$8,0.01))))))</f>
        <v/>
      </c>
      <c r="S1043" s="17" t="str">
        <f aca="false">IF($C1043="","",IF(OR($E1043="G",$E1043="H"),0,IF($E1043="T",1,MIN(1,MAX(0,($O1043-Inputs!$B$8)/MAX($P1043-Inputs!$B$8,0.01))))))</f>
        <v/>
      </c>
    </row>
    <row r="1044" customFormat="false" ht="15" hidden="false" customHeight="false" outlineLevel="0" collapsed="false">
      <c r="I1044" s="7" t="str">
        <f aca="false">IF($C1044="","",IF($C1044="G","PUTT",IF(AND($C1044="T",$M1044&gt;3),"OTT",IF($D1044&lt;=30,"ARG","APP"))))</f>
        <v/>
      </c>
      <c r="J1044" s="17" t="str">
        <f aca="false">IF($C1044="","",$N1044+$Q1044*$R1044)</f>
        <v/>
      </c>
      <c r="K1044" s="17" t="str">
        <f aca="false">IF($C1044="","",$O1044+$Q1044*$S1044)</f>
        <v/>
      </c>
      <c r="L1044" s="17" t="str">
        <f aca="false">IF($C1044="","",$J1044-$K1044-1-N($G1044))</f>
        <v/>
      </c>
      <c r="M1044" s="7" t="str">
        <f aca="false">IF($B1044="","",INDEX(Course!$B$2:$B$19,MATCH($B1044,Course!$A$2:$A$19,0)))</f>
        <v/>
      </c>
      <c r="N1044" s="17" t="str">
        <f aca="false">IF($C1044="","",IF($C1044="H",0,IF($C1044="G",INDEX(Baseline!$I$3:$I$102,MIN(MAX(ROUND($D1044,0),1),100)),IF($C1044="T",IF($M1044=3,INDEX(Baseline!$B$3:$B$122,MATCH(MIN(MAX(ROUND(($D1044)/5,0)*5,5),600),Baseline!$A$3:$A$122,0))-Inputs!$B$9,INDEX(Course!$N$2:$N$19,MATCH($B1044,Course!$A$2:$A$19,0))),INDEX(Baseline!$B$3:$E$122,MATCH(MIN(MAX(ROUND(($D1044)/5,0)*5,5),600),Baseline!$A$3:$A$122,0),MATCH($C1044,Baseline!$B$2:$E$2,0))))))</f>
        <v/>
      </c>
      <c r="O1044" s="17" t="str">
        <f aca="false">IF($C1044="","",IF($E1044="H",0,IF($E1044="G",INDEX(Baseline!$I$3:$I$102,MIN(MAX(ROUND($F1044,0),1),100)),IF($E1044="T",IF($M1044=3,INDEX(Baseline!$B$3:$B$122,MATCH(MIN(MAX(ROUND(($F1044)/5,0)*5,5),600),Baseline!$A$3:$A$122,0))-Inputs!$B$9,INDEX(Course!$N$2:$N$19,MATCH($B1044,Course!$A$2:$A$19,0))),INDEX(Baseline!$B$3:$E$122,MATCH(MIN(MAX(ROUND(($F1044)/5,0)*5,5),600),Baseline!$A$3:$A$122,0),MATCH($E1044,Baseline!$B$2:$E$2,0))))))</f>
        <v/>
      </c>
      <c r="P1044" s="17" t="str">
        <f aca="false">IF($B1044="","",INDEX(Course!$N$2:$N$19,MATCH($B1044,Course!$A$2:$A$19,0)))</f>
        <v/>
      </c>
      <c r="Q1044" s="17" t="str">
        <f aca="false">IF($B1044="","",INDEX(Course!$P$2:$P$19,MATCH($B1044,Course!$A$2:$A$19,0)))</f>
        <v/>
      </c>
      <c r="R1044" s="17" t="str">
        <f aca="false">IF($C1044="","",IF(OR($C1044="G",$C1044="H"),0,IF($C1044="T",1,MIN(1,MAX(0,($N1044-Inputs!$B$8)/MAX($P1044-Inputs!$B$8,0.01))))))</f>
        <v/>
      </c>
      <c r="S1044" s="17" t="str">
        <f aca="false">IF($C1044="","",IF(OR($E1044="G",$E1044="H"),0,IF($E1044="T",1,MIN(1,MAX(0,($O1044-Inputs!$B$8)/MAX($P1044-Inputs!$B$8,0.01))))))</f>
        <v/>
      </c>
    </row>
    <row r="1045" customFormat="false" ht="15" hidden="false" customHeight="false" outlineLevel="0" collapsed="false">
      <c r="I1045" s="7" t="str">
        <f aca="false">IF($C1045="","",IF($C1045="G","PUTT",IF(AND($C1045="T",$M1045&gt;3),"OTT",IF($D1045&lt;=30,"ARG","APP"))))</f>
        <v/>
      </c>
      <c r="J1045" s="17" t="str">
        <f aca="false">IF($C1045="","",$N1045+$Q1045*$R1045)</f>
        <v/>
      </c>
      <c r="K1045" s="17" t="str">
        <f aca="false">IF($C1045="","",$O1045+$Q1045*$S1045)</f>
        <v/>
      </c>
      <c r="L1045" s="17" t="str">
        <f aca="false">IF($C1045="","",$J1045-$K1045-1-N($G1045))</f>
        <v/>
      </c>
      <c r="M1045" s="7" t="str">
        <f aca="false">IF($B1045="","",INDEX(Course!$B$2:$B$19,MATCH($B1045,Course!$A$2:$A$19,0)))</f>
        <v/>
      </c>
      <c r="N1045" s="17" t="str">
        <f aca="false">IF($C1045="","",IF($C1045="H",0,IF($C1045="G",INDEX(Baseline!$I$3:$I$102,MIN(MAX(ROUND($D1045,0),1),100)),IF($C1045="T",IF($M1045=3,INDEX(Baseline!$B$3:$B$122,MATCH(MIN(MAX(ROUND(($D1045)/5,0)*5,5),600),Baseline!$A$3:$A$122,0))-Inputs!$B$9,INDEX(Course!$N$2:$N$19,MATCH($B1045,Course!$A$2:$A$19,0))),INDEX(Baseline!$B$3:$E$122,MATCH(MIN(MAX(ROUND(($D1045)/5,0)*5,5),600),Baseline!$A$3:$A$122,0),MATCH($C1045,Baseline!$B$2:$E$2,0))))))</f>
        <v/>
      </c>
      <c r="O1045" s="17" t="str">
        <f aca="false">IF($C1045="","",IF($E1045="H",0,IF($E1045="G",INDEX(Baseline!$I$3:$I$102,MIN(MAX(ROUND($F1045,0),1),100)),IF($E1045="T",IF($M1045=3,INDEX(Baseline!$B$3:$B$122,MATCH(MIN(MAX(ROUND(($F1045)/5,0)*5,5),600),Baseline!$A$3:$A$122,0))-Inputs!$B$9,INDEX(Course!$N$2:$N$19,MATCH($B1045,Course!$A$2:$A$19,0))),INDEX(Baseline!$B$3:$E$122,MATCH(MIN(MAX(ROUND(($F1045)/5,0)*5,5),600),Baseline!$A$3:$A$122,0),MATCH($E1045,Baseline!$B$2:$E$2,0))))))</f>
        <v/>
      </c>
      <c r="P1045" s="17" t="str">
        <f aca="false">IF($B1045="","",INDEX(Course!$N$2:$N$19,MATCH($B1045,Course!$A$2:$A$19,0)))</f>
        <v/>
      </c>
      <c r="Q1045" s="17" t="str">
        <f aca="false">IF($B1045="","",INDEX(Course!$P$2:$P$19,MATCH($B1045,Course!$A$2:$A$19,0)))</f>
        <v/>
      </c>
      <c r="R1045" s="17" t="str">
        <f aca="false">IF($C1045="","",IF(OR($C1045="G",$C1045="H"),0,IF($C1045="T",1,MIN(1,MAX(0,($N1045-Inputs!$B$8)/MAX($P1045-Inputs!$B$8,0.01))))))</f>
        <v/>
      </c>
      <c r="S1045" s="17" t="str">
        <f aca="false">IF($C1045="","",IF(OR($E1045="G",$E1045="H"),0,IF($E1045="T",1,MIN(1,MAX(0,($O1045-Inputs!$B$8)/MAX($P1045-Inputs!$B$8,0.01))))))</f>
        <v/>
      </c>
    </row>
    <row r="1046" customFormat="false" ht="15" hidden="false" customHeight="false" outlineLevel="0" collapsed="false">
      <c r="I1046" s="7" t="str">
        <f aca="false">IF($C1046="","",IF($C1046="G","PUTT",IF(AND($C1046="T",$M1046&gt;3),"OTT",IF($D1046&lt;=30,"ARG","APP"))))</f>
        <v/>
      </c>
      <c r="J1046" s="17" t="str">
        <f aca="false">IF($C1046="","",$N1046+$Q1046*$R1046)</f>
        <v/>
      </c>
      <c r="K1046" s="17" t="str">
        <f aca="false">IF($C1046="","",$O1046+$Q1046*$S1046)</f>
        <v/>
      </c>
      <c r="L1046" s="17" t="str">
        <f aca="false">IF($C1046="","",$J1046-$K1046-1-N($G1046))</f>
        <v/>
      </c>
      <c r="M1046" s="7" t="str">
        <f aca="false">IF($B1046="","",INDEX(Course!$B$2:$B$19,MATCH($B1046,Course!$A$2:$A$19,0)))</f>
        <v/>
      </c>
      <c r="N1046" s="17" t="str">
        <f aca="false">IF($C1046="","",IF($C1046="H",0,IF($C1046="G",INDEX(Baseline!$I$3:$I$102,MIN(MAX(ROUND($D1046,0),1),100)),IF($C1046="T",IF($M1046=3,INDEX(Baseline!$B$3:$B$122,MATCH(MIN(MAX(ROUND(($D1046)/5,0)*5,5),600),Baseline!$A$3:$A$122,0))-Inputs!$B$9,INDEX(Course!$N$2:$N$19,MATCH($B1046,Course!$A$2:$A$19,0))),INDEX(Baseline!$B$3:$E$122,MATCH(MIN(MAX(ROUND(($D1046)/5,0)*5,5),600),Baseline!$A$3:$A$122,0),MATCH($C1046,Baseline!$B$2:$E$2,0))))))</f>
        <v/>
      </c>
      <c r="O1046" s="17" t="str">
        <f aca="false">IF($C1046="","",IF($E1046="H",0,IF($E1046="G",INDEX(Baseline!$I$3:$I$102,MIN(MAX(ROUND($F1046,0),1),100)),IF($E1046="T",IF($M1046=3,INDEX(Baseline!$B$3:$B$122,MATCH(MIN(MAX(ROUND(($F1046)/5,0)*5,5),600),Baseline!$A$3:$A$122,0))-Inputs!$B$9,INDEX(Course!$N$2:$N$19,MATCH($B1046,Course!$A$2:$A$19,0))),INDEX(Baseline!$B$3:$E$122,MATCH(MIN(MAX(ROUND(($F1046)/5,0)*5,5),600),Baseline!$A$3:$A$122,0),MATCH($E1046,Baseline!$B$2:$E$2,0))))))</f>
        <v/>
      </c>
      <c r="P1046" s="17" t="str">
        <f aca="false">IF($B1046="","",INDEX(Course!$N$2:$N$19,MATCH($B1046,Course!$A$2:$A$19,0)))</f>
        <v/>
      </c>
      <c r="Q1046" s="17" t="str">
        <f aca="false">IF($B1046="","",INDEX(Course!$P$2:$P$19,MATCH($B1046,Course!$A$2:$A$19,0)))</f>
        <v/>
      </c>
      <c r="R1046" s="17" t="str">
        <f aca="false">IF($C1046="","",IF(OR($C1046="G",$C1046="H"),0,IF($C1046="T",1,MIN(1,MAX(0,($N1046-Inputs!$B$8)/MAX($P1046-Inputs!$B$8,0.01))))))</f>
        <v/>
      </c>
      <c r="S1046" s="17" t="str">
        <f aca="false">IF($C1046="","",IF(OR($E1046="G",$E1046="H"),0,IF($E1046="T",1,MIN(1,MAX(0,($O1046-Inputs!$B$8)/MAX($P1046-Inputs!$B$8,0.01))))))</f>
        <v/>
      </c>
    </row>
    <row r="1047" customFormat="false" ht="15" hidden="false" customHeight="false" outlineLevel="0" collapsed="false">
      <c r="I1047" s="7" t="str">
        <f aca="false">IF($C1047="","",IF($C1047="G","PUTT",IF(AND($C1047="T",$M1047&gt;3),"OTT",IF($D1047&lt;=30,"ARG","APP"))))</f>
        <v/>
      </c>
      <c r="J1047" s="17" t="str">
        <f aca="false">IF($C1047="","",$N1047+$Q1047*$R1047)</f>
        <v/>
      </c>
      <c r="K1047" s="17" t="str">
        <f aca="false">IF($C1047="","",$O1047+$Q1047*$S1047)</f>
        <v/>
      </c>
      <c r="L1047" s="17" t="str">
        <f aca="false">IF($C1047="","",$J1047-$K1047-1-N($G1047))</f>
        <v/>
      </c>
      <c r="M1047" s="7" t="str">
        <f aca="false">IF($B1047="","",INDEX(Course!$B$2:$B$19,MATCH($B1047,Course!$A$2:$A$19,0)))</f>
        <v/>
      </c>
      <c r="N1047" s="17" t="str">
        <f aca="false">IF($C1047="","",IF($C1047="H",0,IF($C1047="G",INDEX(Baseline!$I$3:$I$102,MIN(MAX(ROUND($D1047,0),1),100)),IF($C1047="T",IF($M1047=3,INDEX(Baseline!$B$3:$B$122,MATCH(MIN(MAX(ROUND(($D1047)/5,0)*5,5),600),Baseline!$A$3:$A$122,0))-Inputs!$B$9,INDEX(Course!$N$2:$N$19,MATCH($B1047,Course!$A$2:$A$19,0))),INDEX(Baseline!$B$3:$E$122,MATCH(MIN(MAX(ROUND(($D1047)/5,0)*5,5),600),Baseline!$A$3:$A$122,0),MATCH($C1047,Baseline!$B$2:$E$2,0))))))</f>
        <v/>
      </c>
      <c r="O1047" s="17" t="str">
        <f aca="false">IF($C1047="","",IF($E1047="H",0,IF($E1047="G",INDEX(Baseline!$I$3:$I$102,MIN(MAX(ROUND($F1047,0),1),100)),IF($E1047="T",IF($M1047=3,INDEX(Baseline!$B$3:$B$122,MATCH(MIN(MAX(ROUND(($F1047)/5,0)*5,5),600),Baseline!$A$3:$A$122,0))-Inputs!$B$9,INDEX(Course!$N$2:$N$19,MATCH($B1047,Course!$A$2:$A$19,0))),INDEX(Baseline!$B$3:$E$122,MATCH(MIN(MAX(ROUND(($F1047)/5,0)*5,5),600),Baseline!$A$3:$A$122,0),MATCH($E1047,Baseline!$B$2:$E$2,0))))))</f>
        <v/>
      </c>
      <c r="P1047" s="17" t="str">
        <f aca="false">IF($B1047="","",INDEX(Course!$N$2:$N$19,MATCH($B1047,Course!$A$2:$A$19,0)))</f>
        <v/>
      </c>
      <c r="Q1047" s="17" t="str">
        <f aca="false">IF($B1047="","",INDEX(Course!$P$2:$P$19,MATCH($B1047,Course!$A$2:$A$19,0)))</f>
        <v/>
      </c>
      <c r="R1047" s="17" t="str">
        <f aca="false">IF($C1047="","",IF(OR($C1047="G",$C1047="H"),0,IF($C1047="T",1,MIN(1,MAX(0,($N1047-Inputs!$B$8)/MAX($P1047-Inputs!$B$8,0.01))))))</f>
        <v/>
      </c>
      <c r="S1047" s="17" t="str">
        <f aca="false">IF($C1047="","",IF(OR($E1047="G",$E1047="H"),0,IF($E1047="T",1,MIN(1,MAX(0,($O1047-Inputs!$B$8)/MAX($P1047-Inputs!$B$8,0.01))))))</f>
        <v/>
      </c>
    </row>
    <row r="1048" customFormat="false" ht="15" hidden="false" customHeight="false" outlineLevel="0" collapsed="false">
      <c r="I1048" s="7" t="str">
        <f aca="false">IF($C1048="","",IF($C1048="G","PUTT",IF(AND($C1048="T",$M1048&gt;3),"OTT",IF($D1048&lt;=30,"ARG","APP"))))</f>
        <v/>
      </c>
      <c r="J1048" s="17" t="str">
        <f aca="false">IF($C1048="","",$N1048+$Q1048*$R1048)</f>
        <v/>
      </c>
      <c r="K1048" s="17" t="str">
        <f aca="false">IF($C1048="","",$O1048+$Q1048*$S1048)</f>
        <v/>
      </c>
      <c r="L1048" s="17" t="str">
        <f aca="false">IF($C1048="","",$J1048-$K1048-1-N($G1048))</f>
        <v/>
      </c>
      <c r="M1048" s="7" t="str">
        <f aca="false">IF($B1048="","",INDEX(Course!$B$2:$B$19,MATCH($B1048,Course!$A$2:$A$19,0)))</f>
        <v/>
      </c>
      <c r="N1048" s="17" t="str">
        <f aca="false">IF($C1048="","",IF($C1048="H",0,IF($C1048="G",INDEX(Baseline!$I$3:$I$102,MIN(MAX(ROUND($D1048,0),1),100)),IF($C1048="T",IF($M1048=3,INDEX(Baseline!$B$3:$B$122,MATCH(MIN(MAX(ROUND(($D1048)/5,0)*5,5),600),Baseline!$A$3:$A$122,0))-Inputs!$B$9,INDEX(Course!$N$2:$N$19,MATCH($B1048,Course!$A$2:$A$19,0))),INDEX(Baseline!$B$3:$E$122,MATCH(MIN(MAX(ROUND(($D1048)/5,0)*5,5),600),Baseline!$A$3:$A$122,0),MATCH($C1048,Baseline!$B$2:$E$2,0))))))</f>
        <v/>
      </c>
      <c r="O1048" s="17" t="str">
        <f aca="false">IF($C1048="","",IF($E1048="H",0,IF($E1048="G",INDEX(Baseline!$I$3:$I$102,MIN(MAX(ROUND($F1048,0),1),100)),IF($E1048="T",IF($M1048=3,INDEX(Baseline!$B$3:$B$122,MATCH(MIN(MAX(ROUND(($F1048)/5,0)*5,5),600),Baseline!$A$3:$A$122,0))-Inputs!$B$9,INDEX(Course!$N$2:$N$19,MATCH($B1048,Course!$A$2:$A$19,0))),INDEX(Baseline!$B$3:$E$122,MATCH(MIN(MAX(ROUND(($F1048)/5,0)*5,5),600),Baseline!$A$3:$A$122,0),MATCH($E1048,Baseline!$B$2:$E$2,0))))))</f>
        <v/>
      </c>
      <c r="P1048" s="17" t="str">
        <f aca="false">IF($B1048="","",INDEX(Course!$N$2:$N$19,MATCH($B1048,Course!$A$2:$A$19,0)))</f>
        <v/>
      </c>
      <c r="Q1048" s="17" t="str">
        <f aca="false">IF($B1048="","",INDEX(Course!$P$2:$P$19,MATCH($B1048,Course!$A$2:$A$19,0)))</f>
        <v/>
      </c>
      <c r="R1048" s="17" t="str">
        <f aca="false">IF($C1048="","",IF(OR($C1048="G",$C1048="H"),0,IF($C1048="T",1,MIN(1,MAX(0,($N1048-Inputs!$B$8)/MAX($P1048-Inputs!$B$8,0.01))))))</f>
        <v/>
      </c>
      <c r="S1048" s="17" t="str">
        <f aca="false">IF($C1048="","",IF(OR($E1048="G",$E1048="H"),0,IF($E1048="T",1,MIN(1,MAX(0,($O1048-Inputs!$B$8)/MAX($P1048-Inputs!$B$8,0.01))))))</f>
        <v/>
      </c>
    </row>
    <row r="1049" customFormat="false" ht="15" hidden="false" customHeight="false" outlineLevel="0" collapsed="false">
      <c r="I1049" s="7" t="str">
        <f aca="false">IF($C1049="","",IF($C1049="G","PUTT",IF(AND($C1049="T",$M1049&gt;3),"OTT",IF($D1049&lt;=30,"ARG","APP"))))</f>
        <v/>
      </c>
      <c r="J1049" s="17" t="str">
        <f aca="false">IF($C1049="","",$N1049+$Q1049*$R1049)</f>
        <v/>
      </c>
      <c r="K1049" s="17" t="str">
        <f aca="false">IF($C1049="","",$O1049+$Q1049*$S1049)</f>
        <v/>
      </c>
      <c r="L1049" s="17" t="str">
        <f aca="false">IF($C1049="","",$J1049-$K1049-1-N($G1049))</f>
        <v/>
      </c>
      <c r="M1049" s="7" t="str">
        <f aca="false">IF($B1049="","",INDEX(Course!$B$2:$B$19,MATCH($B1049,Course!$A$2:$A$19,0)))</f>
        <v/>
      </c>
      <c r="N1049" s="17" t="str">
        <f aca="false">IF($C1049="","",IF($C1049="H",0,IF($C1049="G",INDEX(Baseline!$I$3:$I$102,MIN(MAX(ROUND($D1049,0),1),100)),IF($C1049="T",IF($M1049=3,INDEX(Baseline!$B$3:$B$122,MATCH(MIN(MAX(ROUND(($D1049)/5,0)*5,5),600),Baseline!$A$3:$A$122,0))-Inputs!$B$9,INDEX(Course!$N$2:$N$19,MATCH($B1049,Course!$A$2:$A$19,0))),INDEX(Baseline!$B$3:$E$122,MATCH(MIN(MAX(ROUND(($D1049)/5,0)*5,5),600),Baseline!$A$3:$A$122,0),MATCH($C1049,Baseline!$B$2:$E$2,0))))))</f>
        <v/>
      </c>
      <c r="O1049" s="17" t="str">
        <f aca="false">IF($C1049="","",IF($E1049="H",0,IF($E1049="G",INDEX(Baseline!$I$3:$I$102,MIN(MAX(ROUND($F1049,0),1),100)),IF($E1049="T",IF($M1049=3,INDEX(Baseline!$B$3:$B$122,MATCH(MIN(MAX(ROUND(($F1049)/5,0)*5,5),600),Baseline!$A$3:$A$122,0))-Inputs!$B$9,INDEX(Course!$N$2:$N$19,MATCH($B1049,Course!$A$2:$A$19,0))),INDEX(Baseline!$B$3:$E$122,MATCH(MIN(MAX(ROUND(($F1049)/5,0)*5,5),600),Baseline!$A$3:$A$122,0),MATCH($E1049,Baseline!$B$2:$E$2,0))))))</f>
        <v/>
      </c>
      <c r="P1049" s="17" t="str">
        <f aca="false">IF($B1049="","",INDEX(Course!$N$2:$N$19,MATCH($B1049,Course!$A$2:$A$19,0)))</f>
        <v/>
      </c>
      <c r="Q1049" s="17" t="str">
        <f aca="false">IF($B1049="","",INDEX(Course!$P$2:$P$19,MATCH($B1049,Course!$A$2:$A$19,0)))</f>
        <v/>
      </c>
      <c r="R1049" s="17" t="str">
        <f aca="false">IF($C1049="","",IF(OR($C1049="G",$C1049="H"),0,IF($C1049="T",1,MIN(1,MAX(0,($N1049-Inputs!$B$8)/MAX($P1049-Inputs!$B$8,0.01))))))</f>
        <v/>
      </c>
      <c r="S1049" s="17" t="str">
        <f aca="false">IF($C1049="","",IF(OR($E1049="G",$E1049="H"),0,IF($E1049="T",1,MIN(1,MAX(0,($O1049-Inputs!$B$8)/MAX($P1049-Inputs!$B$8,0.01))))))</f>
        <v/>
      </c>
    </row>
    <row r="1050" customFormat="false" ht="15" hidden="false" customHeight="false" outlineLevel="0" collapsed="false">
      <c r="I1050" s="7" t="str">
        <f aca="false">IF($C1050="","",IF($C1050="G","PUTT",IF(AND($C1050="T",$M1050&gt;3),"OTT",IF($D1050&lt;=30,"ARG","APP"))))</f>
        <v/>
      </c>
      <c r="J1050" s="17" t="str">
        <f aca="false">IF($C1050="","",$N1050+$Q1050*$R1050)</f>
        <v/>
      </c>
      <c r="K1050" s="17" t="str">
        <f aca="false">IF($C1050="","",$O1050+$Q1050*$S1050)</f>
        <v/>
      </c>
      <c r="L1050" s="17" t="str">
        <f aca="false">IF($C1050="","",$J1050-$K1050-1-N($G1050))</f>
        <v/>
      </c>
      <c r="M1050" s="7" t="str">
        <f aca="false">IF($B1050="","",INDEX(Course!$B$2:$B$19,MATCH($B1050,Course!$A$2:$A$19,0)))</f>
        <v/>
      </c>
      <c r="N1050" s="17" t="str">
        <f aca="false">IF($C1050="","",IF($C1050="H",0,IF($C1050="G",INDEX(Baseline!$I$3:$I$102,MIN(MAX(ROUND($D1050,0),1),100)),IF($C1050="T",IF($M1050=3,INDEX(Baseline!$B$3:$B$122,MATCH(MIN(MAX(ROUND(($D1050)/5,0)*5,5),600),Baseline!$A$3:$A$122,0))-Inputs!$B$9,INDEX(Course!$N$2:$N$19,MATCH($B1050,Course!$A$2:$A$19,0))),INDEX(Baseline!$B$3:$E$122,MATCH(MIN(MAX(ROUND(($D1050)/5,0)*5,5),600),Baseline!$A$3:$A$122,0),MATCH($C1050,Baseline!$B$2:$E$2,0))))))</f>
        <v/>
      </c>
      <c r="O1050" s="17" t="str">
        <f aca="false">IF($C1050="","",IF($E1050="H",0,IF($E1050="G",INDEX(Baseline!$I$3:$I$102,MIN(MAX(ROUND($F1050,0),1),100)),IF($E1050="T",IF($M1050=3,INDEX(Baseline!$B$3:$B$122,MATCH(MIN(MAX(ROUND(($F1050)/5,0)*5,5),600),Baseline!$A$3:$A$122,0))-Inputs!$B$9,INDEX(Course!$N$2:$N$19,MATCH($B1050,Course!$A$2:$A$19,0))),INDEX(Baseline!$B$3:$E$122,MATCH(MIN(MAX(ROUND(($F1050)/5,0)*5,5),600),Baseline!$A$3:$A$122,0),MATCH($E1050,Baseline!$B$2:$E$2,0))))))</f>
        <v/>
      </c>
      <c r="P1050" s="17" t="str">
        <f aca="false">IF($B1050="","",INDEX(Course!$N$2:$N$19,MATCH($B1050,Course!$A$2:$A$19,0)))</f>
        <v/>
      </c>
      <c r="Q1050" s="17" t="str">
        <f aca="false">IF($B1050="","",INDEX(Course!$P$2:$P$19,MATCH($B1050,Course!$A$2:$A$19,0)))</f>
        <v/>
      </c>
      <c r="R1050" s="17" t="str">
        <f aca="false">IF($C1050="","",IF(OR($C1050="G",$C1050="H"),0,IF($C1050="T",1,MIN(1,MAX(0,($N1050-Inputs!$B$8)/MAX($P1050-Inputs!$B$8,0.01))))))</f>
        <v/>
      </c>
      <c r="S1050" s="17" t="str">
        <f aca="false">IF($C1050="","",IF(OR($E1050="G",$E1050="H"),0,IF($E1050="T",1,MIN(1,MAX(0,($O1050-Inputs!$B$8)/MAX($P1050-Inputs!$B$8,0.01))))))</f>
        <v/>
      </c>
    </row>
    <row r="1051" customFormat="false" ht="15" hidden="false" customHeight="false" outlineLevel="0" collapsed="false">
      <c r="I1051" s="7" t="str">
        <f aca="false">IF($C1051="","",IF($C1051="G","PUTT",IF(AND($C1051="T",$M1051&gt;3),"OTT",IF($D1051&lt;=30,"ARG","APP"))))</f>
        <v/>
      </c>
      <c r="J1051" s="17" t="str">
        <f aca="false">IF($C1051="","",$N1051+$Q1051*$R1051)</f>
        <v/>
      </c>
      <c r="K1051" s="17" t="str">
        <f aca="false">IF($C1051="","",$O1051+$Q1051*$S1051)</f>
        <v/>
      </c>
      <c r="L1051" s="17" t="str">
        <f aca="false">IF($C1051="","",$J1051-$K1051-1-N($G1051))</f>
        <v/>
      </c>
      <c r="M1051" s="7" t="str">
        <f aca="false">IF($B1051="","",INDEX(Course!$B$2:$B$19,MATCH($B1051,Course!$A$2:$A$19,0)))</f>
        <v/>
      </c>
      <c r="N1051" s="17" t="str">
        <f aca="false">IF($C1051="","",IF($C1051="H",0,IF($C1051="G",INDEX(Baseline!$I$3:$I$102,MIN(MAX(ROUND($D1051,0),1),100)),IF($C1051="T",IF($M1051=3,INDEX(Baseline!$B$3:$B$122,MATCH(MIN(MAX(ROUND(($D1051)/5,0)*5,5),600),Baseline!$A$3:$A$122,0))-Inputs!$B$9,INDEX(Course!$N$2:$N$19,MATCH($B1051,Course!$A$2:$A$19,0))),INDEX(Baseline!$B$3:$E$122,MATCH(MIN(MAX(ROUND(($D1051)/5,0)*5,5),600),Baseline!$A$3:$A$122,0),MATCH($C1051,Baseline!$B$2:$E$2,0))))))</f>
        <v/>
      </c>
      <c r="O1051" s="17" t="str">
        <f aca="false">IF($C1051="","",IF($E1051="H",0,IF($E1051="G",INDEX(Baseline!$I$3:$I$102,MIN(MAX(ROUND($F1051,0),1),100)),IF($E1051="T",IF($M1051=3,INDEX(Baseline!$B$3:$B$122,MATCH(MIN(MAX(ROUND(($F1051)/5,0)*5,5),600),Baseline!$A$3:$A$122,0))-Inputs!$B$9,INDEX(Course!$N$2:$N$19,MATCH($B1051,Course!$A$2:$A$19,0))),INDEX(Baseline!$B$3:$E$122,MATCH(MIN(MAX(ROUND(($F1051)/5,0)*5,5),600),Baseline!$A$3:$A$122,0),MATCH($E1051,Baseline!$B$2:$E$2,0))))))</f>
        <v/>
      </c>
      <c r="P1051" s="17" t="str">
        <f aca="false">IF($B1051="","",INDEX(Course!$N$2:$N$19,MATCH($B1051,Course!$A$2:$A$19,0)))</f>
        <v/>
      </c>
      <c r="Q1051" s="17" t="str">
        <f aca="false">IF($B1051="","",INDEX(Course!$P$2:$P$19,MATCH($B1051,Course!$A$2:$A$19,0)))</f>
        <v/>
      </c>
      <c r="R1051" s="17" t="str">
        <f aca="false">IF($C1051="","",IF(OR($C1051="G",$C1051="H"),0,IF($C1051="T",1,MIN(1,MAX(0,($N1051-Inputs!$B$8)/MAX($P1051-Inputs!$B$8,0.01))))))</f>
        <v/>
      </c>
      <c r="S1051" s="17" t="str">
        <f aca="false">IF($C1051="","",IF(OR($E1051="G",$E1051="H"),0,IF($E1051="T",1,MIN(1,MAX(0,($O1051-Inputs!$B$8)/MAX($P1051-Inputs!$B$8,0.01))))))</f>
        <v/>
      </c>
    </row>
    <row r="1052" customFormat="false" ht="15" hidden="false" customHeight="false" outlineLevel="0" collapsed="false">
      <c r="I1052" s="7" t="str">
        <f aca="false">IF($C1052="","",IF($C1052="G","PUTT",IF(AND($C1052="T",$M1052&gt;3),"OTT",IF($D1052&lt;=30,"ARG","APP"))))</f>
        <v/>
      </c>
      <c r="J1052" s="17" t="str">
        <f aca="false">IF($C1052="","",$N1052+$Q1052*$R1052)</f>
        <v/>
      </c>
      <c r="K1052" s="17" t="str">
        <f aca="false">IF($C1052="","",$O1052+$Q1052*$S1052)</f>
        <v/>
      </c>
      <c r="L1052" s="17" t="str">
        <f aca="false">IF($C1052="","",$J1052-$K1052-1-N($G1052))</f>
        <v/>
      </c>
      <c r="M1052" s="7" t="str">
        <f aca="false">IF($B1052="","",INDEX(Course!$B$2:$B$19,MATCH($B1052,Course!$A$2:$A$19,0)))</f>
        <v/>
      </c>
      <c r="N1052" s="17" t="str">
        <f aca="false">IF($C1052="","",IF($C1052="H",0,IF($C1052="G",INDEX(Baseline!$I$3:$I$102,MIN(MAX(ROUND($D1052,0),1),100)),IF($C1052="T",IF($M1052=3,INDEX(Baseline!$B$3:$B$122,MATCH(MIN(MAX(ROUND(($D1052)/5,0)*5,5),600),Baseline!$A$3:$A$122,0))-Inputs!$B$9,INDEX(Course!$N$2:$N$19,MATCH($B1052,Course!$A$2:$A$19,0))),INDEX(Baseline!$B$3:$E$122,MATCH(MIN(MAX(ROUND(($D1052)/5,0)*5,5),600),Baseline!$A$3:$A$122,0),MATCH($C1052,Baseline!$B$2:$E$2,0))))))</f>
        <v/>
      </c>
      <c r="O1052" s="17" t="str">
        <f aca="false">IF($C1052="","",IF($E1052="H",0,IF($E1052="G",INDEX(Baseline!$I$3:$I$102,MIN(MAX(ROUND($F1052,0),1),100)),IF($E1052="T",IF($M1052=3,INDEX(Baseline!$B$3:$B$122,MATCH(MIN(MAX(ROUND(($F1052)/5,0)*5,5),600),Baseline!$A$3:$A$122,0))-Inputs!$B$9,INDEX(Course!$N$2:$N$19,MATCH($B1052,Course!$A$2:$A$19,0))),INDEX(Baseline!$B$3:$E$122,MATCH(MIN(MAX(ROUND(($F1052)/5,0)*5,5),600),Baseline!$A$3:$A$122,0),MATCH($E1052,Baseline!$B$2:$E$2,0))))))</f>
        <v/>
      </c>
      <c r="P1052" s="17" t="str">
        <f aca="false">IF($B1052="","",INDEX(Course!$N$2:$N$19,MATCH($B1052,Course!$A$2:$A$19,0)))</f>
        <v/>
      </c>
      <c r="Q1052" s="17" t="str">
        <f aca="false">IF($B1052="","",INDEX(Course!$P$2:$P$19,MATCH($B1052,Course!$A$2:$A$19,0)))</f>
        <v/>
      </c>
      <c r="R1052" s="17" t="str">
        <f aca="false">IF($C1052="","",IF(OR($C1052="G",$C1052="H"),0,IF($C1052="T",1,MIN(1,MAX(0,($N1052-Inputs!$B$8)/MAX($P1052-Inputs!$B$8,0.01))))))</f>
        <v/>
      </c>
      <c r="S1052" s="17" t="str">
        <f aca="false">IF($C1052="","",IF(OR($E1052="G",$E1052="H"),0,IF($E1052="T",1,MIN(1,MAX(0,($O1052-Inputs!$B$8)/MAX($P1052-Inputs!$B$8,0.01))))))</f>
        <v/>
      </c>
    </row>
    <row r="1053" customFormat="false" ht="15" hidden="false" customHeight="false" outlineLevel="0" collapsed="false">
      <c r="I1053" s="7" t="str">
        <f aca="false">IF($C1053="","",IF($C1053="G","PUTT",IF(AND($C1053="T",$M1053&gt;3),"OTT",IF($D1053&lt;=30,"ARG","APP"))))</f>
        <v/>
      </c>
      <c r="J1053" s="17" t="str">
        <f aca="false">IF($C1053="","",$N1053+$Q1053*$R1053)</f>
        <v/>
      </c>
      <c r="K1053" s="17" t="str">
        <f aca="false">IF($C1053="","",$O1053+$Q1053*$S1053)</f>
        <v/>
      </c>
      <c r="L1053" s="17" t="str">
        <f aca="false">IF($C1053="","",$J1053-$K1053-1-N($G1053))</f>
        <v/>
      </c>
      <c r="M1053" s="7" t="str">
        <f aca="false">IF($B1053="","",INDEX(Course!$B$2:$B$19,MATCH($B1053,Course!$A$2:$A$19,0)))</f>
        <v/>
      </c>
      <c r="N1053" s="17" t="str">
        <f aca="false">IF($C1053="","",IF($C1053="H",0,IF($C1053="G",INDEX(Baseline!$I$3:$I$102,MIN(MAX(ROUND($D1053,0),1),100)),IF($C1053="T",IF($M1053=3,INDEX(Baseline!$B$3:$B$122,MATCH(MIN(MAX(ROUND(($D1053)/5,0)*5,5),600),Baseline!$A$3:$A$122,0))-Inputs!$B$9,INDEX(Course!$N$2:$N$19,MATCH($B1053,Course!$A$2:$A$19,0))),INDEX(Baseline!$B$3:$E$122,MATCH(MIN(MAX(ROUND(($D1053)/5,0)*5,5),600),Baseline!$A$3:$A$122,0),MATCH($C1053,Baseline!$B$2:$E$2,0))))))</f>
        <v/>
      </c>
      <c r="O1053" s="17" t="str">
        <f aca="false">IF($C1053="","",IF($E1053="H",0,IF($E1053="G",INDEX(Baseline!$I$3:$I$102,MIN(MAX(ROUND($F1053,0),1),100)),IF($E1053="T",IF($M1053=3,INDEX(Baseline!$B$3:$B$122,MATCH(MIN(MAX(ROUND(($F1053)/5,0)*5,5),600),Baseline!$A$3:$A$122,0))-Inputs!$B$9,INDEX(Course!$N$2:$N$19,MATCH($B1053,Course!$A$2:$A$19,0))),INDEX(Baseline!$B$3:$E$122,MATCH(MIN(MAX(ROUND(($F1053)/5,0)*5,5),600),Baseline!$A$3:$A$122,0),MATCH($E1053,Baseline!$B$2:$E$2,0))))))</f>
        <v/>
      </c>
      <c r="P1053" s="17" t="str">
        <f aca="false">IF($B1053="","",INDEX(Course!$N$2:$N$19,MATCH($B1053,Course!$A$2:$A$19,0)))</f>
        <v/>
      </c>
      <c r="Q1053" s="17" t="str">
        <f aca="false">IF($B1053="","",INDEX(Course!$P$2:$P$19,MATCH($B1053,Course!$A$2:$A$19,0)))</f>
        <v/>
      </c>
      <c r="R1053" s="17" t="str">
        <f aca="false">IF($C1053="","",IF(OR($C1053="G",$C1053="H"),0,IF($C1053="T",1,MIN(1,MAX(0,($N1053-Inputs!$B$8)/MAX($P1053-Inputs!$B$8,0.01))))))</f>
        <v/>
      </c>
      <c r="S1053" s="17" t="str">
        <f aca="false">IF($C1053="","",IF(OR($E1053="G",$E1053="H"),0,IF($E1053="T",1,MIN(1,MAX(0,($O1053-Inputs!$B$8)/MAX($P1053-Inputs!$B$8,0.01))))))</f>
        <v/>
      </c>
    </row>
    <row r="1054" customFormat="false" ht="15" hidden="false" customHeight="false" outlineLevel="0" collapsed="false">
      <c r="I1054" s="7" t="str">
        <f aca="false">IF($C1054="","",IF($C1054="G","PUTT",IF(AND($C1054="T",$M1054&gt;3),"OTT",IF($D1054&lt;=30,"ARG","APP"))))</f>
        <v/>
      </c>
      <c r="J1054" s="17" t="str">
        <f aca="false">IF($C1054="","",$N1054+$Q1054*$R1054)</f>
        <v/>
      </c>
      <c r="K1054" s="17" t="str">
        <f aca="false">IF($C1054="","",$O1054+$Q1054*$S1054)</f>
        <v/>
      </c>
      <c r="L1054" s="17" t="str">
        <f aca="false">IF($C1054="","",$J1054-$K1054-1-N($G1054))</f>
        <v/>
      </c>
      <c r="M1054" s="7" t="str">
        <f aca="false">IF($B1054="","",INDEX(Course!$B$2:$B$19,MATCH($B1054,Course!$A$2:$A$19,0)))</f>
        <v/>
      </c>
      <c r="N1054" s="17" t="str">
        <f aca="false">IF($C1054="","",IF($C1054="H",0,IF($C1054="G",INDEX(Baseline!$I$3:$I$102,MIN(MAX(ROUND($D1054,0),1),100)),IF($C1054="T",IF($M1054=3,INDEX(Baseline!$B$3:$B$122,MATCH(MIN(MAX(ROUND(($D1054)/5,0)*5,5),600),Baseline!$A$3:$A$122,0))-Inputs!$B$9,INDEX(Course!$N$2:$N$19,MATCH($B1054,Course!$A$2:$A$19,0))),INDEX(Baseline!$B$3:$E$122,MATCH(MIN(MAX(ROUND(($D1054)/5,0)*5,5),600),Baseline!$A$3:$A$122,0),MATCH($C1054,Baseline!$B$2:$E$2,0))))))</f>
        <v/>
      </c>
      <c r="O1054" s="17" t="str">
        <f aca="false">IF($C1054="","",IF($E1054="H",0,IF($E1054="G",INDEX(Baseline!$I$3:$I$102,MIN(MAX(ROUND($F1054,0),1),100)),IF($E1054="T",IF($M1054=3,INDEX(Baseline!$B$3:$B$122,MATCH(MIN(MAX(ROUND(($F1054)/5,0)*5,5),600),Baseline!$A$3:$A$122,0))-Inputs!$B$9,INDEX(Course!$N$2:$N$19,MATCH($B1054,Course!$A$2:$A$19,0))),INDEX(Baseline!$B$3:$E$122,MATCH(MIN(MAX(ROUND(($F1054)/5,0)*5,5),600),Baseline!$A$3:$A$122,0),MATCH($E1054,Baseline!$B$2:$E$2,0))))))</f>
        <v/>
      </c>
      <c r="P1054" s="17" t="str">
        <f aca="false">IF($B1054="","",INDEX(Course!$N$2:$N$19,MATCH($B1054,Course!$A$2:$A$19,0)))</f>
        <v/>
      </c>
      <c r="Q1054" s="17" t="str">
        <f aca="false">IF($B1054="","",INDEX(Course!$P$2:$P$19,MATCH($B1054,Course!$A$2:$A$19,0)))</f>
        <v/>
      </c>
      <c r="R1054" s="17" t="str">
        <f aca="false">IF($C1054="","",IF(OR($C1054="G",$C1054="H"),0,IF($C1054="T",1,MIN(1,MAX(0,($N1054-Inputs!$B$8)/MAX($P1054-Inputs!$B$8,0.01))))))</f>
        <v/>
      </c>
      <c r="S1054" s="17" t="str">
        <f aca="false">IF($C1054="","",IF(OR($E1054="G",$E1054="H"),0,IF($E1054="T",1,MIN(1,MAX(0,($O1054-Inputs!$B$8)/MAX($P1054-Inputs!$B$8,0.01))))))</f>
        <v/>
      </c>
    </row>
    <row r="1055" customFormat="false" ht="15" hidden="false" customHeight="false" outlineLevel="0" collapsed="false">
      <c r="I1055" s="7" t="str">
        <f aca="false">IF($C1055="","",IF($C1055="G","PUTT",IF(AND($C1055="T",$M1055&gt;3),"OTT",IF($D1055&lt;=30,"ARG","APP"))))</f>
        <v/>
      </c>
      <c r="J1055" s="17" t="str">
        <f aca="false">IF($C1055="","",$N1055+$Q1055*$R1055)</f>
        <v/>
      </c>
      <c r="K1055" s="17" t="str">
        <f aca="false">IF($C1055="","",$O1055+$Q1055*$S1055)</f>
        <v/>
      </c>
      <c r="L1055" s="17" t="str">
        <f aca="false">IF($C1055="","",$J1055-$K1055-1-N($G1055))</f>
        <v/>
      </c>
      <c r="M1055" s="7" t="str">
        <f aca="false">IF($B1055="","",INDEX(Course!$B$2:$B$19,MATCH($B1055,Course!$A$2:$A$19,0)))</f>
        <v/>
      </c>
      <c r="N1055" s="17" t="str">
        <f aca="false">IF($C1055="","",IF($C1055="H",0,IF($C1055="G",INDEX(Baseline!$I$3:$I$102,MIN(MAX(ROUND($D1055,0),1),100)),IF($C1055="T",IF($M1055=3,INDEX(Baseline!$B$3:$B$122,MATCH(MIN(MAX(ROUND(($D1055)/5,0)*5,5),600),Baseline!$A$3:$A$122,0))-Inputs!$B$9,INDEX(Course!$N$2:$N$19,MATCH($B1055,Course!$A$2:$A$19,0))),INDEX(Baseline!$B$3:$E$122,MATCH(MIN(MAX(ROUND(($D1055)/5,0)*5,5),600),Baseline!$A$3:$A$122,0),MATCH($C1055,Baseline!$B$2:$E$2,0))))))</f>
        <v/>
      </c>
      <c r="O1055" s="17" t="str">
        <f aca="false">IF($C1055="","",IF($E1055="H",0,IF($E1055="G",INDEX(Baseline!$I$3:$I$102,MIN(MAX(ROUND($F1055,0),1),100)),IF($E1055="T",IF($M1055=3,INDEX(Baseline!$B$3:$B$122,MATCH(MIN(MAX(ROUND(($F1055)/5,0)*5,5),600),Baseline!$A$3:$A$122,0))-Inputs!$B$9,INDEX(Course!$N$2:$N$19,MATCH($B1055,Course!$A$2:$A$19,0))),INDEX(Baseline!$B$3:$E$122,MATCH(MIN(MAX(ROUND(($F1055)/5,0)*5,5),600),Baseline!$A$3:$A$122,0),MATCH($E1055,Baseline!$B$2:$E$2,0))))))</f>
        <v/>
      </c>
      <c r="P1055" s="17" t="str">
        <f aca="false">IF($B1055="","",INDEX(Course!$N$2:$N$19,MATCH($B1055,Course!$A$2:$A$19,0)))</f>
        <v/>
      </c>
      <c r="Q1055" s="17" t="str">
        <f aca="false">IF($B1055="","",INDEX(Course!$P$2:$P$19,MATCH($B1055,Course!$A$2:$A$19,0)))</f>
        <v/>
      </c>
      <c r="R1055" s="17" t="str">
        <f aca="false">IF($C1055="","",IF(OR($C1055="G",$C1055="H"),0,IF($C1055="T",1,MIN(1,MAX(0,($N1055-Inputs!$B$8)/MAX($P1055-Inputs!$B$8,0.01))))))</f>
        <v/>
      </c>
      <c r="S1055" s="17" t="str">
        <f aca="false">IF($C1055="","",IF(OR($E1055="G",$E1055="H"),0,IF($E1055="T",1,MIN(1,MAX(0,($O1055-Inputs!$B$8)/MAX($P1055-Inputs!$B$8,0.01))))))</f>
        <v/>
      </c>
    </row>
    <row r="1056" customFormat="false" ht="15" hidden="false" customHeight="false" outlineLevel="0" collapsed="false">
      <c r="I1056" s="7" t="str">
        <f aca="false">IF($C1056="","",IF($C1056="G","PUTT",IF(AND($C1056="T",$M1056&gt;3),"OTT",IF($D1056&lt;=30,"ARG","APP"))))</f>
        <v/>
      </c>
      <c r="J1056" s="17" t="str">
        <f aca="false">IF($C1056="","",$N1056+$Q1056*$R1056)</f>
        <v/>
      </c>
      <c r="K1056" s="17" t="str">
        <f aca="false">IF($C1056="","",$O1056+$Q1056*$S1056)</f>
        <v/>
      </c>
      <c r="L1056" s="17" t="str">
        <f aca="false">IF($C1056="","",$J1056-$K1056-1-N($G1056))</f>
        <v/>
      </c>
      <c r="M1056" s="7" t="str">
        <f aca="false">IF($B1056="","",INDEX(Course!$B$2:$B$19,MATCH($B1056,Course!$A$2:$A$19,0)))</f>
        <v/>
      </c>
      <c r="N1056" s="17" t="str">
        <f aca="false">IF($C1056="","",IF($C1056="H",0,IF($C1056="G",INDEX(Baseline!$I$3:$I$102,MIN(MAX(ROUND($D1056,0),1),100)),IF($C1056="T",IF($M1056=3,INDEX(Baseline!$B$3:$B$122,MATCH(MIN(MAX(ROUND(($D1056)/5,0)*5,5),600),Baseline!$A$3:$A$122,0))-Inputs!$B$9,INDEX(Course!$N$2:$N$19,MATCH($B1056,Course!$A$2:$A$19,0))),INDEX(Baseline!$B$3:$E$122,MATCH(MIN(MAX(ROUND(($D1056)/5,0)*5,5),600),Baseline!$A$3:$A$122,0),MATCH($C1056,Baseline!$B$2:$E$2,0))))))</f>
        <v/>
      </c>
      <c r="O1056" s="17" t="str">
        <f aca="false">IF($C1056="","",IF($E1056="H",0,IF($E1056="G",INDEX(Baseline!$I$3:$I$102,MIN(MAX(ROUND($F1056,0),1),100)),IF($E1056="T",IF($M1056=3,INDEX(Baseline!$B$3:$B$122,MATCH(MIN(MAX(ROUND(($F1056)/5,0)*5,5),600),Baseline!$A$3:$A$122,0))-Inputs!$B$9,INDEX(Course!$N$2:$N$19,MATCH($B1056,Course!$A$2:$A$19,0))),INDEX(Baseline!$B$3:$E$122,MATCH(MIN(MAX(ROUND(($F1056)/5,0)*5,5),600),Baseline!$A$3:$A$122,0),MATCH($E1056,Baseline!$B$2:$E$2,0))))))</f>
        <v/>
      </c>
      <c r="P1056" s="17" t="str">
        <f aca="false">IF($B1056="","",INDEX(Course!$N$2:$N$19,MATCH($B1056,Course!$A$2:$A$19,0)))</f>
        <v/>
      </c>
      <c r="Q1056" s="17" t="str">
        <f aca="false">IF($B1056="","",INDEX(Course!$P$2:$P$19,MATCH($B1056,Course!$A$2:$A$19,0)))</f>
        <v/>
      </c>
      <c r="R1056" s="17" t="str">
        <f aca="false">IF($C1056="","",IF(OR($C1056="G",$C1056="H"),0,IF($C1056="T",1,MIN(1,MAX(0,($N1056-Inputs!$B$8)/MAX($P1056-Inputs!$B$8,0.01))))))</f>
        <v/>
      </c>
      <c r="S1056" s="17" t="str">
        <f aca="false">IF($C1056="","",IF(OR($E1056="G",$E1056="H"),0,IF($E1056="T",1,MIN(1,MAX(0,($O1056-Inputs!$B$8)/MAX($P1056-Inputs!$B$8,0.01))))))</f>
        <v/>
      </c>
    </row>
    <row r="1057" customFormat="false" ht="15" hidden="false" customHeight="false" outlineLevel="0" collapsed="false">
      <c r="I1057" s="7" t="str">
        <f aca="false">IF($C1057="","",IF($C1057="G","PUTT",IF(AND($C1057="T",$M1057&gt;3),"OTT",IF($D1057&lt;=30,"ARG","APP"))))</f>
        <v/>
      </c>
      <c r="J1057" s="17" t="str">
        <f aca="false">IF($C1057="","",$N1057+$Q1057*$R1057)</f>
        <v/>
      </c>
      <c r="K1057" s="17" t="str">
        <f aca="false">IF($C1057="","",$O1057+$Q1057*$S1057)</f>
        <v/>
      </c>
      <c r="L1057" s="17" t="str">
        <f aca="false">IF($C1057="","",$J1057-$K1057-1-N($G1057))</f>
        <v/>
      </c>
      <c r="M1057" s="7" t="str">
        <f aca="false">IF($B1057="","",INDEX(Course!$B$2:$B$19,MATCH($B1057,Course!$A$2:$A$19,0)))</f>
        <v/>
      </c>
      <c r="N1057" s="17" t="str">
        <f aca="false">IF($C1057="","",IF($C1057="H",0,IF($C1057="G",INDEX(Baseline!$I$3:$I$102,MIN(MAX(ROUND($D1057,0),1),100)),IF($C1057="T",IF($M1057=3,INDEX(Baseline!$B$3:$B$122,MATCH(MIN(MAX(ROUND(($D1057)/5,0)*5,5),600),Baseline!$A$3:$A$122,0))-Inputs!$B$9,INDEX(Course!$N$2:$N$19,MATCH($B1057,Course!$A$2:$A$19,0))),INDEX(Baseline!$B$3:$E$122,MATCH(MIN(MAX(ROUND(($D1057)/5,0)*5,5),600),Baseline!$A$3:$A$122,0),MATCH($C1057,Baseline!$B$2:$E$2,0))))))</f>
        <v/>
      </c>
      <c r="O1057" s="17" t="str">
        <f aca="false">IF($C1057="","",IF($E1057="H",0,IF($E1057="G",INDEX(Baseline!$I$3:$I$102,MIN(MAX(ROUND($F1057,0),1),100)),IF($E1057="T",IF($M1057=3,INDEX(Baseline!$B$3:$B$122,MATCH(MIN(MAX(ROUND(($F1057)/5,0)*5,5),600),Baseline!$A$3:$A$122,0))-Inputs!$B$9,INDEX(Course!$N$2:$N$19,MATCH($B1057,Course!$A$2:$A$19,0))),INDEX(Baseline!$B$3:$E$122,MATCH(MIN(MAX(ROUND(($F1057)/5,0)*5,5),600),Baseline!$A$3:$A$122,0),MATCH($E1057,Baseline!$B$2:$E$2,0))))))</f>
        <v/>
      </c>
      <c r="P1057" s="17" t="str">
        <f aca="false">IF($B1057="","",INDEX(Course!$N$2:$N$19,MATCH($B1057,Course!$A$2:$A$19,0)))</f>
        <v/>
      </c>
      <c r="Q1057" s="17" t="str">
        <f aca="false">IF($B1057="","",INDEX(Course!$P$2:$P$19,MATCH($B1057,Course!$A$2:$A$19,0)))</f>
        <v/>
      </c>
      <c r="R1057" s="17" t="str">
        <f aca="false">IF($C1057="","",IF(OR($C1057="G",$C1057="H"),0,IF($C1057="T",1,MIN(1,MAX(0,($N1057-Inputs!$B$8)/MAX($P1057-Inputs!$B$8,0.01))))))</f>
        <v/>
      </c>
      <c r="S1057" s="17" t="str">
        <f aca="false">IF($C1057="","",IF(OR($E1057="G",$E1057="H"),0,IF($E1057="T",1,MIN(1,MAX(0,($O1057-Inputs!$B$8)/MAX($P1057-Inputs!$B$8,0.01))))))</f>
        <v/>
      </c>
    </row>
    <row r="1058" customFormat="false" ht="15" hidden="false" customHeight="false" outlineLevel="0" collapsed="false">
      <c r="I1058" s="7" t="str">
        <f aca="false">IF($C1058="","",IF($C1058="G","PUTT",IF(AND($C1058="T",$M1058&gt;3),"OTT",IF($D1058&lt;=30,"ARG","APP"))))</f>
        <v/>
      </c>
      <c r="J1058" s="17" t="str">
        <f aca="false">IF($C1058="","",$N1058+$Q1058*$R1058)</f>
        <v/>
      </c>
      <c r="K1058" s="17" t="str">
        <f aca="false">IF($C1058="","",$O1058+$Q1058*$S1058)</f>
        <v/>
      </c>
      <c r="L1058" s="17" t="str">
        <f aca="false">IF($C1058="","",$J1058-$K1058-1-N($G1058))</f>
        <v/>
      </c>
      <c r="M1058" s="7" t="str">
        <f aca="false">IF($B1058="","",INDEX(Course!$B$2:$B$19,MATCH($B1058,Course!$A$2:$A$19,0)))</f>
        <v/>
      </c>
      <c r="N1058" s="17" t="str">
        <f aca="false">IF($C1058="","",IF($C1058="H",0,IF($C1058="G",INDEX(Baseline!$I$3:$I$102,MIN(MAX(ROUND($D1058,0),1),100)),IF($C1058="T",IF($M1058=3,INDEX(Baseline!$B$3:$B$122,MATCH(MIN(MAX(ROUND(($D1058)/5,0)*5,5),600),Baseline!$A$3:$A$122,0))-Inputs!$B$9,INDEX(Course!$N$2:$N$19,MATCH($B1058,Course!$A$2:$A$19,0))),INDEX(Baseline!$B$3:$E$122,MATCH(MIN(MAX(ROUND(($D1058)/5,0)*5,5),600),Baseline!$A$3:$A$122,0),MATCH($C1058,Baseline!$B$2:$E$2,0))))))</f>
        <v/>
      </c>
      <c r="O1058" s="17" t="str">
        <f aca="false">IF($C1058="","",IF($E1058="H",0,IF($E1058="G",INDEX(Baseline!$I$3:$I$102,MIN(MAX(ROUND($F1058,0),1),100)),IF($E1058="T",IF($M1058=3,INDEX(Baseline!$B$3:$B$122,MATCH(MIN(MAX(ROUND(($F1058)/5,0)*5,5),600),Baseline!$A$3:$A$122,0))-Inputs!$B$9,INDEX(Course!$N$2:$N$19,MATCH($B1058,Course!$A$2:$A$19,0))),INDEX(Baseline!$B$3:$E$122,MATCH(MIN(MAX(ROUND(($F1058)/5,0)*5,5),600),Baseline!$A$3:$A$122,0),MATCH($E1058,Baseline!$B$2:$E$2,0))))))</f>
        <v/>
      </c>
      <c r="P1058" s="17" t="str">
        <f aca="false">IF($B1058="","",INDEX(Course!$N$2:$N$19,MATCH($B1058,Course!$A$2:$A$19,0)))</f>
        <v/>
      </c>
      <c r="Q1058" s="17" t="str">
        <f aca="false">IF($B1058="","",INDEX(Course!$P$2:$P$19,MATCH($B1058,Course!$A$2:$A$19,0)))</f>
        <v/>
      </c>
      <c r="R1058" s="17" t="str">
        <f aca="false">IF($C1058="","",IF(OR($C1058="G",$C1058="H"),0,IF($C1058="T",1,MIN(1,MAX(0,($N1058-Inputs!$B$8)/MAX($P1058-Inputs!$B$8,0.01))))))</f>
        <v/>
      </c>
      <c r="S1058" s="17" t="str">
        <f aca="false">IF($C1058="","",IF(OR($E1058="G",$E1058="H"),0,IF($E1058="T",1,MIN(1,MAX(0,($O1058-Inputs!$B$8)/MAX($P1058-Inputs!$B$8,0.01))))))</f>
        <v/>
      </c>
    </row>
    <row r="1059" customFormat="false" ht="15" hidden="false" customHeight="false" outlineLevel="0" collapsed="false">
      <c r="I1059" s="7" t="str">
        <f aca="false">IF($C1059="","",IF($C1059="G","PUTT",IF(AND($C1059="T",$M1059&gt;3),"OTT",IF($D1059&lt;=30,"ARG","APP"))))</f>
        <v/>
      </c>
      <c r="J1059" s="17" t="str">
        <f aca="false">IF($C1059="","",$N1059+$Q1059*$R1059)</f>
        <v/>
      </c>
      <c r="K1059" s="17" t="str">
        <f aca="false">IF($C1059="","",$O1059+$Q1059*$S1059)</f>
        <v/>
      </c>
      <c r="L1059" s="17" t="str">
        <f aca="false">IF($C1059="","",$J1059-$K1059-1-N($G1059))</f>
        <v/>
      </c>
      <c r="M1059" s="7" t="str">
        <f aca="false">IF($B1059="","",INDEX(Course!$B$2:$B$19,MATCH($B1059,Course!$A$2:$A$19,0)))</f>
        <v/>
      </c>
      <c r="N1059" s="17" t="str">
        <f aca="false">IF($C1059="","",IF($C1059="H",0,IF($C1059="G",INDEX(Baseline!$I$3:$I$102,MIN(MAX(ROUND($D1059,0),1),100)),IF($C1059="T",IF($M1059=3,INDEX(Baseline!$B$3:$B$122,MATCH(MIN(MAX(ROUND(($D1059)/5,0)*5,5),600),Baseline!$A$3:$A$122,0))-Inputs!$B$9,INDEX(Course!$N$2:$N$19,MATCH($B1059,Course!$A$2:$A$19,0))),INDEX(Baseline!$B$3:$E$122,MATCH(MIN(MAX(ROUND(($D1059)/5,0)*5,5),600),Baseline!$A$3:$A$122,0),MATCH($C1059,Baseline!$B$2:$E$2,0))))))</f>
        <v/>
      </c>
      <c r="O1059" s="17" t="str">
        <f aca="false">IF($C1059="","",IF($E1059="H",0,IF($E1059="G",INDEX(Baseline!$I$3:$I$102,MIN(MAX(ROUND($F1059,0),1),100)),IF($E1059="T",IF($M1059=3,INDEX(Baseline!$B$3:$B$122,MATCH(MIN(MAX(ROUND(($F1059)/5,0)*5,5),600),Baseline!$A$3:$A$122,0))-Inputs!$B$9,INDEX(Course!$N$2:$N$19,MATCH($B1059,Course!$A$2:$A$19,0))),INDEX(Baseline!$B$3:$E$122,MATCH(MIN(MAX(ROUND(($F1059)/5,0)*5,5),600),Baseline!$A$3:$A$122,0),MATCH($E1059,Baseline!$B$2:$E$2,0))))))</f>
        <v/>
      </c>
      <c r="P1059" s="17" t="str">
        <f aca="false">IF($B1059="","",INDEX(Course!$N$2:$N$19,MATCH($B1059,Course!$A$2:$A$19,0)))</f>
        <v/>
      </c>
      <c r="Q1059" s="17" t="str">
        <f aca="false">IF($B1059="","",INDEX(Course!$P$2:$P$19,MATCH($B1059,Course!$A$2:$A$19,0)))</f>
        <v/>
      </c>
      <c r="R1059" s="17" t="str">
        <f aca="false">IF($C1059="","",IF(OR($C1059="G",$C1059="H"),0,IF($C1059="T",1,MIN(1,MAX(0,($N1059-Inputs!$B$8)/MAX($P1059-Inputs!$B$8,0.01))))))</f>
        <v/>
      </c>
      <c r="S1059" s="17" t="str">
        <f aca="false">IF($C1059="","",IF(OR($E1059="G",$E1059="H"),0,IF($E1059="T",1,MIN(1,MAX(0,($O1059-Inputs!$B$8)/MAX($P1059-Inputs!$B$8,0.01))))))</f>
        <v/>
      </c>
    </row>
    <row r="1060" customFormat="false" ht="15" hidden="false" customHeight="false" outlineLevel="0" collapsed="false">
      <c r="I1060" s="7" t="str">
        <f aca="false">IF($C1060="","",IF($C1060="G","PUTT",IF(AND($C1060="T",$M1060&gt;3),"OTT",IF($D1060&lt;=30,"ARG","APP"))))</f>
        <v/>
      </c>
      <c r="J1060" s="17" t="str">
        <f aca="false">IF($C1060="","",$N1060+$Q1060*$R1060)</f>
        <v/>
      </c>
      <c r="K1060" s="17" t="str">
        <f aca="false">IF($C1060="","",$O1060+$Q1060*$S1060)</f>
        <v/>
      </c>
      <c r="L1060" s="17" t="str">
        <f aca="false">IF($C1060="","",$J1060-$K1060-1-N($G1060))</f>
        <v/>
      </c>
      <c r="M1060" s="7" t="str">
        <f aca="false">IF($B1060="","",INDEX(Course!$B$2:$B$19,MATCH($B1060,Course!$A$2:$A$19,0)))</f>
        <v/>
      </c>
      <c r="N1060" s="17" t="str">
        <f aca="false">IF($C1060="","",IF($C1060="H",0,IF($C1060="G",INDEX(Baseline!$I$3:$I$102,MIN(MAX(ROUND($D1060,0),1),100)),IF($C1060="T",IF($M1060=3,INDEX(Baseline!$B$3:$B$122,MATCH(MIN(MAX(ROUND(($D1060)/5,0)*5,5),600),Baseline!$A$3:$A$122,0))-Inputs!$B$9,INDEX(Course!$N$2:$N$19,MATCH($B1060,Course!$A$2:$A$19,0))),INDEX(Baseline!$B$3:$E$122,MATCH(MIN(MAX(ROUND(($D1060)/5,0)*5,5),600),Baseline!$A$3:$A$122,0),MATCH($C1060,Baseline!$B$2:$E$2,0))))))</f>
        <v/>
      </c>
      <c r="O1060" s="17" t="str">
        <f aca="false">IF($C1060="","",IF($E1060="H",0,IF($E1060="G",INDEX(Baseline!$I$3:$I$102,MIN(MAX(ROUND($F1060,0),1),100)),IF($E1060="T",IF($M1060=3,INDEX(Baseline!$B$3:$B$122,MATCH(MIN(MAX(ROUND(($F1060)/5,0)*5,5),600),Baseline!$A$3:$A$122,0))-Inputs!$B$9,INDEX(Course!$N$2:$N$19,MATCH($B1060,Course!$A$2:$A$19,0))),INDEX(Baseline!$B$3:$E$122,MATCH(MIN(MAX(ROUND(($F1060)/5,0)*5,5),600),Baseline!$A$3:$A$122,0),MATCH($E1060,Baseline!$B$2:$E$2,0))))))</f>
        <v/>
      </c>
      <c r="P1060" s="17" t="str">
        <f aca="false">IF($B1060="","",INDEX(Course!$N$2:$N$19,MATCH($B1060,Course!$A$2:$A$19,0)))</f>
        <v/>
      </c>
      <c r="Q1060" s="17" t="str">
        <f aca="false">IF($B1060="","",INDEX(Course!$P$2:$P$19,MATCH($B1060,Course!$A$2:$A$19,0)))</f>
        <v/>
      </c>
      <c r="R1060" s="17" t="str">
        <f aca="false">IF($C1060="","",IF(OR($C1060="G",$C1060="H"),0,IF($C1060="T",1,MIN(1,MAX(0,($N1060-Inputs!$B$8)/MAX($P1060-Inputs!$B$8,0.01))))))</f>
        <v/>
      </c>
      <c r="S1060" s="17" t="str">
        <f aca="false">IF($C1060="","",IF(OR($E1060="G",$E1060="H"),0,IF($E1060="T",1,MIN(1,MAX(0,($O1060-Inputs!$B$8)/MAX($P1060-Inputs!$B$8,0.01))))))</f>
        <v/>
      </c>
    </row>
    <row r="1061" customFormat="false" ht="15" hidden="false" customHeight="false" outlineLevel="0" collapsed="false">
      <c r="I1061" s="7" t="str">
        <f aca="false">IF($C1061="","",IF($C1061="G","PUTT",IF(AND($C1061="T",$M1061&gt;3),"OTT",IF($D1061&lt;=30,"ARG","APP"))))</f>
        <v/>
      </c>
      <c r="J1061" s="17" t="str">
        <f aca="false">IF($C1061="","",$N1061+$Q1061*$R1061)</f>
        <v/>
      </c>
      <c r="K1061" s="17" t="str">
        <f aca="false">IF($C1061="","",$O1061+$Q1061*$S1061)</f>
        <v/>
      </c>
      <c r="L1061" s="17" t="str">
        <f aca="false">IF($C1061="","",$J1061-$K1061-1-N($G1061))</f>
        <v/>
      </c>
      <c r="M1061" s="7" t="str">
        <f aca="false">IF($B1061="","",INDEX(Course!$B$2:$B$19,MATCH($B1061,Course!$A$2:$A$19,0)))</f>
        <v/>
      </c>
      <c r="N1061" s="17" t="str">
        <f aca="false">IF($C1061="","",IF($C1061="H",0,IF($C1061="G",INDEX(Baseline!$I$3:$I$102,MIN(MAX(ROUND($D1061,0),1),100)),IF($C1061="T",IF($M1061=3,INDEX(Baseline!$B$3:$B$122,MATCH(MIN(MAX(ROUND(($D1061)/5,0)*5,5),600),Baseline!$A$3:$A$122,0))-Inputs!$B$9,INDEX(Course!$N$2:$N$19,MATCH($B1061,Course!$A$2:$A$19,0))),INDEX(Baseline!$B$3:$E$122,MATCH(MIN(MAX(ROUND(($D1061)/5,0)*5,5),600),Baseline!$A$3:$A$122,0),MATCH($C1061,Baseline!$B$2:$E$2,0))))))</f>
        <v/>
      </c>
      <c r="O1061" s="17" t="str">
        <f aca="false">IF($C1061="","",IF($E1061="H",0,IF($E1061="G",INDEX(Baseline!$I$3:$I$102,MIN(MAX(ROUND($F1061,0),1),100)),IF($E1061="T",IF($M1061=3,INDEX(Baseline!$B$3:$B$122,MATCH(MIN(MAX(ROUND(($F1061)/5,0)*5,5),600),Baseline!$A$3:$A$122,0))-Inputs!$B$9,INDEX(Course!$N$2:$N$19,MATCH($B1061,Course!$A$2:$A$19,0))),INDEX(Baseline!$B$3:$E$122,MATCH(MIN(MAX(ROUND(($F1061)/5,0)*5,5),600),Baseline!$A$3:$A$122,0),MATCH($E1061,Baseline!$B$2:$E$2,0))))))</f>
        <v/>
      </c>
      <c r="P1061" s="17" t="str">
        <f aca="false">IF($B1061="","",INDEX(Course!$N$2:$N$19,MATCH($B1061,Course!$A$2:$A$19,0)))</f>
        <v/>
      </c>
      <c r="Q1061" s="17" t="str">
        <f aca="false">IF($B1061="","",INDEX(Course!$P$2:$P$19,MATCH($B1061,Course!$A$2:$A$19,0)))</f>
        <v/>
      </c>
      <c r="R1061" s="17" t="str">
        <f aca="false">IF($C1061="","",IF(OR($C1061="G",$C1061="H"),0,IF($C1061="T",1,MIN(1,MAX(0,($N1061-Inputs!$B$8)/MAX($P1061-Inputs!$B$8,0.01))))))</f>
        <v/>
      </c>
      <c r="S1061" s="17" t="str">
        <f aca="false">IF($C1061="","",IF(OR($E1061="G",$E1061="H"),0,IF($E1061="T",1,MIN(1,MAX(0,($O1061-Inputs!$B$8)/MAX($P1061-Inputs!$B$8,0.01))))))</f>
        <v/>
      </c>
    </row>
    <row r="1062" customFormat="false" ht="15" hidden="false" customHeight="false" outlineLevel="0" collapsed="false">
      <c r="I1062" s="7" t="str">
        <f aca="false">IF($C1062="","",IF($C1062="G","PUTT",IF(AND($C1062="T",$M1062&gt;3),"OTT",IF($D1062&lt;=30,"ARG","APP"))))</f>
        <v/>
      </c>
      <c r="J1062" s="17" t="str">
        <f aca="false">IF($C1062="","",$N1062+$Q1062*$R1062)</f>
        <v/>
      </c>
      <c r="K1062" s="17" t="str">
        <f aca="false">IF($C1062="","",$O1062+$Q1062*$S1062)</f>
        <v/>
      </c>
      <c r="L1062" s="17" t="str">
        <f aca="false">IF($C1062="","",$J1062-$K1062-1-N($G1062))</f>
        <v/>
      </c>
      <c r="M1062" s="7" t="str">
        <f aca="false">IF($B1062="","",INDEX(Course!$B$2:$B$19,MATCH($B1062,Course!$A$2:$A$19,0)))</f>
        <v/>
      </c>
      <c r="N1062" s="17" t="str">
        <f aca="false">IF($C1062="","",IF($C1062="H",0,IF($C1062="G",INDEX(Baseline!$I$3:$I$102,MIN(MAX(ROUND($D1062,0),1),100)),IF($C1062="T",IF($M1062=3,INDEX(Baseline!$B$3:$B$122,MATCH(MIN(MAX(ROUND(($D1062)/5,0)*5,5),600),Baseline!$A$3:$A$122,0))-Inputs!$B$9,INDEX(Course!$N$2:$N$19,MATCH($B1062,Course!$A$2:$A$19,0))),INDEX(Baseline!$B$3:$E$122,MATCH(MIN(MAX(ROUND(($D1062)/5,0)*5,5),600),Baseline!$A$3:$A$122,0),MATCH($C1062,Baseline!$B$2:$E$2,0))))))</f>
        <v/>
      </c>
      <c r="O1062" s="17" t="str">
        <f aca="false">IF($C1062="","",IF($E1062="H",0,IF($E1062="G",INDEX(Baseline!$I$3:$I$102,MIN(MAX(ROUND($F1062,0),1),100)),IF($E1062="T",IF($M1062=3,INDEX(Baseline!$B$3:$B$122,MATCH(MIN(MAX(ROUND(($F1062)/5,0)*5,5),600),Baseline!$A$3:$A$122,0))-Inputs!$B$9,INDEX(Course!$N$2:$N$19,MATCH($B1062,Course!$A$2:$A$19,0))),INDEX(Baseline!$B$3:$E$122,MATCH(MIN(MAX(ROUND(($F1062)/5,0)*5,5),600),Baseline!$A$3:$A$122,0),MATCH($E1062,Baseline!$B$2:$E$2,0))))))</f>
        <v/>
      </c>
      <c r="P1062" s="17" t="str">
        <f aca="false">IF($B1062="","",INDEX(Course!$N$2:$N$19,MATCH($B1062,Course!$A$2:$A$19,0)))</f>
        <v/>
      </c>
      <c r="Q1062" s="17" t="str">
        <f aca="false">IF($B1062="","",INDEX(Course!$P$2:$P$19,MATCH($B1062,Course!$A$2:$A$19,0)))</f>
        <v/>
      </c>
      <c r="R1062" s="17" t="str">
        <f aca="false">IF($C1062="","",IF(OR($C1062="G",$C1062="H"),0,IF($C1062="T",1,MIN(1,MAX(0,($N1062-Inputs!$B$8)/MAX($P1062-Inputs!$B$8,0.01))))))</f>
        <v/>
      </c>
      <c r="S1062" s="17" t="str">
        <f aca="false">IF($C1062="","",IF(OR($E1062="G",$E1062="H"),0,IF($E1062="T",1,MIN(1,MAX(0,($O1062-Inputs!$B$8)/MAX($P1062-Inputs!$B$8,0.01))))))</f>
        <v/>
      </c>
    </row>
    <row r="1063" customFormat="false" ht="15" hidden="false" customHeight="false" outlineLevel="0" collapsed="false">
      <c r="I1063" s="7" t="str">
        <f aca="false">IF($C1063="","",IF($C1063="G","PUTT",IF(AND($C1063="T",$M1063&gt;3),"OTT",IF($D1063&lt;=30,"ARG","APP"))))</f>
        <v/>
      </c>
      <c r="J1063" s="17" t="str">
        <f aca="false">IF($C1063="","",$N1063+$Q1063*$R1063)</f>
        <v/>
      </c>
      <c r="K1063" s="17" t="str">
        <f aca="false">IF($C1063="","",$O1063+$Q1063*$S1063)</f>
        <v/>
      </c>
      <c r="L1063" s="17" t="str">
        <f aca="false">IF($C1063="","",$J1063-$K1063-1-N($G1063))</f>
        <v/>
      </c>
      <c r="M1063" s="7" t="str">
        <f aca="false">IF($B1063="","",INDEX(Course!$B$2:$B$19,MATCH($B1063,Course!$A$2:$A$19,0)))</f>
        <v/>
      </c>
      <c r="N1063" s="17" t="str">
        <f aca="false">IF($C1063="","",IF($C1063="H",0,IF($C1063="G",INDEX(Baseline!$I$3:$I$102,MIN(MAX(ROUND($D1063,0),1),100)),IF($C1063="T",IF($M1063=3,INDEX(Baseline!$B$3:$B$122,MATCH(MIN(MAX(ROUND(($D1063)/5,0)*5,5),600),Baseline!$A$3:$A$122,0))-Inputs!$B$9,INDEX(Course!$N$2:$N$19,MATCH($B1063,Course!$A$2:$A$19,0))),INDEX(Baseline!$B$3:$E$122,MATCH(MIN(MAX(ROUND(($D1063)/5,0)*5,5),600),Baseline!$A$3:$A$122,0),MATCH($C1063,Baseline!$B$2:$E$2,0))))))</f>
        <v/>
      </c>
      <c r="O1063" s="17" t="str">
        <f aca="false">IF($C1063="","",IF($E1063="H",0,IF($E1063="G",INDEX(Baseline!$I$3:$I$102,MIN(MAX(ROUND($F1063,0),1),100)),IF($E1063="T",IF($M1063=3,INDEX(Baseline!$B$3:$B$122,MATCH(MIN(MAX(ROUND(($F1063)/5,0)*5,5),600),Baseline!$A$3:$A$122,0))-Inputs!$B$9,INDEX(Course!$N$2:$N$19,MATCH($B1063,Course!$A$2:$A$19,0))),INDEX(Baseline!$B$3:$E$122,MATCH(MIN(MAX(ROUND(($F1063)/5,0)*5,5),600),Baseline!$A$3:$A$122,0),MATCH($E1063,Baseline!$B$2:$E$2,0))))))</f>
        <v/>
      </c>
      <c r="P1063" s="17" t="str">
        <f aca="false">IF($B1063="","",INDEX(Course!$N$2:$N$19,MATCH($B1063,Course!$A$2:$A$19,0)))</f>
        <v/>
      </c>
      <c r="Q1063" s="17" t="str">
        <f aca="false">IF($B1063="","",INDEX(Course!$P$2:$P$19,MATCH($B1063,Course!$A$2:$A$19,0)))</f>
        <v/>
      </c>
      <c r="R1063" s="17" t="str">
        <f aca="false">IF($C1063="","",IF(OR($C1063="G",$C1063="H"),0,IF($C1063="T",1,MIN(1,MAX(0,($N1063-Inputs!$B$8)/MAX($P1063-Inputs!$B$8,0.01))))))</f>
        <v/>
      </c>
      <c r="S1063" s="17" t="str">
        <f aca="false">IF($C1063="","",IF(OR($E1063="G",$E1063="H"),0,IF($E1063="T",1,MIN(1,MAX(0,($O1063-Inputs!$B$8)/MAX($P1063-Inputs!$B$8,0.01))))))</f>
        <v/>
      </c>
    </row>
    <row r="1064" customFormat="false" ht="15" hidden="false" customHeight="false" outlineLevel="0" collapsed="false">
      <c r="I1064" s="7" t="str">
        <f aca="false">IF($C1064="","",IF($C1064="G","PUTT",IF(AND($C1064="T",$M1064&gt;3),"OTT",IF($D1064&lt;=30,"ARG","APP"))))</f>
        <v/>
      </c>
      <c r="J1064" s="17" t="str">
        <f aca="false">IF($C1064="","",$N1064+$Q1064*$R1064)</f>
        <v/>
      </c>
      <c r="K1064" s="17" t="str">
        <f aca="false">IF($C1064="","",$O1064+$Q1064*$S1064)</f>
        <v/>
      </c>
      <c r="L1064" s="17" t="str">
        <f aca="false">IF($C1064="","",$J1064-$K1064-1-N($G1064))</f>
        <v/>
      </c>
      <c r="M1064" s="7" t="str">
        <f aca="false">IF($B1064="","",INDEX(Course!$B$2:$B$19,MATCH($B1064,Course!$A$2:$A$19,0)))</f>
        <v/>
      </c>
      <c r="N1064" s="17" t="str">
        <f aca="false">IF($C1064="","",IF($C1064="H",0,IF($C1064="G",INDEX(Baseline!$I$3:$I$102,MIN(MAX(ROUND($D1064,0),1),100)),IF($C1064="T",IF($M1064=3,INDEX(Baseline!$B$3:$B$122,MATCH(MIN(MAX(ROUND(($D1064)/5,0)*5,5),600),Baseline!$A$3:$A$122,0))-Inputs!$B$9,INDEX(Course!$N$2:$N$19,MATCH($B1064,Course!$A$2:$A$19,0))),INDEX(Baseline!$B$3:$E$122,MATCH(MIN(MAX(ROUND(($D1064)/5,0)*5,5),600),Baseline!$A$3:$A$122,0),MATCH($C1064,Baseline!$B$2:$E$2,0))))))</f>
        <v/>
      </c>
      <c r="O1064" s="17" t="str">
        <f aca="false">IF($C1064="","",IF($E1064="H",0,IF($E1064="G",INDEX(Baseline!$I$3:$I$102,MIN(MAX(ROUND($F1064,0),1),100)),IF($E1064="T",IF($M1064=3,INDEX(Baseline!$B$3:$B$122,MATCH(MIN(MAX(ROUND(($F1064)/5,0)*5,5),600),Baseline!$A$3:$A$122,0))-Inputs!$B$9,INDEX(Course!$N$2:$N$19,MATCH($B1064,Course!$A$2:$A$19,0))),INDEX(Baseline!$B$3:$E$122,MATCH(MIN(MAX(ROUND(($F1064)/5,0)*5,5),600),Baseline!$A$3:$A$122,0),MATCH($E1064,Baseline!$B$2:$E$2,0))))))</f>
        <v/>
      </c>
      <c r="P1064" s="17" t="str">
        <f aca="false">IF($B1064="","",INDEX(Course!$N$2:$N$19,MATCH($B1064,Course!$A$2:$A$19,0)))</f>
        <v/>
      </c>
      <c r="Q1064" s="17" t="str">
        <f aca="false">IF($B1064="","",INDEX(Course!$P$2:$P$19,MATCH($B1064,Course!$A$2:$A$19,0)))</f>
        <v/>
      </c>
      <c r="R1064" s="17" t="str">
        <f aca="false">IF($C1064="","",IF(OR($C1064="G",$C1064="H"),0,IF($C1064="T",1,MIN(1,MAX(0,($N1064-Inputs!$B$8)/MAX($P1064-Inputs!$B$8,0.01))))))</f>
        <v/>
      </c>
      <c r="S1064" s="17" t="str">
        <f aca="false">IF($C1064="","",IF(OR($E1064="G",$E1064="H"),0,IF($E1064="T",1,MIN(1,MAX(0,($O1064-Inputs!$B$8)/MAX($P1064-Inputs!$B$8,0.01))))))</f>
        <v/>
      </c>
    </row>
    <row r="1065" customFormat="false" ht="15" hidden="false" customHeight="false" outlineLevel="0" collapsed="false">
      <c r="I1065" s="7" t="str">
        <f aca="false">IF($C1065="","",IF($C1065="G","PUTT",IF(AND($C1065="T",$M1065&gt;3),"OTT",IF($D1065&lt;=30,"ARG","APP"))))</f>
        <v/>
      </c>
      <c r="J1065" s="17" t="str">
        <f aca="false">IF($C1065="","",$N1065+$Q1065*$R1065)</f>
        <v/>
      </c>
      <c r="K1065" s="17" t="str">
        <f aca="false">IF($C1065="","",$O1065+$Q1065*$S1065)</f>
        <v/>
      </c>
      <c r="L1065" s="17" t="str">
        <f aca="false">IF($C1065="","",$J1065-$K1065-1-N($G1065))</f>
        <v/>
      </c>
      <c r="M1065" s="7" t="str">
        <f aca="false">IF($B1065="","",INDEX(Course!$B$2:$B$19,MATCH($B1065,Course!$A$2:$A$19,0)))</f>
        <v/>
      </c>
      <c r="N1065" s="17" t="str">
        <f aca="false">IF($C1065="","",IF($C1065="H",0,IF($C1065="G",INDEX(Baseline!$I$3:$I$102,MIN(MAX(ROUND($D1065,0),1),100)),IF($C1065="T",IF($M1065=3,INDEX(Baseline!$B$3:$B$122,MATCH(MIN(MAX(ROUND(($D1065)/5,0)*5,5),600),Baseline!$A$3:$A$122,0))-Inputs!$B$9,INDEX(Course!$N$2:$N$19,MATCH($B1065,Course!$A$2:$A$19,0))),INDEX(Baseline!$B$3:$E$122,MATCH(MIN(MAX(ROUND(($D1065)/5,0)*5,5),600),Baseline!$A$3:$A$122,0),MATCH($C1065,Baseline!$B$2:$E$2,0))))))</f>
        <v/>
      </c>
      <c r="O1065" s="17" t="str">
        <f aca="false">IF($C1065="","",IF($E1065="H",0,IF($E1065="G",INDEX(Baseline!$I$3:$I$102,MIN(MAX(ROUND($F1065,0),1),100)),IF($E1065="T",IF($M1065=3,INDEX(Baseline!$B$3:$B$122,MATCH(MIN(MAX(ROUND(($F1065)/5,0)*5,5),600),Baseline!$A$3:$A$122,0))-Inputs!$B$9,INDEX(Course!$N$2:$N$19,MATCH($B1065,Course!$A$2:$A$19,0))),INDEX(Baseline!$B$3:$E$122,MATCH(MIN(MAX(ROUND(($F1065)/5,0)*5,5),600),Baseline!$A$3:$A$122,0),MATCH($E1065,Baseline!$B$2:$E$2,0))))))</f>
        <v/>
      </c>
      <c r="P1065" s="17" t="str">
        <f aca="false">IF($B1065="","",INDEX(Course!$N$2:$N$19,MATCH($B1065,Course!$A$2:$A$19,0)))</f>
        <v/>
      </c>
      <c r="Q1065" s="17" t="str">
        <f aca="false">IF($B1065="","",INDEX(Course!$P$2:$P$19,MATCH($B1065,Course!$A$2:$A$19,0)))</f>
        <v/>
      </c>
      <c r="R1065" s="17" t="str">
        <f aca="false">IF($C1065="","",IF(OR($C1065="G",$C1065="H"),0,IF($C1065="T",1,MIN(1,MAX(0,($N1065-Inputs!$B$8)/MAX($P1065-Inputs!$B$8,0.01))))))</f>
        <v/>
      </c>
      <c r="S1065" s="17" t="str">
        <f aca="false">IF($C1065="","",IF(OR($E1065="G",$E1065="H"),0,IF($E1065="T",1,MIN(1,MAX(0,($O1065-Inputs!$B$8)/MAX($P1065-Inputs!$B$8,0.01))))))</f>
        <v/>
      </c>
    </row>
    <row r="1066" customFormat="false" ht="15" hidden="false" customHeight="false" outlineLevel="0" collapsed="false">
      <c r="I1066" s="7" t="str">
        <f aca="false">IF($C1066="","",IF($C1066="G","PUTT",IF(AND($C1066="T",$M1066&gt;3),"OTT",IF($D1066&lt;=30,"ARG","APP"))))</f>
        <v/>
      </c>
      <c r="J1066" s="17" t="str">
        <f aca="false">IF($C1066="","",$N1066+$Q1066*$R1066)</f>
        <v/>
      </c>
      <c r="K1066" s="17" t="str">
        <f aca="false">IF($C1066="","",$O1066+$Q1066*$S1066)</f>
        <v/>
      </c>
      <c r="L1066" s="17" t="str">
        <f aca="false">IF($C1066="","",$J1066-$K1066-1-N($G1066))</f>
        <v/>
      </c>
      <c r="M1066" s="7" t="str">
        <f aca="false">IF($B1066="","",INDEX(Course!$B$2:$B$19,MATCH($B1066,Course!$A$2:$A$19,0)))</f>
        <v/>
      </c>
      <c r="N1066" s="17" t="str">
        <f aca="false">IF($C1066="","",IF($C1066="H",0,IF($C1066="G",INDEX(Baseline!$I$3:$I$102,MIN(MAX(ROUND($D1066,0),1),100)),IF($C1066="T",IF($M1066=3,INDEX(Baseline!$B$3:$B$122,MATCH(MIN(MAX(ROUND(($D1066)/5,0)*5,5),600),Baseline!$A$3:$A$122,0))-Inputs!$B$9,INDEX(Course!$N$2:$N$19,MATCH($B1066,Course!$A$2:$A$19,0))),INDEX(Baseline!$B$3:$E$122,MATCH(MIN(MAX(ROUND(($D1066)/5,0)*5,5),600),Baseline!$A$3:$A$122,0),MATCH($C1066,Baseline!$B$2:$E$2,0))))))</f>
        <v/>
      </c>
      <c r="O1066" s="17" t="str">
        <f aca="false">IF($C1066="","",IF($E1066="H",0,IF($E1066="G",INDEX(Baseline!$I$3:$I$102,MIN(MAX(ROUND($F1066,0),1),100)),IF($E1066="T",IF($M1066=3,INDEX(Baseline!$B$3:$B$122,MATCH(MIN(MAX(ROUND(($F1066)/5,0)*5,5),600),Baseline!$A$3:$A$122,0))-Inputs!$B$9,INDEX(Course!$N$2:$N$19,MATCH($B1066,Course!$A$2:$A$19,0))),INDEX(Baseline!$B$3:$E$122,MATCH(MIN(MAX(ROUND(($F1066)/5,0)*5,5),600),Baseline!$A$3:$A$122,0),MATCH($E1066,Baseline!$B$2:$E$2,0))))))</f>
        <v/>
      </c>
      <c r="P1066" s="17" t="str">
        <f aca="false">IF($B1066="","",INDEX(Course!$N$2:$N$19,MATCH($B1066,Course!$A$2:$A$19,0)))</f>
        <v/>
      </c>
      <c r="Q1066" s="17" t="str">
        <f aca="false">IF($B1066="","",INDEX(Course!$P$2:$P$19,MATCH($B1066,Course!$A$2:$A$19,0)))</f>
        <v/>
      </c>
      <c r="R1066" s="17" t="str">
        <f aca="false">IF($C1066="","",IF(OR($C1066="G",$C1066="H"),0,IF($C1066="T",1,MIN(1,MAX(0,($N1066-Inputs!$B$8)/MAX($P1066-Inputs!$B$8,0.01))))))</f>
        <v/>
      </c>
      <c r="S1066" s="17" t="str">
        <f aca="false">IF($C1066="","",IF(OR($E1066="G",$E1066="H"),0,IF($E1066="T",1,MIN(1,MAX(0,($O1066-Inputs!$B$8)/MAX($P1066-Inputs!$B$8,0.01))))))</f>
        <v/>
      </c>
    </row>
    <row r="1067" customFormat="false" ht="15" hidden="false" customHeight="false" outlineLevel="0" collapsed="false">
      <c r="I1067" s="7" t="str">
        <f aca="false">IF($C1067="","",IF($C1067="G","PUTT",IF(AND($C1067="T",$M1067&gt;3),"OTT",IF($D1067&lt;=30,"ARG","APP"))))</f>
        <v/>
      </c>
      <c r="J1067" s="17" t="str">
        <f aca="false">IF($C1067="","",$N1067+$Q1067*$R1067)</f>
        <v/>
      </c>
      <c r="K1067" s="17" t="str">
        <f aca="false">IF($C1067="","",$O1067+$Q1067*$S1067)</f>
        <v/>
      </c>
      <c r="L1067" s="17" t="str">
        <f aca="false">IF($C1067="","",$J1067-$K1067-1-N($G1067))</f>
        <v/>
      </c>
      <c r="M1067" s="7" t="str">
        <f aca="false">IF($B1067="","",INDEX(Course!$B$2:$B$19,MATCH($B1067,Course!$A$2:$A$19,0)))</f>
        <v/>
      </c>
      <c r="N1067" s="17" t="str">
        <f aca="false">IF($C1067="","",IF($C1067="H",0,IF($C1067="G",INDEX(Baseline!$I$3:$I$102,MIN(MAX(ROUND($D1067,0),1),100)),IF($C1067="T",IF($M1067=3,INDEX(Baseline!$B$3:$B$122,MATCH(MIN(MAX(ROUND(($D1067)/5,0)*5,5),600),Baseline!$A$3:$A$122,0))-Inputs!$B$9,INDEX(Course!$N$2:$N$19,MATCH($B1067,Course!$A$2:$A$19,0))),INDEX(Baseline!$B$3:$E$122,MATCH(MIN(MAX(ROUND(($D1067)/5,0)*5,5),600),Baseline!$A$3:$A$122,0),MATCH($C1067,Baseline!$B$2:$E$2,0))))))</f>
        <v/>
      </c>
      <c r="O1067" s="17" t="str">
        <f aca="false">IF($C1067="","",IF($E1067="H",0,IF($E1067="G",INDEX(Baseline!$I$3:$I$102,MIN(MAX(ROUND($F1067,0),1),100)),IF($E1067="T",IF($M1067=3,INDEX(Baseline!$B$3:$B$122,MATCH(MIN(MAX(ROUND(($F1067)/5,0)*5,5),600),Baseline!$A$3:$A$122,0))-Inputs!$B$9,INDEX(Course!$N$2:$N$19,MATCH($B1067,Course!$A$2:$A$19,0))),INDEX(Baseline!$B$3:$E$122,MATCH(MIN(MAX(ROUND(($F1067)/5,0)*5,5),600),Baseline!$A$3:$A$122,0),MATCH($E1067,Baseline!$B$2:$E$2,0))))))</f>
        <v/>
      </c>
      <c r="P1067" s="17" t="str">
        <f aca="false">IF($B1067="","",INDEX(Course!$N$2:$N$19,MATCH($B1067,Course!$A$2:$A$19,0)))</f>
        <v/>
      </c>
      <c r="Q1067" s="17" t="str">
        <f aca="false">IF($B1067="","",INDEX(Course!$P$2:$P$19,MATCH($B1067,Course!$A$2:$A$19,0)))</f>
        <v/>
      </c>
      <c r="R1067" s="17" t="str">
        <f aca="false">IF($C1067="","",IF(OR($C1067="G",$C1067="H"),0,IF($C1067="T",1,MIN(1,MAX(0,($N1067-Inputs!$B$8)/MAX($P1067-Inputs!$B$8,0.01))))))</f>
        <v/>
      </c>
      <c r="S1067" s="17" t="str">
        <f aca="false">IF($C1067="","",IF(OR($E1067="G",$E1067="H"),0,IF($E1067="T",1,MIN(1,MAX(0,($O1067-Inputs!$B$8)/MAX($P1067-Inputs!$B$8,0.01))))))</f>
        <v/>
      </c>
    </row>
    <row r="1068" customFormat="false" ht="15" hidden="false" customHeight="false" outlineLevel="0" collapsed="false">
      <c r="I1068" s="7" t="str">
        <f aca="false">IF($C1068="","",IF($C1068="G","PUTT",IF(AND($C1068="T",$M1068&gt;3),"OTT",IF($D1068&lt;=30,"ARG","APP"))))</f>
        <v/>
      </c>
      <c r="J1068" s="17" t="str">
        <f aca="false">IF($C1068="","",$N1068+$Q1068*$R1068)</f>
        <v/>
      </c>
      <c r="K1068" s="17" t="str">
        <f aca="false">IF($C1068="","",$O1068+$Q1068*$S1068)</f>
        <v/>
      </c>
      <c r="L1068" s="17" t="str">
        <f aca="false">IF($C1068="","",$J1068-$K1068-1-N($G1068))</f>
        <v/>
      </c>
      <c r="M1068" s="7" t="str">
        <f aca="false">IF($B1068="","",INDEX(Course!$B$2:$B$19,MATCH($B1068,Course!$A$2:$A$19,0)))</f>
        <v/>
      </c>
      <c r="N1068" s="17" t="str">
        <f aca="false">IF($C1068="","",IF($C1068="H",0,IF($C1068="G",INDEX(Baseline!$I$3:$I$102,MIN(MAX(ROUND($D1068,0),1),100)),IF($C1068="T",IF($M1068=3,INDEX(Baseline!$B$3:$B$122,MATCH(MIN(MAX(ROUND(($D1068)/5,0)*5,5),600),Baseline!$A$3:$A$122,0))-Inputs!$B$9,INDEX(Course!$N$2:$N$19,MATCH($B1068,Course!$A$2:$A$19,0))),INDEX(Baseline!$B$3:$E$122,MATCH(MIN(MAX(ROUND(($D1068)/5,0)*5,5),600),Baseline!$A$3:$A$122,0),MATCH($C1068,Baseline!$B$2:$E$2,0))))))</f>
        <v/>
      </c>
      <c r="O1068" s="17" t="str">
        <f aca="false">IF($C1068="","",IF($E1068="H",0,IF($E1068="G",INDEX(Baseline!$I$3:$I$102,MIN(MAX(ROUND($F1068,0),1),100)),IF($E1068="T",IF($M1068=3,INDEX(Baseline!$B$3:$B$122,MATCH(MIN(MAX(ROUND(($F1068)/5,0)*5,5),600),Baseline!$A$3:$A$122,0))-Inputs!$B$9,INDEX(Course!$N$2:$N$19,MATCH($B1068,Course!$A$2:$A$19,0))),INDEX(Baseline!$B$3:$E$122,MATCH(MIN(MAX(ROUND(($F1068)/5,0)*5,5),600),Baseline!$A$3:$A$122,0),MATCH($E1068,Baseline!$B$2:$E$2,0))))))</f>
        <v/>
      </c>
      <c r="P1068" s="17" t="str">
        <f aca="false">IF($B1068="","",INDEX(Course!$N$2:$N$19,MATCH($B1068,Course!$A$2:$A$19,0)))</f>
        <v/>
      </c>
      <c r="Q1068" s="17" t="str">
        <f aca="false">IF($B1068="","",INDEX(Course!$P$2:$P$19,MATCH($B1068,Course!$A$2:$A$19,0)))</f>
        <v/>
      </c>
      <c r="R1068" s="17" t="str">
        <f aca="false">IF($C1068="","",IF(OR($C1068="G",$C1068="H"),0,IF($C1068="T",1,MIN(1,MAX(0,($N1068-Inputs!$B$8)/MAX($P1068-Inputs!$B$8,0.01))))))</f>
        <v/>
      </c>
      <c r="S1068" s="17" t="str">
        <f aca="false">IF($C1068="","",IF(OR($E1068="G",$E1068="H"),0,IF($E1068="T",1,MIN(1,MAX(0,($O1068-Inputs!$B$8)/MAX($P1068-Inputs!$B$8,0.01))))))</f>
        <v/>
      </c>
    </row>
    <row r="1069" customFormat="false" ht="15" hidden="false" customHeight="false" outlineLevel="0" collapsed="false">
      <c r="I1069" s="7" t="str">
        <f aca="false">IF($C1069="","",IF($C1069="G","PUTT",IF(AND($C1069="T",$M1069&gt;3),"OTT",IF($D1069&lt;=30,"ARG","APP"))))</f>
        <v/>
      </c>
      <c r="J1069" s="17" t="str">
        <f aca="false">IF($C1069="","",$N1069+$Q1069*$R1069)</f>
        <v/>
      </c>
      <c r="K1069" s="17" t="str">
        <f aca="false">IF($C1069="","",$O1069+$Q1069*$S1069)</f>
        <v/>
      </c>
      <c r="L1069" s="17" t="str">
        <f aca="false">IF($C1069="","",$J1069-$K1069-1-N($G1069))</f>
        <v/>
      </c>
      <c r="M1069" s="7" t="str">
        <f aca="false">IF($B1069="","",INDEX(Course!$B$2:$B$19,MATCH($B1069,Course!$A$2:$A$19,0)))</f>
        <v/>
      </c>
      <c r="N1069" s="17" t="str">
        <f aca="false">IF($C1069="","",IF($C1069="H",0,IF($C1069="G",INDEX(Baseline!$I$3:$I$102,MIN(MAX(ROUND($D1069,0),1),100)),IF($C1069="T",IF($M1069=3,INDEX(Baseline!$B$3:$B$122,MATCH(MIN(MAX(ROUND(($D1069)/5,0)*5,5),600),Baseline!$A$3:$A$122,0))-Inputs!$B$9,INDEX(Course!$N$2:$N$19,MATCH($B1069,Course!$A$2:$A$19,0))),INDEX(Baseline!$B$3:$E$122,MATCH(MIN(MAX(ROUND(($D1069)/5,0)*5,5),600),Baseline!$A$3:$A$122,0),MATCH($C1069,Baseline!$B$2:$E$2,0))))))</f>
        <v/>
      </c>
      <c r="O1069" s="17" t="str">
        <f aca="false">IF($C1069="","",IF($E1069="H",0,IF($E1069="G",INDEX(Baseline!$I$3:$I$102,MIN(MAX(ROUND($F1069,0),1),100)),IF($E1069="T",IF($M1069=3,INDEX(Baseline!$B$3:$B$122,MATCH(MIN(MAX(ROUND(($F1069)/5,0)*5,5),600),Baseline!$A$3:$A$122,0))-Inputs!$B$9,INDEX(Course!$N$2:$N$19,MATCH($B1069,Course!$A$2:$A$19,0))),INDEX(Baseline!$B$3:$E$122,MATCH(MIN(MAX(ROUND(($F1069)/5,0)*5,5),600),Baseline!$A$3:$A$122,0),MATCH($E1069,Baseline!$B$2:$E$2,0))))))</f>
        <v/>
      </c>
      <c r="P1069" s="17" t="str">
        <f aca="false">IF($B1069="","",INDEX(Course!$N$2:$N$19,MATCH($B1069,Course!$A$2:$A$19,0)))</f>
        <v/>
      </c>
      <c r="Q1069" s="17" t="str">
        <f aca="false">IF($B1069="","",INDEX(Course!$P$2:$P$19,MATCH($B1069,Course!$A$2:$A$19,0)))</f>
        <v/>
      </c>
      <c r="R1069" s="17" t="str">
        <f aca="false">IF($C1069="","",IF(OR($C1069="G",$C1069="H"),0,IF($C1069="T",1,MIN(1,MAX(0,($N1069-Inputs!$B$8)/MAX($P1069-Inputs!$B$8,0.01))))))</f>
        <v/>
      </c>
      <c r="S1069" s="17" t="str">
        <f aca="false">IF($C1069="","",IF(OR($E1069="G",$E1069="H"),0,IF($E1069="T",1,MIN(1,MAX(0,($O1069-Inputs!$B$8)/MAX($P1069-Inputs!$B$8,0.01))))))</f>
        <v/>
      </c>
    </row>
    <row r="1070" customFormat="false" ht="15" hidden="false" customHeight="false" outlineLevel="0" collapsed="false">
      <c r="I1070" s="7" t="str">
        <f aca="false">IF($C1070="","",IF($C1070="G","PUTT",IF(AND($C1070="T",$M1070&gt;3),"OTT",IF($D1070&lt;=30,"ARG","APP"))))</f>
        <v/>
      </c>
      <c r="J1070" s="17" t="str">
        <f aca="false">IF($C1070="","",$N1070+$Q1070*$R1070)</f>
        <v/>
      </c>
      <c r="K1070" s="17" t="str">
        <f aca="false">IF($C1070="","",$O1070+$Q1070*$S1070)</f>
        <v/>
      </c>
      <c r="L1070" s="17" t="str">
        <f aca="false">IF($C1070="","",$J1070-$K1070-1-N($G1070))</f>
        <v/>
      </c>
      <c r="M1070" s="7" t="str">
        <f aca="false">IF($B1070="","",INDEX(Course!$B$2:$B$19,MATCH($B1070,Course!$A$2:$A$19,0)))</f>
        <v/>
      </c>
      <c r="N1070" s="17" t="str">
        <f aca="false">IF($C1070="","",IF($C1070="H",0,IF($C1070="G",INDEX(Baseline!$I$3:$I$102,MIN(MAX(ROUND($D1070,0),1),100)),IF($C1070="T",IF($M1070=3,INDEX(Baseline!$B$3:$B$122,MATCH(MIN(MAX(ROUND(($D1070)/5,0)*5,5),600),Baseline!$A$3:$A$122,0))-Inputs!$B$9,INDEX(Course!$N$2:$N$19,MATCH($B1070,Course!$A$2:$A$19,0))),INDEX(Baseline!$B$3:$E$122,MATCH(MIN(MAX(ROUND(($D1070)/5,0)*5,5),600),Baseline!$A$3:$A$122,0),MATCH($C1070,Baseline!$B$2:$E$2,0))))))</f>
        <v/>
      </c>
      <c r="O1070" s="17" t="str">
        <f aca="false">IF($C1070="","",IF($E1070="H",0,IF($E1070="G",INDEX(Baseline!$I$3:$I$102,MIN(MAX(ROUND($F1070,0),1),100)),IF($E1070="T",IF($M1070=3,INDEX(Baseline!$B$3:$B$122,MATCH(MIN(MAX(ROUND(($F1070)/5,0)*5,5),600),Baseline!$A$3:$A$122,0))-Inputs!$B$9,INDEX(Course!$N$2:$N$19,MATCH($B1070,Course!$A$2:$A$19,0))),INDEX(Baseline!$B$3:$E$122,MATCH(MIN(MAX(ROUND(($F1070)/5,0)*5,5),600),Baseline!$A$3:$A$122,0),MATCH($E1070,Baseline!$B$2:$E$2,0))))))</f>
        <v/>
      </c>
      <c r="P1070" s="17" t="str">
        <f aca="false">IF($B1070="","",INDEX(Course!$N$2:$N$19,MATCH($B1070,Course!$A$2:$A$19,0)))</f>
        <v/>
      </c>
      <c r="Q1070" s="17" t="str">
        <f aca="false">IF($B1070="","",INDEX(Course!$P$2:$P$19,MATCH($B1070,Course!$A$2:$A$19,0)))</f>
        <v/>
      </c>
      <c r="R1070" s="17" t="str">
        <f aca="false">IF($C1070="","",IF(OR($C1070="G",$C1070="H"),0,IF($C1070="T",1,MIN(1,MAX(0,($N1070-Inputs!$B$8)/MAX($P1070-Inputs!$B$8,0.01))))))</f>
        <v/>
      </c>
      <c r="S1070" s="17" t="str">
        <f aca="false">IF($C1070="","",IF(OR($E1070="G",$E1070="H"),0,IF($E1070="T",1,MIN(1,MAX(0,($O1070-Inputs!$B$8)/MAX($P1070-Inputs!$B$8,0.01))))))</f>
        <v/>
      </c>
    </row>
    <row r="1071" customFormat="false" ht="15" hidden="false" customHeight="false" outlineLevel="0" collapsed="false">
      <c r="I1071" s="7" t="str">
        <f aca="false">IF($C1071="","",IF($C1071="G","PUTT",IF(AND($C1071="T",$M1071&gt;3),"OTT",IF($D1071&lt;=30,"ARG","APP"))))</f>
        <v/>
      </c>
      <c r="J1071" s="17" t="str">
        <f aca="false">IF($C1071="","",$N1071+$Q1071*$R1071)</f>
        <v/>
      </c>
      <c r="K1071" s="17" t="str">
        <f aca="false">IF($C1071="","",$O1071+$Q1071*$S1071)</f>
        <v/>
      </c>
      <c r="L1071" s="17" t="str">
        <f aca="false">IF($C1071="","",$J1071-$K1071-1-N($G1071))</f>
        <v/>
      </c>
      <c r="M1071" s="7" t="str">
        <f aca="false">IF($B1071="","",INDEX(Course!$B$2:$B$19,MATCH($B1071,Course!$A$2:$A$19,0)))</f>
        <v/>
      </c>
      <c r="N1071" s="17" t="str">
        <f aca="false">IF($C1071="","",IF($C1071="H",0,IF($C1071="G",INDEX(Baseline!$I$3:$I$102,MIN(MAX(ROUND($D1071,0),1),100)),IF($C1071="T",IF($M1071=3,INDEX(Baseline!$B$3:$B$122,MATCH(MIN(MAX(ROUND(($D1071)/5,0)*5,5),600),Baseline!$A$3:$A$122,0))-Inputs!$B$9,INDEX(Course!$N$2:$N$19,MATCH($B1071,Course!$A$2:$A$19,0))),INDEX(Baseline!$B$3:$E$122,MATCH(MIN(MAX(ROUND(($D1071)/5,0)*5,5),600),Baseline!$A$3:$A$122,0),MATCH($C1071,Baseline!$B$2:$E$2,0))))))</f>
        <v/>
      </c>
      <c r="O1071" s="17" t="str">
        <f aca="false">IF($C1071="","",IF($E1071="H",0,IF($E1071="G",INDEX(Baseline!$I$3:$I$102,MIN(MAX(ROUND($F1071,0),1),100)),IF($E1071="T",IF($M1071=3,INDEX(Baseline!$B$3:$B$122,MATCH(MIN(MAX(ROUND(($F1071)/5,0)*5,5),600),Baseline!$A$3:$A$122,0))-Inputs!$B$9,INDEX(Course!$N$2:$N$19,MATCH($B1071,Course!$A$2:$A$19,0))),INDEX(Baseline!$B$3:$E$122,MATCH(MIN(MAX(ROUND(($F1071)/5,0)*5,5),600),Baseline!$A$3:$A$122,0),MATCH($E1071,Baseline!$B$2:$E$2,0))))))</f>
        <v/>
      </c>
      <c r="P1071" s="17" t="str">
        <f aca="false">IF($B1071="","",INDEX(Course!$N$2:$N$19,MATCH($B1071,Course!$A$2:$A$19,0)))</f>
        <v/>
      </c>
      <c r="Q1071" s="17" t="str">
        <f aca="false">IF($B1071="","",INDEX(Course!$P$2:$P$19,MATCH($B1071,Course!$A$2:$A$19,0)))</f>
        <v/>
      </c>
      <c r="R1071" s="17" t="str">
        <f aca="false">IF($C1071="","",IF(OR($C1071="G",$C1071="H"),0,IF($C1071="T",1,MIN(1,MAX(0,($N1071-Inputs!$B$8)/MAX($P1071-Inputs!$B$8,0.01))))))</f>
        <v/>
      </c>
      <c r="S1071" s="17" t="str">
        <f aca="false">IF($C1071="","",IF(OR($E1071="G",$E1071="H"),0,IF($E1071="T",1,MIN(1,MAX(0,($O1071-Inputs!$B$8)/MAX($P1071-Inputs!$B$8,0.01))))))</f>
        <v/>
      </c>
    </row>
    <row r="1072" customFormat="false" ht="15" hidden="false" customHeight="false" outlineLevel="0" collapsed="false">
      <c r="I1072" s="7" t="str">
        <f aca="false">IF($C1072="","",IF($C1072="G","PUTT",IF(AND($C1072="T",$M1072&gt;3),"OTT",IF($D1072&lt;=30,"ARG","APP"))))</f>
        <v/>
      </c>
      <c r="J1072" s="17" t="str">
        <f aca="false">IF($C1072="","",$N1072+$Q1072*$R1072)</f>
        <v/>
      </c>
      <c r="K1072" s="17" t="str">
        <f aca="false">IF($C1072="","",$O1072+$Q1072*$S1072)</f>
        <v/>
      </c>
      <c r="L1072" s="17" t="str">
        <f aca="false">IF($C1072="","",$J1072-$K1072-1-N($G1072))</f>
        <v/>
      </c>
      <c r="M1072" s="7" t="str">
        <f aca="false">IF($B1072="","",INDEX(Course!$B$2:$B$19,MATCH($B1072,Course!$A$2:$A$19,0)))</f>
        <v/>
      </c>
      <c r="N1072" s="17" t="str">
        <f aca="false">IF($C1072="","",IF($C1072="H",0,IF($C1072="G",INDEX(Baseline!$I$3:$I$102,MIN(MAX(ROUND($D1072,0),1),100)),IF($C1072="T",IF($M1072=3,INDEX(Baseline!$B$3:$B$122,MATCH(MIN(MAX(ROUND(($D1072)/5,0)*5,5),600),Baseline!$A$3:$A$122,0))-Inputs!$B$9,INDEX(Course!$N$2:$N$19,MATCH($B1072,Course!$A$2:$A$19,0))),INDEX(Baseline!$B$3:$E$122,MATCH(MIN(MAX(ROUND(($D1072)/5,0)*5,5),600),Baseline!$A$3:$A$122,0),MATCH($C1072,Baseline!$B$2:$E$2,0))))))</f>
        <v/>
      </c>
      <c r="O1072" s="17" t="str">
        <f aca="false">IF($C1072="","",IF($E1072="H",0,IF($E1072="G",INDEX(Baseline!$I$3:$I$102,MIN(MAX(ROUND($F1072,0),1),100)),IF($E1072="T",IF($M1072=3,INDEX(Baseline!$B$3:$B$122,MATCH(MIN(MAX(ROUND(($F1072)/5,0)*5,5),600),Baseline!$A$3:$A$122,0))-Inputs!$B$9,INDEX(Course!$N$2:$N$19,MATCH($B1072,Course!$A$2:$A$19,0))),INDEX(Baseline!$B$3:$E$122,MATCH(MIN(MAX(ROUND(($F1072)/5,0)*5,5),600),Baseline!$A$3:$A$122,0),MATCH($E1072,Baseline!$B$2:$E$2,0))))))</f>
        <v/>
      </c>
      <c r="P1072" s="17" t="str">
        <f aca="false">IF($B1072="","",INDEX(Course!$N$2:$N$19,MATCH($B1072,Course!$A$2:$A$19,0)))</f>
        <v/>
      </c>
      <c r="Q1072" s="17" t="str">
        <f aca="false">IF($B1072="","",INDEX(Course!$P$2:$P$19,MATCH($B1072,Course!$A$2:$A$19,0)))</f>
        <v/>
      </c>
      <c r="R1072" s="17" t="str">
        <f aca="false">IF($C1072="","",IF(OR($C1072="G",$C1072="H"),0,IF($C1072="T",1,MIN(1,MAX(0,($N1072-Inputs!$B$8)/MAX($P1072-Inputs!$B$8,0.01))))))</f>
        <v/>
      </c>
      <c r="S1072" s="17" t="str">
        <f aca="false">IF($C1072="","",IF(OR($E1072="G",$E1072="H"),0,IF($E1072="T",1,MIN(1,MAX(0,($O1072-Inputs!$B$8)/MAX($P1072-Inputs!$B$8,0.01))))))</f>
        <v/>
      </c>
    </row>
    <row r="1073" customFormat="false" ht="15" hidden="false" customHeight="false" outlineLevel="0" collapsed="false">
      <c r="I1073" s="7" t="str">
        <f aca="false">IF($C1073="","",IF($C1073="G","PUTT",IF(AND($C1073="T",$M1073&gt;3),"OTT",IF($D1073&lt;=30,"ARG","APP"))))</f>
        <v/>
      </c>
      <c r="J1073" s="17" t="str">
        <f aca="false">IF($C1073="","",$N1073+$Q1073*$R1073)</f>
        <v/>
      </c>
      <c r="K1073" s="17" t="str">
        <f aca="false">IF($C1073="","",$O1073+$Q1073*$S1073)</f>
        <v/>
      </c>
      <c r="L1073" s="17" t="str">
        <f aca="false">IF($C1073="","",$J1073-$K1073-1-N($G1073))</f>
        <v/>
      </c>
      <c r="M1073" s="7" t="str">
        <f aca="false">IF($B1073="","",INDEX(Course!$B$2:$B$19,MATCH($B1073,Course!$A$2:$A$19,0)))</f>
        <v/>
      </c>
      <c r="N1073" s="17" t="str">
        <f aca="false">IF($C1073="","",IF($C1073="H",0,IF($C1073="G",INDEX(Baseline!$I$3:$I$102,MIN(MAX(ROUND($D1073,0),1),100)),IF($C1073="T",IF($M1073=3,INDEX(Baseline!$B$3:$B$122,MATCH(MIN(MAX(ROUND(($D1073)/5,0)*5,5),600),Baseline!$A$3:$A$122,0))-Inputs!$B$9,INDEX(Course!$N$2:$N$19,MATCH($B1073,Course!$A$2:$A$19,0))),INDEX(Baseline!$B$3:$E$122,MATCH(MIN(MAX(ROUND(($D1073)/5,0)*5,5),600),Baseline!$A$3:$A$122,0),MATCH($C1073,Baseline!$B$2:$E$2,0))))))</f>
        <v/>
      </c>
      <c r="O1073" s="17" t="str">
        <f aca="false">IF($C1073="","",IF($E1073="H",0,IF($E1073="G",INDEX(Baseline!$I$3:$I$102,MIN(MAX(ROUND($F1073,0),1),100)),IF($E1073="T",IF($M1073=3,INDEX(Baseline!$B$3:$B$122,MATCH(MIN(MAX(ROUND(($F1073)/5,0)*5,5),600),Baseline!$A$3:$A$122,0))-Inputs!$B$9,INDEX(Course!$N$2:$N$19,MATCH($B1073,Course!$A$2:$A$19,0))),INDEX(Baseline!$B$3:$E$122,MATCH(MIN(MAX(ROUND(($F1073)/5,0)*5,5),600),Baseline!$A$3:$A$122,0),MATCH($E1073,Baseline!$B$2:$E$2,0))))))</f>
        <v/>
      </c>
      <c r="P1073" s="17" t="str">
        <f aca="false">IF($B1073="","",INDEX(Course!$N$2:$N$19,MATCH($B1073,Course!$A$2:$A$19,0)))</f>
        <v/>
      </c>
      <c r="Q1073" s="17" t="str">
        <f aca="false">IF($B1073="","",INDEX(Course!$P$2:$P$19,MATCH($B1073,Course!$A$2:$A$19,0)))</f>
        <v/>
      </c>
      <c r="R1073" s="17" t="str">
        <f aca="false">IF($C1073="","",IF(OR($C1073="G",$C1073="H"),0,IF($C1073="T",1,MIN(1,MAX(0,($N1073-Inputs!$B$8)/MAX($P1073-Inputs!$B$8,0.01))))))</f>
        <v/>
      </c>
      <c r="S1073" s="17" t="str">
        <f aca="false">IF($C1073="","",IF(OR($E1073="G",$E1073="H"),0,IF($E1073="T",1,MIN(1,MAX(0,($O1073-Inputs!$B$8)/MAX($P1073-Inputs!$B$8,0.01))))))</f>
        <v/>
      </c>
    </row>
    <row r="1074" customFormat="false" ht="15" hidden="false" customHeight="false" outlineLevel="0" collapsed="false">
      <c r="I1074" s="7" t="str">
        <f aca="false">IF($C1074="","",IF($C1074="G","PUTT",IF(AND($C1074="T",$M1074&gt;3),"OTT",IF($D1074&lt;=30,"ARG","APP"))))</f>
        <v/>
      </c>
      <c r="J1074" s="17" t="str">
        <f aca="false">IF($C1074="","",$N1074+$Q1074*$R1074)</f>
        <v/>
      </c>
      <c r="K1074" s="17" t="str">
        <f aca="false">IF($C1074="","",$O1074+$Q1074*$S1074)</f>
        <v/>
      </c>
      <c r="L1074" s="17" t="str">
        <f aca="false">IF($C1074="","",$J1074-$K1074-1-N($G1074))</f>
        <v/>
      </c>
      <c r="M1074" s="7" t="str">
        <f aca="false">IF($B1074="","",INDEX(Course!$B$2:$B$19,MATCH($B1074,Course!$A$2:$A$19,0)))</f>
        <v/>
      </c>
      <c r="N1074" s="17" t="str">
        <f aca="false">IF($C1074="","",IF($C1074="H",0,IF($C1074="G",INDEX(Baseline!$I$3:$I$102,MIN(MAX(ROUND($D1074,0),1),100)),IF($C1074="T",IF($M1074=3,INDEX(Baseline!$B$3:$B$122,MATCH(MIN(MAX(ROUND(($D1074)/5,0)*5,5),600),Baseline!$A$3:$A$122,0))-Inputs!$B$9,INDEX(Course!$N$2:$N$19,MATCH($B1074,Course!$A$2:$A$19,0))),INDEX(Baseline!$B$3:$E$122,MATCH(MIN(MAX(ROUND(($D1074)/5,0)*5,5),600),Baseline!$A$3:$A$122,0),MATCH($C1074,Baseline!$B$2:$E$2,0))))))</f>
        <v/>
      </c>
      <c r="O1074" s="17" t="str">
        <f aca="false">IF($C1074="","",IF($E1074="H",0,IF($E1074="G",INDEX(Baseline!$I$3:$I$102,MIN(MAX(ROUND($F1074,0),1),100)),IF($E1074="T",IF($M1074=3,INDEX(Baseline!$B$3:$B$122,MATCH(MIN(MAX(ROUND(($F1074)/5,0)*5,5),600),Baseline!$A$3:$A$122,0))-Inputs!$B$9,INDEX(Course!$N$2:$N$19,MATCH($B1074,Course!$A$2:$A$19,0))),INDEX(Baseline!$B$3:$E$122,MATCH(MIN(MAX(ROUND(($F1074)/5,0)*5,5),600),Baseline!$A$3:$A$122,0),MATCH($E1074,Baseline!$B$2:$E$2,0))))))</f>
        <v/>
      </c>
      <c r="P1074" s="17" t="str">
        <f aca="false">IF($B1074="","",INDEX(Course!$N$2:$N$19,MATCH($B1074,Course!$A$2:$A$19,0)))</f>
        <v/>
      </c>
      <c r="Q1074" s="17" t="str">
        <f aca="false">IF($B1074="","",INDEX(Course!$P$2:$P$19,MATCH($B1074,Course!$A$2:$A$19,0)))</f>
        <v/>
      </c>
      <c r="R1074" s="17" t="str">
        <f aca="false">IF($C1074="","",IF(OR($C1074="G",$C1074="H"),0,IF($C1074="T",1,MIN(1,MAX(0,($N1074-Inputs!$B$8)/MAX($P1074-Inputs!$B$8,0.01))))))</f>
        <v/>
      </c>
      <c r="S1074" s="17" t="str">
        <f aca="false">IF($C1074="","",IF(OR($E1074="G",$E1074="H"),0,IF($E1074="T",1,MIN(1,MAX(0,($O1074-Inputs!$B$8)/MAX($P1074-Inputs!$B$8,0.01))))))</f>
        <v/>
      </c>
    </row>
    <row r="1075" customFormat="false" ht="15" hidden="false" customHeight="false" outlineLevel="0" collapsed="false">
      <c r="I1075" s="7" t="str">
        <f aca="false">IF($C1075="","",IF($C1075="G","PUTT",IF(AND($C1075="T",$M1075&gt;3),"OTT",IF($D1075&lt;=30,"ARG","APP"))))</f>
        <v/>
      </c>
      <c r="J1075" s="17" t="str">
        <f aca="false">IF($C1075="","",$N1075+$Q1075*$R1075)</f>
        <v/>
      </c>
      <c r="K1075" s="17" t="str">
        <f aca="false">IF($C1075="","",$O1075+$Q1075*$S1075)</f>
        <v/>
      </c>
      <c r="L1075" s="17" t="str">
        <f aca="false">IF($C1075="","",$J1075-$K1075-1-N($G1075))</f>
        <v/>
      </c>
      <c r="M1075" s="7" t="str">
        <f aca="false">IF($B1075="","",INDEX(Course!$B$2:$B$19,MATCH($B1075,Course!$A$2:$A$19,0)))</f>
        <v/>
      </c>
      <c r="N1075" s="17" t="str">
        <f aca="false">IF($C1075="","",IF($C1075="H",0,IF($C1075="G",INDEX(Baseline!$I$3:$I$102,MIN(MAX(ROUND($D1075,0),1),100)),IF($C1075="T",IF($M1075=3,INDEX(Baseline!$B$3:$B$122,MATCH(MIN(MAX(ROUND(($D1075)/5,0)*5,5),600),Baseline!$A$3:$A$122,0))-Inputs!$B$9,INDEX(Course!$N$2:$N$19,MATCH($B1075,Course!$A$2:$A$19,0))),INDEX(Baseline!$B$3:$E$122,MATCH(MIN(MAX(ROUND(($D1075)/5,0)*5,5),600),Baseline!$A$3:$A$122,0),MATCH($C1075,Baseline!$B$2:$E$2,0))))))</f>
        <v/>
      </c>
      <c r="O1075" s="17" t="str">
        <f aca="false">IF($C1075="","",IF($E1075="H",0,IF($E1075="G",INDEX(Baseline!$I$3:$I$102,MIN(MAX(ROUND($F1075,0),1),100)),IF($E1075="T",IF($M1075=3,INDEX(Baseline!$B$3:$B$122,MATCH(MIN(MAX(ROUND(($F1075)/5,0)*5,5),600),Baseline!$A$3:$A$122,0))-Inputs!$B$9,INDEX(Course!$N$2:$N$19,MATCH($B1075,Course!$A$2:$A$19,0))),INDEX(Baseline!$B$3:$E$122,MATCH(MIN(MAX(ROUND(($F1075)/5,0)*5,5),600),Baseline!$A$3:$A$122,0),MATCH($E1075,Baseline!$B$2:$E$2,0))))))</f>
        <v/>
      </c>
      <c r="P1075" s="17" t="str">
        <f aca="false">IF($B1075="","",INDEX(Course!$N$2:$N$19,MATCH($B1075,Course!$A$2:$A$19,0)))</f>
        <v/>
      </c>
      <c r="Q1075" s="17" t="str">
        <f aca="false">IF($B1075="","",INDEX(Course!$P$2:$P$19,MATCH($B1075,Course!$A$2:$A$19,0)))</f>
        <v/>
      </c>
      <c r="R1075" s="17" t="str">
        <f aca="false">IF($C1075="","",IF(OR($C1075="G",$C1075="H"),0,IF($C1075="T",1,MIN(1,MAX(0,($N1075-Inputs!$B$8)/MAX($P1075-Inputs!$B$8,0.01))))))</f>
        <v/>
      </c>
      <c r="S1075" s="17" t="str">
        <f aca="false">IF($C1075="","",IF(OR($E1075="G",$E1075="H"),0,IF($E1075="T",1,MIN(1,MAX(0,($O1075-Inputs!$B$8)/MAX($P1075-Inputs!$B$8,0.01))))))</f>
        <v/>
      </c>
    </row>
    <row r="1076" customFormat="false" ht="15" hidden="false" customHeight="false" outlineLevel="0" collapsed="false">
      <c r="I1076" s="7" t="str">
        <f aca="false">IF($C1076="","",IF($C1076="G","PUTT",IF(AND($C1076="T",$M1076&gt;3),"OTT",IF($D1076&lt;=30,"ARG","APP"))))</f>
        <v/>
      </c>
      <c r="J1076" s="17" t="str">
        <f aca="false">IF($C1076="","",$N1076+$Q1076*$R1076)</f>
        <v/>
      </c>
      <c r="K1076" s="17" t="str">
        <f aca="false">IF($C1076="","",$O1076+$Q1076*$S1076)</f>
        <v/>
      </c>
      <c r="L1076" s="17" t="str">
        <f aca="false">IF($C1076="","",$J1076-$K1076-1-N($G1076))</f>
        <v/>
      </c>
      <c r="M1076" s="7" t="str">
        <f aca="false">IF($B1076="","",INDEX(Course!$B$2:$B$19,MATCH($B1076,Course!$A$2:$A$19,0)))</f>
        <v/>
      </c>
      <c r="N1076" s="17" t="str">
        <f aca="false">IF($C1076="","",IF($C1076="H",0,IF($C1076="G",INDEX(Baseline!$I$3:$I$102,MIN(MAX(ROUND($D1076,0),1),100)),IF($C1076="T",IF($M1076=3,INDEX(Baseline!$B$3:$B$122,MATCH(MIN(MAX(ROUND(($D1076)/5,0)*5,5),600),Baseline!$A$3:$A$122,0))-Inputs!$B$9,INDEX(Course!$N$2:$N$19,MATCH($B1076,Course!$A$2:$A$19,0))),INDEX(Baseline!$B$3:$E$122,MATCH(MIN(MAX(ROUND(($D1076)/5,0)*5,5),600),Baseline!$A$3:$A$122,0),MATCH($C1076,Baseline!$B$2:$E$2,0))))))</f>
        <v/>
      </c>
      <c r="O1076" s="17" t="str">
        <f aca="false">IF($C1076="","",IF($E1076="H",0,IF($E1076="G",INDEX(Baseline!$I$3:$I$102,MIN(MAX(ROUND($F1076,0),1),100)),IF($E1076="T",IF($M1076=3,INDEX(Baseline!$B$3:$B$122,MATCH(MIN(MAX(ROUND(($F1076)/5,0)*5,5),600),Baseline!$A$3:$A$122,0))-Inputs!$B$9,INDEX(Course!$N$2:$N$19,MATCH($B1076,Course!$A$2:$A$19,0))),INDEX(Baseline!$B$3:$E$122,MATCH(MIN(MAX(ROUND(($F1076)/5,0)*5,5),600),Baseline!$A$3:$A$122,0),MATCH($E1076,Baseline!$B$2:$E$2,0))))))</f>
        <v/>
      </c>
      <c r="P1076" s="17" t="str">
        <f aca="false">IF($B1076="","",INDEX(Course!$N$2:$N$19,MATCH($B1076,Course!$A$2:$A$19,0)))</f>
        <v/>
      </c>
      <c r="Q1076" s="17" t="str">
        <f aca="false">IF($B1076="","",INDEX(Course!$P$2:$P$19,MATCH($B1076,Course!$A$2:$A$19,0)))</f>
        <v/>
      </c>
      <c r="R1076" s="17" t="str">
        <f aca="false">IF($C1076="","",IF(OR($C1076="G",$C1076="H"),0,IF($C1076="T",1,MIN(1,MAX(0,($N1076-Inputs!$B$8)/MAX($P1076-Inputs!$B$8,0.01))))))</f>
        <v/>
      </c>
      <c r="S1076" s="17" t="str">
        <f aca="false">IF($C1076="","",IF(OR($E1076="G",$E1076="H"),0,IF($E1076="T",1,MIN(1,MAX(0,($O1076-Inputs!$B$8)/MAX($P1076-Inputs!$B$8,0.01))))))</f>
        <v/>
      </c>
    </row>
    <row r="1077" customFormat="false" ht="15" hidden="false" customHeight="false" outlineLevel="0" collapsed="false">
      <c r="I1077" s="7" t="str">
        <f aca="false">IF($C1077="","",IF($C1077="G","PUTT",IF(AND($C1077="T",$M1077&gt;3),"OTT",IF($D1077&lt;=30,"ARG","APP"))))</f>
        <v/>
      </c>
      <c r="J1077" s="17" t="str">
        <f aca="false">IF($C1077="","",$N1077+$Q1077*$R1077)</f>
        <v/>
      </c>
      <c r="K1077" s="17" t="str">
        <f aca="false">IF($C1077="","",$O1077+$Q1077*$S1077)</f>
        <v/>
      </c>
      <c r="L1077" s="17" t="str">
        <f aca="false">IF($C1077="","",$J1077-$K1077-1-N($G1077))</f>
        <v/>
      </c>
      <c r="M1077" s="7" t="str">
        <f aca="false">IF($B1077="","",INDEX(Course!$B$2:$B$19,MATCH($B1077,Course!$A$2:$A$19,0)))</f>
        <v/>
      </c>
      <c r="N1077" s="17" t="str">
        <f aca="false">IF($C1077="","",IF($C1077="H",0,IF($C1077="G",INDEX(Baseline!$I$3:$I$102,MIN(MAX(ROUND($D1077,0),1),100)),IF($C1077="T",IF($M1077=3,INDEX(Baseline!$B$3:$B$122,MATCH(MIN(MAX(ROUND(($D1077)/5,0)*5,5),600),Baseline!$A$3:$A$122,0))-Inputs!$B$9,INDEX(Course!$N$2:$N$19,MATCH($B1077,Course!$A$2:$A$19,0))),INDEX(Baseline!$B$3:$E$122,MATCH(MIN(MAX(ROUND(($D1077)/5,0)*5,5),600),Baseline!$A$3:$A$122,0),MATCH($C1077,Baseline!$B$2:$E$2,0))))))</f>
        <v/>
      </c>
      <c r="O1077" s="17" t="str">
        <f aca="false">IF($C1077="","",IF($E1077="H",0,IF($E1077="G",INDEX(Baseline!$I$3:$I$102,MIN(MAX(ROUND($F1077,0),1),100)),IF($E1077="T",IF($M1077=3,INDEX(Baseline!$B$3:$B$122,MATCH(MIN(MAX(ROUND(($F1077)/5,0)*5,5),600),Baseline!$A$3:$A$122,0))-Inputs!$B$9,INDEX(Course!$N$2:$N$19,MATCH($B1077,Course!$A$2:$A$19,0))),INDEX(Baseline!$B$3:$E$122,MATCH(MIN(MAX(ROUND(($F1077)/5,0)*5,5),600),Baseline!$A$3:$A$122,0),MATCH($E1077,Baseline!$B$2:$E$2,0))))))</f>
        <v/>
      </c>
      <c r="P1077" s="17" t="str">
        <f aca="false">IF($B1077="","",INDEX(Course!$N$2:$N$19,MATCH($B1077,Course!$A$2:$A$19,0)))</f>
        <v/>
      </c>
      <c r="Q1077" s="17" t="str">
        <f aca="false">IF($B1077="","",INDEX(Course!$P$2:$P$19,MATCH($B1077,Course!$A$2:$A$19,0)))</f>
        <v/>
      </c>
      <c r="R1077" s="17" t="str">
        <f aca="false">IF($C1077="","",IF(OR($C1077="G",$C1077="H"),0,IF($C1077="T",1,MIN(1,MAX(0,($N1077-Inputs!$B$8)/MAX($P1077-Inputs!$B$8,0.01))))))</f>
        <v/>
      </c>
      <c r="S1077" s="17" t="str">
        <f aca="false">IF($C1077="","",IF(OR($E1077="G",$E1077="H"),0,IF($E1077="T",1,MIN(1,MAX(0,($O1077-Inputs!$B$8)/MAX($P1077-Inputs!$B$8,0.01))))))</f>
        <v/>
      </c>
    </row>
    <row r="1078" customFormat="false" ht="15" hidden="false" customHeight="false" outlineLevel="0" collapsed="false">
      <c r="I1078" s="7" t="str">
        <f aca="false">IF($C1078="","",IF($C1078="G","PUTT",IF(AND($C1078="T",$M1078&gt;3),"OTT",IF($D1078&lt;=30,"ARG","APP"))))</f>
        <v/>
      </c>
      <c r="J1078" s="17" t="str">
        <f aca="false">IF($C1078="","",$N1078+$Q1078*$R1078)</f>
        <v/>
      </c>
      <c r="K1078" s="17" t="str">
        <f aca="false">IF($C1078="","",$O1078+$Q1078*$S1078)</f>
        <v/>
      </c>
      <c r="L1078" s="17" t="str">
        <f aca="false">IF($C1078="","",$J1078-$K1078-1-N($G1078))</f>
        <v/>
      </c>
      <c r="M1078" s="7" t="str">
        <f aca="false">IF($B1078="","",INDEX(Course!$B$2:$B$19,MATCH($B1078,Course!$A$2:$A$19,0)))</f>
        <v/>
      </c>
      <c r="N1078" s="17" t="str">
        <f aca="false">IF($C1078="","",IF($C1078="H",0,IF($C1078="G",INDEX(Baseline!$I$3:$I$102,MIN(MAX(ROUND($D1078,0),1),100)),IF($C1078="T",IF($M1078=3,INDEX(Baseline!$B$3:$B$122,MATCH(MIN(MAX(ROUND(($D1078)/5,0)*5,5),600),Baseline!$A$3:$A$122,0))-Inputs!$B$9,INDEX(Course!$N$2:$N$19,MATCH($B1078,Course!$A$2:$A$19,0))),INDEX(Baseline!$B$3:$E$122,MATCH(MIN(MAX(ROUND(($D1078)/5,0)*5,5),600),Baseline!$A$3:$A$122,0),MATCH($C1078,Baseline!$B$2:$E$2,0))))))</f>
        <v/>
      </c>
      <c r="O1078" s="17" t="str">
        <f aca="false">IF($C1078="","",IF($E1078="H",0,IF($E1078="G",INDEX(Baseline!$I$3:$I$102,MIN(MAX(ROUND($F1078,0),1),100)),IF($E1078="T",IF($M1078=3,INDEX(Baseline!$B$3:$B$122,MATCH(MIN(MAX(ROUND(($F1078)/5,0)*5,5),600),Baseline!$A$3:$A$122,0))-Inputs!$B$9,INDEX(Course!$N$2:$N$19,MATCH($B1078,Course!$A$2:$A$19,0))),INDEX(Baseline!$B$3:$E$122,MATCH(MIN(MAX(ROUND(($F1078)/5,0)*5,5),600),Baseline!$A$3:$A$122,0),MATCH($E1078,Baseline!$B$2:$E$2,0))))))</f>
        <v/>
      </c>
      <c r="P1078" s="17" t="str">
        <f aca="false">IF($B1078="","",INDEX(Course!$N$2:$N$19,MATCH($B1078,Course!$A$2:$A$19,0)))</f>
        <v/>
      </c>
      <c r="Q1078" s="17" t="str">
        <f aca="false">IF($B1078="","",INDEX(Course!$P$2:$P$19,MATCH($B1078,Course!$A$2:$A$19,0)))</f>
        <v/>
      </c>
      <c r="R1078" s="17" t="str">
        <f aca="false">IF($C1078="","",IF(OR($C1078="G",$C1078="H"),0,IF($C1078="T",1,MIN(1,MAX(0,($N1078-Inputs!$B$8)/MAX($P1078-Inputs!$B$8,0.01))))))</f>
        <v/>
      </c>
      <c r="S1078" s="17" t="str">
        <f aca="false">IF($C1078="","",IF(OR($E1078="G",$E1078="H"),0,IF($E1078="T",1,MIN(1,MAX(0,($O1078-Inputs!$B$8)/MAX($P1078-Inputs!$B$8,0.01))))))</f>
        <v/>
      </c>
    </row>
    <row r="1079" customFormat="false" ht="15" hidden="false" customHeight="false" outlineLevel="0" collapsed="false">
      <c r="I1079" s="7" t="str">
        <f aca="false">IF($C1079="","",IF($C1079="G","PUTT",IF(AND($C1079="T",$M1079&gt;3),"OTT",IF($D1079&lt;=30,"ARG","APP"))))</f>
        <v/>
      </c>
      <c r="J1079" s="17" t="str">
        <f aca="false">IF($C1079="","",$N1079+$Q1079*$R1079)</f>
        <v/>
      </c>
      <c r="K1079" s="17" t="str">
        <f aca="false">IF($C1079="","",$O1079+$Q1079*$S1079)</f>
        <v/>
      </c>
      <c r="L1079" s="17" t="str">
        <f aca="false">IF($C1079="","",$J1079-$K1079-1-N($G1079))</f>
        <v/>
      </c>
      <c r="M1079" s="7" t="str">
        <f aca="false">IF($B1079="","",INDEX(Course!$B$2:$B$19,MATCH($B1079,Course!$A$2:$A$19,0)))</f>
        <v/>
      </c>
      <c r="N1079" s="17" t="str">
        <f aca="false">IF($C1079="","",IF($C1079="H",0,IF($C1079="G",INDEX(Baseline!$I$3:$I$102,MIN(MAX(ROUND($D1079,0),1),100)),IF($C1079="T",IF($M1079=3,INDEX(Baseline!$B$3:$B$122,MATCH(MIN(MAX(ROUND(($D1079)/5,0)*5,5),600),Baseline!$A$3:$A$122,0))-Inputs!$B$9,INDEX(Course!$N$2:$N$19,MATCH($B1079,Course!$A$2:$A$19,0))),INDEX(Baseline!$B$3:$E$122,MATCH(MIN(MAX(ROUND(($D1079)/5,0)*5,5),600),Baseline!$A$3:$A$122,0),MATCH($C1079,Baseline!$B$2:$E$2,0))))))</f>
        <v/>
      </c>
      <c r="O1079" s="17" t="str">
        <f aca="false">IF($C1079="","",IF($E1079="H",0,IF($E1079="G",INDEX(Baseline!$I$3:$I$102,MIN(MAX(ROUND($F1079,0),1),100)),IF($E1079="T",IF($M1079=3,INDEX(Baseline!$B$3:$B$122,MATCH(MIN(MAX(ROUND(($F1079)/5,0)*5,5),600),Baseline!$A$3:$A$122,0))-Inputs!$B$9,INDEX(Course!$N$2:$N$19,MATCH($B1079,Course!$A$2:$A$19,0))),INDEX(Baseline!$B$3:$E$122,MATCH(MIN(MAX(ROUND(($F1079)/5,0)*5,5),600),Baseline!$A$3:$A$122,0),MATCH($E1079,Baseline!$B$2:$E$2,0))))))</f>
        <v/>
      </c>
      <c r="P1079" s="17" t="str">
        <f aca="false">IF($B1079="","",INDEX(Course!$N$2:$N$19,MATCH($B1079,Course!$A$2:$A$19,0)))</f>
        <v/>
      </c>
      <c r="Q1079" s="17" t="str">
        <f aca="false">IF($B1079="","",INDEX(Course!$P$2:$P$19,MATCH($B1079,Course!$A$2:$A$19,0)))</f>
        <v/>
      </c>
      <c r="R1079" s="17" t="str">
        <f aca="false">IF($C1079="","",IF(OR($C1079="G",$C1079="H"),0,IF($C1079="T",1,MIN(1,MAX(0,($N1079-Inputs!$B$8)/MAX($P1079-Inputs!$B$8,0.01))))))</f>
        <v/>
      </c>
      <c r="S1079" s="17" t="str">
        <f aca="false">IF($C1079="","",IF(OR($E1079="G",$E1079="H"),0,IF($E1079="T",1,MIN(1,MAX(0,($O1079-Inputs!$B$8)/MAX($P1079-Inputs!$B$8,0.01))))))</f>
        <v/>
      </c>
    </row>
    <row r="1080" customFormat="false" ht="15" hidden="false" customHeight="false" outlineLevel="0" collapsed="false">
      <c r="I1080" s="7" t="str">
        <f aca="false">IF($C1080="","",IF($C1080="G","PUTT",IF(AND($C1080="T",$M1080&gt;3),"OTT",IF($D1080&lt;=30,"ARG","APP"))))</f>
        <v/>
      </c>
      <c r="J1080" s="17" t="str">
        <f aca="false">IF($C1080="","",$N1080+$Q1080*$R1080)</f>
        <v/>
      </c>
      <c r="K1080" s="17" t="str">
        <f aca="false">IF($C1080="","",$O1080+$Q1080*$S1080)</f>
        <v/>
      </c>
      <c r="L1080" s="17" t="str">
        <f aca="false">IF($C1080="","",$J1080-$K1080-1-N($G1080))</f>
        <v/>
      </c>
      <c r="M1080" s="7" t="str">
        <f aca="false">IF($B1080="","",INDEX(Course!$B$2:$B$19,MATCH($B1080,Course!$A$2:$A$19,0)))</f>
        <v/>
      </c>
      <c r="N1080" s="17" t="str">
        <f aca="false">IF($C1080="","",IF($C1080="H",0,IF($C1080="G",INDEX(Baseline!$I$3:$I$102,MIN(MAX(ROUND($D1080,0),1),100)),IF($C1080="T",IF($M1080=3,INDEX(Baseline!$B$3:$B$122,MATCH(MIN(MAX(ROUND(($D1080)/5,0)*5,5),600),Baseline!$A$3:$A$122,0))-Inputs!$B$9,INDEX(Course!$N$2:$N$19,MATCH($B1080,Course!$A$2:$A$19,0))),INDEX(Baseline!$B$3:$E$122,MATCH(MIN(MAX(ROUND(($D1080)/5,0)*5,5),600),Baseline!$A$3:$A$122,0),MATCH($C1080,Baseline!$B$2:$E$2,0))))))</f>
        <v/>
      </c>
      <c r="O1080" s="17" t="str">
        <f aca="false">IF($C1080="","",IF($E1080="H",0,IF($E1080="G",INDEX(Baseline!$I$3:$I$102,MIN(MAX(ROUND($F1080,0),1),100)),IF($E1080="T",IF($M1080=3,INDEX(Baseline!$B$3:$B$122,MATCH(MIN(MAX(ROUND(($F1080)/5,0)*5,5),600),Baseline!$A$3:$A$122,0))-Inputs!$B$9,INDEX(Course!$N$2:$N$19,MATCH($B1080,Course!$A$2:$A$19,0))),INDEX(Baseline!$B$3:$E$122,MATCH(MIN(MAX(ROUND(($F1080)/5,0)*5,5),600),Baseline!$A$3:$A$122,0),MATCH($E1080,Baseline!$B$2:$E$2,0))))))</f>
        <v/>
      </c>
      <c r="P1080" s="17" t="str">
        <f aca="false">IF($B1080="","",INDEX(Course!$N$2:$N$19,MATCH($B1080,Course!$A$2:$A$19,0)))</f>
        <v/>
      </c>
      <c r="Q1080" s="17" t="str">
        <f aca="false">IF($B1080="","",INDEX(Course!$P$2:$P$19,MATCH($B1080,Course!$A$2:$A$19,0)))</f>
        <v/>
      </c>
      <c r="R1080" s="17" t="str">
        <f aca="false">IF($C1080="","",IF(OR($C1080="G",$C1080="H"),0,IF($C1080="T",1,MIN(1,MAX(0,($N1080-Inputs!$B$8)/MAX($P1080-Inputs!$B$8,0.01))))))</f>
        <v/>
      </c>
      <c r="S1080" s="17" t="str">
        <f aca="false">IF($C1080="","",IF(OR($E1080="G",$E1080="H"),0,IF($E1080="T",1,MIN(1,MAX(0,($O1080-Inputs!$B$8)/MAX($P1080-Inputs!$B$8,0.01))))))</f>
        <v/>
      </c>
    </row>
    <row r="1081" customFormat="false" ht="15" hidden="false" customHeight="false" outlineLevel="0" collapsed="false">
      <c r="I1081" s="7" t="str">
        <f aca="false">IF($C1081="","",IF($C1081="G","PUTT",IF(AND($C1081="T",$M1081&gt;3),"OTT",IF($D1081&lt;=30,"ARG","APP"))))</f>
        <v/>
      </c>
      <c r="J1081" s="17" t="str">
        <f aca="false">IF($C1081="","",$N1081+$Q1081*$R1081)</f>
        <v/>
      </c>
      <c r="K1081" s="17" t="str">
        <f aca="false">IF($C1081="","",$O1081+$Q1081*$S1081)</f>
        <v/>
      </c>
      <c r="L1081" s="17" t="str">
        <f aca="false">IF($C1081="","",$J1081-$K1081-1-N($G1081))</f>
        <v/>
      </c>
      <c r="M1081" s="7" t="str">
        <f aca="false">IF($B1081="","",INDEX(Course!$B$2:$B$19,MATCH($B1081,Course!$A$2:$A$19,0)))</f>
        <v/>
      </c>
      <c r="N1081" s="17" t="str">
        <f aca="false">IF($C1081="","",IF($C1081="H",0,IF($C1081="G",INDEX(Baseline!$I$3:$I$102,MIN(MAX(ROUND($D1081,0),1),100)),IF($C1081="T",IF($M1081=3,INDEX(Baseline!$B$3:$B$122,MATCH(MIN(MAX(ROUND(($D1081)/5,0)*5,5),600),Baseline!$A$3:$A$122,0))-Inputs!$B$9,INDEX(Course!$N$2:$N$19,MATCH($B1081,Course!$A$2:$A$19,0))),INDEX(Baseline!$B$3:$E$122,MATCH(MIN(MAX(ROUND(($D1081)/5,0)*5,5),600),Baseline!$A$3:$A$122,0),MATCH($C1081,Baseline!$B$2:$E$2,0))))))</f>
        <v/>
      </c>
      <c r="O1081" s="17" t="str">
        <f aca="false">IF($C1081="","",IF($E1081="H",0,IF($E1081="G",INDEX(Baseline!$I$3:$I$102,MIN(MAX(ROUND($F1081,0),1),100)),IF($E1081="T",IF($M1081=3,INDEX(Baseline!$B$3:$B$122,MATCH(MIN(MAX(ROUND(($F1081)/5,0)*5,5),600),Baseline!$A$3:$A$122,0))-Inputs!$B$9,INDEX(Course!$N$2:$N$19,MATCH($B1081,Course!$A$2:$A$19,0))),INDEX(Baseline!$B$3:$E$122,MATCH(MIN(MAX(ROUND(($F1081)/5,0)*5,5),600),Baseline!$A$3:$A$122,0),MATCH($E1081,Baseline!$B$2:$E$2,0))))))</f>
        <v/>
      </c>
      <c r="P1081" s="17" t="str">
        <f aca="false">IF($B1081="","",INDEX(Course!$N$2:$N$19,MATCH($B1081,Course!$A$2:$A$19,0)))</f>
        <v/>
      </c>
      <c r="Q1081" s="17" t="str">
        <f aca="false">IF($B1081="","",INDEX(Course!$P$2:$P$19,MATCH($B1081,Course!$A$2:$A$19,0)))</f>
        <v/>
      </c>
      <c r="R1081" s="17" t="str">
        <f aca="false">IF($C1081="","",IF(OR($C1081="G",$C1081="H"),0,IF($C1081="T",1,MIN(1,MAX(0,($N1081-Inputs!$B$8)/MAX($P1081-Inputs!$B$8,0.01))))))</f>
        <v/>
      </c>
      <c r="S1081" s="17" t="str">
        <f aca="false">IF($C1081="","",IF(OR($E1081="G",$E1081="H"),0,IF($E1081="T",1,MIN(1,MAX(0,($O1081-Inputs!$B$8)/MAX($P1081-Inputs!$B$8,0.01))))))</f>
        <v/>
      </c>
    </row>
    <row r="1082" customFormat="false" ht="15" hidden="false" customHeight="false" outlineLevel="0" collapsed="false">
      <c r="I1082" s="7" t="str">
        <f aca="false">IF($C1082="","",IF($C1082="G","PUTT",IF(AND($C1082="T",$M1082&gt;3),"OTT",IF($D1082&lt;=30,"ARG","APP"))))</f>
        <v/>
      </c>
      <c r="J1082" s="17" t="str">
        <f aca="false">IF($C1082="","",$N1082+$Q1082*$R1082)</f>
        <v/>
      </c>
      <c r="K1082" s="17" t="str">
        <f aca="false">IF($C1082="","",$O1082+$Q1082*$S1082)</f>
        <v/>
      </c>
      <c r="L1082" s="17" t="str">
        <f aca="false">IF($C1082="","",$J1082-$K1082-1-N($G1082))</f>
        <v/>
      </c>
      <c r="M1082" s="7" t="str">
        <f aca="false">IF($B1082="","",INDEX(Course!$B$2:$B$19,MATCH($B1082,Course!$A$2:$A$19,0)))</f>
        <v/>
      </c>
      <c r="N1082" s="17" t="str">
        <f aca="false">IF($C1082="","",IF($C1082="H",0,IF($C1082="G",INDEX(Baseline!$I$3:$I$102,MIN(MAX(ROUND($D1082,0),1),100)),IF($C1082="T",IF($M1082=3,INDEX(Baseline!$B$3:$B$122,MATCH(MIN(MAX(ROUND(($D1082)/5,0)*5,5),600),Baseline!$A$3:$A$122,0))-Inputs!$B$9,INDEX(Course!$N$2:$N$19,MATCH($B1082,Course!$A$2:$A$19,0))),INDEX(Baseline!$B$3:$E$122,MATCH(MIN(MAX(ROUND(($D1082)/5,0)*5,5),600),Baseline!$A$3:$A$122,0),MATCH($C1082,Baseline!$B$2:$E$2,0))))))</f>
        <v/>
      </c>
      <c r="O1082" s="17" t="str">
        <f aca="false">IF($C1082="","",IF($E1082="H",0,IF($E1082="G",INDEX(Baseline!$I$3:$I$102,MIN(MAX(ROUND($F1082,0),1),100)),IF($E1082="T",IF($M1082=3,INDEX(Baseline!$B$3:$B$122,MATCH(MIN(MAX(ROUND(($F1082)/5,0)*5,5),600),Baseline!$A$3:$A$122,0))-Inputs!$B$9,INDEX(Course!$N$2:$N$19,MATCH($B1082,Course!$A$2:$A$19,0))),INDEX(Baseline!$B$3:$E$122,MATCH(MIN(MAX(ROUND(($F1082)/5,0)*5,5),600),Baseline!$A$3:$A$122,0),MATCH($E1082,Baseline!$B$2:$E$2,0))))))</f>
        <v/>
      </c>
      <c r="P1082" s="17" t="str">
        <f aca="false">IF($B1082="","",INDEX(Course!$N$2:$N$19,MATCH($B1082,Course!$A$2:$A$19,0)))</f>
        <v/>
      </c>
      <c r="Q1082" s="17" t="str">
        <f aca="false">IF($B1082="","",INDEX(Course!$P$2:$P$19,MATCH($B1082,Course!$A$2:$A$19,0)))</f>
        <v/>
      </c>
      <c r="R1082" s="17" t="str">
        <f aca="false">IF($C1082="","",IF(OR($C1082="G",$C1082="H"),0,IF($C1082="T",1,MIN(1,MAX(0,($N1082-Inputs!$B$8)/MAX($P1082-Inputs!$B$8,0.01))))))</f>
        <v/>
      </c>
      <c r="S1082" s="17" t="str">
        <f aca="false">IF($C1082="","",IF(OR($E1082="G",$E1082="H"),0,IF($E1082="T",1,MIN(1,MAX(0,($O1082-Inputs!$B$8)/MAX($P1082-Inputs!$B$8,0.01))))))</f>
        <v/>
      </c>
    </row>
    <row r="1083" customFormat="false" ht="15" hidden="false" customHeight="false" outlineLevel="0" collapsed="false">
      <c r="I1083" s="7" t="str">
        <f aca="false">IF($C1083="","",IF($C1083="G","PUTT",IF(AND($C1083="T",$M1083&gt;3),"OTT",IF($D1083&lt;=30,"ARG","APP"))))</f>
        <v/>
      </c>
      <c r="J1083" s="17" t="str">
        <f aca="false">IF($C1083="","",$N1083+$Q1083*$R1083)</f>
        <v/>
      </c>
      <c r="K1083" s="17" t="str">
        <f aca="false">IF($C1083="","",$O1083+$Q1083*$S1083)</f>
        <v/>
      </c>
      <c r="L1083" s="17" t="str">
        <f aca="false">IF($C1083="","",$J1083-$K1083-1-N($G1083))</f>
        <v/>
      </c>
      <c r="M1083" s="7" t="str">
        <f aca="false">IF($B1083="","",INDEX(Course!$B$2:$B$19,MATCH($B1083,Course!$A$2:$A$19,0)))</f>
        <v/>
      </c>
      <c r="N1083" s="17" t="str">
        <f aca="false">IF($C1083="","",IF($C1083="H",0,IF($C1083="G",INDEX(Baseline!$I$3:$I$102,MIN(MAX(ROUND($D1083,0),1),100)),IF($C1083="T",IF($M1083=3,INDEX(Baseline!$B$3:$B$122,MATCH(MIN(MAX(ROUND(($D1083)/5,0)*5,5),600),Baseline!$A$3:$A$122,0))-Inputs!$B$9,INDEX(Course!$N$2:$N$19,MATCH($B1083,Course!$A$2:$A$19,0))),INDEX(Baseline!$B$3:$E$122,MATCH(MIN(MAX(ROUND(($D1083)/5,0)*5,5),600),Baseline!$A$3:$A$122,0),MATCH($C1083,Baseline!$B$2:$E$2,0))))))</f>
        <v/>
      </c>
      <c r="O1083" s="17" t="str">
        <f aca="false">IF($C1083="","",IF($E1083="H",0,IF($E1083="G",INDEX(Baseline!$I$3:$I$102,MIN(MAX(ROUND($F1083,0),1),100)),IF($E1083="T",IF($M1083=3,INDEX(Baseline!$B$3:$B$122,MATCH(MIN(MAX(ROUND(($F1083)/5,0)*5,5),600),Baseline!$A$3:$A$122,0))-Inputs!$B$9,INDEX(Course!$N$2:$N$19,MATCH($B1083,Course!$A$2:$A$19,0))),INDEX(Baseline!$B$3:$E$122,MATCH(MIN(MAX(ROUND(($F1083)/5,0)*5,5),600),Baseline!$A$3:$A$122,0),MATCH($E1083,Baseline!$B$2:$E$2,0))))))</f>
        <v/>
      </c>
      <c r="P1083" s="17" t="str">
        <f aca="false">IF($B1083="","",INDEX(Course!$N$2:$N$19,MATCH($B1083,Course!$A$2:$A$19,0)))</f>
        <v/>
      </c>
      <c r="Q1083" s="17" t="str">
        <f aca="false">IF($B1083="","",INDEX(Course!$P$2:$P$19,MATCH($B1083,Course!$A$2:$A$19,0)))</f>
        <v/>
      </c>
      <c r="R1083" s="17" t="str">
        <f aca="false">IF($C1083="","",IF(OR($C1083="G",$C1083="H"),0,IF($C1083="T",1,MIN(1,MAX(0,($N1083-Inputs!$B$8)/MAX($P1083-Inputs!$B$8,0.01))))))</f>
        <v/>
      </c>
      <c r="S1083" s="17" t="str">
        <f aca="false">IF($C1083="","",IF(OR($E1083="G",$E1083="H"),0,IF($E1083="T",1,MIN(1,MAX(0,($O1083-Inputs!$B$8)/MAX($P1083-Inputs!$B$8,0.01))))))</f>
        <v/>
      </c>
    </row>
    <row r="1084" customFormat="false" ht="15" hidden="false" customHeight="false" outlineLevel="0" collapsed="false">
      <c r="I1084" s="7" t="str">
        <f aca="false">IF($C1084="","",IF($C1084="G","PUTT",IF(AND($C1084="T",$M1084&gt;3),"OTT",IF($D1084&lt;=30,"ARG","APP"))))</f>
        <v/>
      </c>
      <c r="J1084" s="17" t="str">
        <f aca="false">IF($C1084="","",$N1084+$Q1084*$R1084)</f>
        <v/>
      </c>
      <c r="K1084" s="17" t="str">
        <f aca="false">IF($C1084="","",$O1084+$Q1084*$S1084)</f>
        <v/>
      </c>
      <c r="L1084" s="17" t="str">
        <f aca="false">IF($C1084="","",$J1084-$K1084-1-N($G1084))</f>
        <v/>
      </c>
      <c r="M1084" s="7" t="str">
        <f aca="false">IF($B1084="","",INDEX(Course!$B$2:$B$19,MATCH($B1084,Course!$A$2:$A$19,0)))</f>
        <v/>
      </c>
      <c r="N1084" s="17" t="str">
        <f aca="false">IF($C1084="","",IF($C1084="H",0,IF($C1084="G",INDEX(Baseline!$I$3:$I$102,MIN(MAX(ROUND($D1084,0),1),100)),IF($C1084="T",IF($M1084=3,INDEX(Baseline!$B$3:$B$122,MATCH(MIN(MAX(ROUND(($D1084)/5,0)*5,5),600),Baseline!$A$3:$A$122,0))-Inputs!$B$9,INDEX(Course!$N$2:$N$19,MATCH($B1084,Course!$A$2:$A$19,0))),INDEX(Baseline!$B$3:$E$122,MATCH(MIN(MAX(ROUND(($D1084)/5,0)*5,5),600),Baseline!$A$3:$A$122,0),MATCH($C1084,Baseline!$B$2:$E$2,0))))))</f>
        <v/>
      </c>
      <c r="O1084" s="17" t="str">
        <f aca="false">IF($C1084="","",IF($E1084="H",0,IF($E1084="G",INDEX(Baseline!$I$3:$I$102,MIN(MAX(ROUND($F1084,0),1),100)),IF($E1084="T",IF($M1084=3,INDEX(Baseline!$B$3:$B$122,MATCH(MIN(MAX(ROUND(($F1084)/5,0)*5,5),600),Baseline!$A$3:$A$122,0))-Inputs!$B$9,INDEX(Course!$N$2:$N$19,MATCH($B1084,Course!$A$2:$A$19,0))),INDEX(Baseline!$B$3:$E$122,MATCH(MIN(MAX(ROUND(($F1084)/5,0)*5,5),600),Baseline!$A$3:$A$122,0),MATCH($E1084,Baseline!$B$2:$E$2,0))))))</f>
        <v/>
      </c>
      <c r="P1084" s="17" t="str">
        <f aca="false">IF($B1084="","",INDEX(Course!$N$2:$N$19,MATCH($B1084,Course!$A$2:$A$19,0)))</f>
        <v/>
      </c>
      <c r="Q1084" s="17" t="str">
        <f aca="false">IF($B1084="","",INDEX(Course!$P$2:$P$19,MATCH($B1084,Course!$A$2:$A$19,0)))</f>
        <v/>
      </c>
      <c r="R1084" s="17" t="str">
        <f aca="false">IF($C1084="","",IF(OR($C1084="G",$C1084="H"),0,IF($C1084="T",1,MIN(1,MAX(0,($N1084-Inputs!$B$8)/MAX($P1084-Inputs!$B$8,0.01))))))</f>
        <v/>
      </c>
      <c r="S1084" s="17" t="str">
        <f aca="false">IF($C1084="","",IF(OR($E1084="G",$E1084="H"),0,IF($E1084="T",1,MIN(1,MAX(0,($O1084-Inputs!$B$8)/MAX($P1084-Inputs!$B$8,0.01))))))</f>
        <v/>
      </c>
    </row>
    <row r="1085" customFormat="false" ht="15" hidden="false" customHeight="false" outlineLevel="0" collapsed="false">
      <c r="I1085" s="7" t="str">
        <f aca="false">IF($C1085="","",IF($C1085="G","PUTT",IF(AND($C1085="T",$M1085&gt;3),"OTT",IF($D1085&lt;=30,"ARG","APP"))))</f>
        <v/>
      </c>
      <c r="J1085" s="17" t="str">
        <f aca="false">IF($C1085="","",$N1085+$Q1085*$R1085)</f>
        <v/>
      </c>
      <c r="K1085" s="17" t="str">
        <f aca="false">IF($C1085="","",$O1085+$Q1085*$S1085)</f>
        <v/>
      </c>
      <c r="L1085" s="17" t="str">
        <f aca="false">IF($C1085="","",$J1085-$K1085-1-N($G1085))</f>
        <v/>
      </c>
      <c r="M1085" s="7" t="str">
        <f aca="false">IF($B1085="","",INDEX(Course!$B$2:$B$19,MATCH($B1085,Course!$A$2:$A$19,0)))</f>
        <v/>
      </c>
      <c r="N1085" s="17" t="str">
        <f aca="false">IF($C1085="","",IF($C1085="H",0,IF($C1085="G",INDEX(Baseline!$I$3:$I$102,MIN(MAX(ROUND($D1085,0),1),100)),IF($C1085="T",IF($M1085=3,INDEX(Baseline!$B$3:$B$122,MATCH(MIN(MAX(ROUND(($D1085)/5,0)*5,5),600),Baseline!$A$3:$A$122,0))-Inputs!$B$9,INDEX(Course!$N$2:$N$19,MATCH($B1085,Course!$A$2:$A$19,0))),INDEX(Baseline!$B$3:$E$122,MATCH(MIN(MAX(ROUND(($D1085)/5,0)*5,5),600),Baseline!$A$3:$A$122,0),MATCH($C1085,Baseline!$B$2:$E$2,0))))))</f>
        <v/>
      </c>
      <c r="O1085" s="17" t="str">
        <f aca="false">IF($C1085="","",IF($E1085="H",0,IF($E1085="G",INDEX(Baseline!$I$3:$I$102,MIN(MAX(ROUND($F1085,0),1),100)),IF($E1085="T",IF($M1085=3,INDEX(Baseline!$B$3:$B$122,MATCH(MIN(MAX(ROUND(($F1085)/5,0)*5,5),600),Baseline!$A$3:$A$122,0))-Inputs!$B$9,INDEX(Course!$N$2:$N$19,MATCH($B1085,Course!$A$2:$A$19,0))),INDEX(Baseline!$B$3:$E$122,MATCH(MIN(MAX(ROUND(($F1085)/5,0)*5,5),600),Baseline!$A$3:$A$122,0),MATCH($E1085,Baseline!$B$2:$E$2,0))))))</f>
        <v/>
      </c>
      <c r="P1085" s="17" t="str">
        <f aca="false">IF($B1085="","",INDEX(Course!$N$2:$N$19,MATCH($B1085,Course!$A$2:$A$19,0)))</f>
        <v/>
      </c>
      <c r="Q1085" s="17" t="str">
        <f aca="false">IF($B1085="","",INDEX(Course!$P$2:$P$19,MATCH($B1085,Course!$A$2:$A$19,0)))</f>
        <v/>
      </c>
      <c r="R1085" s="17" t="str">
        <f aca="false">IF($C1085="","",IF(OR($C1085="G",$C1085="H"),0,IF($C1085="T",1,MIN(1,MAX(0,($N1085-Inputs!$B$8)/MAX($P1085-Inputs!$B$8,0.01))))))</f>
        <v/>
      </c>
      <c r="S1085" s="17" t="str">
        <f aca="false">IF($C1085="","",IF(OR($E1085="G",$E1085="H"),0,IF($E1085="T",1,MIN(1,MAX(0,($O1085-Inputs!$B$8)/MAX($P1085-Inputs!$B$8,0.01))))))</f>
        <v/>
      </c>
    </row>
    <row r="1086" customFormat="false" ht="15" hidden="false" customHeight="false" outlineLevel="0" collapsed="false">
      <c r="I1086" s="7" t="str">
        <f aca="false">IF($C1086="","",IF($C1086="G","PUTT",IF(AND($C1086="T",$M1086&gt;3),"OTT",IF($D1086&lt;=30,"ARG","APP"))))</f>
        <v/>
      </c>
      <c r="J1086" s="17" t="str">
        <f aca="false">IF($C1086="","",$N1086+$Q1086*$R1086)</f>
        <v/>
      </c>
      <c r="K1086" s="17" t="str">
        <f aca="false">IF($C1086="","",$O1086+$Q1086*$S1086)</f>
        <v/>
      </c>
      <c r="L1086" s="17" t="str">
        <f aca="false">IF($C1086="","",$J1086-$K1086-1-N($G1086))</f>
        <v/>
      </c>
      <c r="M1086" s="7" t="str">
        <f aca="false">IF($B1086="","",INDEX(Course!$B$2:$B$19,MATCH($B1086,Course!$A$2:$A$19,0)))</f>
        <v/>
      </c>
      <c r="N1086" s="17" t="str">
        <f aca="false">IF($C1086="","",IF($C1086="H",0,IF($C1086="G",INDEX(Baseline!$I$3:$I$102,MIN(MAX(ROUND($D1086,0),1),100)),IF($C1086="T",IF($M1086=3,INDEX(Baseline!$B$3:$B$122,MATCH(MIN(MAX(ROUND(($D1086)/5,0)*5,5),600),Baseline!$A$3:$A$122,0))-Inputs!$B$9,INDEX(Course!$N$2:$N$19,MATCH($B1086,Course!$A$2:$A$19,0))),INDEX(Baseline!$B$3:$E$122,MATCH(MIN(MAX(ROUND(($D1086)/5,0)*5,5),600),Baseline!$A$3:$A$122,0),MATCH($C1086,Baseline!$B$2:$E$2,0))))))</f>
        <v/>
      </c>
      <c r="O1086" s="17" t="str">
        <f aca="false">IF($C1086="","",IF($E1086="H",0,IF($E1086="G",INDEX(Baseline!$I$3:$I$102,MIN(MAX(ROUND($F1086,0),1),100)),IF($E1086="T",IF($M1086=3,INDEX(Baseline!$B$3:$B$122,MATCH(MIN(MAX(ROUND(($F1086)/5,0)*5,5),600),Baseline!$A$3:$A$122,0))-Inputs!$B$9,INDEX(Course!$N$2:$N$19,MATCH($B1086,Course!$A$2:$A$19,0))),INDEX(Baseline!$B$3:$E$122,MATCH(MIN(MAX(ROUND(($F1086)/5,0)*5,5),600),Baseline!$A$3:$A$122,0),MATCH($E1086,Baseline!$B$2:$E$2,0))))))</f>
        <v/>
      </c>
      <c r="P1086" s="17" t="str">
        <f aca="false">IF($B1086="","",INDEX(Course!$N$2:$N$19,MATCH($B1086,Course!$A$2:$A$19,0)))</f>
        <v/>
      </c>
      <c r="Q1086" s="17" t="str">
        <f aca="false">IF($B1086="","",INDEX(Course!$P$2:$P$19,MATCH($B1086,Course!$A$2:$A$19,0)))</f>
        <v/>
      </c>
      <c r="R1086" s="17" t="str">
        <f aca="false">IF($C1086="","",IF(OR($C1086="G",$C1086="H"),0,IF($C1086="T",1,MIN(1,MAX(0,($N1086-Inputs!$B$8)/MAX($P1086-Inputs!$B$8,0.01))))))</f>
        <v/>
      </c>
      <c r="S1086" s="17" t="str">
        <f aca="false">IF($C1086="","",IF(OR($E1086="G",$E1086="H"),0,IF($E1086="T",1,MIN(1,MAX(0,($O1086-Inputs!$B$8)/MAX($P1086-Inputs!$B$8,0.01))))))</f>
        <v/>
      </c>
    </row>
    <row r="1087" customFormat="false" ht="15" hidden="false" customHeight="false" outlineLevel="0" collapsed="false">
      <c r="I1087" s="7" t="str">
        <f aca="false">IF($C1087="","",IF($C1087="G","PUTT",IF(AND($C1087="T",$M1087&gt;3),"OTT",IF($D1087&lt;=30,"ARG","APP"))))</f>
        <v/>
      </c>
      <c r="J1087" s="17" t="str">
        <f aca="false">IF($C1087="","",$N1087+$Q1087*$R1087)</f>
        <v/>
      </c>
      <c r="K1087" s="17" t="str">
        <f aca="false">IF($C1087="","",$O1087+$Q1087*$S1087)</f>
        <v/>
      </c>
      <c r="L1087" s="17" t="str">
        <f aca="false">IF($C1087="","",$J1087-$K1087-1-N($G1087))</f>
        <v/>
      </c>
      <c r="M1087" s="7" t="str">
        <f aca="false">IF($B1087="","",INDEX(Course!$B$2:$B$19,MATCH($B1087,Course!$A$2:$A$19,0)))</f>
        <v/>
      </c>
      <c r="N1087" s="17" t="str">
        <f aca="false">IF($C1087="","",IF($C1087="H",0,IF($C1087="G",INDEX(Baseline!$I$3:$I$102,MIN(MAX(ROUND($D1087,0),1),100)),IF($C1087="T",IF($M1087=3,INDEX(Baseline!$B$3:$B$122,MATCH(MIN(MAX(ROUND(($D1087)/5,0)*5,5),600),Baseline!$A$3:$A$122,0))-Inputs!$B$9,INDEX(Course!$N$2:$N$19,MATCH($B1087,Course!$A$2:$A$19,0))),INDEX(Baseline!$B$3:$E$122,MATCH(MIN(MAX(ROUND(($D1087)/5,0)*5,5),600),Baseline!$A$3:$A$122,0),MATCH($C1087,Baseline!$B$2:$E$2,0))))))</f>
        <v/>
      </c>
      <c r="O1087" s="17" t="str">
        <f aca="false">IF($C1087="","",IF($E1087="H",0,IF($E1087="G",INDEX(Baseline!$I$3:$I$102,MIN(MAX(ROUND($F1087,0),1),100)),IF($E1087="T",IF($M1087=3,INDEX(Baseline!$B$3:$B$122,MATCH(MIN(MAX(ROUND(($F1087)/5,0)*5,5),600),Baseline!$A$3:$A$122,0))-Inputs!$B$9,INDEX(Course!$N$2:$N$19,MATCH($B1087,Course!$A$2:$A$19,0))),INDEX(Baseline!$B$3:$E$122,MATCH(MIN(MAX(ROUND(($F1087)/5,0)*5,5),600),Baseline!$A$3:$A$122,0),MATCH($E1087,Baseline!$B$2:$E$2,0))))))</f>
        <v/>
      </c>
      <c r="P1087" s="17" t="str">
        <f aca="false">IF($B1087="","",INDEX(Course!$N$2:$N$19,MATCH($B1087,Course!$A$2:$A$19,0)))</f>
        <v/>
      </c>
      <c r="Q1087" s="17" t="str">
        <f aca="false">IF($B1087="","",INDEX(Course!$P$2:$P$19,MATCH($B1087,Course!$A$2:$A$19,0)))</f>
        <v/>
      </c>
      <c r="R1087" s="17" t="str">
        <f aca="false">IF($C1087="","",IF(OR($C1087="G",$C1087="H"),0,IF($C1087="T",1,MIN(1,MAX(0,($N1087-Inputs!$B$8)/MAX($P1087-Inputs!$B$8,0.01))))))</f>
        <v/>
      </c>
      <c r="S1087" s="17" t="str">
        <f aca="false">IF($C1087="","",IF(OR($E1087="G",$E1087="H"),0,IF($E1087="T",1,MIN(1,MAX(0,($O1087-Inputs!$B$8)/MAX($P1087-Inputs!$B$8,0.01))))))</f>
        <v/>
      </c>
    </row>
    <row r="1088" customFormat="false" ht="15" hidden="false" customHeight="false" outlineLevel="0" collapsed="false">
      <c r="I1088" s="7" t="str">
        <f aca="false">IF($C1088="","",IF($C1088="G","PUTT",IF(AND($C1088="T",$M1088&gt;3),"OTT",IF($D1088&lt;=30,"ARG","APP"))))</f>
        <v/>
      </c>
      <c r="J1088" s="17" t="str">
        <f aca="false">IF($C1088="","",$N1088+$Q1088*$R1088)</f>
        <v/>
      </c>
      <c r="K1088" s="17" t="str">
        <f aca="false">IF($C1088="","",$O1088+$Q1088*$S1088)</f>
        <v/>
      </c>
      <c r="L1088" s="17" t="str">
        <f aca="false">IF($C1088="","",$J1088-$K1088-1-N($G1088))</f>
        <v/>
      </c>
      <c r="M1088" s="7" t="str">
        <f aca="false">IF($B1088="","",INDEX(Course!$B$2:$B$19,MATCH($B1088,Course!$A$2:$A$19,0)))</f>
        <v/>
      </c>
      <c r="N1088" s="17" t="str">
        <f aca="false">IF($C1088="","",IF($C1088="H",0,IF($C1088="G",INDEX(Baseline!$I$3:$I$102,MIN(MAX(ROUND($D1088,0),1),100)),IF($C1088="T",IF($M1088=3,INDEX(Baseline!$B$3:$B$122,MATCH(MIN(MAX(ROUND(($D1088)/5,0)*5,5),600),Baseline!$A$3:$A$122,0))-Inputs!$B$9,INDEX(Course!$N$2:$N$19,MATCH($B1088,Course!$A$2:$A$19,0))),INDEX(Baseline!$B$3:$E$122,MATCH(MIN(MAX(ROUND(($D1088)/5,0)*5,5),600),Baseline!$A$3:$A$122,0),MATCH($C1088,Baseline!$B$2:$E$2,0))))))</f>
        <v/>
      </c>
      <c r="O1088" s="17" t="str">
        <f aca="false">IF($C1088="","",IF($E1088="H",0,IF($E1088="G",INDEX(Baseline!$I$3:$I$102,MIN(MAX(ROUND($F1088,0),1),100)),IF($E1088="T",IF($M1088=3,INDEX(Baseline!$B$3:$B$122,MATCH(MIN(MAX(ROUND(($F1088)/5,0)*5,5),600),Baseline!$A$3:$A$122,0))-Inputs!$B$9,INDEX(Course!$N$2:$N$19,MATCH($B1088,Course!$A$2:$A$19,0))),INDEX(Baseline!$B$3:$E$122,MATCH(MIN(MAX(ROUND(($F1088)/5,0)*5,5),600),Baseline!$A$3:$A$122,0),MATCH($E1088,Baseline!$B$2:$E$2,0))))))</f>
        <v/>
      </c>
      <c r="P1088" s="17" t="str">
        <f aca="false">IF($B1088="","",INDEX(Course!$N$2:$N$19,MATCH($B1088,Course!$A$2:$A$19,0)))</f>
        <v/>
      </c>
      <c r="Q1088" s="17" t="str">
        <f aca="false">IF($B1088="","",INDEX(Course!$P$2:$P$19,MATCH($B1088,Course!$A$2:$A$19,0)))</f>
        <v/>
      </c>
      <c r="R1088" s="17" t="str">
        <f aca="false">IF($C1088="","",IF(OR($C1088="G",$C1088="H"),0,IF($C1088="T",1,MIN(1,MAX(0,($N1088-Inputs!$B$8)/MAX($P1088-Inputs!$B$8,0.01))))))</f>
        <v/>
      </c>
      <c r="S1088" s="17" t="str">
        <f aca="false">IF($C1088="","",IF(OR($E1088="G",$E1088="H"),0,IF($E1088="T",1,MIN(1,MAX(0,($O1088-Inputs!$B$8)/MAX($P1088-Inputs!$B$8,0.01))))))</f>
        <v/>
      </c>
    </row>
    <row r="1089" customFormat="false" ht="15" hidden="false" customHeight="false" outlineLevel="0" collapsed="false">
      <c r="I1089" s="7" t="str">
        <f aca="false">IF($C1089="","",IF($C1089="G","PUTT",IF(AND($C1089="T",$M1089&gt;3),"OTT",IF($D1089&lt;=30,"ARG","APP"))))</f>
        <v/>
      </c>
      <c r="J1089" s="17" t="str">
        <f aca="false">IF($C1089="","",$N1089+$Q1089*$R1089)</f>
        <v/>
      </c>
      <c r="K1089" s="17" t="str">
        <f aca="false">IF($C1089="","",$O1089+$Q1089*$S1089)</f>
        <v/>
      </c>
      <c r="L1089" s="17" t="str">
        <f aca="false">IF($C1089="","",$J1089-$K1089-1-N($G1089))</f>
        <v/>
      </c>
      <c r="M1089" s="7" t="str">
        <f aca="false">IF($B1089="","",INDEX(Course!$B$2:$B$19,MATCH($B1089,Course!$A$2:$A$19,0)))</f>
        <v/>
      </c>
      <c r="N1089" s="17" t="str">
        <f aca="false">IF($C1089="","",IF($C1089="H",0,IF($C1089="G",INDEX(Baseline!$I$3:$I$102,MIN(MAX(ROUND($D1089,0),1),100)),IF($C1089="T",IF($M1089=3,INDEX(Baseline!$B$3:$B$122,MATCH(MIN(MAX(ROUND(($D1089)/5,0)*5,5),600),Baseline!$A$3:$A$122,0))-Inputs!$B$9,INDEX(Course!$N$2:$N$19,MATCH($B1089,Course!$A$2:$A$19,0))),INDEX(Baseline!$B$3:$E$122,MATCH(MIN(MAX(ROUND(($D1089)/5,0)*5,5),600),Baseline!$A$3:$A$122,0),MATCH($C1089,Baseline!$B$2:$E$2,0))))))</f>
        <v/>
      </c>
      <c r="O1089" s="17" t="str">
        <f aca="false">IF($C1089="","",IF($E1089="H",0,IF($E1089="G",INDEX(Baseline!$I$3:$I$102,MIN(MAX(ROUND($F1089,0),1),100)),IF($E1089="T",IF($M1089=3,INDEX(Baseline!$B$3:$B$122,MATCH(MIN(MAX(ROUND(($F1089)/5,0)*5,5),600),Baseline!$A$3:$A$122,0))-Inputs!$B$9,INDEX(Course!$N$2:$N$19,MATCH($B1089,Course!$A$2:$A$19,0))),INDEX(Baseline!$B$3:$E$122,MATCH(MIN(MAX(ROUND(($F1089)/5,0)*5,5),600),Baseline!$A$3:$A$122,0),MATCH($E1089,Baseline!$B$2:$E$2,0))))))</f>
        <v/>
      </c>
      <c r="P1089" s="17" t="str">
        <f aca="false">IF($B1089="","",INDEX(Course!$N$2:$N$19,MATCH($B1089,Course!$A$2:$A$19,0)))</f>
        <v/>
      </c>
      <c r="Q1089" s="17" t="str">
        <f aca="false">IF($B1089="","",INDEX(Course!$P$2:$P$19,MATCH($B1089,Course!$A$2:$A$19,0)))</f>
        <v/>
      </c>
      <c r="R1089" s="17" t="str">
        <f aca="false">IF($C1089="","",IF(OR($C1089="G",$C1089="H"),0,IF($C1089="T",1,MIN(1,MAX(0,($N1089-Inputs!$B$8)/MAX($P1089-Inputs!$B$8,0.01))))))</f>
        <v/>
      </c>
      <c r="S1089" s="17" t="str">
        <f aca="false">IF($C1089="","",IF(OR($E1089="G",$E1089="H"),0,IF($E1089="T",1,MIN(1,MAX(0,($O1089-Inputs!$B$8)/MAX($P1089-Inputs!$B$8,0.01))))))</f>
        <v/>
      </c>
    </row>
    <row r="1090" customFormat="false" ht="15" hidden="false" customHeight="false" outlineLevel="0" collapsed="false">
      <c r="I1090" s="7" t="str">
        <f aca="false">IF($C1090="","",IF($C1090="G","PUTT",IF(AND($C1090="T",$M1090&gt;3),"OTT",IF($D1090&lt;=30,"ARG","APP"))))</f>
        <v/>
      </c>
      <c r="J1090" s="17" t="str">
        <f aca="false">IF($C1090="","",$N1090+$Q1090*$R1090)</f>
        <v/>
      </c>
      <c r="K1090" s="17" t="str">
        <f aca="false">IF($C1090="","",$O1090+$Q1090*$S1090)</f>
        <v/>
      </c>
      <c r="L1090" s="17" t="str">
        <f aca="false">IF($C1090="","",$J1090-$K1090-1-N($G1090))</f>
        <v/>
      </c>
      <c r="M1090" s="7" t="str">
        <f aca="false">IF($B1090="","",INDEX(Course!$B$2:$B$19,MATCH($B1090,Course!$A$2:$A$19,0)))</f>
        <v/>
      </c>
      <c r="N1090" s="17" t="str">
        <f aca="false">IF($C1090="","",IF($C1090="H",0,IF($C1090="G",INDEX(Baseline!$I$3:$I$102,MIN(MAX(ROUND($D1090,0),1),100)),IF($C1090="T",IF($M1090=3,INDEX(Baseline!$B$3:$B$122,MATCH(MIN(MAX(ROUND(($D1090)/5,0)*5,5),600),Baseline!$A$3:$A$122,0))-Inputs!$B$9,INDEX(Course!$N$2:$N$19,MATCH($B1090,Course!$A$2:$A$19,0))),INDEX(Baseline!$B$3:$E$122,MATCH(MIN(MAX(ROUND(($D1090)/5,0)*5,5),600),Baseline!$A$3:$A$122,0),MATCH($C1090,Baseline!$B$2:$E$2,0))))))</f>
        <v/>
      </c>
      <c r="O1090" s="17" t="str">
        <f aca="false">IF($C1090="","",IF($E1090="H",0,IF($E1090="G",INDEX(Baseline!$I$3:$I$102,MIN(MAX(ROUND($F1090,0),1),100)),IF($E1090="T",IF($M1090=3,INDEX(Baseline!$B$3:$B$122,MATCH(MIN(MAX(ROUND(($F1090)/5,0)*5,5),600),Baseline!$A$3:$A$122,0))-Inputs!$B$9,INDEX(Course!$N$2:$N$19,MATCH($B1090,Course!$A$2:$A$19,0))),INDEX(Baseline!$B$3:$E$122,MATCH(MIN(MAX(ROUND(($F1090)/5,0)*5,5),600),Baseline!$A$3:$A$122,0),MATCH($E1090,Baseline!$B$2:$E$2,0))))))</f>
        <v/>
      </c>
      <c r="P1090" s="17" t="str">
        <f aca="false">IF($B1090="","",INDEX(Course!$N$2:$N$19,MATCH($B1090,Course!$A$2:$A$19,0)))</f>
        <v/>
      </c>
      <c r="Q1090" s="17" t="str">
        <f aca="false">IF($B1090="","",INDEX(Course!$P$2:$P$19,MATCH($B1090,Course!$A$2:$A$19,0)))</f>
        <v/>
      </c>
      <c r="R1090" s="17" t="str">
        <f aca="false">IF($C1090="","",IF(OR($C1090="G",$C1090="H"),0,IF($C1090="T",1,MIN(1,MAX(0,($N1090-Inputs!$B$8)/MAX($P1090-Inputs!$B$8,0.01))))))</f>
        <v/>
      </c>
      <c r="S1090" s="17" t="str">
        <f aca="false">IF($C1090="","",IF(OR($E1090="G",$E1090="H"),0,IF($E1090="T",1,MIN(1,MAX(0,($O1090-Inputs!$B$8)/MAX($P1090-Inputs!$B$8,0.01))))))</f>
        <v/>
      </c>
    </row>
    <row r="1091" customFormat="false" ht="15" hidden="false" customHeight="false" outlineLevel="0" collapsed="false">
      <c r="I1091" s="7" t="str">
        <f aca="false">IF($C1091="","",IF($C1091="G","PUTT",IF(AND($C1091="T",$M1091&gt;3),"OTT",IF($D1091&lt;=30,"ARG","APP"))))</f>
        <v/>
      </c>
      <c r="J1091" s="17" t="str">
        <f aca="false">IF($C1091="","",$N1091+$Q1091*$R1091)</f>
        <v/>
      </c>
      <c r="K1091" s="17" t="str">
        <f aca="false">IF($C1091="","",$O1091+$Q1091*$S1091)</f>
        <v/>
      </c>
      <c r="L1091" s="17" t="str">
        <f aca="false">IF($C1091="","",$J1091-$K1091-1-N($G1091))</f>
        <v/>
      </c>
      <c r="M1091" s="7" t="str">
        <f aca="false">IF($B1091="","",INDEX(Course!$B$2:$B$19,MATCH($B1091,Course!$A$2:$A$19,0)))</f>
        <v/>
      </c>
      <c r="N1091" s="17" t="str">
        <f aca="false">IF($C1091="","",IF($C1091="H",0,IF($C1091="G",INDEX(Baseline!$I$3:$I$102,MIN(MAX(ROUND($D1091,0),1),100)),IF($C1091="T",IF($M1091=3,INDEX(Baseline!$B$3:$B$122,MATCH(MIN(MAX(ROUND(($D1091)/5,0)*5,5),600),Baseline!$A$3:$A$122,0))-Inputs!$B$9,INDEX(Course!$N$2:$N$19,MATCH($B1091,Course!$A$2:$A$19,0))),INDEX(Baseline!$B$3:$E$122,MATCH(MIN(MAX(ROUND(($D1091)/5,0)*5,5),600),Baseline!$A$3:$A$122,0),MATCH($C1091,Baseline!$B$2:$E$2,0))))))</f>
        <v/>
      </c>
      <c r="O1091" s="17" t="str">
        <f aca="false">IF($C1091="","",IF($E1091="H",0,IF($E1091="G",INDEX(Baseline!$I$3:$I$102,MIN(MAX(ROUND($F1091,0),1),100)),IF($E1091="T",IF($M1091=3,INDEX(Baseline!$B$3:$B$122,MATCH(MIN(MAX(ROUND(($F1091)/5,0)*5,5),600),Baseline!$A$3:$A$122,0))-Inputs!$B$9,INDEX(Course!$N$2:$N$19,MATCH($B1091,Course!$A$2:$A$19,0))),INDEX(Baseline!$B$3:$E$122,MATCH(MIN(MAX(ROUND(($F1091)/5,0)*5,5),600),Baseline!$A$3:$A$122,0),MATCH($E1091,Baseline!$B$2:$E$2,0))))))</f>
        <v/>
      </c>
      <c r="P1091" s="17" t="str">
        <f aca="false">IF($B1091="","",INDEX(Course!$N$2:$N$19,MATCH($B1091,Course!$A$2:$A$19,0)))</f>
        <v/>
      </c>
      <c r="Q1091" s="17" t="str">
        <f aca="false">IF($B1091="","",INDEX(Course!$P$2:$P$19,MATCH($B1091,Course!$A$2:$A$19,0)))</f>
        <v/>
      </c>
      <c r="R1091" s="17" t="str">
        <f aca="false">IF($C1091="","",IF(OR($C1091="G",$C1091="H"),0,IF($C1091="T",1,MIN(1,MAX(0,($N1091-Inputs!$B$8)/MAX($P1091-Inputs!$B$8,0.01))))))</f>
        <v/>
      </c>
      <c r="S1091" s="17" t="str">
        <f aca="false">IF($C1091="","",IF(OR($E1091="G",$E1091="H"),0,IF($E1091="T",1,MIN(1,MAX(0,($O1091-Inputs!$B$8)/MAX($P1091-Inputs!$B$8,0.01))))))</f>
        <v/>
      </c>
    </row>
    <row r="1092" customFormat="false" ht="15" hidden="false" customHeight="false" outlineLevel="0" collapsed="false">
      <c r="I1092" s="7" t="str">
        <f aca="false">IF($C1092="","",IF($C1092="G","PUTT",IF(AND($C1092="T",$M1092&gt;3),"OTT",IF($D1092&lt;=30,"ARG","APP"))))</f>
        <v/>
      </c>
      <c r="J1092" s="17" t="str">
        <f aca="false">IF($C1092="","",$N1092+$Q1092*$R1092)</f>
        <v/>
      </c>
      <c r="K1092" s="17" t="str">
        <f aca="false">IF($C1092="","",$O1092+$Q1092*$S1092)</f>
        <v/>
      </c>
      <c r="L1092" s="17" t="str">
        <f aca="false">IF($C1092="","",$J1092-$K1092-1-N($G1092))</f>
        <v/>
      </c>
      <c r="M1092" s="7" t="str">
        <f aca="false">IF($B1092="","",INDEX(Course!$B$2:$B$19,MATCH($B1092,Course!$A$2:$A$19,0)))</f>
        <v/>
      </c>
      <c r="N1092" s="17" t="str">
        <f aca="false">IF($C1092="","",IF($C1092="H",0,IF($C1092="G",INDEX(Baseline!$I$3:$I$102,MIN(MAX(ROUND($D1092,0),1),100)),IF($C1092="T",IF($M1092=3,INDEX(Baseline!$B$3:$B$122,MATCH(MIN(MAX(ROUND(($D1092)/5,0)*5,5),600),Baseline!$A$3:$A$122,0))-Inputs!$B$9,INDEX(Course!$N$2:$N$19,MATCH($B1092,Course!$A$2:$A$19,0))),INDEX(Baseline!$B$3:$E$122,MATCH(MIN(MAX(ROUND(($D1092)/5,0)*5,5),600),Baseline!$A$3:$A$122,0),MATCH($C1092,Baseline!$B$2:$E$2,0))))))</f>
        <v/>
      </c>
      <c r="O1092" s="17" t="str">
        <f aca="false">IF($C1092="","",IF($E1092="H",0,IF($E1092="G",INDEX(Baseline!$I$3:$I$102,MIN(MAX(ROUND($F1092,0),1),100)),IF($E1092="T",IF($M1092=3,INDEX(Baseline!$B$3:$B$122,MATCH(MIN(MAX(ROUND(($F1092)/5,0)*5,5),600),Baseline!$A$3:$A$122,0))-Inputs!$B$9,INDEX(Course!$N$2:$N$19,MATCH($B1092,Course!$A$2:$A$19,0))),INDEX(Baseline!$B$3:$E$122,MATCH(MIN(MAX(ROUND(($F1092)/5,0)*5,5),600),Baseline!$A$3:$A$122,0),MATCH($E1092,Baseline!$B$2:$E$2,0))))))</f>
        <v/>
      </c>
      <c r="P1092" s="17" t="str">
        <f aca="false">IF($B1092="","",INDEX(Course!$N$2:$N$19,MATCH($B1092,Course!$A$2:$A$19,0)))</f>
        <v/>
      </c>
      <c r="Q1092" s="17" t="str">
        <f aca="false">IF($B1092="","",INDEX(Course!$P$2:$P$19,MATCH($B1092,Course!$A$2:$A$19,0)))</f>
        <v/>
      </c>
      <c r="R1092" s="17" t="str">
        <f aca="false">IF($C1092="","",IF(OR($C1092="G",$C1092="H"),0,IF($C1092="T",1,MIN(1,MAX(0,($N1092-Inputs!$B$8)/MAX($P1092-Inputs!$B$8,0.01))))))</f>
        <v/>
      </c>
      <c r="S1092" s="17" t="str">
        <f aca="false">IF($C1092="","",IF(OR($E1092="G",$E1092="H"),0,IF($E1092="T",1,MIN(1,MAX(0,($O1092-Inputs!$B$8)/MAX($P1092-Inputs!$B$8,0.01))))))</f>
        <v/>
      </c>
    </row>
    <row r="1093" customFormat="false" ht="15" hidden="false" customHeight="false" outlineLevel="0" collapsed="false">
      <c r="I1093" s="7" t="str">
        <f aca="false">IF($C1093="","",IF($C1093="G","PUTT",IF(AND($C1093="T",$M1093&gt;3),"OTT",IF($D1093&lt;=30,"ARG","APP"))))</f>
        <v/>
      </c>
      <c r="J1093" s="17" t="str">
        <f aca="false">IF($C1093="","",$N1093+$Q1093*$R1093)</f>
        <v/>
      </c>
      <c r="K1093" s="17" t="str">
        <f aca="false">IF($C1093="","",$O1093+$Q1093*$S1093)</f>
        <v/>
      </c>
      <c r="L1093" s="17" t="str">
        <f aca="false">IF($C1093="","",$J1093-$K1093-1-N($G1093))</f>
        <v/>
      </c>
      <c r="M1093" s="7" t="str">
        <f aca="false">IF($B1093="","",INDEX(Course!$B$2:$B$19,MATCH($B1093,Course!$A$2:$A$19,0)))</f>
        <v/>
      </c>
      <c r="N1093" s="17" t="str">
        <f aca="false">IF($C1093="","",IF($C1093="H",0,IF($C1093="G",INDEX(Baseline!$I$3:$I$102,MIN(MAX(ROUND($D1093,0),1),100)),IF($C1093="T",IF($M1093=3,INDEX(Baseline!$B$3:$B$122,MATCH(MIN(MAX(ROUND(($D1093)/5,0)*5,5),600),Baseline!$A$3:$A$122,0))-Inputs!$B$9,INDEX(Course!$N$2:$N$19,MATCH($B1093,Course!$A$2:$A$19,0))),INDEX(Baseline!$B$3:$E$122,MATCH(MIN(MAX(ROUND(($D1093)/5,0)*5,5),600),Baseline!$A$3:$A$122,0),MATCH($C1093,Baseline!$B$2:$E$2,0))))))</f>
        <v/>
      </c>
      <c r="O1093" s="17" t="str">
        <f aca="false">IF($C1093="","",IF($E1093="H",0,IF($E1093="G",INDEX(Baseline!$I$3:$I$102,MIN(MAX(ROUND($F1093,0),1),100)),IF($E1093="T",IF($M1093=3,INDEX(Baseline!$B$3:$B$122,MATCH(MIN(MAX(ROUND(($F1093)/5,0)*5,5),600),Baseline!$A$3:$A$122,0))-Inputs!$B$9,INDEX(Course!$N$2:$N$19,MATCH($B1093,Course!$A$2:$A$19,0))),INDEX(Baseline!$B$3:$E$122,MATCH(MIN(MAX(ROUND(($F1093)/5,0)*5,5),600),Baseline!$A$3:$A$122,0),MATCH($E1093,Baseline!$B$2:$E$2,0))))))</f>
        <v/>
      </c>
      <c r="P1093" s="17" t="str">
        <f aca="false">IF($B1093="","",INDEX(Course!$N$2:$N$19,MATCH($B1093,Course!$A$2:$A$19,0)))</f>
        <v/>
      </c>
      <c r="Q1093" s="17" t="str">
        <f aca="false">IF($B1093="","",INDEX(Course!$P$2:$P$19,MATCH($B1093,Course!$A$2:$A$19,0)))</f>
        <v/>
      </c>
      <c r="R1093" s="17" t="str">
        <f aca="false">IF($C1093="","",IF(OR($C1093="G",$C1093="H"),0,IF($C1093="T",1,MIN(1,MAX(0,($N1093-Inputs!$B$8)/MAX($P1093-Inputs!$B$8,0.01))))))</f>
        <v/>
      </c>
      <c r="S1093" s="17" t="str">
        <f aca="false">IF($C1093="","",IF(OR($E1093="G",$E1093="H"),0,IF($E1093="T",1,MIN(1,MAX(0,($O1093-Inputs!$B$8)/MAX($P1093-Inputs!$B$8,0.01))))))</f>
        <v/>
      </c>
    </row>
    <row r="1094" customFormat="false" ht="15" hidden="false" customHeight="false" outlineLevel="0" collapsed="false">
      <c r="I1094" s="7" t="str">
        <f aca="false">IF($C1094="","",IF($C1094="G","PUTT",IF(AND($C1094="T",$M1094&gt;3),"OTT",IF($D1094&lt;=30,"ARG","APP"))))</f>
        <v/>
      </c>
      <c r="J1094" s="17" t="str">
        <f aca="false">IF($C1094="","",$N1094+$Q1094*$R1094)</f>
        <v/>
      </c>
      <c r="K1094" s="17" t="str">
        <f aca="false">IF($C1094="","",$O1094+$Q1094*$S1094)</f>
        <v/>
      </c>
      <c r="L1094" s="17" t="str">
        <f aca="false">IF($C1094="","",$J1094-$K1094-1-N($G1094))</f>
        <v/>
      </c>
      <c r="M1094" s="7" t="str">
        <f aca="false">IF($B1094="","",INDEX(Course!$B$2:$B$19,MATCH($B1094,Course!$A$2:$A$19,0)))</f>
        <v/>
      </c>
      <c r="N1094" s="17" t="str">
        <f aca="false">IF($C1094="","",IF($C1094="H",0,IF($C1094="G",INDEX(Baseline!$I$3:$I$102,MIN(MAX(ROUND($D1094,0),1),100)),IF($C1094="T",IF($M1094=3,INDEX(Baseline!$B$3:$B$122,MATCH(MIN(MAX(ROUND(($D1094)/5,0)*5,5),600),Baseline!$A$3:$A$122,0))-Inputs!$B$9,INDEX(Course!$N$2:$N$19,MATCH($B1094,Course!$A$2:$A$19,0))),INDEX(Baseline!$B$3:$E$122,MATCH(MIN(MAX(ROUND(($D1094)/5,0)*5,5),600),Baseline!$A$3:$A$122,0),MATCH($C1094,Baseline!$B$2:$E$2,0))))))</f>
        <v/>
      </c>
      <c r="O1094" s="17" t="str">
        <f aca="false">IF($C1094="","",IF($E1094="H",0,IF($E1094="G",INDEX(Baseline!$I$3:$I$102,MIN(MAX(ROUND($F1094,0),1),100)),IF($E1094="T",IF($M1094=3,INDEX(Baseline!$B$3:$B$122,MATCH(MIN(MAX(ROUND(($F1094)/5,0)*5,5),600),Baseline!$A$3:$A$122,0))-Inputs!$B$9,INDEX(Course!$N$2:$N$19,MATCH($B1094,Course!$A$2:$A$19,0))),INDEX(Baseline!$B$3:$E$122,MATCH(MIN(MAX(ROUND(($F1094)/5,0)*5,5),600),Baseline!$A$3:$A$122,0),MATCH($E1094,Baseline!$B$2:$E$2,0))))))</f>
        <v/>
      </c>
      <c r="P1094" s="17" t="str">
        <f aca="false">IF($B1094="","",INDEX(Course!$N$2:$N$19,MATCH($B1094,Course!$A$2:$A$19,0)))</f>
        <v/>
      </c>
      <c r="Q1094" s="17" t="str">
        <f aca="false">IF($B1094="","",INDEX(Course!$P$2:$P$19,MATCH($B1094,Course!$A$2:$A$19,0)))</f>
        <v/>
      </c>
      <c r="R1094" s="17" t="str">
        <f aca="false">IF($C1094="","",IF(OR($C1094="G",$C1094="H"),0,IF($C1094="T",1,MIN(1,MAX(0,($N1094-Inputs!$B$8)/MAX($P1094-Inputs!$B$8,0.01))))))</f>
        <v/>
      </c>
      <c r="S1094" s="17" t="str">
        <f aca="false">IF($C1094="","",IF(OR($E1094="G",$E1094="H"),0,IF($E1094="T",1,MIN(1,MAX(0,($O1094-Inputs!$B$8)/MAX($P1094-Inputs!$B$8,0.01))))))</f>
        <v/>
      </c>
    </row>
    <row r="1095" customFormat="false" ht="15" hidden="false" customHeight="false" outlineLevel="0" collapsed="false">
      <c r="I1095" s="7" t="str">
        <f aca="false">IF($C1095="","",IF($C1095="G","PUTT",IF(AND($C1095="T",$M1095&gt;3),"OTT",IF($D1095&lt;=30,"ARG","APP"))))</f>
        <v/>
      </c>
      <c r="J1095" s="17" t="str">
        <f aca="false">IF($C1095="","",$N1095+$Q1095*$R1095)</f>
        <v/>
      </c>
      <c r="K1095" s="17" t="str">
        <f aca="false">IF($C1095="","",$O1095+$Q1095*$S1095)</f>
        <v/>
      </c>
      <c r="L1095" s="17" t="str">
        <f aca="false">IF($C1095="","",$J1095-$K1095-1-N($G1095))</f>
        <v/>
      </c>
      <c r="M1095" s="7" t="str">
        <f aca="false">IF($B1095="","",INDEX(Course!$B$2:$B$19,MATCH($B1095,Course!$A$2:$A$19,0)))</f>
        <v/>
      </c>
      <c r="N1095" s="17" t="str">
        <f aca="false">IF($C1095="","",IF($C1095="H",0,IF($C1095="G",INDEX(Baseline!$I$3:$I$102,MIN(MAX(ROUND($D1095,0),1),100)),IF($C1095="T",IF($M1095=3,INDEX(Baseline!$B$3:$B$122,MATCH(MIN(MAX(ROUND(($D1095)/5,0)*5,5),600),Baseline!$A$3:$A$122,0))-Inputs!$B$9,INDEX(Course!$N$2:$N$19,MATCH($B1095,Course!$A$2:$A$19,0))),INDEX(Baseline!$B$3:$E$122,MATCH(MIN(MAX(ROUND(($D1095)/5,0)*5,5),600),Baseline!$A$3:$A$122,0),MATCH($C1095,Baseline!$B$2:$E$2,0))))))</f>
        <v/>
      </c>
      <c r="O1095" s="17" t="str">
        <f aca="false">IF($C1095="","",IF($E1095="H",0,IF($E1095="G",INDEX(Baseline!$I$3:$I$102,MIN(MAX(ROUND($F1095,0),1),100)),IF($E1095="T",IF($M1095=3,INDEX(Baseline!$B$3:$B$122,MATCH(MIN(MAX(ROUND(($F1095)/5,0)*5,5),600),Baseline!$A$3:$A$122,0))-Inputs!$B$9,INDEX(Course!$N$2:$N$19,MATCH($B1095,Course!$A$2:$A$19,0))),INDEX(Baseline!$B$3:$E$122,MATCH(MIN(MAX(ROUND(($F1095)/5,0)*5,5),600),Baseline!$A$3:$A$122,0),MATCH($E1095,Baseline!$B$2:$E$2,0))))))</f>
        <v/>
      </c>
      <c r="P1095" s="17" t="str">
        <f aca="false">IF($B1095="","",INDEX(Course!$N$2:$N$19,MATCH($B1095,Course!$A$2:$A$19,0)))</f>
        <v/>
      </c>
      <c r="Q1095" s="17" t="str">
        <f aca="false">IF($B1095="","",INDEX(Course!$P$2:$P$19,MATCH($B1095,Course!$A$2:$A$19,0)))</f>
        <v/>
      </c>
      <c r="R1095" s="17" t="str">
        <f aca="false">IF($C1095="","",IF(OR($C1095="G",$C1095="H"),0,IF($C1095="T",1,MIN(1,MAX(0,($N1095-Inputs!$B$8)/MAX($P1095-Inputs!$B$8,0.01))))))</f>
        <v/>
      </c>
      <c r="S1095" s="17" t="str">
        <f aca="false">IF($C1095="","",IF(OR($E1095="G",$E1095="H"),0,IF($E1095="T",1,MIN(1,MAX(0,($O1095-Inputs!$B$8)/MAX($P1095-Inputs!$B$8,0.01))))))</f>
        <v/>
      </c>
    </row>
    <row r="1096" customFormat="false" ht="15" hidden="false" customHeight="false" outlineLevel="0" collapsed="false">
      <c r="I1096" s="7" t="str">
        <f aca="false">IF($C1096="","",IF($C1096="G","PUTT",IF(AND($C1096="T",$M1096&gt;3),"OTT",IF($D1096&lt;=30,"ARG","APP"))))</f>
        <v/>
      </c>
      <c r="J1096" s="17" t="str">
        <f aca="false">IF($C1096="","",$N1096+$Q1096*$R1096)</f>
        <v/>
      </c>
      <c r="K1096" s="17" t="str">
        <f aca="false">IF($C1096="","",$O1096+$Q1096*$S1096)</f>
        <v/>
      </c>
      <c r="L1096" s="17" t="str">
        <f aca="false">IF($C1096="","",$J1096-$K1096-1-N($G1096))</f>
        <v/>
      </c>
      <c r="M1096" s="7" t="str">
        <f aca="false">IF($B1096="","",INDEX(Course!$B$2:$B$19,MATCH($B1096,Course!$A$2:$A$19,0)))</f>
        <v/>
      </c>
      <c r="N1096" s="17" t="str">
        <f aca="false">IF($C1096="","",IF($C1096="H",0,IF($C1096="G",INDEX(Baseline!$I$3:$I$102,MIN(MAX(ROUND($D1096,0),1),100)),IF($C1096="T",IF($M1096=3,INDEX(Baseline!$B$3:$B$122,MATCH(MIN(MAX(ROUND(($D1096)/5,0)*5,5),600),Baseline!$A$3:$A$122,0))-Inputs!$B$9,INDEX(Course!$N$2:$N$19,MATCH($B1096,Course!$A$2:$A$19,0))),INDEX(Baseline!$B$3:$E$122,MATCH(MIN(MAX(ROUND(($D1096)/5,0)*5,5),600),Baseline!$A$3:$A$122,0),MATCH($C1096,Baseline!$B$2:$E$2,0))))))</f>
        <v/>
      </c>
      <c r="O1096" s="17" t="str">
        <f aca="false">IF($C1096="","",IF($E1096="H",0,IF($E1096="G",INDEX(Baseline!$I$3:$I$102,MIN(MAX(ROUND($F1096,0),1),100)),IF($E1096="T",IF($M1096=3,INDEX(Baseline!$B$3:$B$122,MATCH(MIN(MAX(ROUND(($F1096)/5,0)*5,5),600),Baseline!$A$3:$A$122,0))-Inputs!$B$9,INDEX(Course!$N$2:$N$19,MATCH($B1096,Course!$A$2:$A$19,0))),INDEX(Baseline!$B$3:$E$122,MATCH(MIN(MAX(ROUND(($F1096)/5,0)*5,5),600),Baseline!$A$3:$A$122,0),MATCH($E1096,Baseline!$B$2:$E$2,0))))))</f>
        <v/>
      </c>
      <c r="P1096" s="17" t="str">
        <f aca="false">IF($B1096="","",INDEX(Course!$N$2:$N$19,MATCH($B1096,Course!$A$2:$A$19,0)))</f>
        <v/>
      </c>
      <c r="Q1096" s="17" t="str">
        <f aca="false">IF($B1096="","",INDEX(Course!$P$2:$P$19,MATCH($B1096,Course!$A$2:$A$19,0)))</f>
        <v/>
      </c>
      <c r="R1096" s="17" t="str">
        <f aca="false">IF($C1096="","",IF(OR($C1096="G",$C1096="H"),0,IF($C1096="T",1,MIN(1,MAX(0,($N1096-Inputs!$B$8)/MAX($P1096-Inputs!$B$8,0.01))))))</f>
        <v/>
      </c>
      <c r="S1096" s="17" t="str">
        <f aca="false">IF($C1096="","",IF(OR($E1096="G",$E1096="H"),0,IF($E1096="T",1,MIN(1,MAX(0,($O1096-Inputs!$B$8)/MAX($P1096-Inputs!$B$8,0.01))))))</f>
        <v/>
      </c>
    </row>
    <row r="1097" customFormat="false" ht="15" hidden="false" customHeight="false" outlineLevel="0" collapsed="false">
      <c r="I1097" s="7" t="str">
        <f aca="false">IF($C1097="","",IF($C1097="G","PUTT",IF(AND($C1097="T",$M1097&gt;3),"OTT",IF($D1097&lt;=30,"ARG","APP"))))</f>
        <v/>
      </c>
      <c r="J1097" s="17" t="str">
        <f aca="false">IF($C1097="","",$N1097+$Q1097*$R1097)</f>
        <v/>
      </c>
      <c r="K1097" s="17" t="str">
        <f aca="false">IF($C1097="","",$O1097+$Q1097*$S1097)</f>
        <v/>
      </c>
      <c r="L1097" s="17" t="str">
        <f aca="false">IF($C1097="","",$J1097-$K1097-1-N($G1097))</f>
        <v/>
      </c>
      <c r="M1097" s="7" t="str">
        <f aca="false">IF($B1097="","",INDEX(Course!$B$2:$B$19,MATCH($B1097,Course!$A$2:$A$19,0)))</f>
        <v/>
      </c>
      <c r="N1097" s="17" t="str">
        <f aca="false">IF($C1097="","",IF($C1097="H",0,IF($C1097="G",INDEX(Baseline!$I$3:$I$102,MIN(MAX(ROUND($D1097,0),1),100)),IF($C1097="T",IF($M1097=3,INDEX(Baseline!$B$3:$B$122,MATCH(MIN(MAX(ROUND(($D1097)/5,0)*5,5),600),Baseline!$A$3:$A$122,0))-Inputs!$B$9,INDEX(Course!$N$2:$N$19,MATCH($B1097,Course!$A$2:$A$19,0))),INDEX(Baseline!$B$3:$E$122,MATCH(MIN(MAX(ROUND(($D1097)/5,0)*5,5),600),Baseline!$A$3:$A$122,0),MATCH($C1097,Baseline!$B$2:$E$2,0))))))</f>
        <v/>
      </c>
      <c r="O1097" s="17" t="str">
        <f aca="false">IF($C1097="","",IF($E1097="H",0,IF($E1097="G",INDEX(Baseline!$I$3:$I$102,MIN(MAX(ROUND($F1097,0),1),100)),IF($E1097="T",IF($M1097=3,INDEX(Baseline!$B$3:$B$122,MATCH(MIN(MAX(ROUND(($F1097)/5,0)*5,5),600),Baseline!$A$3:$A$122,0))-Inputs!$B$9,INDEX(Course!$N$2:$N$19,MATCH($B1097,Course!$A$2:$A$19,0))),INDEX(Baseline!$B$3:$E$122,MATCH(MIN(MAX(ROUND(($F1097)/5,0)*5,5),600),Baseline!$A$3:$A$122,0),MATCH($E1097,Baseline!$B$2:$E$2,0))))))</f>
        <v/>
      </c>
      <c r="P1097" s="17" t="str">
        <f aca="false">IF($B1097="","",INDEX(Course!$N$2:$N$19,MATCH($B1097,Course!$A$2:$A$19,0)))</f>
        <v/>
      </c>
      <c r="Q1097" s="17" t="str">
        <f aca="false">IF($B1097="","",INDEX(Course!$P$2:$P$19,MATCH($B1097,Course!$A$2:$A$19,0)))</f>
        <v/>
      </c>
      <c r="R1097" s="17" t="str">
        <f aca="false">IF($C1097="","",IF(OR($C1097="G",$C1097="H"),0,IF($C1097="T",1,MIN(1,MAX(0,($N1097-Inputs!$B$8)/MAX($P1097-Inputs!$B$8,0.01))))))</f>
        <v/>
      </c>
      <c r="S1097" s="17" t="str">
        <f aca="false">IF($C1097="","",IF(OR($E1097="G",$E1097="H"),0,IF($E1097="T",1,MIN(1,MAX(0,($O1097-Inputs!$B$8)/MAX($P1097-Inputs!$B$8,0.01))))))</f>
        <v/>
      </c>
    </row>
    <row r="1098" customFormat="false" ht="15" hidden="false" customHeight="false" outlineLevel="0" collapsed="false">
      <c r="I1098" s="7" t="str">
        <f aca="false">IF($C1098="","",IF($C1098="G","PUTT",IF(AND($C1098="T",$M1098&gt;3),"OTT",IF($D1098&lt;=30,"ARG","APP"))))</f>
        <v/>
      </c>
      <c r="J1098" s="17" t="str">
        <f aca="false">IF($C1098="","",$N1098+$Q1098*$R1098)</f>
        <v/>
      </c>
      <c r="K1098" s="17" t="str">
        <f aca="false">IF($C1098="","",$O1098+$Q1098*$S1098)</f>
        <v/>
      </c>
      <c r="L1098" s="17" t="str">
        <f aca="false">IF($C1098="","",$J1098-$K1098-1-N($G1098))</f>
        <v/>
      </c>
      <c r="M1098" s="7" t="str">
        <f aca="false">IF($B1098="","",INDEX(Course!$B$2:$B$19,MATCH($B1098,Course!$A$2:$A$19,0)))</f>
        <v/>
      </c>
      <c r="N1098" s="17" t="str">
        <f aca="false">IF($C1098="","",IF($C1098="H",0,IF($C1098="G",INDEX(Baseline!$I$3:$I$102,MIN(MAX(ROUND($D1098,0),1),100)),IF($C1098="T",IF($M1098=3,INDEX(Baseline!$B$3:$B$122,MATCH(MIN(MAX(ROUND(($D1098)/5,0)*5,5),600),Baseline!$A$3:$A$122,0))-Inputs!$B$9,INDEX(Course!$N$2:$N$19,MATCH($B1098,Course!$A$2:$A$19,0))),INDEX(Baseline!$B$3:$E$122,MATCH(MIN(MAX(ROUND(($D1098)/5,0)*5,5),600),Baseline!$A$3:$A$122,0),MATCH($C1098,Baseline!$B$2:$E$2,0))))))</f>
        <v/>
      </c>
      <c r="O1098" s="17" t="str">
        <f aca="false">IF($C1098="","",IF($E1098="H",0,IF($E1098="G",INDEX(Baseline!$I$3:$I$102,MIN(MAX(ROUND($F1098,0),1),100)),IF($E1098="T",IF($M1098=3,INDEX(Baseline!$B$3:$B$122,MATCH(MIN(MAX(ROUND(($F1098)/5,0)*5,5),600),Baseline!$A$3:$A$122,0))-Inputs!$B$9,INDEX(Course!$N$2:$N$19,MATCH($B1098,Course!$A$2:$A$19,0))),INDEX(Baseline!$B$3:$E$122,MATCH(MIN(MAX(ROUND(($F1098)/5,0)*5,5),600),Baseline!$A$3:$A$122,0),MATCH($E1098,Baseline!$B$2:$E$2,0))))))</f>
        <v/>
      </c>
      <c r="P1098" s="17" t="str">
        <f aca="false">IF($B1098="","",INDEX(Course!$N$2:$N$19,MATCH($B1098,Course!$A$2:$A$19,0)))</f>
        <v/>
      </c>
      <c r="Q1098" s="17" t="str">
        <f aca="false">IF($B1098="","",INDEX(Course!$P$2:$P$19,MATCH($B1098,Course!$A$2:$A$19,0)))</f>
        <v/>
      </c>
      <c r="R1098" s="17" t="str">
        <f aca="false">IF($C1098="","",IF(OR($C1098="G",$C1098="H"),0,IF($C1098="T",1,MIN(1,MAX(0,($N1098-Inputs!$B$8)/MAX($P1098-Inputs!$B$8,0.01))))))</f>
        <v/>
      </c>
      <c r="S1098" s="17" t="str">
        <f aca="false">IF($C1098="","",IF(OR($E1098="G",$E1098="H"),0,IF($E1098="T",1,MIN(1,MAX(0,($O1098-Inputs!$B$8)/MAX($P1098-Inputs!$B$8,0.01))))))</f>
        <v/>
      </c>
    </row>
    <row r="1099" customFormat="false" ht="15" hidden="false" customHeight="false" outlineLevel="0" collapsed="false">
      <c r="I1099" s="7" t="str">
        <f aca="false">IF($C1099="","",IF($C1099="G","PUTT",IF(AND($C1099="T",$M1099&gt;3),"OTT",IF($D1099&lt;=30,"ARG","APP"))))</f>
        <v/>
      </c>
      <c r="J1099" s="17" t="str">
        <f aca="false">IF($C1099="","",$N1099+$Q1099*$R1099)</f>
        <v/>
      </c>
      <c r="K1099" s="17" t="str">
        <f aca="false">IF($C1099="","",$O1099+$Q1099*$S1099)</f>
        <v/>
      </c>
      <c r="L1099" s="17" t="str">
        <f aca="false">IF($C1099="","",$J1099-$K1099-1-N($G1099))</f>
        <v/>
      </c>
      <c r="M1099" s="7" t="str">
        <f aca="false">IF($B1099="","",INDEX(Course!$B$2:$B$19,MATCH($B1099,Course!$A$2:$A$19,0)))</f>
        <v/>
      </c>
      <c r="N1099" s="17" t="str">
        <f aca="false">IF($C1099="","",IF($C1099="H",0,IF($C1099="G",INDEX(Baseline!$I$3:$I$102,MIN(MAX(ROUND($D1099,0),1),100)),IF($C1099="T",IF($M1099=3,INDEX(Baseline!$B$3:$B$122,MATCH(MIN(MAX(ROUND(($D1099)/5,0)*5,5),600),Baseline!$A$3:$A$122,0))-Inputs!$B$9,INDEX(Course!$N$2:$N$19,MATCH($B1099,Course!$A$2:$A$19,0))),INDEX(Baseline!$B$3:$E$122,MATCH(MIN(MAX(ROUND(($D1099)/5,0)*5,5),600),Baseline!$A$3:$A$122,0),MATCH($C1099,Baseline!$B$2:$E$2,0))))))</f>
        <v/>
      </c>
      <c r="O1099" s="17" t="str">
        <f aca="false">IF($C1099="","",IF($E1099="H",0,IF($E1099="G",INDEX(Baseline!$I$3:$I$102,MIN(MAX(ROUND($F1099,0),1),100)),IF($E1099="T",IF($M1099=3,INDEX(Baseline!$B$3:$B$122,MATCH(MIN(MAX(ROUND(($F1099)/5,0)*5,5),600),Baseline!$A$3:$A$122,0))-Inputs!$B$9,INDEX(Course!$N$2:$N$19,MATCH($B1099,Course!$A$2:$A$19,0))),INDEX(Baseline!$B$3:$E$122,MATCH(MIN(MAX(ROUND(($F1099)/5,0)*5,5),600),Baseline!$A$3:$A$122,0),MATCH($E1099,Baseline!$B$2:$E$2,0))))))</f>
        <v/>
      </c>
      <c r="P1099" s="17" t="str">
        <f aca="false">IF($B1099="","",INDEX(Course!$N$2:$N$19,MATCH($B1099,Course!$A$2:$A$19,0)))</f>
        <v/>
      </c>
      <c r="Q1099" s="17" t="str">
        <f aca="false">IF($B1099="","",INDEX(Course!$P$2:$P$19,MATCH($B1099,Course!$A$2:$A$19,0)))</f>
        <v/>
      </c>
      <c r="R1099" s="17" t="str">
        <f aca="false">IF($C1099="","",IF(OR($C1099="G",$C1099="H"),0,IF($C1099="T",1,MIN(1,MAX(0,($N1099-Inputs!$B$8)/MAX($P1099-Inputs!$B$8,0.01))))))</f>
        <v/>
      </c>
      <c r="S1099" s="17" t="str">
        <f aca="false">IF($C1099="","",IF(OR($E1099="G",$E1099="H"),0,IF($E1099="T",1,MIN(1,MAX(0,($O1099-Inputs!$B$8)/MAX($P1099-Inputs!$B$8,0.01))))))</f>
        <v/>
      </c>
    </row>
    <row r="1100" customFormat="false" ht="15" hidden="false" customHeight="false" outlineLevel="0" collapsed="false">
      <c r="I1100" s="7" t="str">
        <f aca="false">IF($C1100="","",IF($C1100="G","PUTT",IF(AND($C1100="T",$M1100&gt;3),"OTT",IF($D1100&lt;=30,"ARG","APP"))))</f>
        <v/>
      </c>
      <c r="J1100" s="17" t="str">
        <f aca="false">IF($C1100="","",$N1100+$Q1100*$R1100)</f>
        <v/>
      </c>
      <c r="K1100" s="17" t="str">
        <f aca="false">IF($C1100="","",$O1100+$Q1100*$S1100)</f>
        <v/>
      </c>
      <c r="L1100" s="17" t="str">
        <f aca="false">IF($C1100="","",$J1100-$K1100-1-N($G1100))</f>
        <v/>
      </c>
      <c r="M1100" s="7" t="str">
        <f aca="false">IF($B1100="","",INDEX(Course!$B$2:$B$19,MATCH($B1100,Course!$A$2:$A$19,0)))</f>
        <v/>
      </c>
      <c r="N1100" s="17" t="str">
        <f aca="false">IF($C1100="","",IF($C1100="H",0,IF($C1100="G",INDEX(Baseline!$I$3:$I$102,MIN(MAX(ROUND($D1100,0),1),100)),IF($C1100="T",IF($M1100=3,INDEX(Baseline!$B$3:$B$122,MATCH(MIN(MAX(ROUND(($D1100)/5,0)*5,5),600),Baseline!$A$3:$A$122,0))-Inputs!$B$9,INDEX(Course!$N$2:$N$19,MATCH($B1100,Course!$A$2:$A$19,0))),INDEX(Baseline!$B$3:$E$122,MATCH(MIN(MAX(ROUND(($D1100)/5,0)*5,5),600),Baseline!$A$3:$A$122,0),MATCH($C1100,Baseline!$B$2:$E$2,0))))))</f>
        <v/>
      </c>
      <c r="O1100" s="17" t="str">
        <f aca="false">IF($C1100="","",IF($E1100="H",0,IF($E1100="G",INDEX(Baseline!$I$3:$I$102,MIN(MAX(ROUND($F1100,0),1),100)),IF($E1100="T",IF($M1100=3,INDEX(Baseline!$B$3:$B$122,MATCH(MIN(MAX(ROUND(($F1100)/5,0)*5,5),600),Baseline!$A$3:$A$122,0))-Inputs!$B$9,INDEX(Course!$N$2:$N$19,MATCH($B1100,Course!$A$2:$A$19,0))),INDEX(Baseline!$B$3:$E$122,MATCH(MIN(MAX(ROUND(($F1100)/5,0)*5,5),600),Baseline!$A$3:$A$122,0),MATCH($E1100,Baseline!$B$2:$E$2,0))))))</f>
        <v/>
      </c>
      <c r="P1100" s="17" t="str">
        <f aca="false">IF($B1100="","",INDEX(Course!$N$2:$N$19,MATCH($B1100,Course!$A$2:$A$19,0)))</f>
        <v/>
      </c>
      <c r="Q1100" s="17" t="str">
        <f aca="false">IF($B1100="","",INDEX(Course!$P$2:$P$19,MATCH($B1100,Course!$A$2:$A$19,0)))</f>
        <v/>
      </c>
      <c r="R1100" s="17" t="str">
        <f aca="false">IF($C1100="","",IF(OR($C1100="G",$C1100="H"),0,IF($C1100="T",1,MIN(1,MAX(0,($N1100-Inputs!$B$8)/MAX($P1100-Inputs!$B$8,0.01))))))</f>
        <v/>
      </c>
      <c r="S1100" s="17" t="str">
        <f aca="false">IF($C1100="","",IF(OR($E1100="G",$E1100="H"),0,IF($E1100="T",1,MIN(1,MAX(0,($O1100-Inputs!$B$8)/MAX($P1100-Inputs!$B$8,0.01))))))</f>
        <v/>
      </c>
    </row>
    <row r="1101" customFormat="false" ht="15" hidden="false" customHeight="false" outlineLevel="0" collapsed="false">
      <c r="I1101" s="7" t="str">
        <f aca="false">IF($C1101="","",IF($C1101="G","PUTT",IF(AND($C1101="T",$M1101&gt;3),"OTT",IF($D1101&lt;=30,"ARG","APP"))))</f>
        <v/>
      </c>
      <c r="J1101" s="17" t="str">
        <f aca="false">IF($C1101="","",$N1101+$Q1101*$R1101)</f>
        <v/>
      </c>
      <c r="K1101" s="17" t="str">
        <f aca="false">IF($C1101="","",$O1101+$Q1101*$S1101)</f>
        <v/>
      </c>
      <c r="L1101" s="17" t="str">
        <f aca="false">IF($C1101="","",$J1101-$K1101-1-N($G1101))</f>
        <v/>
      </c>
      <c r="M1101" s="7" t="str">
        <f aca="false">IF($B1101="","",INDEX(Course!$B$2:$B$19,MATCH($B1101,Course!$A$2:$A$19,0)))</f>
        <v/>
      </c>
      <c r="N1101" s="17" t="str">
        <f aca="false">IF($C1101="","",IF($C1101="H",0,IF($C1101="G",INDEX(Baseline!$I$3:$I$102,MIN(MAX(ROUND($D1101,0),1),100)),IF($C1101="T",IF($M1101=3,INDEX(Baseline!$B$3:$B$122,MATCH(MIN(MAX(ROUND(($D1101)/5,0)*5,5),600),Baseline!$A$3:$A$122,0))-Inputs!$B$9,INDEX(Course!$N$2:$N$19,MATCH($B1101,Course!$A$2:$A$19,0))),INDEX(Baseline!$B$3:$E$122,MATCH(MIN(MAX(ROUND(($D1101)/5,0)*5,5),600),Baseline!$A$3:$A$122,0),MATCH($C1101,Baseline!$B$2:$E$2,0))))))</f>
        <v/>
      </c>
      <c r="O1101" s="17" t="str">
        <f aca="false">IF($C1101="","",IF($E1101="H",0,IF($E1101="G",INDEX(Baseline!$I$3:$I$102,MIN(MAX(ROUND($F1101,0),1),100)),IF($E1101="T",IF($M1101=3,INDEX(Baseline!$B$3:$B$122,MATCH(MIN(MAX(ROUND(($F1101)/5,0)*5,5),600),Baseline!$A$3:$A$122,0))-Inputs!$B$9,INDEX(Course!$N$2:$N$19,MATCH($B1101,Course!$A$2:$A$19,0))),INDEX(Baseline!$B$3:$E$122,MATCH(MIN(MAX(ROUND(($F1101)/5,0)*5,5),600),Baseline!$A$3:$A$122,0),MATCH($E1101,Baseline!$B$2:$E$2,0))))))</f>
        <v/>
      </c>
      <c r="P1101" s="17" t="str">
        <f aca="false">IF($B1101="","",INDEX(Course!$N$2:$N$19,MATCH($B1101,Course!$A$2:$A$19,0)))</f>
        <v/>
      </c>
      <c r="Q1101" s="17" t="str">
        <f aca="false">IF($B1101="","",INDEX(Course!$P$2:$P$19,MATCH($B1101,Course!$A$2:$A$19,0)))</f>
        <v/>
      </c>
      <c r="R1101" s="17" t="str">
        <f aca="false">IF($C1101="","",IF(OR($C1101="G",$C1101="H"),0,IF($C1101="T",1,MIN(1,MAX(0,($N1101-Inputs!$B$8)/MAX($P1101-Inputs!$B$8,0.01))))))</f>
        <v/>
      </c>
      <c r="S1101" s="17" t="str">
        <f aca="false">IF($C1101="","",IF(OR($E1101="G",$E1101="H"),0,IF($E1101="T",1,MIN(1,MAX(0,($O1101-Inputs!$B$8)/MAX($P1101-Inputs!$B$8,0.01))))))</f>
        <v/>
      </c>
    </row>
    <row r="1102" customFormat="false" ht="15" hidden="false" customHeight="false" outlineLevel="0" collapsed="false">
      <c r="I1102" s="7" t="str">
        <f aca="false">IF($C1102="","",IF($C1102="G","PUTT",IF(AND($C1102="T",$M1102&gt;3),"OTT",IF($D1102&lt;=30,"ARG","APP"))))</f>
        <v/>
      </c>
      <c r="J1102" s="17" t="str">
        <f aca="false">IF($C1102="","",$N1102+$Q1102*$R1102)</f>
        <v/>
      </c>
      <c r="K1102" s="17" t="str">
        <f aca="false">IF($C1102="","",$O1102+$Q1102*$S1102)</f>
        <v/>
      </c>
      <c r="L1102" s="17" t="str">
        <f aca="false">IF($C1102="","",$J1102-$K1102-1-N($G1102))</f>
        <v/>
      </c>
      <c r="M1102" s="7" t="str">
        <f aca="false">IF($B1102="","",INDEX(Course!$B$2:$B$19,MATCH($B1102,Course!$A$2:$A$19,0)))</f>
        <v/>
      </c>
      <c r="N1102" s="17" t="str">
        <f aca="false">IF($C1102="","",IF($C1102="H",0,IF($C1102="G",INDEX(Baseline!$I$3:$I$102,MIN(MAX(ROUND($D1102,0),1),100)),IF($C1102="T",IF($M1102=3,INDEX(Baseline!$B$3:$B$122,MATCH(MIN(MAX(ROUND(($D1102)/5,0)*5,5),600),Baseline!$A$3:$A$122,0))-Inputs!$B$9,INDEX(Course!$N$2:$N$19,MATCH($B1102,Course!$A$2:$A$19,0))),INDEX(Baseline!$B$3:$E$122,MATCH(MIN(MAX(ROUND(($D1102)/5,0)*5,5),600),Baseline!$A$3:$A$122,0),MATCH($C1102,Baseline!$B$2:$E$2,0))))))</f>
        <v/>
      </c>
      <c r="O1102" s="17" t="str">
        <f aca="false">IF($C1102="","",IF($E1102="H",0,IF($E1102="G",INDEX(Baseline!$I$3:$I$102,MIN(MAX(ROUND($F1102,0),1),100)),IF($E1102="T",IF($M1102=3,INDEX(Baseline!$B$3:$B$122,MATCH(MIN(MAX(ROUND(($F1102)/5,0)*5,5),600),Baseline!$A$3:$A$122,0))-Inputs!$B$9,INDEX(Course!$N$2:$N$19,MATCH($B1102,Course!$A$2:$A$19,0))),INDEX(Baseline!$B$3:$E$122,MATCH(MIN(MAX(ROUND(($F1102)/5,0)*5,5),600),Baseline!$A$3:$A$122,0),MATCH($E1102,Baseline!$B$2:$E$2,0))))))</f>
        <v/>
      </c>
      <c r="P1102" s="17" t="str">
        <f aca="false">IF($B1102="","",INDEX(Course!$N$2:$N$19,MATCH($B1102,Course!$A$2:$A$19,0)))</f>
        <v/>
      </c>
      <c r="Q1102" s="17" t="str">
        <f aca="false">IF($B1102="","",INDEX(Course!$P$2:$P$19,MATCH($B1102,Course!$A$2:$A$19,0)))</f>
        <v/>
      </c>
      <c r="R1102" s="17" t="str">
        <f aca="false">IF($C1102="","",IF(OR($C1102="G",$C1102="H"),0,IF($C1102="T",1,MIN(1,MAX(0,($N1102-Inputs!$B$8)/MAX($P1102-Inputs!$B$8,0.01))))))</f>
        <v/>
      </c>
      <c r="S1102" s="17" t="str">
        <f aca="false">IF($C1102="","",IF(OR($E1102="G",$E1102="H"),0,IF($E1102="T",1,MIN(1,MAX(0,($O1102-Inputs!$B$8)/MAX($P1102-Inputs!$B$8,0.01))))))</f>
        <v/>
      </c>
    </row>
    <row r="1103" customFormat="false" ht="15" hidden="false" customHeight="false" outlineLevel="0" collapsed="false">
      <c r="I1103" s="7" t="str">
        <f aca="false">IF($C1103="","",IF($C1103="G","PUTT",IF(AND($C1103="T",$M1103&gt;3),"OTT",IF($D1103&lt;=30,"ARG","APP"))))</f>
        <v/>
      </c>
      <c r="J1103" s="17" t="str">
        <f aca="false">IF($C1103="","",$N1103+$Q1103*$R1103)</f>
        <v/>
      </c>
      <c r="K1103" s="17" t="str">
        <f aca="false">IF($C1103="","",$O1103+$Q1103*$S1103)</f>
        <v/>
      </c>
      <c r="L1103" s="17" t="str">
        <f aca="false">IF($C1103="","",$J1103-$K1103-1-N($G1103))</f>
        <v/>
      </c>
      <c r="M1103" s="7" t="str">
        <f aca="false">IF($B1103="","",INDEX(Course!$B$2:$B$19,MATCH($B1103,Course!$A$2:$A$19,0)))</f>
        <v/>
      </c>
      <c r="N1103" s="17" t="str">
        <f aca="false">IF($C1103="","",IF($C1103="H",0,IF($C1103="G",INDEX(Baseline!$I$3:$I$102,MIN(MAX(ROUND($D1103,0),1),100)),IF($C1103="T",IF($M1103=3,INDEX(Baseline!$B$3:$B$122,MATCH(MIN(MAX(ROUND(($D1103)/5,0)*5,5),600),Baseline!$A$3:$A$122,0))-Inputs!$B$9,INDEX(Course!$N$2:$N$19,MATCH($B1103,Course!$A$2:$A$19,0))),INDEX(Baseline!$B$3:$E$122,MATCH(MIN(MAX(ROUND(($D1103)/5,0)*5,5),600),Baseline!$A$3:$A$122,0),MATCH($C1103,Baseline!$B$2:$E$2,0))))))</f>
        <v/>
      </c>
      <c r="O1103" s="17" t="str">
        <f aca="false">IF($C1103="","",IF($E1103="H",0,IF($E1103="G",INDEX(Baseline!$I$3:$I$102,MIN(MAX(ROUND($F1103,0),1),100)),IF($E1103="T",IF($M1103=3,INDEX(Baseline!$B$3:$B$122,MATCH(MIN(MAX(ROUND(($F1103)/5,0)*5,5),600),Baseline!$A$3:$A$122,0))-Inputs!$B$9,INDEX(Course!$N$2:$N$19,MATCH($B1103,Course!$A$2:$A$19,0))),INDEX(Baseline!$B$3:$E$122,MATCH(MIN(MAX(ROUND(($F1103)/5,0)*5,5),600),Baseline!$A$3:$A$122,0),MATCH($E1103,Baseline!$B$2:$E$2,0))))))</f>
        <v/>
      </c>
      <c r="P1103" s="17" t="str">
        <f aca="false">IF($B1103="","",INDEX(Course!$N$2:$N$19,MATCH($B1103,Course!$A$2:$A$19,0)))</f>
        <v/>
      </c>
      <c r="Q1103" s="17" t="str">
        <f aca="false">IF($B1103="","",INDEX(Course!$P$2:$P$19,MATCH($B1103,Course!$A$2:$A$19,0)))</f>
        <v/>
      </c>
      <c r="R1103" s="17" t="str">
        <f aca="false">IF($C1103="","",IF(OR($C1103="G",$C1103="H"),0,IF($C1103="T",1,MIN(1,MAX(0,($N1103-Inputs!$B$8)/MAX($P1103-Inputs!$B$8,0.01))))))</f>
        <v/>
      </c>
      <c r="S1103" s="17" t="str">
        <f aca="false">IF($C1103="","",IF(OR($E1103="G",$E1103="H"),0,IF($E1103="T",1,MIN(1,MAX(0,($O1103-Inputs!$B$8)/MAX($P1103-Inputs!$B$8,0.01))))))</f>
        <v/>
      </c>
    </row>
    <row r="1104" customFormat="false" ht="15" hidden="false" customHeight="false" outlineLevel="0" collapsed="false">
      <c r="I1104" s="7" t="str">
        <f aca="false">IF($C1104="","",IF($C1104="G","PUTT",IF(AND($C1104="T",$M1104&gt;3),"OTT",IF($D1104&lt;=30,"ARG","APP"))))</f>
        <v/>
      </c>
      <c r="J1104" s="17" t="str">
        <f aca="false">IF($C1104="","",$N1104+$Q1104*$R1104)</f>
        <v/>
      </c>
      <c r="K1104" s="17" t="str">
        <f aca="false">IF($C1104="","",$O1104+$Q1104*$S1104)</f>
        <v/>
      </c>
      <c r="L1104" s="17" t="str">
        <f aca="false">IF($C1104="","",$J1104-$K1104-1-N($G1104))</f>
        <v/>
      </c>
      <c r="M1104" s="7" t="str">
        <f aca="false">IF($B1104="","",INDEX(Course!$B$2:$B$19,MATCH($B1104,Course!$A$2:$A$19,0)))</f>
        <v/>
      </c>
      <c r="N1104" s="17" t="str">
        <f aca="false">IF($C1104="","",IF($C1104="H",0,IF($C1104="G",INDEX(Baseline!$I$3:$I$102,MIN(MAX(ROUND($D1104,0),1),100)),IF($C1104="T",IF($M1104=3,INDEX(Baseline!$B$3:$B$122,MATCH(MIN(MAX(ROUND(($D1104)/5,0)*5,5),600),Baseline!$A$3:$A$122,0))-Inputs!$B$9,INDEX(Course!$N$2:$N$19,MATCH($B1104,Course!$A$2:$A$19,0))),INDEX(Baseline!$B$3:$E$122,MATCH(MIN(MAX(ROUND(($D1104)/5,0)*5,5),600),Baseline!$A$3:$A$122,0),MATCH($C1104,Baseline!$B$2:$E$2,0))))))</f>
        <v/>
      </c>
      <c r="O1104" s="17" t="str">
        <f aca="false">IF($C1104="","",IF($E1104="H",0,IF($E1104="G",INDEX(Baseline!$I$3:$I$102,MIN(MAX(ROUND($F1104,0),1),100)),IF($E1104="T",IF($M1104=3,INDEX(Baseline!$B$3:$B$122,MATCH(MIN(MAX(ROUND(($F1104)/5,0)*5,5),600),Baseline!$A$3:$A$122,0))-Inputs!$B$9,INDEX(Course!$N$2:$N$19,MATCH($B1104,Course!$A$2:$A$19,0))),INDEX(Baseline!$B$3:$E$122,MATCH(MIN(MAX(ROUND(($F1104)/5,0)*5,5),600),Baseline!$A$3:$A$122,0),MATCH($E1104,Baseline!$B$2:$E$2,0))))))</f>
        <v/>
      </c>
      <c r="P1104" s="17" t="str">
        <f aca="false">IF($B1104="","",INDEX(Course!$N$2:$N$19,MATCH($B1104,Course!$A$2:$A$19,0)))</f>
        <v/>
      </c>
      <c r="Q1104" s="17" t="str">
        <f aca="false">IF($B1104="","",INDEX(Course!$P$2:$P$19,MATCH($B1104,Course!$A$2:$A$19,0)))</f>
        <v/>
      </c>
      <c r="R1104" s="17" t="str">
        <f aca="false">IF($C1104="","",IF(OR($C1104="G",$C1104="H"),0,IF($C1104="T",1,MIN(1,MAX(0,($N1104-Inputs!$B$8)/MAX($P1104-Inputs!$B$8,0.01))))))</f>
        <v/>
      </c>
      <c r="S1104" s="17" t="str">
        <f aca="false">IF($C1104="","",IF(OR($E1104="G",$E1104="H"),0,IF($E1104="T",1,MIN(1,MAX(0,($O1104-Inputs!$B$8)/MAX($P1104-Inputs!$B$8,0.01))))))</f>
        <v/>
      </c>
    </row>
    <row r="1105" customFormat="false" ht="15" hidden="false" customHeight="false" outlineLevel="0" collapsed="false">
      <c r="I1105" s="7" t="str">
        <f aca="false">IF($C1105="","",IF($C1105="G","PUTT",IF(AND($C1105="T",$M1105&gt;3),"OTT",IF($D1105&lt;=30,"ARG","APP"))))</f>
        <v/>
      </c>
      <c r="J1105" s="17" t="str">
        <f aca="false">IF($C1105="","",$N1105+$Q1105*$R1105)</f>
        <v/>
      </c>
      <c r="K1105" s="17" t="str">
        <f aca="false">IF($C1105="","",$O1105+$Q1105*$S1105)</f>
        <v/>
      </c>
      <c r="L1105" s="17" t="str">
        <f aca="false">IF($C1105="","",$J1105-$K1105-1-N($G1105))</f>
        <v/>
      </c>
      <c r="M1105" s="7" t="str">
        <f aca="false">IF($B1105="","",INDEX(Course!$B$2:$B$19,MATCH($B1105,Course!$A$2:$A$19,0)))</f>
        <v/>
      </c>
      <c r="N1105" s="17" t="str">
        <f aca="false">IF($C1105="","",IF($C1105="H",0,IF($C1105="G",INDEX(Baseline!$I$3:$I$102,MIN(MAX(ROUND($D1105,0),1),100)),IF($C1105="T",IF($M1105=3,INDEX(Baseline!$B$3:$B$122,MATCH(MIN(MAX(ROUND(($D1105)/5,0)*5,5),600),Baseline!$A$3:$A$122,0))-Inputs!$B$9,INDEX(Course!$N$2:$N$19,MATCH($B1105,Course!$A$2:$A$19,0))),INDEX(Baseline!$B$3:$E$122,MATCH(MIN(MAX(ROUND(($D1105)/5,0)*5,5),600),Baseline!$A$3:$A$122,0),MATCH($C1105,Baseline!$B$2:$E$2,0))))))</f>
        <v/>
      </c>
      <c r="O1105" s="17" t="str">
        <f aca="false">IF($C1105="","",IF($E1105="H",0,IF($E1105="G",INDEX(Baseline!$I$3:$I$102,MIN(MAX(ROUND($F1105,0),1),100)),IF($E1105="T",IF($M1105=3,INDEX(Baseline!$B$3:$B$122,MATCH(MIN(MAX(ROUND(($F1105)/5,0)*5,5),600),Baseline!$A$3:$A$122,0))-Inputs!$B$9,INDEX(Course!$N$2:$N$19,MATCH($B1105,Course!$A$2:$A$19,0))),INDEX(Baseline!$B$3:$E$122,MATCH(MIN(MAX(ROUND(($F1105)/5,0)*5,5),600),Baseline!$A$3:$A$122,0),MATCH($E1105,Baseline!$B$2:$E$2,0))))))</f>
        <v/>
      </c>
      <c r="P1105" s="17" t="str">
        <f aca="false">IF($B1105="","",INDEX(Course!$N$2:$N$19,MATCH($B1105,Course!$A$2:$A$19,0)))</f>
        <v/>
      </c>
      <c r="Q1105" s="17" t="str">
        <f aca="false">IF($B1105="","",INDEX(Course!$P$2:$P$19,MATCH($B1105,Course!$A$2:$A$19,0)))</f>
        <v/>
      </c>
      <c r="R1105" s="17" t="str">
        <f aca="false">IF($C1105="","",IF(OR($C1105="G",$C1105="H"),0,IF($C1105="T",1,MIN(1,MAX(0,($N1105-Inputs!$B$8)/MAX($P1105-Inputs!$B$8,0.01))))))</f>
        <v/>
      </c>
      <c r="S1105" s="17" t="str">
        <f aca="false">IF($C1105="","",IF(OR($E1105="G",$E1105="H"),0,IF($E1105="T",1,MIN(1,MAX(0,($O1105-Inputs!$B$8)/MAX($P1105-Inputs!$B$8,0.01))))))</f>
        <v/>
      </c>
    </row>
    <row r="1106" customFormat="false" ht="15" hidden="false" customHeight="false" outlineLevel="0" collapsed="false">
      <c r="I1106" s="7" t="str">
        <f aca="false">IF($C1106="","",IF($C1106="G","PUTT",IF(AND($C1106="T",$M1106&gt;3),"OTT",IF($D1106&lt;=30,"ARG","APP"))))</f>
        <v/>
      </c>
      <c r="J1106" s="17" t="str">
        <f aca="false">IF($C1106="","",$N1106+$Q1106*$R1106)</f>
        <v/>
      </c>
      <c r="K1106" s="17" t="str">
        <f aca="false">IF($C1106="","",$O1106+$Q1106*$S1106)</f>
        <v/>
      </c>
      <c r="L1106" s="17" t="str">
        <f aca="false">IF($C1106="","",$J1106-$K1106-1-N($G1106))</f>
        <v/>
      </c>
      <c r="M1106" s="7" t="str">
        <f aca="false">IF($B1106="","",INDEX(Course!$B$2:$B$19,MATCH($B1106,Course!$A$2:$A$19,0)))</f>
        <v/>
      </c>
      <c r="N1106" s="17" t="str">
        <f aca="false">IF($C1106="","",IF($C1106="H",0,IF($C1106="G",INDEX(Baseline!$I$3:$I$102,MIN(MAX(ROUND($D1106,0),1),100)),IF($C1106="T",IF($M1106=3,INDEX(Baseline!$B$3:$B$122,MATCH(MIN(MAX(ROUND(($D1106)/5,0)*5,5),600),Baseline!$A$3:$A$122,0))-Inputs!$B$9,INDEX(Course!$N$2:$N$19,MATCH($B1106,Course!$A$2:$A$19,0))),INDEX(Baseline!$B$3:$E$122,MATCH(MIN(MAX(ROUND(($D1106)/5,0)*5,5),600),Baseline!$A$3:$A$122,0),MATCH($C1106,Baseline!$B$2:$E$2,0))))))</f>
        <v/>
      </c>
      <c r="O1106" s="17" t="str">
        <f aca="false">IF($C1106="","",IF($E1106="H",0,IF($E1106="G",INDEX(Baseline!$I$3:$I$102,MIN(MAX(ROUND($F1106,0),1),100)),IF($E1106="T",IF($M1106=3,INDEX(Baseline!$B$3:$B$122,MATCH(MIN(MAX(ROUND(($F1106)/5,0)*5,5),600),Baseline!$A$3:$A$122,0))-Inputs!$B$9,INDEX(Course!$N$2:$N$19,MATCH($B1106,Course!$A$2:$A$19,0))),INDEX(Baseline!$B$3:$E$122,MATCH(MIN(MAX(ROUND(($F1106)/5,0)*5,5),600),Baseline!$A$3:$A$122,0),MATCH($E1106,Baseline!$B$2:$E$2,0))))))</f>
        <v/>
      </c>
      <c r="P1106" s="17" t="str">
        <f aca="false">IF($B1106="","",INDEX(Course!$N$2:$N$19,MATCH($B1106,Course!$A$2:$A$19,0)))</f>
        <v/>
      </c>
      <c r="Q1106" s="17" t="str">
        <f aca="false">IF($B1106="","",INDEX(Course!$P$2:$P$19,MATCH($B1106,Course!$A$2:$A$19,0)))</f>
        <v/>
      </c>
      <c r="R1106" s="17" t="str">
        <f aca="false">IF($C1106="","",IF(OR($C1106="G",$C1106="H"),0,IF($C1106="T",1,MIN(1,MAX(0,($N1106-Inputs!$B$8)/MAX($P1106-Inputs!$B$8,0.01))))))</f>
        <v/>
      </c>
      <c r="S1106" s="17" t="str">
        <f aca="false">IF($C1106="","",IF(OR($E1106="G",$E1106="H"),0,IF($E1106="T",1,MIN(1,MAX(0,($O1106-Inputs!$B$8)/MAX($P1106-Inputs!$B$8,0.01))))))</f>
        <v/>
      </c>
    </row>
    <row r="1107" customFormat="false" ht="15" hidden="false" customHeight="false" outlineLevel="0" collapsed="false">
      <c r="I1107" s="7" t="str">
        <f aca="false">IF($C1107="","",IF($C1107="G","PUTT",IF(AND($C1107="T",$M1107&gt;3),"OTT",IF($D1107&lt;=30,"ARG","APP"))))</f>
        <v/>
      </c>
      <c r="J1107" s="17" t="str">
        <f aca="false">IF($C1107="","",$N1107+$Q1107*$R1107)</f>
        <v/>
      </c>
      <c r="K1107" s="17" t="str">
        <f aca="false">IF($C1107="","",$O1107+$Q1107*$S1107)</f>
        <v/>
      </c>
      <c r="L1107" s="17" t="str">
        <f aca="false">IF($C1107="","",$J1107-$K1107-1-N($G1107))</f>
        <v/>
      </c>
      <c r="M1107" s="7" t="str">
        <f aca="false">IF($B1107="","",INDEX(Course!$B$2:$B$19,MATCH($B1107,Course!$A$2:$A$19,0)))</f>
        <v/>
      </c>
      <c r="N1107" s="17" t="str">
        <f aca="false">IF($C1107="","",IF($C1107="H",0,IF($C1107="G",INDEX(Baseline!$I$3:$I$102,MIN(MAX(ROUND($D1107,0),1),100)),IF($C1107="T",IF($M1107=3,INDEX(Baseline!$B$3:$B$122,MATCH(MIN(MAX(ROUND(($D1107)/5,0)*5,5),600),Baseline!$A$3:$A$122,0))-Inputs!$B$9,INDEX(Course!$N$2:$N$19,MATCH($B1107,Course!$A$2:$A$19,0))),INDEX(Baseline!$B$3:$E$122,MATCH(MIN(MAX(ROUND(($D1107)/5,0)*5,5),600),Baseline!$A$3:$A$122,0),MATCH($C1107,Baseline!$B$2:$E$2,0))))))</f>
        <v/>
      </c>
      <c r="O1107" s="17" t="str">
        <f aca="false">IF($C1107="","",IF($E1107="H",0,IF($E1107="G",INDEX(Baseline!$I$3:$I$102,MIN(MAX(ROUND($F1107,0),1),100)),IF($E1107="T",IF($M1107=3,INDEX(Baseline!$B$3:$B$122,MATCH(MIN(MAX(ROUND(($F1107)/5,0)*5,5),600),Baseline!$A$3:$A$122,0))-Inputs!$B$9,INDEX(Course!$N$2:$N$19,MATCH($B1107,Course!$A$2:$A$19,0))),INDEX(Baseline!$B$3:$E$122,MATCH(MIN(MAX(ROUND(($F1107)/5,0)*5,5),600),Baseline!$A$3:$A$122,0),MATCH($E1107,Baseline!$B$2:$E$2,0))))))</f>
        <v/>
      </c>
      <c r="P1107" s="17" t="str">
        <f aca="false">IF($B1107="","",INDEX(Course!$N$2:$N$19,MATCH($B1107,Course!$A$2:$A$19,0)))</f>
        <v/>
      </c>
      <c r="Q1107" s="17" t="str">
        <f aca="false">IF($B1107="","",INDEX(Course!$P$2:$P$19,MATCH($B1107,Course!$A$2:$A$19,0)))</f>
        <v/>
      </c>
      <c r="R1107" s="17" t="str">
        <f aca="false">IF($C1107="","",IF(OR($C1107="G",$C1107="H"),0,IF($C1107="T",1,MIN(1,MAX(0,($N1107-Inputs!$B$8)/MAX($P1107-Inputs!$B$8,0.01))))))</f>
        <v/>
      </c>
      <c r="S1107" s="17" t="str">
        <f aca="false">IF($C1107="","",IF(OR($E1107="G",$E1107="H"),0,IF($E1107="T",1,MIN(1,MAX(0,($O1107-Inputs!$B$8)/MAX($P1107-Inputs!$B$8,0.01))))))</f>
        <v/>
      </c>
    </row>
    <row r="1108" customFormat="false" ht="15" hidden="false" customHeight="false" outlineLevel="0" collapsed="false">
      <c r="I1108" s="7" t="str">
        <f aca="false">IF($C1108="","",IF($C1108="G","PUTT",IF(AND($C1108="T",$M1108&gt;3),"OTT",IF($D1108&lt;=30,"ARG","APP"))))</f>
        <v/>
      </c>
      <c r="J1108" s="17" t="str">
        <f aca="false">IF($C1108="","",$N1108+$Q1108*$R1108)</f>
        <v/>
      </c>
      <c r="K1108" s="17" t="str">
        <f aca="false">IF($C1108="","",$O1108+$Q1108*$S1108)</f>
        <v/>
      </c>
      <c r="L1108" s="17" t="str">
        <f aca="false">IF($C1108="","",$J1108-$K1108-1-N($G1108))</f>
        <v/>
      </c>
      <c r="M1108" s="7" t="str">
        <f aca="false">IF($B1108="","",INDEX(Course!$B$2:$B$19,MATCH($B1108,Course!$A$2:$A$19,0)))</f>
        <v/>
      </c>
      <c r="N1108" s="17" t="str">
        <f aca="false">IF($C1108="","",IF($C1108="H",0,IF($C1108="G",INDEX(Baseline!$I$3:$I$102,MIN(MAX(ROUND($D1108,0),1),100)),IF($C1108="T",IF($M1108=3,INDEX(Baseline!$B$3:$B$122,MATCH(MIN(MAX(ROUND(($D1108)/5,0)*5,5),600),Baseline!$A$3:$A$122,0))-Inputs!$B$9,INDEX(Course!$N$2:$N$19,MATCH($B1108,Course!$A$2:$A$19,0))),INDEX(Baseline!$B$3:$E$122,MATCH(MIN(MAX(ROUND(($D1108)/5,0)*5,5),600),Baseline!$A$3:$A$122,0),MATCH($C1108,Baseline!$B$2:$E$2,0))))))</f>
        <v/>
      </c>
      <c r="O1108" s="17" t="str">
        <f aca="false">IF($C1108="","",IF($E1108="H",0,IF($E1108="G",INDEX(Baseline!$I$3:$I$102,MIN(MAX(ROUND($F1108,0),1),100)),IF($E1108="T",IF($M1108=3,INDEX(Baseline!$B$3:$B$122,MATCH(MIN(MAX(ROUND(($F1108)/5,0)*5,5),600),Baseline!$A$3:$A$122,0))-Inputs!$B$9,INDEX(Course!$N$2:$N$19,MATCH($B1108,Course!$A$2:$A$19,0))),INDEX(Baseline!$B$3:$E$122,MATCH(MIN(MAX(ROUND(($F1108)/5,0)*5,5),600),Baseline!$A$3:$A$122,0),MATCH($E1108,Baseline!$B$2:$E$2,0))))))</f>
        <v/>
      </c>
      <c r="P1108" s="17" t="str">
        <f aca="false">IF($B1108="","",INDEX(Course!$N$2:$N$19,MATCH($B1108,Course!$A$2:$A$19,0)))</f>
        <v/>
      </c>
      <c r="Q1108" s="17" t="str">
        <f aca="false">IF($B1108="","",INDEX(Course!$P$2:$P$19,MATCH($B1108,Course!$A$2:$A$19,0)))</f>
        <v/>
      </c>
      <c r="R1108" s="17" t="str">
        <f aca="false">IF($C1108="","",IF(OR($C1108="G",$C1108="H"),0,IF($C1108="T",1,MIN(1,MAX(0,($N1108-Inputs!$B$8)/MAX($P1108-Inputs!$B$8,0.01))))))</f>
        <v/>
      </c>
      <c r="S1108" s="17" t="str">
        <f aca="false">IF($C1108="","",IF(OR($E1108="G",$E1108="H"),0,IF($E1108="T",1,MIN(1,MAX(0,($O1108-Inputs!$B$8)/MAX($P1108-Inputs!$B$8,0.01))))))</f>
        <v/>
      </c>
    </row>
    <row r="1109" customFormat="false" ht="15" hidden="false" customHeight="false" outlineLevel="0" collapsed="false">
      <c r="I1109" s="7" t="str">
        <f aca="false">IF($C1109="","",IF($C1109="G","PUTT",IF(AND($C1109="T",$M1109&gt;3),"OTT",IF($D1109&lt;=30,"ARG","APP"))))</f>
        <v/>
      </c>
      <c r="J1109" s="17" t="str">
        <f aca="false">IF($C1109="","",$N1109+$Q1109*$R1109)</f>
        <v/>
      </c>
      <c r="K1109" s="17" t="str">
        <f aca="false">IF($C1109="","",$O1109+$Q1109*$S1109)</f>
        <v/>
      </c>
      <c r="L1109" s="17" t="str">
        <f aca="false">IF($C1109="","",$J1109-$K1109-1-N($G1109))</f>
        <v/>
      </c>
      <c r="M1109" s="7" t="str">
        <f aca="false">IF($B1109="","",INDEX(Course!$B$2:$B$19,MATCH($B1109,Course!$A$2:$A$19,0)))</f>
        <v/>
      </c>
      <c r="N1109" s="17" t="str">
        <f aca="false">IF($C1109="","",IF($C1109="H",0,IF($C1109="G",INDEX(Baseline!$I$3:$I$102,MIN(MAX(ROUND($D1109,0),1),100)),IF($C1109="T",IF($M1109=3,INDEX(Baseline!$B$3:$B$122,MATCH(MIN(MAX(ROUND(($D1109)/5,0)*5,5),600),Baseline!$A$3:$A$122,0))-Inputs!$B$9,INDEX(Course!$N$2:$N$19,MATCH($B1109,Course!$A$2:$A$19,0))),INDEX(Baseline!$B$3:$E$122,MATCH(MIN(MAX(ROUND(($D1109)/5,0)*5,5),600),Baseline!$A$3:$A$122,0),MATCH($C1109,Baseline!$B$2:$E$2,0))))))</f>
        <v/>
      </c>
      <c r="O1109" s="17" t="str">
        <f aca="false">IF($C1109="","",IF($E1109="H",0,IF($E1109="G",INDEX(Baseline!$I$3:$I$102,MIN(MAX(ROUND($F1109,0),1),100)),IF($E1109="T",IF($M1109=3,INDEX(Baseline!$B$3:$B$122,MATCH(MIN(MAX(ROUND(($F1109)/5,0)*5,5),600),Baseline!$A$3:$A$122,0))-Inputs!$B$9,INDEX(Course!$N$2:$N$19,MATCH($B1109,Course!$A$2:$A$19,0))),INDEX(Baseline!$B$3:$E$122,MATCH(MIN(MAX(ROUND(($F1109)/5,0)*5,5),600),Baseline!$A$3:$A$122,0),MATCH($E1109,Baseline!$B$2:$E$2,0))))))</f>
        <v/>
      </c>
      <c r="P1109" s="17" t="str">
        <f aca="false">IF($B1109="","",INDEX(Course!$N$2:$N$19,MATCH($B1109,Course!$A$2:$A$19,0)))</f>
        <v/>
      </c>
      <c r="Q1109" s="17" t="str">
        <f aca="false">IF($B1109="","",INDEX(Course!$P$2:$P$19,MATCH($B1109,Course!$A$2:$A$19,0)))</f>
        <v/>
      </c>
      <c r="R1109" s="17" t="str">
        <f aca="false">IF($C1109="","",IF(OR($C1109="G",$C1109="H"),0,IF($C1109="T",1,MIN(1,MAX(0,($N1109-Inputs!$B$8)/MAX($P1109-Inputs!$B$8,0.01))))))</f>
        <v/>
      </c>
      <c r="S1109" s="17" t="str">
        <f aca="false">IF($C1109="","",IF(OR($E1109="G",$E1109="H"),0,IF($E1109="T",1,MIN(1,MAX(0,($O1109-Inputs!$B$8)/MAX($P1109-Inputs!$B$8,0.01))))))</f>
        <v/>
      </c>
    </row>
    <row r="1110" customFormat="false" ht="15" hidden="false" customHeight="false" outlineLevel="0" collapsed="false">
      <c r="I1110" s="7" t="str">
        <f aca="false">IF($C1110="","",IF($C1110="G","PUTT",IF(AND($C1110="T",$M1110&gt;3),"OTT",IF($D1110&lt;=30,"ARG","APP"))))</f>
        <v/>
      </c>
      <c r="J1110" s="17" t="str">
        <f aca="false">IF($C1110="","",$N1110+$Q1110*$R1110)</f>
        <v/>
      </c>
      <c r="K1110" s="17" t="str">
        <f aca="false">IF($C1110="","",$O1110+$Q1110*$S1110)</f>
        <v/>
      </c>
      <c r="L1110" s="17" t="str">
        <f aca="false">IF($C1110="","",$J1110-$K1110-1-N($G1110))</f>
        <v/>
      </c>
      <c r="M1110" s="7" t="str">
        <f aca="false">IF($B1110="","",INDEX(Course!$B$2:$B$19,MATCH($B1110,Course!$A$2:$A$19,0)))</f>
        <v/>
      </c>
      <c r="N1110" s="17" t="str">
        <f aca="false">IF($C1110="","",IF($C1110="H",0,IF($C1110="G",INDEX(Baseline!$I$3:$I$102,MIN(MAX(ROUND($D1110,0),1),100)),IF($C1110="T",IF($M1110=3,INDEX(Baseline!$B$3:$B$122,MATCH(MIN(MAX(ROUND(($D1110)/5,0)*5,5),600),Baseline!$A$3:$A$122,0))-Inputs!$B$9,INDEX(Course!$N$2:$N$19,MATCH($B1110,Course!$A$2:$A$19,0))),INDEX(Baseline!$B$3:$E$122,MATCH(MIN(MAX(ROUND(($D1110)/5,0)*5,5),600),Baseline!$A$3:$A$122,0),MATCH($C1110,Baseline!$B$2:$E$2,0))))))</f>
        <v/>
      </c>
      <c r="O1110" s="17" t="str">
        <f aca="false">IF($C1110="","",IF($E1110="H",0,IF($E1110="G",INDEX(Baseline!$I$3:$I$102,MIN(MAX(ROUND($F1110,0),1),100)),IF($E1110="T",IF($M1110=3,INDEX(Baseline!$B$3:$B$122,MATCH(MIN(MAX(ROUND(($F1110)/5,0)*5,5),600),Baseline!$A$3:$A$122,0))-Inputs!$B$9,INDEX(Course!$N$2:$N$19,MATCH($B1110,Course!$A$2:$A$19,0))),INDEX(Baseline!$B$3:$E$122,MATCH(MIN(MAX(ROUND(($F1110)/5,0)*5,5),600),Baseline!$A$3:$A$122,0),MATCH($E1110,Baseline!$B$2:$E$2,0))))))</f>
        <v/>
      </c>
      <c r="P1110" s="17" t="str">
        <f aca="false">IF($B1110="","",INDEX(Course!$N$2:$N$19,MATCH($B1110,Course!$A$2:$A$19,0)))</f>
        <v/>
      </c>
      <c r="Q1110" s="17" t="str">
        <f aca="false">IF($B1110="","",INDEX(Course!$P$2:$P$19,MATCH($B1110,Course!$A$2:$A$19,0)))</f>
        <v/>
      </c>
      <c r="R1110" s="17" t="str">
        <f aca="false">IF($C1110="","",IF(OR($C1110="G",$C1110="H"),0,IF($C1110="T",1,MIN(1,MAX(0,($N1110-Inputs!$B$8)/MAX($P1110-Inputs!$B$8,0.01))))))</f>
        <v/>
      </c>
      <c r="S1110" s="17" t="str">
        <f aca="false">IF($C1110="","",IF(OR($E1110="G",$E1110="H"),0,IF($E1110="T",1,MIN(1,MAX(0,($O1110-Inputs!$B$8)/MAX($P1110-Inputs!$B$8,0.01))))))</f>
        <v/>
      </c>
    </row>
    <row r="1111" customFormat="false" ht="15" hidden="false" customHeight="false" outlineLevel="0" collapsed="false">
      <c r="I1111" s="7" t="str">
        <f aca="false">IF($C1111="","",IF($C1111="G","PUTT",IF(AND($C1111="T",$M1111&gt;3),"OTT",IF($D1111&lt;=30,"ARG","APP"))))</f>
        <v/>
      </c>
      <c r="J1111" s="17" t="str">
        <f aca="false">IF($C1111="","",$N1111+$Q1111*$R1111)</f>
        <v/>
      </c>
      <c r="K1111" s="17" t="str">
        <f aca="false">IF($C1111="","",$O1111+$Q1111*$S1111)</f>
        <v/>
      </c>
      <c r="L1111" s="17" t="str">
        <f aca="false">IF($C1111="","",$J1111-$K1111-1-N($G1111))</f>
        <v/>
      </c>
      <c r="M1111" s="7" t="str">
        <f aca="false">IF($B1111="","",INDEX(Course!$B$2:$B$19,MATCH($B1111,Course!$A$2:$A$19,0)))</f>
        <v/>
      </c>
      <c r="N1111" s="17" t="str">
        <f aca="false">IF($C1111="","",IF($C1111="H",0,IF($C1111="G",INDEX(Baseline!$I$3:$I$102,MIN(MAX(ROUND($D1111,0),1),100)),IF($C1111="T",IF($M1111=3,INDEX(Baseline!$B$3:$B$122,MATCH(MIN(MAX(ROUND(($D1111)/5,0)*5,5),600),Baseline!$A$3:$A$122,0))-Inputs!$B$9,INDEX(Course!$N$2:$N$19,MATCH($B1111,Course!$A$2:$A$19,0))),INDEX(Baseline!$B$3:$E$122,MATCH(MIN(MAX(ROUND(($D1111)/5,0)*5,5),600),Baseline!$A$3:$A$122,0),MATCH($C1111,Baseline!$B$2:$E$2,0))))))</f>
        <v/>
      </c>
      <c r="O1111" s="17" t="str">
        <f aca="false">IF($C1111="","",IF($E1111="H",0,IF($E1111="G",INDEX(Baseline!$I$3:$I$102,MIN(MAX(ROUND($F1111,0),1),100)),IF($E1111="T",IF($M1111=3,INDEX(Baseline!$B$3:$B$122,MATCH(MIN(MAX(ROUND(($F1111)/5,0)*5,5),600),Baseline!$A$3:$A$122,0))-Inputs!$B$9,INDEX(Course!$N$2:$N$19,MATCH($B1111,Course!$A$2:$A$19,0))),INDEX(Baseline!$B$3:$E$122,MATCH(MIN(MAX(ROUND(($F1111)/5,0)*5,5),600),Baseline!$A$3:$A$122,0),MATCH($E1111,Baseline!$B$2:$E$2,0))))))</f>
        <v/>
      </c>
      <c r="P1111" s="17" t="str">
        <f aca="false">IF($B1111="","",INDEX(Course!$N$2:$N$19,MATCH($B1111,Course!$A$2:$A$19,0)))</f>
        <v/>
      </c>
      <c r="Q1111" s="17" t="str">
        <f aca="false">IF($B1111="","",INDEX(Course!$P$2:$P$19,MATCH($B1111,Course!$A$2:$A$19,0)))</f>
        <v/>
      </c>
      <c r="R1111" s="17" t="str">
        <f aca="false">IF($C1111="","",IF(OR($C1111="G",$C1111="H"),0,IF($C1111="T",1,MIN(1,MAX(0,($N1111-Inputs!$B$8)/MAX($P1111-Inputs!$B$8,0.01))))))</f>
        <v/>
      </c>
      <c r="S1111" s="17" t="str">
        <f aca="false">IF($C1111="","",IF(OR($E1111="G",$E1111="H"),0,IF($E1111="T",1,MIN(1,MAX(0,($O1111-Inputs!$B$8)/MAX($P1111-Inputs!$B$8,0.01))))))</f>
        <v/>
      </c>
    </row>
    <row r="1112" customFormat="false" ht="15" hidden="false" customHeight="false" outlineLevel="0" collapsed="false">
      <c r="I1112" s="7" t="str">
        <f aca="false">IF($C1112="","",IF($C1112="G","PUTT",IF(AND($C1112="T",$M1112&gt;3),"OTT",IF($D1112&lt;=30,"ARG","APP"))))</f>
        <v/>
      </c>
      <c r="J1112" s="17" t="str">
        <f aca="false">IF($C1112="","",$N1112+$Q1112*$R1112)</f>
        <v/>
      </c>
      <c r="K1112" s="17" t="str">
        <f aca="false">IF($C1112="","",$O1112+$Q1112*$S1112)</f>
        <v/>
      </c>
      <c r="L1112" s="17" t="str">
        <f aca="false">IF($C1112="","",$J1112-$K1112-1-N($G1112))</f>
        <v/>
      </c>
      <c r="M1112" s="7" t="str">
        <f aca="false">IF($B1112="","",INDEX(Course!$B$2:$B$19,MATCH($B1112,Course!$A$2:$A$19,0)))</f>
        <v/>
      </c>
      <c r="N1112" s="17" t="str">
        <f aca="false">IF($C1112="","",IF($C1112="H",0,IF($C1112="G",INDEX(Baseline!$I$3:$I$102,MIN(MAX(ROUND($D1112,0),1),100)),IF($C1112="T",IF($M1112=3,INDEX(Baseline!$B$3:$B$122,MATCH(MIN(MAX(ROUND(($D1112)/5,0)*5,5),600),Baseline!$A$3:$A$122,0))-Inputs!$B$9,INDEX(Course!$N$2:$N$19,MATCH($B1112,Course!$A$2:$A$19,0))),INDEX(Baseline!$B$3:$E$122,MATCH(MIN(MAX(ROUND(($D1112)/5,0)*5,5),600),Baseline!$A$3:$A$122,0),MATCH($C1112,Baseline!$B$2:$E$2,0))))))</f>
        <v/>
      </c>
      <c r="O1112" s="17" t="str">
        <f aca="false">IF($C1112="","",IF($E1112="H",0,IF($E1112="G",INDEX(Baseline!$I$3:$I$102,MIN(MAX(ROUND($F1112,0),1),100)),IF($E1112="T",IF($M1112=3,INDEX(Baseline!$B$3:$B$122,MATCH(MIN(MAX(ROUND(($F1112)/5,0)*5,5),600),Baseline!$A$3:$A$122,0))-Inputs!$B$9,INDEX(Course!$N$2:$N$19,MATCH($B1112,Course!$A$2:$A$19,0))),INDEX(Baseline!$B$3:$E$122,MATCH(MIN(MAX(ROUND(($F1112)/5,0)*5,5),600),Baseline!$A$3:$A$122,0),MATCH($E1112,Baseline!$B$2:$E$2,0))))))</f>
        <v/>
      </c>
      <c r="P1112" s="17" t="str">
        <f aca="false">IF($B1112="","",INDEX(Course!$N$2:$N$19,MATCH($B1112,Course!$A$2:$A$19,0)))</f>
        <v/>
      </c>
      <c r="Q1112" s="17" t="str">
        <f aca="false">IF($B1112="","",INDEX(Course!$P$2:$P$19,MATCH($B1112,Course!$A$2:$A$19,0)))</f>
        <v/>
      </c>
      <c r="R1112" s="17" t="str">
        <f aca="false">IF($C1112="","",IF(OR($C1112="G",$C1112="H"),0,IF($C1112="T",1,MIN(1,MAX(0,($N1112-Inputs!$B$8)/MAX($P1112-Inputs!$B$8,0.01))))))</f>
        <v/>
      </c>
      <c r="S1112" s="17" t="str">
        <f aca="false">IF($C1112="","",IF(OR($E1112="G",$E1112="H"),0,IF($E1112="T",1,MIN(1,MAX(0,($O1112-Inputs!$B$8)/MAX($P1112-Inputs!$B$8,0.01))))))</f>
        <v/>
      </c>
    </row>
    <row r="1113" customFormat="false" ht="15" hidden="false" customHeight="false" outlineLevel="0" collapsed="false">
      <c r="I1113" s="7" t="str">
        <f aca="false">IF($C1113="","",IF($C1113="G","PUTT",IF(AND($C1113="T",$M1113&gt;3),"OTT",IF($D1113&lt;=30,"ARG","APP"))))</f>
        <v/>
      </c>
      <c r="J1113" s="17" t="str">
        <f aca="false">IF($C1113="","",$N1113+$Q1113*$R1113)</f>
        <v/>
      </c>
      <c r="K1113" s="17" t="str">
        <f aca="false">IF($C1113="","",$O1113+$Q1113*$S1113)</f>
        <v/>
      </c>
      <c r="L1113" s="17" t="str">
        <f aca="false">IF($C1113="","",$J1113-$K1113-1-N($G1113))</f>
        <v/>
      </c>
      <c r="M1113" s="7" t="str">
        <f aca="false">IF($B1113="","",INDEX(Course!$B$2:$B$19,MATCH($B1113,Course!$A$2:$A$19,0)))</f>
        <v/>
      </c>
      <c r="N1113" s="17" t="str">
        <f aca="false">IF($C1113="","",IF($C1113="H",0,IF($C1113="G",INDEX(Baseline!$I$3:$I$102,MIN(MAX(ROUND($D1113,0),1),100)),IF($C1113="T",IF($M1113=3,INDEX(Baseline!$B$3:$B$122,MATCH(MIN(MAX(ROUND(($D1113)/5,0)*5,5),600),Baseline!$A$3:$A$122,0))-Inputs!$B$9,INDEX(Course!$N$2:$N$19,MATCH($B1113,Course!$A$2:$A$19,0))),INDEX(Baseline!$B$3:$E$122,MATCH(MIN(MAX(ROUND(($D1113)/5,0)*5,5),600),Baseline!$A$3:$A$122,0),MATCH($C1113,Baseline!$B$2:$E$2,0))))))</f>
        <v/>
      </c>
      <c r="O1113" s="17" t="str">
        <f aca="false">IF($C1113="","",IF($E1113="H",0,IF($E1113="G",INDEX(Baseline!$I$3:$I$102,MIN(MAX(ROUND($F1113,0),1),100)),IF($E1113="T",IF($M1113=3,INDEX(Baseline!$B$3:$B$122,MATCH(MIN(MAX(ROUND(($F1113)/5,0)*5,5),600),Baseline!$A$3:$A$122,0))-Inputs!$B$9,INDEX(Course!$N$2:$N$19,MATCH($B1113,Course!$A$2:$A$19,0))),INDEX(Baseline!$B$3:$E$122,MATCH(MIN(MAX(ROUND(($F1113)/5,0)*5,5),600),Baseline!$A$3:$A$122,0),MATCH($E1113,Baseline!$B$2:$E$2,0))))))</f>
        <v/>
      </c>
      <c r="P1113" s="17" t="str">
        <f aca="false">IF($B1113="","",INDEX(Course!$N$2:$N$19,MATCH($B1113,Course!$A$2:$A$19,0)))</f>
        <v/>
      </c>
      <c r="Q1113" s="17" t="str">
        <f aca="false">IF($B1113="","",INDEX(Course!$P$2:$P$19,MATCH($B1113,Course!$A$2:$A$19,0)))</f>
        <v/>
      </c>
      <c r="R1113" s="17" t="str">
        <f aca="false">IF($C1113="","",IF(OR($C1113="G",$C1113="H"),0,IF($C1113="T",1,MIN(1,MAX(0,($N1113-Inputs!$B$8)/MAX($P1113-Inputs!$B$8,0.01))))))</f>
        <v/>
      </c>
      <c r="S1113" s="17" t="str">
        <f aca="false">IF($C1113="","",IF(OR($E1113="G",$E1113="H"),0,IF($E1113="T",1,MIN(1,MAX(0,($O1113-Inputs!$B$8)/MAX($P1113-Inputs!$B$8,0.01))))))</f>
        <v/>
      </c>
    </row>
    <row r="1114" customFormat="false" ht="15" hidden="false" customHeight="false" outlineLevel="0" collapsed="false">
      <c r="I1114" s="7" t="str">
        <f aca="false">IF($C1114="","",IF($C1114="G","PUTT",IF(AND($C1114="T",$M1114&gt;3),"OTT",IF($D1114&lt;=30,"ARG","APP"))))</f>
        <v/>
      </c>
      <c r="J1114" s="17" t="str">
        <f aca="false">IF($C1114="","",$N1114+$Q1114*$R1114)</f>
        <v/>
      </c>
      <c r="K1114" s="17" t="str">
        <f aca="false">IF($C1114="","",$O1114+$Q1114*$S1114)</f>
        <v/>
      </c>
      <c r="L1114" s="17" t="str">
        <f aca="false">IF($C1114="","",$J1114-$K1114-1-N($G1114))</f>
        <v/>
      </c>
      <c r="M1114" s="7" t="str">
        <f aca="false">IF($B1114="","",INDEX(Course!$B$2:$B$19,MATCH($B1114,Course!$A$2:$A$19,0)))</f>
        <v/>
      </c>
      <c r="N1114" s="17" t="str">
        <f aca="false">IF($C1114="","",IF($C1114="H",0,IF($C1114="G",INDEX(Baseline!$I$3:$I$102,MIN(MAX(ROUND($D1114,0),1),100)),IF($C1114="T",IF($M1114=3,INDEX(Baseline!$B$3:$B$122,MATCH(MIN(MAX(ROUND(($D1114)/5,0)*5,5),600),Baseline!$A$3:$A$122,0))-Inputs!$B$9,INDEX(Course!$N$2:$N$19,MATCH($B1114,Course!$A$2:$A$19,0))),INDEX(Baseline!$B$3:$E$122,MATCH(MIN(MAX(ROUND(($D1114)/5,0)*5,5),600),Baseline!$A$3:$A$122,0),MATCH($C1114,Baseline!$B$2:$E$2,0))))))</f>
        <v/>
      </c>
      <c r="O1114" s="17" t="str">
        <f aca="false">IF($C1114="","",IF($E1114="H",0,IF($E1114="G",INDEX(Baseline!$I$3:$I$102,MIN(MAX(ROUND($F1114,0),1),100)),IF($E1114="T",IF($M1114=3,INDEX(Baseline!$B$3:$B$122,MATCH(MIN(MAX(ROUND(($F1114)/5,0)*5,5),600),Baseline!$A$3:$A$122,0))-Inputs!$B$9,INDEX(Course!$N$2:$N$19,MATCH($B1114,Course!$A$2:$A$19,0))),INDEX(Baseline!$B$3:$E$122,MATCH(MIN(MAX(ROUND(($F1114)/5,0)*5,5),600),Baseline!$A$3:$A$122,0),MATCH($E1114,Baseline!$B$2:$E$2,0))))))</f>
        <v/>
      </c>
      <c r="P1114" s="17" t="str">
        <f aca="false">IF($B1114="","",INDEX(Course!$N$2:$N$19,MATCH($B1114,Course!$A$2:$A$19,0)))</f>
        <v/>
      </c>
      <c r="Q1114" s="17" t="str">
        <f aca="false">IF($B1114="","",INDEX(Course!$P$2:$P$19,MATCH($B1114,Course!$A$2:$A$19,0)))</f>
        <v/>
      </c>
      <c r="R1114" s="17" t="str">
        <f aca="false">IF($C1114="","",IF(OR($C1114="G",$C1114="H"),0,IF($C1114="T",1,MIN(1,MAX(0,($N1114-Inputs!$B$8)/MAX($P1114-Inputs!$B$8,0.01))))))</f>
        <v/>
      </c>
      <c r="S1114" s="17" t="str">
        <f aca="false">IF($C1114="","",IF(OR($E1114="G",$E1114="H"),0,IF($E1114="T",1,MIN(1,MAX(0,($O1114-Inputs!$B$8)/MAX($P1114-Inputs!$B$8,0.01))))))</f>
        <v/>
      </c>
    </row>
    <row r="1115" customFormat="false" ht="15" hidden="false" customHeight="false" outlineLevel="0" collapsed="false">
      <c r="I1115" s="7" t="str">
        <f aca="false">IF($C1115="","",IF($C1115="G","PUTT",IF(AND($C1115="T",$M1115&gt;3),"OTT",IF($D1115&lt;=30,"ARG","APP"))))</f>
        <v/>
      </c>
      <c r="J1115" s="17" t="str">
        <f aca="false">IF($C1115="","",$N1115+$Q1115*$R1115)</f>
        <v/>
      </c>
      <c r="K1115" s="17" t="str">
        <f aca="false">IF($C1115="","",$O1115+$Q1115*$S1115)</f>
        <v/>
      </c>
      <c r="L1115" s="17" t="str">
        <f aca="false">IF($C1115="","",$J1115-$K1115-1-N($G1115))</f>
        <v/>
      </c>
      <c r="M1115" s="7" t="str">
        <f aca="false">IF($B1115="","",INDEX(Course!$B$2:$B$19,MATCH($B1115,Course!$A$2:$A$19,0)))</f>
        <v/>
      </c>
      <c r="N1115" s="17" t="str">
        <f aca="false">IF($C1115="","",IF($C1115="H",0,IF($C1115="G",INDEX(Baseline!$I$3:$I$102,MIN(MAX(ROUND($D1115,0),1),100)),IF($C1115="T",IF($M1115=3,INDEX(Baseline!$B$3:$B$122,MATCH(MIN(MAX(ROUND(($D1115)/5,0)*5,5),600),Baseline!$A$3:$A$122,0))-Inputs!$B$9,INDEX(Course!$N$2:$N$19,MATCH($B1115,Course!$A$2:$A$19,0))),INDEX(Baseline!$B$3:$E$122,MATCH(MIN(MAX(ROUND(($D1115)/5,0)*5,5),600),Baseline!$A$3:$A$122,0),MATCH($C1115,Baseline!$B$2:$E$2,0))))))</f>
        <v/>
      </c>
      <c r="O1115" s="17" t="str">
        <f aca="false">IF($C1115="","",IF($E1115="H",0,IF($E1115="G",INDEX(Baseline!$I$3:$I$102,MIN(MAX(ROUND($F1115,0),1),100)),IF($E1115="T",IF($M1115=3,INDEX(Baseline!$B$3:$B$122,MATCH(MIN(MAX(ROUND(($F1115)/5,0)*5,5),600),Baseline!$A$3:$A$122,0))-Inputs!$B$9,INDEX(Course!$N$2:$N$19,MATCH($B1115,Course!$A$2:$A$19,0))),INDEX(Baseline!$B$3:$E$122,MATCH(MIN(MAX(ROUND(($F1115)/5,0)*5,5),600),Baseline!$A$3:$A$122,0),MATCH($E1115,Baseline!$B$2:$E$2,0))))))</f>
        <v/>
      </c>
      <c r="P1115" s="17" t="str">
        <f aca="false">IF($B1115="","",INDEX(Course!$N$2:$N$19,MATCH($B1115,Course!$A$2:$A$19,0)))</f>
        <v/>
      </c>
      <c r="Q1115" s="17" t="str">
        <f aca="false">IF($B1115="","",INDEX(Course!$P$2:$P$19,MATCH($B1115,Course!$A$2:$A$19,0)))</f>
        <v/>
      </c>
      <c r="R1115" s="17" t="str">
        <f aca="false">IF($C1115="","",IF(OR($C1115="G",$C1115="H"),0,IF($C1115="T",1,MIN(1,MAX(0,($N1115-Inputs!$B$8)/MAX($P1115-Inputs!$B$8,0.01))))))</f>
        <v/>
      </c>
      <c r="S1115" s="17" t="str">
        <f aca="false">IF($C1115="","",IF(OR($E1115="G",$E1115="H"),0,IF($E1115="T",1,MIN(1,MAX(0,($O1115-Inputs!$B$8)/MAX($P1115-Inputs!$B$8,0.01))))))</f>
        <v/>
      </c>
    </row>
    <row r="1116" customFormat="false" ht="15" hidden="false" customHeight="false" outlineLevel="0" collapsed="false">
      <c r="I1116" s="7" t="str">
        <f aca="false">IF($C1116="","",IF($C1116="G","PUTT",IF(AND($C1116="T",$M1116&gt;3),"OTT",IF($D1116&lt;=30,"ARG","APP"))))</f>
        <v/>
      </c>
      <c r="J1116" s="17" t="str">
        <f aca="false">IF($C1116="","",$N1116+$Q1116*$R1116)</f>
        <v/>
      </c>
      <c r="K1116" s="17" t="str">
        <f aca="false">IF($C1116="","",$O1116+$Q1116*$S1116)</f>
        <v/>
      </c>
      <c r="L1116" s="17" t="str">
        <f aca="false">IF($C1116="","",$J1116-$K1116-1-N($G1116))</f>
        <v/>
      </c>
      <c r="M1116" s="7" t="str">
        <f aca="false">IF($B1116="","",INDEX(Course!$B$2:$B$19,MATCH($B1116,Course!$A$2:$A$19,0)))</f>
        <v/>
      </c>
      <c r="N1116" s="17" t="str">
        <f aca="false">IF($C1116="","",IF($C1116="H",0,IF($C1116="G",INDEX(Baseline!$I$3:$I$102,MIN(MAX(ROUND($D1116,0),1),100)),IF($C1116="T",IF($M1116=3,INDEX(Baseline!$B$3:$B$122,MATCH(MIN(MAX(ROUND(($D1116)/5,0)*5,5),600),Baseline!$A$3:$A$122,0))-Inputs!$B$9,INDEX(Course!$N$2:$N$19,MATCH($B1116,Course!$A$2:$A$19,0))),INDEX(Baseline!$B$3:$E$122,MATCH(MIN(MAX(ROUND(($D1116)/5,0)*5,5),600),Baseline!$A$3:$A$122,0),MATCH($C1116,Baseline!$B$2:$E$2,0))))))</f>
        <v/>
      </c>
      <c r="O1116" s="17" t="str">
        <f aca="false">IF($C1116="","",IF($E1116="H",0,IF($E1116="G",INDEX(Baseline!$I$3:$I$102,MIN(MAX(ROUND($F1116,0),1),100)),IF($E1116="T",IF($M1116=3,INDEX(Baseline!$B$3:$B$122,MATCH(MIN(MAX(ROUND(($F1116)/5,0)*5,5),600),Baseline!$A$3:$A$122,0))-Inputs!$B$9,INDEX(Course!$N$2:$N$19,MATCH($B1116,Course!$A$2:$A$19,0))),INDEX(Baseline!$B$3:$E$122,MATCH(MIN(MAX(ROUND(($F1116)/5,0)*5,5),600),Baseline!$A$3:$A$122,0),MATCH($E1116,Baseline!$B$2:$E$2,0))))))</f>
        <v/>
      </c>
      <c r="P1116" s="17" t="str">
        <f aca="false">IF($B1116="","",INDEX(Course!$N$2:$N$19,MATCH($B1116,Course!$A$2:$A$19,0)))</f>
        <v/>
      </c>
      <c r="Q1116" s="17" t="str">
        <f aca="false">IF($B1116="","",INDEX(Course!$P$2:$P$19,MATCH($B1116,Course!$A$2:$A$19,0)))</f>
        <v/>
      </c>
      <c r="R1116" s="17" t="str">
        <f aca="false">IF($C1116="","",IF(OR($C1116="G",$C1116="H"),0,IF($C1116="T",1,MIN(1,MAX(0,($N1116-Inputs!$B$8)/MAX($P1116-Inputs!$B$8,0.01))))))</f>
        <v/>
      </c>
      <c r="S1116" s="17" t="str">
        <f aca="false">IF($C1116="","",IF(OR($E1116="G",$E1116="H"),0,IF($E1116="T",1,MIN(1,MAX(0,($O1116-Inputs!$B$8)/MAX($P1116-Inputs!$B$8,0.01))))))</f>
        <v/>
      </c>
    </row>
    <row r="1117" customFormat="false" ht="15" hidden="false" customHeight="false" outlineLevel="0" collapsed="false">
      <c r="I1117" s="7" t="str">
        <f aca="false">IF($C1117="","",IF($C1117="G","PUTT",IF(AND($C1117="T",$M1117&gt;3),"OTT",IF($D1117&lt;=30,"ARG","APP"))))</f>
        <v/>
      </c>
      <c r="J1117" s="17" t="str">
        <f aca="false">IF($C1117="","",$N1117+$Q1117*$R1117)</f>
        <v/>
      </c>
      <c r="K1117" s="17" t="str">
        <f aca="false">IF($C1117="","",$O1117+$Q1117*$S1117)</f>
        <v/>
      </c>
      <c r="L1117" s="17" t="str">
        <f aca="false">IF($C1117="","",$J1117-$K1117-1-N($G1117))</f>
        <v/>
      </c>
      <c r="M1117" s="7" t="str">
        <f aca="false">IF($B1117="","",INDEX(Course!$B$2:$B$19,MATCH($B1117,Course!$A$2:$A$19,0)))</f>
        <v/>
      </c>
      <c r="N1117" s="17" t="str">
        <f aca="false">IF($C1117="","",IF($C1117="H",0,IF($C1117="G",INDEX(Baseline!$I$3:$I$102,MIN(MAX(ROUND($D1117,0),1),100)),IF($C1117="T",IF($M1117=3,INDEX(Baseline!$B$3:$B$122,MATCH(MIN(MAX(ROUND(($D1117)/5,0)*5,5),600),Baseline!$A$3:$A$122,0))-Inputs!$B$9,INDEX(Course!$N$2:$N$19,MATCH($B1117,Course!$A$2:$A$19,0))),INDEX(Baseline!$B$3:$E$122,MATCH(MIN(MAX(ROUND(($D1117)/5,0)*5,5),600),Baseline!$A$3:$A$122,0),MATCH($C1117,Baseline!$B$2:$E$2,0))))))</f>
        <v/>
      </c>
      <c r="O1117" s="17" t="str">
        <f aca="false">IF($C1117="","",IF($E1117="H",0,IF($E1117="G",INDEX(Baseline!$I$3:$I$102,MIN(MAX(ROUND($F1117,0),1),100)),IF($E1117="T",IF($M1117=3,INDEX(Baseline!$B$3:$B$122,MATCH(MIN(MAX(ROUND(($F1117)/5,0)*5,5),600),Baseline!$A$3:$A$122,0))-Inputs!$B$9,INDEX(Course!$N$2:$N$19,MATCH($B1117,Course!$A$2:$A$19,0))),INDEX(Baseline!$B$3:$E$122,MATCH(MIN(MAX(ROUND(($F1117)/5,0)*5,5),600),Baseline!$A$3:$A$122,0),MATCH($E1117,Baseline!$B$2:$E$2,0))))))</f>
        <v/>
      </c>
      <c r="P1117" s="17" t="str">
        <f aca="false">IF($B1117="","",INDEX(Course!$N$2:$N$19,MATCH($B1117,Course!$A$2:$A$19,0)))</f>
        <v/>
      </c>
      <c r="Q1117" s="17" t="str">
        <f aca="false">IF($B1117="","",INDEX(Course!$P$2:$P$19,MATCH($B1117,Course!$A$2:$A$19,0)))</f>
        <v/>
      </c>
      <c r="R1117" s="17" t="str">
        <f aca="false">IF($C1117="","",IF(OR($C1117="G",$C1117="H"),0,IF($C1117="T",1,MIN(1,MAX(0,($N1117-Inputs!$B$8)/MAX($P1117-Inputs!$B$8,0.01))))))</f>
        <v/>
      </c>
      <c r="S1117" s="17" t="str">
        <f aca="false">IF($C1117="","",IF(OR($E1117="G",$E1117="H"),0,IF($E1117="T",1,MIN(1,MAX(0,($O1117-Inputs!$B$8)/MAX($P1117-Inputs!$B$8,0.01))))))</f>
        <v/>
      </c>
    </row>
    <row r="1118" customFormat="false" ht="15" hidden="false" customHeight="false" outlineLevel="0" collapsed="false">
      <c r="I1118" s="7" t="str">
        <f aca="false">IF($C1118="","",IF($C1118="G","PUTT",IF(AND($C1118="T",$M1118&gt;3),"OTT",IF($D1118&lt;=30,"ARG","APP"))))</f>
        <v/>
      </c>
      <c r="J1118" s="17" t="str">
        <f aca="false">IF($C1118="","",$N1118+$Q1118*$R1118)</f>
        <v/>
      </c>
      <c r="K1118" s="17" t="str">
        <f aca="false">IF($C1118="","",$O1118+$Q1118*$S1118)</f>
        <v/>
      </c>
      <c r="L1118" s="17" t="str">
        <f aca="false">IF($C1118="","",$J1118-$K1118-1-N($G1118))</f>
        <v/>
      </c>
      <c r="M1118" s="7" t="str">
        <f aca="false">IF($B1118="","",INDEX(Course!$B$2:$B$19,MATCH($B1118,Course!$A$2:$A$19,0)))</f>
        <v/>
      </c>
      <c r="N1118" s="17" t="str">
        <f aca="false">IF($C1118="","",IF($C1118="H",0,IF($C1118="G",INDEX(Baseline!$I$3:$I$102,MIN(MAX(ROUND($D1118,0),1),100)),IF($C1118="T",IF($M1118=3,INDEX(Baseline!$B$3:$B$122,MATCH(MIN(MAX(ROUND(($D1118)/5,0)*5,5),600),Baseline!$A$3:$A$122,0))-Inputs!$B$9,INDEX(Course!$N$2:$N$19,MATCH($B1118,Course!$A$2:$A$19,0))),INDEX(Baseline!$B$3:$E$122,MATCH(MIN(MAX(ROUND(($D1118)/5,0)*5,5),600),Baseline!$A$3:$A$122,0),MATCH($C1118,Baseline!$B$2:$E$2,0))))))</f>
        <v/>
      </c>
      <c r="O1118" s="17" t="str">
        <f aca="false">IF($C1118="","",IF($E1118="H",0,IF($E1118="G",INDEX(Baseline!$I$3:$I$102,MIN(MAX(ROUND($F1118,0),1),100)),IF($E1118="T",IF($M1118=3,INDEX(Baseline!$B$3:$B$122,MATCH(MIN(MAX(ROUND(($F1118)/5,0)*5,5),600),Baseline!$A$3:$A$122,0))-Inputs!$B$9,INDEX(Course!$N$2:$N$19,MATCH($B1118,Course!$A$2:$A$19,0))),INDEX(Baseline!$B$3:$E$122,MATCH(MIN(MAX(ROUND(($F1118)/5,0)*5,5),600),Baseline!$A$3:$A$122,0),MATCH($E1118,Baseline!$B$2:$E$2,0))))))</f>
        <v/>
      </c>
      <c r="P1118" s="17" t="str">
        <f aca="false">IF($B1118="","",INDEX(Course!$N$2:$N$19,MATCH($B1118,Course!$A$2:$A$19,0)))</f>
        <v/>
      </c>
      <c r="Q1118" s="17" t="str">
        <f aca="false">IF($B1118="","",INDEX(Course!$P$2:$P$19,MATCH($B1118,Course!$A$2:$A$19,0)))</f>
        <v/>
      </c>
      <c r="R1118" s="17" t="str">
        <f aca="false">IF($C1118="","",IF(OR($C1118="G",$C1118="H"),0,IF($C1118="T",1,MIN(1,MAX(0,($N1118-Inputs!$B$8)/MAX($P1118-Inputs!$B$8,0.01))))))</f>
        <v/>
      </c>
      <c r="S1118" s="17" t="str">
        <f aca="false">IF($C1118="","",IF(OR($E1118="G",$E1118="H"),0,IF($E1118="T",1,MIN(1,MAX(0,($O1118-Inputs!$B$8)/MAX($P1118-Inputs!$B$8,0.01))))))</f>
        <v/>
      </c>
    </row>
    <row r="1119" customFormat="false" ht="15" hidden="false" customHeight="false" outlineLevel="0" collapsed="false">
      <c r="I1119" s="7" t="str">
        <f aca="false">IF($C1119="","",IF($C1119="G","PUTT",IF(AND($C1119="T",$M1119&gt;3),"OTT",IF($D1119&lt;=30,"ARG","APP"))))</f>
        <v/>
      </c>
      <c r="J1119" s="17" t="str">
        <f aca="false">IF($C1119="","",$N1119+$Q1119*$R1119)</f>
        <v/>
      </c>
      <c r="K1119" s="17" t="str">
        <f aca="false">IF($C1119="","",$O1119+$Q1119*$S1119)</f>
        <v/>
      </c>
      <c r="L1119" s="17" t="str">
        <f aca="false">IF($C1119="","",$J1119-$K1119-1-N($G1119))</f>
        <v/>
      </c>
      <c r="M1119" s="7" t="str">
        <f aca="false">IF($B1119="","",INDEX(Course!$B$2:$B$19,MATCH($B1119,Course!$A$2:$A$19,0)))</f>
        <v/>
      </c>
      <c r="N1119" s="17" t="str">
        <f aca="false">IF($C1119="","",IF($C1119="H",0,IF($C1119="G",INDEX(Baseline!$I$3:$I$102,MIN(MAX(ROUND($D1119,0),1),100)),IF($C1119="T",IF($M1119=3,INDEX(Baseline!$B$3:$B$122,MATCH(MIN(MAX(ROUND(($D1119)/5,0)*5,5),600),Baseline!$A$3:$A$122,0))-Inputs!$B$9,INDEX(Course!$N$2:$N$19,MATCH($B1119,Course!$A$2:$A$19,0))),INDEX(Baseline!$B$3:$E$122,MATCH(MIN(MAX(ROUND(($D1119)/5,0)*5,5),600),Baseline!$A$3:$A$122,0),MATCH($C1119,Baseline!$B$2:$E$2,0))))))</f>
        <v/>
      </c>
      <c r="O1119" s="17" t="str">
        <f aca="false">IF($C1119="","",IF($E1119="H",0,IF($E1119="G",INDEX(Baseline!$I$3:$I$102,MIN(MAX(ROUND($F1119,0),1),100)),IF($E1119="T",IF($M1119=3,INDEX(Baseline!$B$3:$B$122,MATCH(MIN(MAX(ROUND(($F1119)/5,0)*5,5),600),Baseline!$A$3:$A$122,0))-Inputs!$B$9,INDEX(Course!$N$2:$N$19,MATCH($B1119,Course!$A$2:$A$19,0))),INDEX(Baseline!$B$3:$E$122,MATCH(MIN(MAX(ROUND(($F1119)/5,0)*5,5),600),Baseline!$A$3:$A$122,0),MATCH($E1119,Baseline!$B$2:$E$2,0))))))</f>
        <v/>
      </c>
      <c r="P1119" s="17" t="str">
        <f aca="false">IF($B1119="","",INDEX(Course!$N$2:$N$19,MATCH($B1119,Course!$A$2:$A$19,0)))</f>
        <v/>
      </c>
      <c r="Q1119" s="17" t="str">
        <f aca="false">IF($B1119="","",INDEX(Course!$P$2:$P$19,MATCH($B1119,Course!$A$2:$A$19,0)))</f>
        <v/>
      </c>
      <c r="R1119" s="17" t="str">
        <f aca="false">IF($C1119="","",IF(OR($C1119="G",$C1119="H"),0,IF($C1119="T",1,MIN(1,MAX(0,($N1119-Inputs!$B$8)/MAX($P1119-Inputs!$B$8,0.01))))))</f>
        <v/>
      </c>
      <c r="S1119" s="17" t="str">
        <f aca="false">IF($C1119="","",IF(OR($E1119="G",$E1119="H"),0,IF($E1119="T",1,MIN(1,MAX(0,($O1119-Inputs!$B$8)/MAX($P1119-Inputs!$B$8,0.01))))))</f>
        <v/>
      </c>
    </row>
    <row r="1120" customFormat="false" ht="15" hidden="false" customHeight="false" outlineLevel="0" collapsed="false">
      <c r="I1120" s="7" t="str">
        <f aca="false">IF($C1120="","",IF($C1120="G","PUTT",IF(AND($C1120="T",$M1120&gt;3),"OTT",IF($D1120&lt;=30,"ARG","APP"))))</f>
        <v/>
      </c>
      <c r="J1120" s="17" t="str">
        <f aca="false">IF($C1120="","",$N1120+$Q1120*$R1120)</f>
        <v/>
      </c>
      <c r="K1120" s="17" t="str">
        <f aca="false">IF($C1120="","",$O1120+$Q1120*$S1120)</f>
        <v/>
      </c>
      <c r="L1120" s="17" t="str">
        <f aca="false">IF($C1120="","",$J1120-$K1120-1-N($G1120))</f>
        <v/>
      </c>
      <c r="M1120" s="7" t="str">
        <f aca="false">IF($B1120="","",INDEX(Course!$B$2:$B$19,MATCH($B1120,Course!$A$2:$A$19,0)))</f>
        <v/>
      </c>
      <c r="N1120" s="17" t="str">
        <f aca="false">IF($C1120="","",IF($C1120="H",0,IF($C1120="G",INDEX(Baseline!$I$3:$I$102,MIN(MAX(ROUND($D1120,0),1),100)),IF($C1120="T",IF($M1120=3,INDEX(Baseline!$B$3:$B$122,MATCH(MIN(MAX(ROUND(($D1120)/5,0)*5,5),600),Baseline!$A$3:$A$122,0))-Inputs!$B$9,INDEX(Course!$N$2:$N$19,MATCH($B1120,Course!$A$2:$A$19,0))),INDEX(Baseline!$B$3:$E$122,MATCH(MIN(MAX(ROUND(($D1120)/5,0)*5,5),600),Baseline!$A$3:$A$122,0),MATCH($C1120,Baseline!$B$2:$E$2,0))))))</f>
        <v/>
      </c>
      <c r="O1120" s="17" t="str">
        <f aca="false">IF($C1120="","",IF($E1120="H",0,IF($E1120="G",INDEX(Baseline!$I$3:$I$102,MIN(MAX(ROUND($F1120,0),1),100)),IF($E1120="T",IF($M1120=3,INDEX(Baseline!$B$3:$B$122,MATCH(MIN(MAX(ROUND(($F1120)/5,0)*5,5),600),Baseline!$A$3:$A$122,0))-Inputs!$B$9,INDEX(Course!$N$2:$N$19,MATCH($B1120,Course!$A$2:$A$19,0))),INDEX(Baseline!$B$3:$E$122,MATCH(MIN(MAX(ROUND(($F1120)/5,0)*5,5),600),Baseline!$A$3:$A$122,0),MATCH($E1120,Baseline!$B$2:$E$2,0))))))</f>
        <v/>
      </c>
      <c r="P1120" s="17" t="str">
        <f aca="false">IF($B1120="","",INDEX(Course!$N$2:$N$19,MATCH($B1120,Course!$A$2:$A$19,0)))</f>
        <v/>
      </c>
      <c r="Q1120" s="17" t="str">
        <f aca="false">IF($B1120="","",INDEX(Course!$P$2:$P$19,MATCH($B1120,Course!$A$2:$A$19,0)))</f>
        <v/>
      </c>
      <c r="R1120" s="17" t="str">
        <f aca="false">IF($C1120="","",IF(OR($C1120="G",$C1120="H"),0,IF($C1120="T",1,MIN(1,MAX(0,($N1120-Inputs!$B$8)/MAX($P1120-Inputs!$B$8,0.01))))))</f>
        <v/>
      </c>
      <c r="S1120" s="17" t="str">
        <f aca="false">IF($C1120="","",IF(OR($E1120="G",$E1120="H"),0,IF($E1120="T",1,MIN(1,MAX(0,($O1120-Inputs!$B$8)/MAX($P1120-Inputs!$B$8,0.01))))))</f>
        <v/>
      </c>
    </row>
    <row r="1121" customFormat="false" ht="15" hidden="false" customHeight="false" outlineLevel="0" collapsed="false">
      <c r="I1121" s="7" t="str">
        <f aca="false">IF($C1121="","",IF($C1121="G","PUTT",IF(AND($C1121="T",$M1121&gt;3),"OTT",IF($D1121&lt;=30,"ARG","APP"))))</f>
        <v/>
      </c>
      <c r="J1121" s="17" t="str">
        <f aca="false">IF($C1121="","",$N1121+$Q1121*$R1121)</f>
        <v/>
      </c>
      <c r="K1121" s="17" t="str">
        <f aca="false">IF($C1121="","",$O1121+$Q1121*$S1121)</f>
        <v/>
      </c>
      <c r="L1121" s="17" t="str">
        <f aca="false">IF($C1121="","",$J1121-$K1121-1-N($G1121))</f>
        <v/>
      </c>
      <c r="M1121" s="7" t="str">
        <f aca="false">IF($B1121="","",INDEX(Course!$B$2:$B$19,MATCH($B1121,Course!$A$2:$A$19,0)))</f>
        <v/>
      </c>
      <c r="N1121" s="17" t="str">
        <f aca="false">IF($C1121="","",IF($C1121="H",0,IF($C1121="G",INDEX(Baseline!$I$3:$I$102,MIN(MAX(ROUND($D1121,0),1),100)),IF($C1121="T",IF($M1121=3,INDEX(Baseline!$B$3:$B$122,MATCH(MIN(MAX(ROUND(($D1121)/5,0)*5,5),600),Baseline!$A$3:$A$122,0))-Inputs!$B$9,INDEX(Course!$N$2:$N$19,MATCH($B1121,Course!$A$2:$A$19,0))),INDEX(Baseline!$B$3:$E$122,MATCH(MIN(MAX(ROUND(($D1121)/5,0)*5,5),600),Baseline!$A$3:$A$122,0),MATCH($C1121,Baseline!$B$2:$E$2,0))))))</f>
        <v/>
      </c>
      <c r="O1121" s="17" t="str">
        <f aca="false">IF($C1121="","",IF($E1121="H",0,IF($E1121="G",INDEX(Baseline!$I$3:$I$102,MIN(MAX(ROUND($F1121,0),1),100)),IF($E1121="T",IF($M1121=3,INDEX(Baseline!$B$3:$B$122,MATCH(MIN(MAX(ROUND(($F1121)/5,0)*5,5),600),Baseline!$A$3:$A$122,0))-Inputs!$B$9,INDEX(Course!$N$2:$N$19,MATCH($B1121,Course!$A$2:$A$19,0))),INDEX(Baseline!$B$3:$E$122,MATCH(MIN(MAX(ROUND(($F1121)/5,0)*5,5),600),Baseline!$A$3:$A$122,0),MATCH($E1121,Baseline!$B$2:$E$2,0))))))</f>
        <v/>
      </c>
      <c r="P1121" s="17" t="str">
        <f aca="false">IF($B1121="","",INDEX(Course!$N$2:$N$19,MATCH($B1121,Course!$A$2:$A$19,0)))</f>
        <v/>
      </c>
      <c r="Q1121" s="17" t="str">
        <f aca="false">IF($B1121="","",INDEX(Course!$P$2:$P$19,MATCH($B1121,Course!$A$2:$A$19,0)))</f>
        <v/>
      </c>
      <c r="R1121" s="17" t="str">
        <f aca="false">IF($C1121="","",IF(OR($C1121="G",$C1121="H"),0,IF($C1121="T",1,MIN(1,MAX(0,($N1121-Inputs!$B$8)/MAX($P1121-Inputs!$B$8,0.01))))))</f>
        <v/>
      </c>
      <c r="S1121" s="17" t="str">
        <f aca="false">IF($C1121="","",IF(OR($E1121="G",$E1121="H"),0,IF($E1121="T",1,MIN(1,MAX(0,($O1121-Inputs!$B$8)/MAX($P1121-Inputs!$B$8,0.01))))))</f>
        <v/>
      </c>
    </row>
    <row r="1122" customFormat="false" ht="15" hidden="false" customHeight="false" outlineLevel="0" collapsed="false">
      <c r="I1122" s="7" t="str">
        <f aca="false">IF($C1122="","",IF($C1122="G","PUTT",IF(AND($C1122="T",$M1122&gt;3),"OTT",IF($D1122&lt;=30,"ARG","APP"))))</f>
        <v/>
      </c>
      <c r="J1122" s="17" t="str">
        <f aca="false">IF($C1122="","",$N1122+$Q1122*$R1122)</f>
        <v/>
      </c>
      <c r="K1122" s="17" t="str">
        <f aca="false">IF($C1122="","",$O1122+$Q1122*$S1122)</f>
        <v/>
      </c>
      <c r="L1122" s="17" t="str">
        <f aca="false">IF($C1122="","",$J1122-$K1122-1-N($G1122))</f>
        <v/>
      </c>
      <c r="M1122" s="7" t="str">
        <f aca="false">IF($B1122="","",INDEX(Course!$B$2:$B$19,MATCH($B1122,Course!$A$2:$A$19,0)))</f>
        <v/>
      </c>
      <c r="N1122" s="17" t="str">
        <f aca="false">IF($C1122="","",IF($C1122="H",0,IF($C1122="G",INDEX(Baseline!$I$3:$I$102,MIN(MAX(ROUND($D1122,0),1),100)),IF($C1122="T",IF($M1122=3,INDEX(Baseline!$B$3:$B$122,MATCH(MIN(MAX(ROUND(($D1122)/5,0)*5,5),600),Baseline!$A$3:$A$122,0))-Inputs!$B$9,INDEX(Course!$N$2:$N$19,MATCH($B1122,Course!$A$2:$A$19,0))),INDEX(Baseline!$B$3:$E$122,MATCH(MIN(MAX(ROUND(($D1122)/5,0)*5,5),600),Baseline!$A$3:$A$122,0),MATCH($C1122,Baseline!$B$2:$E$2,0))))))</f>
        <v/>
      </c>
      <c r="O1122" s="17" t="str">
        <f aca="false">IF($C1122="","",IF($E1122="H",0,IF($E1122="G",INDEX(Baseline!$I$3:$I$102,MIN(MAX(ROUND($F1122,0),1),100)),IF($E1122="T",IF($M1122=3,INDEX(Baseline!$B$3:$B$122,MATCH(MIN(MAX(ROUND(($F1122)/5,0)*5,5),600),Baseline!$A$3:$A$122,0))-Inputs!$B$9,INDEX(Course!$N$2:$N$19,MATCH($B1122,Course!$A$2:$A$19,0))),INDEX(Baseline!$B$3:$E$122,MATCH(MIN(MAX(ROUND(($F1122)/5,0)*5,5),600),Baseline!$A$3:$A$122,0),MATCH($E1122,Baseline!$B$2:$E$2,0))))))</f>
        <v/>
      </c>
      <c r="P1122" s="17" t="str">
        <f aca="false">IF($B1122="","",INDEX(Course!$N$2:$N$19,MATCH($B1122,Course!$A$2:$A$19,0)))</f>
        <v/>
      </c>
      <c r="Q1122" s="17" t="str">
        <f aca="false">IF($B1122="","",INDEX(Course!$P$2:$P$19,MATCH($B1122,Course!$A$2:$A$19,0)))</f>
        <v/>
      </c>
      <c r="R1122" s="17" t="str">
        <f aca="false">IF($C1122="","",IF(OR($C1122="G",$C1122="H"),0,IF($C1122="T",1,MIN(1,MAX(0,($N1122-Inputs!$B$8)/MAX($P1122-Inputs!$B$8,0.01))))))</f>
        <v/>
      </c>
      <c r="S1122" s="17" t="str">
        <f aca="false">IF($C1122="","",IF(OR($E1122="G",$E1122="H"),0,IF($E1122="T",1,MIN(1,MAX(0,($O1122-Inputs!$B$8)/MAX($P1122-Inputs!$B$8,0.01))))))</f>
        <v/>
      </c>
    </row>
    <row r="1123" customFormat="false" ht="15" hidden="false" customHeight="false" outlineLevel="0" collapsed="false">
      <c r="I1123" s="7" t="str">
        <f aca="false">IF($C1123="","",IF($C1123="G","PUTT",IF(AND($C1123="T",$M1123&gt;3),"OTT",IF($D1123&lt;=30,"ARG","APP"))))</f>
        <v/>
      </c>
      <c r="J1123" s="17" t="str">
        <f aca="false">IF($C1123="","",$N1123+$Q1123*$R1123)</f>
        <v/>
      </c>
      <c r="K1123" s="17" t="str">
        <f aca="false">IF($C1123="","",$O1123+$Q1123*$S1123)</f>
        <v/>
      </c>
      <c r="L1123" s="17" t="str">
        <f aca="false">IF($C1123="","",$J1123-$K1123-1-N($G1123))</f>
        <v/>
      </c>
      <c r="M1123" s="7" t="str">
        <f aca="false">IF($B1123="","",INDEX(Course!$B$2:$B$19,MATCH($B1123,Course!$A$2:$A$19,0)))</f>
        <v/>
      </c>
      <c r="N1123" s="17" t="str">
        <f aca="false">IF($C1123="","",IF($C1123="H",0,IF($C1123="G",INDEX(Baseline!$I$3:$I$102,MIN(MAX(ROUND($D1123,0),1),100)),IF($C1123="T",IF($M1123=3,INDEX(Baseline!$B$3:$B$122,MATCH(MIN(MAX(ROUND(($D1123)/5,0)*5,5),600),Baseline!$A$3:$A$122,0))-Inputs!$B$9,INDEX(Course!$N$2:$N$19,MATCH($B1123,Course!$A$2:$A$19,0))),INDEX(Baseline!$B$3:$E$122,MATCH(MIN(MAX(ROUND(($D1123)/5,0)*5,5),600),Baseline!$A$3:$A$122,0),MATCH($C1123,Baseline!$B$2:$E$2,0))))))</f>
        <v/>
      </c>
      <c r="O1123" s="17" t="str">
        <f aca="false">IF($C1123="","",IF($E1123="H",0,IF($E1123="G",INDEX(Baseline!$I$3:$I$102,MIN(MAX(ROUND($F1123,0),1),100)),IF($E1123="T",IF($M1123=3,INDEX(Baseline!$B$3:$B$122,MATCH(MIN(MAX(ROUND(($F1123)/5,0)*5,5),600),Baseline!$A$3:$A$122,0))-Inputs!$B$9,INDEX(Course!$N$2:$N$19,MATCH($B1123,Course!$A$2:$A$19,0))),INDEX(Baseline!$B$3:$E$122,MATCH(MIN(MAX(ROUND(($F1123)/5,0)*5,5),600),Baseline!$A$3:$A$122,0),MATCH($E1123,Baseline!$B$2:$E$2,0))))))</f>
        <v/>
      </c>
      <c r="P1123" s="17" t="str">
        <f aca="false">IF($B1123="","",INDEX(Course!$N$2:$N$19,MATCH($B1123,Course!$A$2:$A$19,0)))</f>
        <v/>
      </c>
      <c r="Q1123" s="17" t="str">
        <f aca="false">IF($B1123="","",INDEX(Course!$P$2:$P$19,MATCH($B1123,Course!$A$2:$A$19,0)))</f>
        <v/>
      </c>
      <c r="R1123" s="17" t="str">
        <f aca="false">IF($C1123="","",IF(OR($C1123="G",$C1123="H"),0,IF($C1123="T",1,MIN(1,MAX(0,($N1123-Inputs!$B$8)/MAX($P1123-Inputs!$B$8,0.01))))))</f>
        <v/>
      </c>
      <c r="S1123" s="17" t="str">
        <f aca="false">IF($C1123="","",IF(OR($E1123="G",$E1123="H"),0,IF($E1123="T",1,MIN(1,MAX(0,($O1123-Inputs!$B$8)/MAX($P1123-Inputs!$B$8,0.01))))))</f>
        <v/>
      </c>
    </row>
    <row r="1124" customFormat="false" ht="15" hidden="false" customHeight="false" outlineLevel="0" collapsed="false">
      <c r="I1124" s="7" t="str">
        <f aca="false">IF($C1124="","",IF($C1124="G","PUTT",IF(AND($C1124="T",$M1124&gt;3),"OTT",IF($D1124&lt;=30,"ARG","APP"))))</f>
        <v/>
      </c>
      <c r="J1124" s="17" t="str">
        <f aca="false">IF($C1124="","",$N1124+$Q1124*$R1124)</f>
        <v/>
      </c>
      <c r="K1124" s="17" t="str">
        <f aca="false">IF($C1124="","",$O1124+$Q1124*$S1124)</f>
        <v/>
      </c>
      <c r="L1124" s="17" t="str">
        <f aca="false">IF($C1124="","",$J1124-$K1124-1-N($G1124))</f>
        <v/>
      </c>
      <c r="M1124" s="7" t="str">
        <f aca="false">IF($B1124="","",INDEX(Course!$B$2:$B$19,MATCH($B1124,Course!$A$2:$A$19,0)))</f>
        <v/>
      </c>
      <c r="N1124" s="17" t="str">
        <f aca="false">IF($C1124="","",IF($C1124="H",0,IF($C1124="G",INDEX(Baseline!$I$3:$I$102,MIN(MAX(ROUND($D1124,0),1),100)),IF($C1124="T",IF($M1124=3,INDEX(Baseline!$B$3:$B$122,MATCH(MIN(MAX(ROUND(($D1124)/5,0)*5,5),600),Baseline!$A$3:$A$122,0))-Inputs!$B$9,INDEX(Course!$N$2:$N$19,MATCH($B1124,Course!$A$2:$A$19,0))),INDEX(Baseline!$B$3:$E$122,MATCH(MIN(MAX(ROUND(($D1124)/5,0)*5,5),600),Baseline!$A$3:$A$122,0),MATCH($C1124,Baseline!$B$2:$E$2,0))))))</f>
        <v/>
      </c>
      <c r="O1124" s="17" t="str">
        <f aca="false">IF($C1124="","",IF($E1124="H",0,IF($E1124="G",INDEX(Baseline!$I$3:$I$102,MIN(MAX(ROUND($F1124,0),1),100)),IF($E1124="T",IF($M1124=3,INDEX(Baseline!$B$3:$B$122,MATCH(MIN(MAX(ROUND(($F1124)/5,0)*5,5),600),Baseline!$A$3:$A$122,0))-Inputs!$B$9,INDEX(Course!$N$2:$N$19,MATCH($B1124,Course!$A$2:$A$19,0))),INDEX(Baseline!$B$3:$E$122,MATCH(MIN(MAX(ROUND(($F1124)/5,0)*5,5),600),Baseline!$A$3:$A$122,0),MATCH($E1124,Baseline!$B$2:$E$2,0))))))</f>
        <v/>
      </c>
      <c r="P1124" s="17" t="str">
        <f aca="false">IF($B1124="","",INDEX(Course!$N$2:$N$19,MATCH($B1124,Course!$A$2:$A$19,0)))</f>
        <v/>
      </c>
      <c r="Q1124" s="17" t="str">
        <f aca="false">IF($B1124="","",INDEX(Course!$P$2:$P$19,MATCH($B1124,Course!$A$2:$A$19,0)))</f>
        <v/>
      </c>
      <c r="R1124" s="17" t="str">
        <f aca="false">IF($C1124="","",IF(OR($C1124="G",$C1124="H"),0,IF($C1124="T",1,MIN(1,MAX(0,($N1124-Inputs!$B$8)/MAX($P1124-Inputs!$B$8,0.01))))))</f>
        <v/>
      </c>
      <c r="S1124" s="17" t="str">
        <f aca="false">IF($C1124="","",IF(OR($E1124="G",$E1124="H"),0,IF($E1124="T",1,MIN(1,MAX(0,($O1124-Inputs!$B$8)/MAX($P1124-Inputs!$B$8,0.01))))))</f>
        <v/>
      </c>
    </row>
    <row r="1125" customFormat="false" ht="15" hidden="false" customHeight="false" outlineLevel="0" collapsed="false">
      <c r="I1125" s="7" t="str">
        <f aca="false">IF($C1125="","",IF($C1125="G","PUTT",IF(AND($C1125="T",$M1125&gt;3),"OTT",IF($D1125&lt;=30,"ARG","APP"))))</f>
        <v/>
      </c>
      <c r="J1125" s="17" t="str">
        <f aca="false">IF($C1125="","",$N1125+$Q1125*$R1125)</f>
        <v/>
      </c>
      <c r="K1125" s="17" t="str">
        <f aca="false">IF($C1125="","",$O1125+$Q1125*$S1125)</f>
        <v/>
      </c>
      <c r="L1125" s="17" t="str">
        <f aca="false">IF($C1125="","",$J1125-$K1125-1-N($G1125))</f>
        <v/>
      </c>
      <c r="M1125" s="7" t="str">
        <f aca="false">IF($B1125="","",INDEX(Course!$B$2:$B$19,MATCH($B1125,Course!$A$2:$A$19,0)))</f>
        <v/>
      </c>
      <c r="N1125" s="17" t="str">
        <f aca="false">IF($C1125="","",IF($C1125="H",0,IF($C1125="G",INDEX(Baseline!$I$3:$I$102,MIN(MAX(ROUND($D1125,0),1),100)),IF($C1125="T",IF($M1125=3,INDEX(Baseline!$B$3:$B$122,MATCH(MIN(MAX(ROUND(($D1125)/5,0)*5,5),600),Baseline!$A$3:$A$122,0))-Inputs!$B$9,INDEX(Course!$N$2:$N$19,MATCH($B1125,Course!$A$2:$A$19,0))),INDEX(Baseline!$B$3:$E$122,MATCH(MIN(MAX(ROUND(($D1125)/5,0)*5,5),600),Baseline!$A$3:$A$122,0),MATCH($C1125,Baseline!$B$2:$E$2,0))))))</f>
        <v/>
      </c>
      <c r="O1125" s="17" t="str">
        <f aca="false">IF($C1125="","",IF($E1125="H",0,IF($E1125="G",INDEX(Baseline!$I$3:$I$102,MIN(MAX(ROUND($F1125,0),1),100)),IF($E1125="T",IF($M1125=3,INDEX(Baseline!$B$3:$B$122,MATCH(MIN(MAX(ROUND(($F1125)/5,0)*5,5),600),Baseline!$A$3:$A$122,0))-Inputs!$B$9,INDEX(Course!$N$2:$N$19,MATCH($B1125,Course!$A$2:$A$19,0))),INDEX(Baseline!$B$3:$E$122,MATCH(MIN(MAX(ROUND(($F1125)/5,0)*5,5),600),Baseline!$A$3:$A$122,0),MATCH($E1125,Baseline!$B$2:$E$2,0))))))</f>
        <v/>
      </c>
      <c r="P1125" s="17" t="str">
        <f aca="false">IF($B1125="","",INDEX(Course!$N$2:$N$19,MATCH($B1125,Course!$A$2:$A$19,0)))</f>
        <v/>
      </c>
      <c r="Q1125" s="17" t="str">
        <f aca="false">IF($B1125="","",INDEX(Course!$P$2:$P$19,MATCH($B1125,Course!$A$2:$A$19,0)))</f>
        <v/>
      </c>
      <c r="R1125" s="17" t="str">
        <f aca="false">IF($C1125="","",IF(OR($C1125="G",$C1125="H"),0,IF($C1125="T",1,MIN(1,MAX(0,($N1125-Inputs!$B$8)/MAX($P1125-Inputs!$B$8,0.01))))))</f>
        <v/>
      </c>
      <c r="S1125" s="17" t="str">
        <f aca="false">IF($C1125="","",IF(OR($E1125="G",$E1125="H"),0,IF($E1125="T",1,MIN(1,MAX(0,($O1125-Inputs!$B$8)/MAX($P1125-Inputs!$B$8,0.01))))))</f>
        <v/>
      </c>
    </row>
    <row r="1126" customFormat="false" ht="15" hidden="false" customHeight="false" outlineLevel="0" collapsed="false">
      <c r="I1126" s="7" t="str">
        <f aca="false">IF($C1126="","",IF($C1126="G","PUTT",IF(AND($C1126="T",$M1126&gt;3),"OTT",IF($D1126&lt;=30,"ARG","APP"))))</f>
        <v/>
      </c>
      <c r="J1126" s="17" t="str">
        <f aca="false">IF($C1126="","",$N1126+$Q1126*$R1126)</f>
        <v/>
      </c>
      <c r="K1126" s="17" t="str">
        <f aca="false">IF($C1126="","",$O1126+$Q1126*$S1126)</f>
        <v/>
      </c>
      <c r="L1126" s="17" t="str">
        <f aca="false">IF($C1126="","",$J1126-$K1126-1-N($G1126))</f>
        <v/>
      </c>
      <c r="M1126" s="7" t="str">
        <f aca="false">IF($B1126="","",INDEX(Course!$B$2:$B$19,MATCH($B1126,Course!$A$2:$A$19,0)))</f>
        <v/>
      </c>
      <c r="N1126" s="17" t="str">
        <f aca="false">IF($C1126="","",IF($C1126="H",0,IF($C1126="G",INDEX(Baseline!$I$3:$I$102,MIN(MAX(ROUND($D1126,0),1),100)),IF($C1126="T",IF($M1126=3,INDEX(Baseline!$B$3:$B$122,MATCH(MIN(MAX(ROUND(($D1126)/5,0)*5,5),600),Baseline!$A$3:$A$122,0))-Inputs!$B$9,INDEX(Course!$N$2:$N$19,MATCH($B1126,Course!$A$2:$A$19,0))),INDEX(Baseline!$B$3:$E$122,MATCH(MIN(MAX(ROUND(($D1126)/5,0)*5,5),600),Baseline!$A$3:$A$122,0),MATCH($C1126,Baseline!$B$2:$E$2,0))))))</f>
        <v/>
      </c>
      <c r="O1126" s="17" t="str">
        <f aca="false">IF($C1126="","",IF($E1126="H",0,IF($E1126="G",INDEX(Baseline!$I$3:$I$102,MIN(MAX(ROUND($F1126,0),1),100)),IF($E1126="T",IF($M1126=3,INDEX(Baseline!$B$3:$B$122,MATCH(MIN(MAX(ROUND(($F1126)/5,0)*5,5),600),Baseline!$A$3:$A$122,0))-Inputs!$B$9,INDEX(Course!$N$2:$N$19,MATCH($B1126,Course!$A$2:$A$19,0))),INDEX(Baseline!$B$3:$E$122,MATCH(MIN(MAX(ROUND(($F1126)/5,0)*5,5),600),Baseline!$A$3:$A$122,0),MATCH($E1126,Baseline!$B$2:$E$2,0))))))</f>
        <v/>
      </c>
      <c r="P1126" s="17" t="str">
        <f aca="false">IF($B1126="","",INDEX(Course!$N$2:$N$19,MATCH($B1126,Course!$A$2:$A$19,0)))</f>
        <v/>
      </c>
      <c r="Q1126" s="17" t="str">
        <f aca="false">IF($B1126="","",INDEX(Course!$P$2:$P$19,MATCH($B1126,Course!$A$2:$A$19,0)))</f>
        <v/>
      </c>
      <c r="R1126" s="17" t="str">
        <f aca="false">IF($C1126="","",IF(OR($C1126="G",$C1126="H"),0,IF($C1126="T",1,MIN(1,MAX(0,($N1126-Inputs!$B$8)/MAX($P1126-Inputs!$B$8,0.01))))))</f>
        <v/>
      </c>
      <c r="S1126" s="17" t="str">
        <f aca="false">IF($C1126="","",IF(OR($E1126="G",$E1126="H"),0,IF($E1126="T",1,MIN(1,MAX(0,($O1126-Inputs!$B$8)/MAX($P1126-Inputs!$B$8,0.01))))))</f>
        <v/>
      </c>
    </row>
    <row r="1127" customFormat="false" ht="15" hidden="false" customHeight="false" outlineLevel="0" collapsed="false">
      <c r="I1127" s="7" t="str">
        <f aca="false">IF($C1127="","",IF($C1127="G","PUTT",IF(AND($C1127="T",$M1127&gt;3),"OTT",IF($D1127&lt;=30,"ARG","APP"))))</f>
        <v/>
      </c>
      <c r="J1127" s="17" t="str">
        <f aca="false">IF($C1127="","",$N1127+$Q1127*$R1127)</f>
        <v/>
      </c>
      <c r="K1127" s="17" t="str">
        <f aca="false">IF($C1127="","",$O1127+$Q1127*$S1127)</f>
        <v/>
      </c>
      <c r="L1127" s="17" t="str">
        <f aca="false">IF($C1127="","",$J1127-$K1127-1-N($G1127))</f>
        <v/>
      </c>
      <c r="M1127" s="7" t="str">
        <f aca="false">IF($B1127="","",INDEX(Course!$B$2:$B$19,MATCH($B1127,Course!$A$2:$A$19,0)))</f>
        <v/>
      </c>
      <c r="N1127" s="17" t="str">
        <f aca="false">IF($C1127="","",IF($C1127="H",0,IF($C1127="G",INDEX(Baseline!$I$3:$I$102,MIN(MAX(ROUND($D1127,0),1),100)),IF($C1127="T",IF($M1127=3,INDEX(Baseline!$B$3:$B$122,MATCH(MIN(MAX(ROUND(($D1127)/5,0)*5,5),600),Baseline!$A$3:$A$122,0))-Inputs!$B$9,INDEX(Course!$N$2:$N$19,MATCH($B1127,Course!$A$2:$A$19,0))),INDEX(Baseline!$B$3:$E$122,MATCH(MIN(MAX(ROUND(($D1127)/5,0)*5,5),600),Baseline!$A$3:$A$122,0),MATCH($C1127,Baseline!$B$2:$E$2,0))))))</f>
        <v/>
      </c>
      <c r="O1127" s="17" t="str">
        <f aca="false">IF($C1127="","",IF($E1127="H",0,IF($E1127="G",INDEX(Baseline!$I$3:$I$102,MIN(MAX(ROUND($F1127,0),1),100)),IF($E1127="T",IF($M1127=3,INDEX(Baseline!$B$3:$B$122,MATCH(MIN(MAX(ROUND(($F1127)/5,0)*5,5),600),Baseline!$A$3:$A$122,0))-Inputs!$B$9,INDEX(Course!$N$2:$N$19,MATCH($B1127,Course!$A$2:$A$19,0))),INDEX(Baseline!$B$3:$E$122,MATCH(MIN(MAX(ROUND(($F1127)/5,0)*5,5),600),Baseline!$A$3:$A$122,0),MATCH($E1127,Baseline!$B$2:$E$2,0))))))</f>
        <v/>
      </c>
      <c r="P1127" s="17" t="str">
        <f aca="false">IF($B1127="","",INDEX(Course!$N$2:$N$19,MATCH($B1127,Course!$A$2:$A$19,0)))</f>
        <v/>
      </c>
      <c r="Q1127" s="17" t="str">
        <f aca="false">IF($B1127="","",INDEX(Course!$P$2:$P$19,MATCH($B1127,Course!$A$2:$A$19,0)))</f>
        <v/>
      </c>
      <c r="R1127" s="17" t="str">
        <f aca="false">IF($C1127="","",IF(OR($C1127="G",$C1127="H"),0,IF($C1127="T",1,MIN(1,MAX(0,($N1127-Inputs!$B$8)/MAX($P1127-Inputs!$B$8,0.01))))))</f>
        <v/>
      </c>
      <c r="S1127" s="17" t="str">
        <f aca="false">IF($C1127="","",IF(OR($E1127="G",$E1127="H"),0,IF($E1127="T",1,MIN(1,MAX(0,($O1127-Inputs!$B$8)/MAX($P1127-Inputs!$B$8,0.01))))))</f>
        <v/>
      </c>
    </row>
    <row r="1128" customFormat="false" ht="15" hidden="false" customHeight="false" outlineLevel="0" collapsed="false">
      <c r="I1128" s="7" t="str">
        <f aca="false">IF($C1128="","",IF($C1128="G","PUTT",IF(AND($C1128="T",$M1128&gt;3),"OTT",IF($D1128&lt;=30,"ARG","APP"))))</f>
        <v/>
      </c>
      <c r="J1128" s="17" t="str">
        <f aca="false">IF($C1128="","",$N1128+$Q1128*$R1128)</f>
        <v/>
      </c>
      <c r="K1128" s="17" t="str">
        <f aca="false">IF($C1128="","",$O1128+$Q1128*$S1128)</f>
        <v/>
      </c>
      <c r="L1128" s="17" t="str">
        <f aca="false">IF($C1128="","",$J1128-$K1128-1-N($G1128))</f>
        <v/>
      </c>
      <c r="M1128" s="7" t="str">
        <f aca="false">IF($B1128="","",INDEX(Course!$B$2:$B$19,MATCH($B1128,Course!$A$2:$A$19,0)))</f>
        <v/>
      </c>
      <c r="N1128" s="17" t="str">
        <f aca="false">IF($C1128="","",IF($C1128="H",0,IF($C1128="G",INDEX(Baseline!$I$3:$I$102,MIN(MAX(ROUND($D1128,0),1),100)),IF($C1128="T",IF($M1128=3,INDEX(Baseline!$B$3:$B$122,MATCH(MIN(MAX(ROUND(($D1128)/5,0)*5,5),600),Baseline!$A$3:$A$122,0))-Inputs!$B$9,INDEX(Course!$N$2:$N$19,MATCH($B1128,Course!$A$2:$A$19,0))),INDEX(Baseline!$B$3:$E$122,MATCH(MIN(MAX(ROUND(($D1128)/5,0)*5,5),600),Baseline!$A$3:$A$122,0),MATCH($C1128,Baseline!$B$2:$E$2,0))))))</f>
        <v/>
      </c>
      <c r="O1128" s="17" t="str">
        <f aca="false">IF($C1128="","",IF($E1128="H",0,IF($E1128="G",INDEX(Baseline!$I$3:$I$102,MIN(MAX(ROUND($F1128,0),1),100)),IF($E1128="T",IF($M1128=3,INDEX(Baseline!$B$3:$B$122,MATCH(MIN(MAX(ROUND(($F1128)/5,0)*5,5),600),Baseline!$A$3:$A$122,0))-Inputs!$B$9,INDEX(Course!$N$2:$N$19,MATCH($B1128,Course!$A$2:$A$19,0))),INDEX(Baseline!$B$3:$E$122,MATCH(MIN(MAX(ROUND(($F1128)/5,0)*5,5),600),Baseline!$A$3:$A$122,0),MATCH($E1128,Baseline!$B$2:$E$2,0))))))</f>
        <v/>
      </c>
      <c r="P1128" s="17" t="str">
        <f aca="false">IF($B1128="","",INDEX(Course!$N$2:$N$19,MATCH($B1128,Course!$A$2:$A$19,0)))</f>
        <v/>
      </c>
      <c r="Q1128" s="17" t="str">
        <f aca="false">IF($B1128="","",INDEX(Course!$P$2:$P$19,MATCH($B1128,Course!$A$2:$A$19,0)))</f>
        <v/>
      </c>
      <c r="R1128" s="17" t="str">
        <f aca="false">IF($C1128="","",IF(OR($C1128="G",$C1128="H"),0,IF($C1128="T",1,MIN(1,MAX(0,($N1128-Inputs!$B$8)/MAX($P1128-Inputs!$B$8,0.01))))))</f>
        <v/>
      </c>
      <c r="S1128" s="17" t="str">
        <f aca="false">IF($C1128="","",IF(OR($E1128="G",$E1128="H"),0,IF($E1128="T",1,MIN(1,MAX(0,($O1128-Inputs!$B$8)/MAX($P1128-Inputs!$B$8,0.01))))))</f>
        <v/>
      </c>
    </row>
    <row r="1129" customFormat="false" ht="15" hidden="false" customHeight="false" outlineLevel="0" collapsed="false">
      <c r="I1129" s="7" t="str">
        <f aca="false">IF($C1129="","",IF($C1129="G","PUTT",IF(AND($C1129="T",$M1129&gt;3),"OTT",IF($D1129&lt;=30,"ARG","APP"))))</f>
        <v/>
      </c>
      <c r="J1129" s="17" t="str">
        <f aca="false">IF($C1129="","",$N1129+$Q1129*$R1129)</f>
        <v/>
      </c>
      <c r="K1129" s="17" t="str">
        <f aca="false">IF($C1129="","",$O1129+$Q1129*$S1129)</f>
        <v/>
      </c>
      <c r="L1129" s="17" t="str">
        <f aca="false">IF($C1129="","",$J1129-$K1129-1-N($G1129))</f>
        <v/>
      </c>
      <c r="M1129" s="7" t="str">
        <f aca="false">IF($B1129="","",INDEX(Course!$B$2:$B$19,MATCH($B1129,Course!$A$2:$A$19,0)))</f>
        <v/>
      </c>
      <c r="N1129" s="17" t="str">
        <f aca="false">IF($C1129="","",IF($C1129="H",0,IF($C1129="G",INDEX(Baseline!$I$3:$I$102,MIN(MAX(ROUND($D1129,0),1),100)),IF($C1129="T",IF($M1129=3,INDEX(Baseline!$B$3:$B$122,MATCH(MIN(MAX(ROUND(($D1129)/5,0)*5,5),600),Baseline!$A$3:$A$122,0))-Inputs!$B$9,INDEX(Course!$N$2:$N$19,MATCH($B1129,Course!$A$2:$A$19,0))),INDEX(Baseline!$B$3:$E$122,MATCH(MIN(MAX(ROUND(($D1129)/5,0)*5,5),600),Baseline!$A$3:$A$122,0),MATCH($C1129,Baseline!$B$2:$E$2,0))))))</f>
        <v/>
      </c>
      <c r="O1129" s="17" t="str">
        <f aca="false">IF($C1129="","",IF($E1129="H",0,IF($E1129="G",INDEX(Baseline!$I$3:$I$102,MIN(MAX(ROUND($F1129,0),1),100)),IF($E1129="T",IF($M1129=3,INDEX(Baseline!$B$3:$B$122,MATCH(MIN(MAX(ROUND(($F1129)/5,0)*5,5),600),Baseline!$A$3:$A$122,0))-Inputs!$B$9,INDEX(Course!$N$2:$N$19,MATCH($B1129,Course!$A$2:$A$19,0))),INDEX(Baseline!$B$3:$E$122,MATCH(MIN(MAX(ROUND(($F1129)/5,0)*5,5),600),Baseline!$A$3:$A$122,0),MATCH($E1129,Baseline!$B$2:$E$2,0))))))</f>
        <v/>
      </c>
      <c r="P1129" s="17" t="str">
        <f aca="false">IF($B1129="","",INDEX(Course!$N$2:$N$19,MATCH($B1129,Course!$A$2:$A$19,0)))</f>
        <v/>
      </c>
      <c r="Q1129" s="17" t="str">
        <f aca="false">IF($B1129="","",INDEX(Course!$P$2:$P$19,MATCH($B1129,Course!$A$2:$A$19,0)))</f>
        <v/>
      </c>
      <c r="R1129" s="17" t="str">
        <f aca="false">IF($C1129="","",IF(OR($C1129="G",$C1129="H"),0,IF($C1129="T",1,MIN(1,MAX(0,($N1129-Inputs!$B$8)/MAX($P1129-Inputs!$B$8,0.01))))))</f>
        <v/>
      </c>
      <c r="S1129" s="17" t="str">
        <f aca="false">IF($C1129="","",IF(OR($E1129="G",$E1129="H"),0,IF($E1129="T",1,MIN(1,MAX(0,($O1129-Inputs!$B$8)/MAX($P1129-Inputs!$B$8,0.01))))))</f>
        <v/>
      </c>
    </row>
    <row r="1130" customFormat="false" ht="15" hidden="false" customHeight="false" outlineLevel="0" collapsed="false">
      <c r="I1130" s="7" t="str">
        <f aca="false">IF($C1130="","",IF($C1130="G","PUTT",IF(AND($C1130="T",$M1130&gt;3),"OTT",IF($D1130&lt;=30,"ARG","APP"))))</f>
        <v/>
      </c>
      <c r="J1130" s="17" t="str">
        <f aca="false">IF($C1130="","",$N1130+$Q1130*$R1130)</f>
        <v/>
      </c>
      <c r="K1130" s="17" t="str">
        <f aca="false">IF($C1130="","",$O1130+$Q1130*$S1130)</f>
        <v/>
      </c>
      <c r="L1130" s="17" t="str">
        <f aca="false">IF($C1130="","",$J1130-$K1130-1-N($G1130))</f>
        <v/>
      </c>
      <c r="M1130" s="7" t="str">
        <f aca="false">IF($B1130="","",INDEX(Course!$B$2:$B$19,MATCH($B1130,Course!$A$2:$A$19,0)))</f>
        <v/>
      </c>
      <c r="N1130" s="17" t="str">
        <f aca="false">IF($C1130="","",IF($C1130="H",0,IF($C1130="G",INDEX(Baseline!$I$3:$I$102,MIN(MAX(ROUND($D1130,0),1),100)),IF($C1130="T",IF($M1130=3,INDEX(Baseline!$B$3:$B$122,MATCH(MIN(MAX(ROUND(($D1130)/5,0)*5,5),600),Baseline!$A$3:$A$122,0))-Inputs!$B$9,INDEX(Course!$N$2:$N$19,MATCH($B1130,Course!$A$2:$A$19,0))),INDEX(Baseline!$B$3:$E$122,MATCH(MIN(MAX(ROUND(($D1130)/5,0)*5,5),600),Baseline!$A$3:$A$122,0),MATCH($C1130,Baseline!$B$2:$E$2,0))))))</f>
        <v/>
      </c>
      <c r="O1130" s="17" t="str">
        <f aca="false">IF($C1130="","",IF($E1130="H",0,IF($E1130="G",INDEX(Baseline!$I$3:$I$102,MIN(MAX(ROUND($F1130,0),1),100)),IF($E1130="T",IF($M1130=3,INDEX(Baseline!$B$3:$B$122,MATCH(MIN(MAX(ROUND(($F1130)/5,0)*5,5),600),Baseline!$A$3:$A$122,0))-Inputs!$B$9,INDEX(Course!$N$2:$N$19,MATCH($B1130,Course!$A$2:$A$19,0))),INDEX(Baseline!$B$3:$E$122,MATCH(MIN(MAX(ROUND(($F1130)/5,0)*5,5),600),Baseline!$A$3:$A$122,0),MATCH($E1130,Baseline!$B$2:$E$2,0))))))</f>
        <v/>
      </c>
      <c r="P1130" s="17" t="str">
        <f aca="false">IF($B1130="","",INDEX(Course!$N$2:$N$19,MATCH($B1130,Course!$A$2:$A$19,0)))</f>
        <v/>
      </c>
      <c r="Q1130" s="17" t="str">
        <f aca="false">IF($B1130="","",INDEX(Course!$P$2:$P$19,MATCH($B1130,Course!$A$2:$A$19,0)))</f>
        <v/>
      </c>
      <c r="R1130" s="17" t="str">
        <f aca="false">IF($C1130="","",IF(OR($C1130="G",$C1130="H"),0,IF($C1130="T",1,MIN(1,MAX(0,($N1130-Inputs!$B$8)/MAX($P1130-Inputs!$B$8,0.01))))))</f>
        <v/>
      </c>
      <c r="S1130" s="17" t="str">
        <f aca="false">IF($C1130="","",IF(OR($E1130="G",$E1130="H"),0,IF($E1130="T",1,MIN(1,MAX(0,($O1130-Inputs!$B$8)/MAX($P1130-Inputs!$B$8,0.01))))))</f>
        <v/>
      </c>
    </row>
    <row r="1131" customFormat="false" ht="15" hidden="false" customHeight="false" outlineLevel="0" collapsed="false">
      <c r="I1131" s="7" t="str">
        <f aca="false">IF($C1131="","",IF($C1131="G","PUTT",IF(AND($C1131="T",$M1131&gt;3),"OTT",IF($D1131&lt;=30,"ARG","APP"))))</f>
        <v/>
      </c>
      <c r="J1131" s="17" t="str">
        <f aca="false">IF($C1131="","",$N1131+$Q1131*$R1131)</f>
        <v/>
      </c>
      <c r="K1131" s="17" t="str">
        <f aca="false">IF($C1131="","",$O1131+$Q1131*$S1131)</f>
        <v/>
      </c>
      <c r="L1131" s="17" t="str">
        <f aca="false">IF($C1131="","",$J1131-$K1131-1-N($G1131))</f>
        <v/>
      </c>
      <c r="M1131" s="7" t="str">
        <f aca="false">IF($B1131="","",INDEX(Course!$B$2:$B$19,MATCH($B1131,Course!$A$2:$A$19,0)))</f>
        <v/>
      </c>
      <c r="N1131" s="17" t="str">
        <f aca="false">IF($C1131="","",IF($C1131="H",0,IF($C1131="G",INDEX(Baseline!$I$3:$I$102,MIN(MAX(ROUND($D1131,0),1),100)),IF($C1131="T",IF($M1131=3,INDEX(Baseline!$B$3:$B$122,MATCH(MIN(MAX(ROUND(($D1131)/5,0)*5,5),600),Baseline!$A$3:$A$122,0))-Inputs!$B$9,INDEX(Course!$N$2:$N$19,MATCH($B1131,Course!$A$2:$A$19,0))),INDEX(Baseline!$B$3:$E$122,MATCH(MIN(MAX(ROUND(($D1131)/5,0)*5,5),600),Baseline!$A$3:$A$122,0),MATCH($C1131,Baseline!$B$2:$E$2,0))))))</f>
        <v/>
      </c>
      <c r="O1131" s="17" t="str">
        <f aca="false">IF($C1131="","",IF($E1131="H",0,IF($E1131="G",INDEX(Baseline!$I$3:$I$102,MIN(MAX(ROUND($F1131,0),1),100)),IF($E1131="T",IF($M1131=3,INDEX(Baseline!$B$3:$B$122,MATCH(MIN(MAX(ROUND(($F1131)/5,0)*5,5),600),Baseline!$A$3:$A$122,0))-Inputs!$B$9,INDEX(Course!$N$2:$N$19,MATCH($B1131,Course!$A$2:$A$19,0))),INDEX(Baseline!$B$3:$E$122,MATCH(MIN(MAX(ROUND(($F1131)/5,0)*5,5),600),Baseline!$A$3:$A$122,0),MATCH($E1131,Baseline!$B$2:$E$2,0))))))</f>
        <v/>
      </c>
      <c r="P1131" s="17" t="str">
        <f aca="false">IF($B1131="","",INDEX(Course!$N$2:$N$19,MATCH($B1131,Course!$A$2:$A$19,0)))</f>
        <v/>
      </c>
      <c r="Q1131" s="17" t="str">
        <f aca="false">IF($B1131="","",INDEX(Course!$P$2:$P$19,MATCH($B1131,Course!$A$2:$A$19,0)))</f>
        <v/>
      </c>
      <c r="R1131" s="17" t="str">
        <f aca="false">IF($C1131="","",IF(OR($C1131="G",$C1131="H"),0,IF($C1131="T",1,MIN(1,MAX(0,($N1131-Inputs!$B$8)/MAX($P1131-Inputs!$B$8,0.01))))))</f>
        <v/>
      </c>
      <c r="S1131" s="17" t="str">
        <f aca="false">IF($C1131="","",IF(OR($E1131="G",$E1131="H"),0,IF($E1131="T",1,MIN(1,MAX(0,($O1131-Inputs!$B$8)/MAX($P1131-Inputs!$B$8,0.01))))))</f>
        <v/>
      </c>
    </row>
    <row r="1132" customFormat="false" ht="15" hidden="false" customHeight="false" outlineLevel="0" collapsed="false">
      <c r="I1132" s="7" t="str">
        <f aca="false">IF($C1132="","",IF($C1132="G","PUTT",IF(AND($C1132="T",$M1132&gt;3),"OTT",IF($D1132&lt;=30,"ARG","APP"))))</f>
        <v/>
      </c>
      <c r="J1132" s="17" t="str">
        <f aca="false">IF($C1132="","",$N1132+$Q1132*$R1132)</f>
        <v/>
      </c>
      <c r="K1132" s="17" t="str">
        <f aca="false">IF($C1132="","",$O1132+$Q1132*$S1132)</f>
        <v/>
      </c>
      <c r="L1132" s="17" t="str">
        <f aca="false">IF($C1132="","",$J1132-$K1132-1-N($G1132))</f>
        <v/>
      </c>
      <c r="M1132" s="7" t="str">
        <f aca="false">IF($B1132="","",INDEX(Course!$B$2:$B$19,MATCH($B1132,Course!$A$2:$A$19,0)))</f>
        <v/>
      </c>
      <c r="N1132" s="17" t="str">
        <f aca="false">IF($C1132="","",IF($C1132="H",0,IF($C1132="G",INDEX(Baseline!$I$3:$I$102,MIN(MAX(ROUND($D1132,0),1),100)),IF($C1132="T",IF($M1132=3,INDEX(Baseline!$B$3:$B$122,MATCH(MIN(MAX(ROUND(($D1132)/5,0)*5,5),600),Baseline!$A$3:$A$122,0))-Inputs!$B$9,INDEX(Course!$N$2:$N$19,MATCH($B1132,Course!$A$2:$A$19,0))),INDEX(Baseline!$B$3:$E$122,MATCH(MIN(MAX(ROUND(($D1132)/5,0)*5,5),600),Baseline!$A$3:$A$122,0),MATCH($C1132,Baseline!$B$2:$E$2,0))))))</f>
        <v/>
      </c>
      <c r="O1132" s="17" t="str">
        <f aca="false">IF($C1132="","",IF($E1132="H",0,IF($E1132="G",INDEX(Baseline!$I$3:$I$102,MIN(MAX(ROUND($F1132,0),1),100)),IF($E1132="T",IF($M1132=3,INDEX(Baseline!$B$3:$B$122,MATCH(MIN(MAX(ROUND(($F1132)/5,0)*5,5),600),Baseline!$A$3:$A$122,0))-Inputs!$B$9,INDEX(Course!$N$2:$N$19,MATCH($B1132,Course!$A$2:$A$19,0))),INDEX(Baseline!$B$3:$E$122,MATCH(MIN(MAX(ROUND(($F1132)/5,0)*5,5),600),Baseline!$A$3:$A$122,0),MATCH($E1132,Baseline!$B$2:$E$2,0))))))</f>
        <v/>
      </c>
      <c r="P1132" s="17" t="str">
        <f aca="false">IF($B1132="","",INDEX(Course!$N$2:$N$19,MATCH($B1132,Course!$A$2:$A$19,0)))</f>
        <v/>
      </c>
      <c r="Q1132" s="17" t="str">
        <f aca="false">IF($B1132="","",INDEX(Course!$P$2:$P$19,MATCH($B1132,Course!$A$2:$A$19,0)))</f>
        <v/>
      </c>
      <c r="R1132" s="17" t="str">
        <f aca="false">IF($C1132="","",IF(OR($C1132="G",$C1132="H"),0,IF($C1132="T",1,MIN(1,MAX(0,($N1132-Inputs!$B$8)/MAX($P1132-Inputs!$B$8,0.01))))))</f>
        <v/>
      </c>
      <c r="S1132" s="17" t="str">
        <f aca="false">IF($C1132="","",IF(OR($E1132="G",$E1132="H"),0,IF($E1132="T",1,MIN(1,MAX(0,($O1132-Inputs!$B$8)/MAX($P1132-Inputs!$B$8,0.01))))))</f>
        <v/>
      </c>
    </row>
    <row r="1133" customFormat="false" ht="15" hidden="false" customHeight="false" outlineLevel="0" collapsed="false">
      <c r="I1133" s="7" t="str">
        <f aca="false">IF($C1133="","",IF($C1133="G","PUTT",IF(AND($C1133="T",$M1133&gt;3),"OTT",IF($D1133&lt;=30,"ARG","APP"))))</f>
        <v/>
      </c>
      <c r="J1133" s="17" t="str">
        <f aca="false">IF($C1133="","",$N1133+$Q1133*$R1133)</f>
        <v/>
      </c>
      <c r="K1133" s="17" t="str">
        <f aca="false">IF($C1133="","",$O1133+$Q1133*$S1133)</f>
        <v/>
      </c>
      <c r="L1133" s="17" t="str">
        <f aca="false">IF($C1133="","",$J1133-$K1133-1-N($G1133))</f>
        <v/>
      </c>
      <c r="M1133" s="7" t="str">
        <f aca="false">IF($B1133="","",INDEX(Course!$B$2:$B$19,MATCH($B1133,Course!$A$2:$A$19,0)))</f>
        <v/>
      </c>
      <c r="N1133" s="17" t="str">
        <f aca="false">IF($C1133="","",IF($C1133="H",0,IF($C1133="G",INDEX(Baseline!$I$3:$I$102,MIN(MAX(ROUND($D1133,0),1),100)),IF($C1133="T",IF($M1133=3,INDEX(Baseline!$B$3:$B$122,MATCH(MIN(MAX(ROUND(($D1133)/5,0)*5,5),600),Baseline!$A$3:$A$122,0))-Inputs!$B$9,INDEX(Course!$N$2:$N$19,MATCH($B1133,Course!$A$2:$A$19,0))),INDEX(Baseline!$B$3:$E$122,MATCH(MIN(MAX(ROUND(($D1133)/5,0)*5,5),600),Baseline!$A$3:$A$122,0),MATCH($C1133,Baseline!$B$2:$E$2,0))))))</f>
        <v/>
      </c>
      <c r="O1133" s="17" t="str">
        <f aca="false">IF($C1133="","",IF($E1133="H",0,IF($E1133="G",INDEX(Baseline!$I$3:$I$102,MIN(MAX(ROUND($F1133,0),1),100)),IF($E1133="T",IF($M1133=3,INDEX(Baseline!$B$3:$B$122,MATCH(MIN(MAX(ROUND(($F1133)/5,0)*5,5),600),Baseline!$A$3:$A$122,0))-Inputs!$B$9,INDEX(Course!$N$2:$N$19,MATCH($B1133,Course!$A$2:$A$19,0))),INDEX(Baseline!$B$3:$E$122,MATCH(MIN(MAX(ROUND(($F1133)/5,0)*5,5),600),Baseline!$A$3:$A$122,0),MATCH($E1133,Baseline!$B$2:$E$2,0))))))</f>
        <v/>
      </c>
      <c r="P1133" s="17" t="str">
        <f aca="false">IF($B1133="","",INDEX(Course!$N$2:$N$19,MATCH($B1133,Course!$A$2:$A$19,0)))</f>
        <v/>
      </c>
      <c r="Q1133" s="17" t="str">
        <f aca="false">IF($B1133="","",INDEX(Course!$P$2:$P$19,MATCH($B1133,Course!$A$2:$A$19,0)))</f>
        <v/>
      </c>
      <c r="R1133" s="17" t="str">
        <f aca="false">IF($C1133="","",IF(OR($C1133="G",$C1133="H"),0,IF($C1133="T",1,MIN(1,MAX(0,($N1133-Inputs!$B$8)/MAX($P1133-Inputs!$B$8,0.01))))))</f>
        <v/>
      </c>
      <c r="S1133" s="17" t="str">
        <f aca="false">IF($C1133="","",IF(OR($E1133="G",$E1133="H"),0,IF($E1133="T",1,MIN(1,MAX(0,($O1133-Inputs!$B$8)/MAX($P1133-Inputs!$B$8,0.01))))))</f>
        <v/>
      </c>
    </row>
    <row r="1134" customFormat="false" ht="15" hidden="false" customHeight="false" outlineLevel="0" collapsed="false">
      <c r="I1134" s="7" t="str">
        <f aca="false">IF($C1134="","",IF($C1134="G","PUTT",IF(AND($C1134="T",$M1134&gt;3),"OTT",IF($D1134&lt;=30,"ARG","APP"))))</f>
        <v/>
      </c>
      <c r="J1134" s="17" t="str">
        <f aca="false">IF($C1134="","",$N1134+$Q1134*$R1134)</f>
        <v/>
      </c>
      <c r="K1134" s="17" t="str">
        <f aca="false">IF($C1134="","",$O1134+$Q1134*$S1134)</f>
        <v/>
      </c>
      <c r="L1134" s="17" t="str">
        <f aca="false">IF($C1134="","",$J1134-$K1134-1-N($G1134))</f>
        <v/>
      </c>
      <c r="M1134" s="7" t="str">
        <f aca="false">IF($B1134="","",INDEX(Course!$B$2:$B$19,MATCH($B1134,Course!$A$2:$A$19,0)))</f>
        <v/>
      </c>
      <c r="N1134" s="17" t="str">
        <f aca="false">IF($C1134="","",IF($C1134="H",0,IF($C1134="G",INDEX(Baseline!$I$3:$I$102,MIN(MAX(ROUND($D1134,0),1),100)),IF($C1134="T",IF($M1134=3,INDEX(Baseline!$B$3:$B$122,MATCH(MIN(MAX(ROUND(($D1134)/5,0)*5,5),600),Baseline!$A$3:$A$122,0))-Inputs!$B$9,INDEX(Course!$N$2:$N$19,MATCH($B1134,Course!$A$2:$A$19,0))),INDEX(Baseline!$B$3:$E$122,MATCH(MIN(MAX(ROUND(($D1134)/5,0)*5,5),600),Baseline!$A$3:$A$122,0),MATCH($C1134,Baseline!$B$2:$E$2,0))))))</f>
        <v/>
      </c>
      <c r="O1134" s="17" t="str">
        <f aca="false">IF($C1134="","",IF($E1134="H",0,IF($E1134="G",INDEX(Baseline!$I$3:$I$102,MIN(MAX(ROUND($F1134,0),1),100)),IF($E1134="T",IF($M1134=3,INDEX(Baseline!$B$3:$B$122,MATCH(MIN(MAX(ROUND(($F1134)/5,0)*5,5),600),Baseline!$A$3:$A$122,0))-Inputs!$B$9,INDEX(Course!$N$2:$N$19,MATCH($B1134,Course!$A$2:$A$19,0))),INDEX(Baseline!$B$3:$E$122,MATCH(MIN(MAX(ROUND(($F1134)/5,0)*5,5),600),Baseline!$A$3:$A$122,0),MATCH($E1134,Baseline!$B$2:$E$2,0))))))</f>
        <v/>
      </c>
      <c r="P1134" s="17" t="str">
        <f aca="false">IF($B1134="","",INDEX(Course!$N$2:$N$19,MATCH($B1134,Course!$A$2:$A$19,0)))</f>
        <v/>
      </c>
      <c r="Q1134" s="17" t="str">
        <f aca="false">IF($B1134="","",INDEX(Course!$P$2:$P$19,MATCH($B1134,Course!$A$2:$A$19,0)))</f>
        <v/>
      </c>
      <c r="R1134" s="17" t="str">
        <f aca="false">IF($C1134="","",IF(OR($C1134="G",$C1134="H"),0,IF($C1134="T",1,MIN(1,MAX(0,($N1134-Inputs!$B$8)/MAX($P1134-Inputs!$B$8,0.01))))))</f>
        <v/>
      </c>
      <c r="S1134" s="17" t="str">
        <f aca="false">IF($C1134="","",IF(OR($E1134="G",$E1134="H"),0,IF($E1134="T",1,MIN(1,MAX(0,($O1134-Inputs!$B$8)/MAX($P1134-Inputs!$B$8,0.01))))))</f>
        <v/>
      </c>
    </row>
    <row r="1135" customFormat="false" ht="15" hidden="false" customHeight="false" outlineLevel="0" collapsed="false">
      <c r="I1135" s="7" t="str">
        <f aca="false">IF($C1135="","",IF($C1135="G","PUTT",IF(AND($C1135="T",$M1135&gt;3),"OTT",IF($D1135&lt;=30,"ARG","APP"))))</f>
        <v/>
      </c>
      <c r="J1135" s="17" t="str">
        <f aca="false">IF($C1135="","",$N1135+$Q1135*$R1135)</f>
        <v/>
      </c>
      <c r="K1135" s="17" t="str">
        <f aca="false">IF($C1135="","",$O1135+$Q1135*$S1135)</f>
        <v/>
      </c>
      <c r="L1135" s="17" t="str">
        <f aca="false">IF($C1135="","",$J1135-$K1135-1-N($G1135))</f>
        <v/>
      </c>
      <c r="M1135" s="7" t="str">
        <f aca="false">IF($B1135="","",INDEX(Course!$B$2:$B$19,MATCH($B1135,Course!$A$2:$A$19,0)))</f>
        <v/>
      </c>
      <c r="N1135" s="17" t="str">
        <f aca="false">IF($C1135="","",IF($C1135="H",0,IF($C1135="G",INDEX(Baseline!$I$3:$I$102,MIN(MAX(ROUND($D1135,0),1),100)),IF($C1135="T",IF($M1135=3,INDEX(Baseline!$B$3:$B$122,MATCH(MIN(MAX(ROUND(($D1135)/5,0)*5,5),600),Baseline!$A$3:$A$122,0))-Inputs!$B$9,INDEX(Course!$N$2:$N$19,MATCH($B1135,Course!$A$2:$A$19,0))),INDEX(Baseline!$B$3:$E$122,MATCH(MIN(MAX(ROUND(($D1135)/5,0)*5,5),600),Baseline!$A$3:$A$122,0),MATCH($C1135,Baseline!$B$2:$E$2,0))))))</f>
        <v/>
      </c>
      <c r="O1135" s="17" t="str">
        <f aca="false">IF($C1135="","",IF($E1135="H",0,IF($E1135="G",INDEX(Baseline!$I$3:$I$102,MIN(MAX(ROUND($F1135,0),1),100)),IF($E1135="T",IF($M1135=3,INDEX(Baseline!$B$3:$B$122,MATCH(MIN(MAX(ROUND(($F1135)/5,0)*5,5),600),Baseline!$A$3:$A$122,0))-Inputs!$B$9,INDEX(Course!$N$2:$N$19,MATCH($B1135,Course!$A$2:$A$19,0))),INDEX(Baseline!$B$3:$E$122,MATCH(MIN(MAX(ROUND(($F1135)/5,0)*5,5),600),Baseline!$A$3:$A$122,0),MATCH($E1135,Baseline!$B$2:$E$2,0))))))</f>
        <v/>
      </c>
      <c r="P1135" s="17" t="str">
        <f aca="false">IF($B1135="","",INDEX(Course!$N$2:$N$19,MATCH($B1135,Course!$A$2:$A$19,0)))</f>
        <v/>
      </c>
      <c r="Q1135" s="17" t="str">
        <f aca="false">IF($B1135="","",INDEX(Course!$P$2:$P$19,MATCH($B1135,Course!$A$2:$A$19,0)))</f>
        <v/>
      </c>
      <c r="R1135" s="17" t="str">
        <f aca="false">IF($C1135="","",IF(OR($C1135="G",$C1135="H"),0,IF($C1135="T",1,MIN(1,MAX(0,($N1135-Inputs!$B$8)/MAX($P1135-Inputs!$B$8,0.01))))))</f>
        <v/>
      </c>
      <c r="S1135" s="17" t="str">
        <f aca="false">IF($C1135="","",IF(OR($E1135="G",$E1135="H"),0,IF($E1135="T",1,MIN(1,MAX(0,($O1135-Inputs!$B$8)/MAX($P1135-Inputs!$B$8,0.01))))))</f>
        <v/>
      </c>
    </row>
    <row r="1136" customFormat="false" ht="15" hidden="false" customHeight="false" outlineLevel="0" collapsed="false">
      <c r="I1136" s="7" t="str">
        <f aca="false">IF($C1136="","",IF($C1136="G","PUTT",IF(AND($C1136="T",$M1136&gt;3),"OTT",IF($D1136&lt;=30,"ARG","APP"))))</f>
        <v/>
      </c>
      <c r="J1136" s="17" t="str">
        <f aca="false">IF($C1136="","",$N1136+$Q1136*$R1136)</f>
        <v/>
      </c>
      <c r="K1136" s="17" t="str">
        <f aca="false">IF($C1136="","",$O1136+$Q1136*$S1136)</f>
        <v/>
      </c>
      <c r="L1136" s="17" t="str">
        <f aca="false">IF($C1136="","",$J1136-$K1136-1-N($G1136))</f>
        <v/>
      </c>
      <c r="M1136" s="7" t="str">
        <f aca="false">IF($B1136="","",INDEX(Course!$B$2:$B$19,MATCH($B1136,Course!$A$2:$A$19,0)))</f>
        <v/>
      </c>
      <c r="N1136" s="17" t="str">
        <f aca="false">IF($C1136="","",IF($C1136="H",0,IF($C1136="G",INDEX(Baseline!$I$3:$I$102,MIN(MAX(ROUND($D1136,0),1),100)),IF($C1136="T",IF($M1136=3,INDEX(Baseline!$B$3:$B$122,MATCH(MIN(MAX(ROUND(($D1136)/5,0)*5,5),600),Baseline!$A$3:$A$122,0))-Inputs!$B$9,INDEX(Course!$N$2:$N$19,MATCH($B1136,Course!$A$2:$A$19,0))),INDEX(Baseline!$B$3:$E$122,MATCH(MIN(MAX(ROUND(($D1136)/5,0)*5,5),600),Baseline!$A$3:$A$122,0),MATCH($C1136,Baseline!$B$2:$E$2,0))))))</f>
        <v/>
      </c>
      <c r="O1136" s="17" t="str">
        <f aca="false">IF($C1136="","",IF($E1136="H",0,IF($E1136="G",INDEX(Baseline!$I$3:$I$102,MIN(MAX(ROUND($F1136,0),1),100)),IF($E1136="T",IF($M1136=3,INDEX(Baseline!$B$3:$B$122,MATCH(MIN(MAX(ROUND(($F1136)/5,0)*5,5),600),Baseline!$A$3:$A$122,0))-Inputs!$B$9,INDEX(Course!$N$2:$N$19,MATCH($B1136,Course!$A$2:$A$19,0))),INDEX(Baseline!$B$3:$E$122,MATCH(MIN(MAX(ROUND(($F1136)/5,0)*5,5),600),Baseline!$A$3:$A$122,0),MATCH($E1136,Baseline!$B$2:$E$2,0))))))</f>
        <v/>
      </c>
      <c r="P1136" s="17" t="str">
        <f aca="false">IF($B1136="","",INDEX(Course!$N$2:$N$19,MATCH($B1136,Course!$A$2:$A$19,0)))</f>
        <v/>
      </c>
      <c r="Q1136" s="17" t="str">
        <f aca="false">IF($B1136="","",INDEX(Course!$P$2:$P$19,MATCH($B1136,Course!$A$2:$A$19,0)))</f>
        <v/>
      </c>
      <c r="R1136" s="17" t="str">
        <f aca="false">IF($C1136="","",IF(OR($C1136="G",$C1136="H"),0,IF($C1136="T",1,MIN(1,MAX(0,($N1136-Inputs!$B$8)/MAX($P1136-Inputs!$B$8,0.01))))))</f>
        <v/>
      </c>
      <c r="S1136" s="17" t="str">
        <f aca="false">IF($C1136="","",IF(OR($E1136="G",$E1136="H"),0,IF($E1136="T",1,MIN(1,MAX(0,($O1136-Inputs!$B$8)/MAX($P1136-Inputs!$B$8,0.01))))))</f>
        <v/>
      </c>
    </row>
    <row r="1137" customFormat="false" ht="15" hidden="false" customHeight="false" outlineLevel="0" collapsed="false">
      <c r="I1137" s="7" t="str">
        <f aca="false">IF($C1137="","",IF($C1137="G","PUTT",IF(AND($C1137="T",$M1137&gt;3),"OTT",IF($D1137&lt;=30,"ARG","APP"))))</f>
        <v/>
      </c>
      <c r="J1137" s="17" t="str">
        <f aca="false">IF($C1137="","",$N1137+$Q1137*$R1137)</f>
        <v/>
      </c>
      <c r="K1137" s="17" t="str">
        <f aca="false">IF($C1137="","",$O1137+$Q1137*$S1137)</f>
        <v/>
      </c>
      <c r="L1137" s="17" t="str">
        <f aca="false">IF($C1137="","",$J1137-$K1137-1-N($G1137))</f>
        <v/>
      </c>
      <c r="M1137" s="7" t="str">
        <f aca="false">IF($B1137="","",INDEX(Course!$B$2:$B$19,MATCH($B1137,Course!$A$2:$A$19,0)))</f>
        <v/>
      </c>
      <c r="N1137" s="17" t="str">
        <f aca="false">IF($C1137="","",IF($C1137="H",0,IF($C1137="G",INDEX(Baseline!$I$3:$I$102,MIN(MAX(ROUND($D1137,0),1),100)),IF($C1137="T",IF($M1137=3,INDEX(Baseline!$B$3:$B$122,MATCH(MIN(MAX(ROUND(($D1137)/5,0)*5,5),600),Baseline!$A$3:$A$122,0))-Inputs!$B$9,INDEX(Course!$N$2:$N$19,MATCH($B1137,Course!$A$2:$A$19,0))),INDEX(Baseline!$B$3:$E$122,MATCH(MIN(MAX(ROUND(($D1137)/5,0)*5,5),600),Baseline!$A$3:$A$122,0),MATCH($C1137,Baseline!$B$2:$E$2,0))))))</f>
        <v/>
      </c>
      <c r="O1137" s="17" t="str">
        <f aca="false">IF($C1137="","",IF($E1137="H",0,IF($E1137="G",INDEX(Baseline!$I$3:$I$102,MIN(MAX(ROUND($F1137,0),1),100)),IF($E1137="T",IF($M1137=3,INDEX(Baseline!$B$3:$B$122,MATCH(MIN(MAX(ROUND(($F1137)/5,0)*5,5),600),Baseline!$A$3:$A$122,0))-Inputs!$B$9,INDEX(Course!$N$2:$N$19,MATCH($B1137,Course!$A$2:$A$19,0))),INDEX(Baseline!$B$3:$E$122,MATCH(MIN(MAX(ROUND(($F1137)/5,0)*5,5),600),Baseline!$A$3:$A$122,0),MATCH($E1137,Baseline!$B$2:$E$2,0))))))</f>
        <v/>
      </c>
      <c r="P1137" s="17" t="str">
        <f aca="false">IF($B1137="","",INDEX(Course!$N$2:$N$19,MATCH($B1137,Course!$A$2:$A$19,0)))</f>
        <v/>
      </c>
      <c r="Q1137" s="17" t="str">
        <f aca="false">IF($B1137="","",INDEX(Course!$P$2:$P$19,MATCH($B1137,Course!$A$2:$A$19,0)))</f>
        <v/>
      </c>
      <c r="R1137" s="17" t="str">
        <f aca="false">IF($C1137="","",IF(OR($C1137="G",$C1137="H"),0,IF($C1137="T",1,MIN(1,MAX(0,($N1137-Inputs!$B$8)/MAX($P1137-Inputs!$B$8,0.01))))))</f>
        <v/>
      </c>
      <c r="S1137" s="17" t="str">
        <f aca="false">IF($C1137="","",IF(OR($E1137="G",$E1137="H"),0,IF($E1137="T",1,MIN(1,MAX(0,($O1137-Inputs!$B$8)/MAX($P1137-Inputs!$B$8,0.01))))))</f>
        <v/>
      </c>
    </row>
    <row r="1138" customFormat="false" ht="15" hidden="false" customHeight="false" outlineLevel="0" collapsed="false">
      <c r="I1138" s="7" t="str">
        <f aca="false">IF($C1138="","",IF($C1138="G","PUTT",IF(AND($C1138="T",$M1138&gt;3),"OTT",IF($D1138&lt;=30,"ARG","APP"))))</f>
        <v/>
      </c>
      <c r="J1138" s="17" t="str">
        <f aca="false">IF($C1138="","",$N1138+$Q1138*$R1138)</f>
        <v/>
      </c>
      <c r="K1138" s="17" t="str">
        <f aca="false">IF($C1138="","",$O1138+$Q1138*$S1138)</f>
        <v/>
      </c>
      <c r="L1138" s="17" t="str">
        <f aca="false">IF($C1138="","",$J1138-$K1138-1-N($G1138))</f>
        <v/>
      </c>
      <c r="M1138" s="7" t="str">
        <f aca="false">IF($B1138="","",INDEX(Course!$B$2:$B$19,MATCH($B1138,Course!$A$2:$A$19,0)))</f>
        <v/>
      </c>
      <c r="N1138" s="17" t="str">
        <f aca="false">IF($C1138="","",IF($C1138="H",0,IF($C1138="G",INDEX(Baseline!$I$3:$I$102,MIN(MAX(ROUND($D1138,0),1),100)),IF($C1138="T",IF($M1138=3,INDEX(Baseline!$B$3:$B$122,MATCH(MIN(MAX(ROUND(($D1138)/5,0)*5,5),600),Baseline!$A$3:$A$122,0))-Inputs!$B$9,INDEX(Course!$N$2:$N$19,MATCH($B1138,Course!$A$2:$A$19,0))),INDEX(Baseline!$B$3:$E$122,MATCH(MIN(MAX(ROUND(($D1138)/5,0)*5,5),600),Baseline!$A$3:$A$122,0),MATCH($C1138,Baseline!$B$2:$E$2,0))))))</f>
        <v/>
      </c>
      <c r="O1138" s="17" t="str">
        <f aca="false">IF($C1138="","",IF($E1138="H",0,IF($E1138="G",INDEX(Baseline!$I$3:$I$102,MIN(MAX(ROUND($F1138,0),1),100)),IF($E1138="T",IF($M1138=3,INDEX(Baseline!$B$3:$B$122,MATCH(MIN(MAX(ROUND(($F1138)/5,0)*5,5),600),Baseline!$A$3:$A$122,0))-Inputs!$B$9,INDEX(Course!$N$2:$N$19,MATCH($B1138,Course!$A$2:$A$19,0))),INDEX(Baseline!$B$3:$E$122,MATCH(MIN(MAX(ROUND(($F1138)/5,0)*5,5),600),Baseline!$A$3:$A$122,0),MATCH($E1138,Baseline!$B$2:$E$2,0))))))</f>
        <v/>
      </c>
      <c r="P1138" s="17" t="str">
        <f aca="false">IF($B1138="","",INDEX(Course!$N$2:$N$19,MATCH($B1138,Course!$A$2:$A$19,0)))</f>
        <v/>
      </c>
      <c r="Q1138" s="17" t="str">
        <f aca="false">IF($B1138="","",INDEX(Course!$P$2:$P$19,MATCH($B1138,Course!$A$2:$A$19,0)))</f>
        <v/>
      </c>
      <c r="R1138" s="17" t="str">
        <f aca="false">IF($C1138="","",IF(OR($C1138="G",$C1138="H"),0,IF($C1138="T",1,MIN(1,MAX(0,($N1138-Inputs!$B$8)/MAX($P1138-Inputs!$B$8,0.01))))))</f>
        <v/>
      </c>
      <c r="S1138" s="17" t="str">
        <f aca="false">IF($C1138="","",IF(OR($E1138="G",$E1138="H"),0,IF($E1138="T",1,MIN(1,MAX(0,($O1138-Inputs!$B$8)/MAX($P1138-Inputs!$B$8,0.01))))))</f>
        <v/>
      </c>
    </row>
    <row r="1139" customFormat="false" ht="15" hidden="false" customHeight="false" outlineLevel="0" collapsed="false">
      <c r="I1139" s="7" t="str">
        <f aca="false">IF($C1139="","",IF($C1139="G","PUTT",IF(AND($C1139="T",$M1139&gt;3),"OTT",IF($D1139&lt;=30,"ARG","APP"))))</f>
        <v/>
      </c>
      <c r="J1139" s="17" t="str">
        <f aca="false">IF($C1139="","",$N1139+$Q1139*$R1139)</f>
        <v/>
      </c>
      <c r="K1139" s="17" t="str">
        <f aca="false">IF($C1139="","",$O1139+$Q1139*$S1139)</f>
        <v/>
      </c>
      <c r="L1139" s="17" t="str">
        <f aca="false">IF($C1139="","",$J1139-$K1139-1-N($G1139))</f>
        <v/>
      </c>
      <c r="M1139" s="7" t="str">
        <f aca="false">IF($B1139="","",INDEX(Course!$B$2:$B$19,MATCH($B1139,Course!$A$2:$A$19,0)))</f>
        <v/>
      </c>
      <c r="N1139" s="17" t="str">
        <f aca="false">IF($C1139="","",IF($C1139="H",0,IF($C1139="G",INDEX(Baseline!$I$3:$I$102,MIN(MAX(ROUND($D1139,0),1),100)),IF($C1139="T",IF($M1139=3,INDEX(Baseline!$B$3:$B$122,MATCH(MIN(MAX(ROUND(($D1139)/5,0)*5,5),600),Baseline!$A$3:$A$122,0))-Inputs!$B$9,INDEX(Course!$N$2:$N$19,MATCH($B1139,Course!$A$2:$A$19,0))),INDEX(Baseline!$B$3:$E$122,MATCH(MIN(MAX(ROUND(($D1139)/5,0)*5,5),600),Baseline!$A$3:$A$122,0),MATCH($C1139,Baseline!$B$2:$E$2,0))))))</f>
        <v/>
      </c>
      <c r="O1139" s="17" t="str">
        <f aca="false">IF($C1139="","",IF($E1139="H",0,IF($E1139="G",INDEX(Baseline!$I$3:$I$102,MIN(MAX(ROUND($F1139,0),1),100)),IF($E1139="T",IF($M1139=3,INDEX(Baseline!$B$3:$B$122,MATCH(MIN(MAX(ROUND(($F1139)/5,0)*5,5),600),Baseline!$A$3:$A$122,0))-Inputs!$B$9,INDEX(Course!$N$2:$N$19,MATCH($B1139,Course!$A$2:$A$19,0))),INDEX(Baseline!$B$3:$E$122,MATCH(MIN(MAX(ROUND(($F1139)/5,0)*5,5),600),Baseline!$A$3:$A$122,0),MATCH($E1139,Baseline!$B$2:$E$2,0))))))</f>
        <v/>
      </c>
      <c r="P1139" s="17" t="str">
        <f aca="false">IF($B1139="","",INDEX(Course!$N$2:$N$19,MATCH($B1139,Course!$A$2:$A$19,0)))</f>
        <v/>
      </c>
      <c r="Q1139" s="17" t="str">
        <f aca="false">IF($B1139="","",INDEX(Course!$P$2:$P$19,MATCH($B1139,Course!$A$2:$A$19,0)))</f>
        <v/>
      </c>
      <c r="R1139" s="17" t="str">
        <f aca="false">IF($C1139="","",IF(OR($C1139="G",$C1139="H"),0,IF($C1139="T",1,MIN(1,MAX(0,($N1139-Inputs!$B$8)/MAX($P1139-Inputs!$B$8,0.01))))))</f>
        <v/>
      </c>
      <c r="S1139" s="17" t="str">
        <f aca="false">IF($C1139="","",IF(OR($E1139="G",$E1139="H"),0,IF($E1139="T",1,MIN(1,MAX(0,($O1139-Inputs!$B$8)/MAX($P1139-Inputs!$B$8,0.01))))))</f>
        <v/>
      </c>
    </row>
    <row r="1140" customFormat="false" ht="15" hidden="false" customHeight="false" outlineLevel="0" collapsed="false">
      <c r="I1140" s="7" t="str">
        <f aca="false">IF($C1140="","",IF($C1140="G","PUTT",IF(AND($C1140="T",$M1140&gt;3),"OTT",IF($D1140&lt;=30,"ARG","APP"))))</f>
        <v/>
      </c>
      <c r="J1140" s="17" t="str">
        <f aca="false">IF($C1140="","",$N1140+$Q1140*$R1140)</f>
        <v/>
      </c>
      <c r="K1140" s="17" t="str">
        <f aca="false">IF($C1140="","",$O1140+$Q1140*$S1140)</f>
        <v/>
      </c>
      <c r="L1140" s="17" t="str">
        <f aca="false">IF($C1140="","",$J1140-$K1140-1-N($G1140))</f>
        <v/>
      </c>
      <c r="M1140" s="7" t="str">
        <f aca="false">IF($B1140="","",INDEX(Course!$B$2:$B$19,MATCH($B1140,Course!$A$2:$A$19,0)))</f>
        <v/>
      </c>
      <c r="N1140" s="17" t="str">
        <f aca="false">IF($C1140="","",IF($C1140="H",0,IF($C1140="G",INDEX(Baseline!$I$3:$I$102,MIN(MAX(ROUND($D1140,0),1),100)),IF($C1140="T",IF($M1140=3,INDEX(Baseline!$B$3:$B$122,MATCH(MIN(MAX(ROUND(($D1140)/5,0)*5,5),600),Baseline!$A$3:$A$122,0))-Inputs!$B$9,INDEX(Course!$N$2:$N$19,MATCH($B1140,Course!$A$2:$A$19,0))),INDEX(Baseline!$B$3:$E$122,MATCH(MIN(MAX(ROUND(($D1140)/5,0)*5,5),600),Baseline!$A$3:$A$122,0),MATCH($C1140,Baseline!$B$2:$E$2,0))))))</f>
        <v/>
      </c>
      <c r="O1140" s="17" t="str">
        <f aca="false">IF($C1140="","",IF($E1140="H",0,IF($E1140="G",INDEX(Baseline!$I$3:$I$102,MIN(MAX(ROUND($F1140,0),1),100)),IF($E1140="T",IF($M1140=3,INDEX(Baseline!$B$3:$B$122,MATCH(MIN(MAX(ROUND(($F1140)/5,0)*5,5),600),Baseline!$A$3:$A$122,0))-Inputs!$B$9,INDEX(Course!$N$2:$N$19,MATCH($B1140,Course!$A$2:$A$19,0))),INDEX(Baseline!$B$3:$E$122,MATCH(MIN(MAX(ROUND(($F1140)/5,0)*5,5),600),Baseline!$A$3:$A$122,0),MATCH($E1140,Baseline!$B$2:$E$2,0))))))</f>
        <v/>
      </c>
      <c r="P1140" s="17" t="str">
        <f aca="false">IF($B1140="","",INDEX(Course!$N$2:$N$19,MATCH($B1140,Course!$A$2:$A$19,0)))</f>
        <v/>
      </c>
      <c r="Q1140" s="17" t="str">
        <f aca="false">IF($B1140="","",INDEX(Course!$P$2:$P$19,MATCH($B1140,Course!$A$2:$A$19,0)))</f>
        <v/>
      </c>
      <c r="R1140" s="17" t="str">
        <f aca="false">IF($C1140="","",IF(OR($C1140="G",$C1140="H"),0,IF($C1140="T",1,MIN(1,MAX(0,($N1140-Inputs!$B$8)/MAX($P1140-Inputs!$B$8,0.01))))))</f>
        <v/>
      </c>
      <c r="S1140" s="17" t="str">
        <f aca="false">IF($C1140="","",IF(OR($E1140="G",$E1140="H"),0,IF($E1140="T",1,MIN(1,MAX(0,($O1140-Inputs!$B$8)/MAX($P1140-Inputs!$B$8,0.01))))))</f>
        <v/>
      </c>
    </row>
    <row r="1141" customFormat="false" ht="15" hidden="false" customHeight="false" outlineLevel="0" collapsed="false">
      <c r="I1141" s="7" t="str">
        <f aca="false">IF($C1141="","",IF($C1141="G","PUTT",IF(AND($C1141="T",$M1141&gt;3),"OTT",IF($D1141&lt;=30,"ARG","APP"))))</f>
        <v/>
      </c>
      <c r="J1141" s="17" t="str">
        <f aca="false">IF($C1141="","",$N1141+$Q1141*$R1141)</f>
        <v/>
      </c>
      <c r="K1141" s="17" t="str">
        <f aca="false">IF($C1141="","",$O1141+$Q1141*$S1141)</f>
        <v/>
      </c>
      <c r="L1141" s="17" t="str">
        <f aca="false">IF($C1141="","",$J1141-$K1141-1-N($G1141))</f>
        <v/>
      </c>
      <c r="M1141" s="7" t="str">
        <f aca="false">IF($B1141="","",INDEX(Course!$B$2:$B$19,MATCH($B1141,Course!$A$2:$A$19,0)))</f>
        <v/>
      </c>
      <c r="N1141" s="17" t="str">
        <f aca="false">IF($C1141="","",IF($C1141="H",0,IF($C1141="G",INDEX(Baseline!$I$3:$I$102,MIN(MAX(ROUND($D1141,0),1),100)),IF($C1141="T",IF($M1141=3,INDEX(Baseline!$B$3:$B$122,MATCH(MIN(MAX(ROUND(($D1141)/5,0)*5,5),600),Baseline!$A$3:$A$122,0))-Inputs!$B$9,INDEX(Course!$N$2:$N$19,MATCH($B1141,Course!$A$2:$A$19,0))),INDEX(Baseline!$B$3:$E$122,MATCH(MIN(MAX(ROUND(($D1141)/5,0)*5,5),600),Baseline!$A$3:$A$122,0),MATCH($C1141,Baseline!$B$2:$E$2,0))))))</f>
        <v/>
      </c>
      <c r="O1141" s="17" t="str">
        <f aca="false">IF($C1141="","",IF($E1141="H",0,IF($E1141="G",INDEX(Baseline!$I$3:$I$102,MIN(MAX(ROUND($F1141,0),1),100)),IF($E1141="T",IF($M1141=3,INDEX(Baseline!$B$3:$B$122,MATCH(MIN(MAX(ROUND(($F1141)/5,0)*5,5),600),Baseline!$A$3:$A$122,0))-Inputs!$B$9,INDEX(Course!$N$2:$N$19,MATCH($B1141,Course!$A$2:$A$19,0))),INDEX(Baseline!$B$3:$E$122,MATCH(MIN(MAX(ROUND(($F1141)/5,0)*5,5),600),Baseline!$A$3:$A$122,0),MATCH($E1141,Baseline!$B$2:$E$2,0))))))</f>
        <v/>
      </c>
      <c r="P1141" s="17" t="str">
        <f aca="false">IF($B1141="","",INDEX(Course!$N$2:$N$19,MATCH($B1141,Course!$A$2:$A$19,0)))</f>
        <v/>
      </c>
      <c r="Q1141" s="17" t="str">
        <f aca="false">IF($B1141="","",INDEX(Course!$P$2:$P$19,MATCH($B1141,Course!$A$2:$A$19,0)))</f>
        <v/>
      </c>
      <c r="R1141" s="17" t="str">
        <f aca="false">IF($C1141="","",IF(OR($C1141="G",$C1141="H"),0,IF($C1141="T",1,MIN(1,MAX(0,($N1141-Inputs!$B$8)/MAX($P1141-Inputs!$B$8,0.01))))))</f>
        <v/>
      </c>
      <c r="S1141" s="17" t="str">
        <f aca="false">IF($C1141="","",IF(OR($E1141="G",$E1141="H"),0,IF($E1141="T",1,MIN(1,MAX(0,($O1141-Inputs!$B$8)/MAX($P1141-Inputs!$B$8,0.01))))))</f>
        <v/>
      </c>
    </row>
    <row r="1142" customFormat="false" ht="15" hidden="false" customHeight="false" outlineLevel="0" collapsed="false">
      <c r="I1142" s="7" t="str">
        <f aca="false">IF($C1142="","",IF($C1142="G","PUTT",IF(AND($C1142="T",$M1142&gt;3),"OTT",IF($D1142&lt;=30,"ARG","APP"))))</f>
        <v/>
      </c>
      <c r="J1142" s="17" t="str">
        <f aca="false">IF($C1142="","",$N1142+$Q1142*$R1142)</f>
        <v/>
      </c>
      <c r="K1142" s="17" t="str">
        <f aca="false">IF($C1142="","",$O1142+$Q1142*$S1142)</f>
        <v/>
      </c>
      <c r="L1142" s="17" t="str">
        <f aca="false">IF($C1142="","",$J1142-$K1142-1-N($G1142))</f>
        <v/>
      </c>
      <c r="M1142" s="7" t="str">
        <f aca="false">IF($B1142="","",INDEX(Course!$B$2:$B$19,MATCH($B1142,Course!$A$2:$A$19,0)))</f>
        <v/>
      </c>
      <c r="N1142" s="17" t="str">
        <f aca="false">IF($C1142="","",IF($C1142="H",0,IF($C1142="G",INDEX(Baseline!$I$3:$I$102,MIN(MAX(ROUND($D1142,0),1),100)),IF($C1142="T",IF($M1142=3,INDEX(Baseline!$B$3:$B$122,MATCH(MIN(MAX(ROUND(($D1142)/5,0)*5,5),600),Baseline!$A$3:$A$122,0))-Inputs!$B$9,INDEX(Course!$N$2:$N$19,MATCH($B1142,Course!$A$2:$A$19,0))),INDEX(Baseline!$B$3:$E$122,MATCH(MIN(MAX(ROUND(($D1142)/5,0)*5,5),600),Baseline!$A$3:$A$122,0),MATCH($C1142,Baseline!$B$2:$E$2,0))))))</f>
        <v/>
      </c>
      <c r="O1142" s="17" t="str">
        <f aca="false">IF($C1142="","",IF($E1142="H",0,IF($E1142="G",INDEX(Baseline!$I$3:$I$102,MIN(MAX(ROUND($F1142,0),1),100)),IF($E1142="T",IF($M1142=3,INDEX(Baseline!$B$3:$B$122,MATCH(MIN(MAX(ROUND(($F1142)/5,0)*5,5),600),Baseline!$A$3:$A$122,0))-Inputs!$B$9,INDEX(Course!$N$2:$N$19,MATCH($B1142,Course!$A$2:$A$19,0))),INDEX(Baseline!$B$3:$E$122,MATCH(MIN(MAX(ROUND(($F1142)/5,0)*5,5),600),Baseline!$A$3:$A$122,0),MATCH($E1142,Baseline!$B$2:$E$2,0))))))</f>
        <v/>
      </c>
      <c r="P1142" s="17" t="str">
        <f aca="false">IF($B1142="","",INDEX(Course!$N$2:$N$19,MATCH($B1142,Course!$A$2:$A$19,0)))</f>
        <v/>
      </c>
      <c r="Q1142" s="17" t="str">
        <f aca="false">IF($B1142="","",INDEX(Course!$P$2:$P$19,MATCH($B1142,Course!$A$2:$A$19,0)))</f>
        <v/>
      </c>
      <c r="R1142" s="17" t="str">
        <f aca="false">IF($C1142="","",IF(OR($C1142="G",$C1142="H"),0,IF($C1142="T",1,MIN(1,MAX(0,($N1142-Inputs!$B$8)/MAX($P1142-Inputs!$B$8,0.01))))))</f>
        <v/>
      </c>
      <c r="S1142" s="17" t="str">
        <f aca="false">IF($C1142="","",IF(OR($E1142="G",$E1142="H"),0,IF($E1142="T",1,MIN(1,MAX(0,($O1142-Inputs!$B$8)/MAX($P1142-Inputs!$B$8,0.01))))))</f>
        <v/>
      </c>
    </row>
    <row r="1143" customFormat="false" ht="15" hidden="false" customHeight="false" outlineLevel="0" collapsed="false">
      <c r="I1143" s="7" t="str">
        <f aca="false">IF($C1143="","",IF($C1143="G","PUTT",IF(AND($C1143="T",$M1143&gt;3),"OTT",IF($D1143&lt;=30,"ARG","APP"))))</f>
        <v/>
      </c>
      <c r="J1143" s="17" t="str">
        <f aca="false">IF($C1143="","",$N1143+$Q1143*$R1143)</f>
        <v/>
      </c>
      <c r="K1143" s="17" t="str">
        <f aca="false">IF($C1143="","",$O1143+$Q1143*$S1143)</f>
        <v/>
      </c>
      <c r="L1143" s="17" t="str">
        <f aca="false">IF($C1143="","",$J1143-$K1143-1-N($G1143))</f>
        <v/>
      </c>
      <c r="M1143" s="7" t="str">
        <f aca="false">IF($B1143="","",INDEX(Course!$B$2:$B$19,MATCH($B1143,Course!$A$2:$A$19,0)))</f>
        <v/>
      </c>
      <c r="N1143" s="17" t="str">
        <f aca="false">IF($C1143="","",IF($C1143="H",0,IF($C1143="G",INDEX(Baseline!$I$3:$I$102,MIN(MAX(ROUND($D1143,0),1),100)),IF($C1143="T",IF($M1143=3,INDEX(Baseline!$B$3:$B$122,MATCH(MIN(MAX(ROUND(($D1143)/5,0)*5,5),600),Baseline!$A$3:$A$122,0))-Inputs!$B$9,INDEX(Course!$N$2:$N$19,MATCH($B1143,Course!$A$2:$A$19,0))),INDEX(Baseline!$B$3:$E$122,MATCH(MIN(MAX(ROUND(($D1143)/5,0)*5,5),600),Baseline!$A$3:$A$122,0),MATCH($C1143,Baseline!$B$2:$E$2,0))))))</f>
        <v/>
      </c>
      <c r="O1143" s="17" t="str">
        <f aca="false">IF($C1143="","",IF($E1143="H",0,IF($E1143="G",INDEX(Baseline!$I$3:$I$102,MIN(MAX(ROUND($F1143,0),1),100)),IF($E1143="T",IF($M1143=3,INDEX(Baseline!$B$3:$B$122,MATCH(MIN(MAX(ROUND(($F1143)/5,0)*5,5),600),Baseline!$A$3:$A$122,0))-Inputs!$B$9,INDEX(Course!$N$2:$N$19,MATCH($B1143,Course!$A$2:$A$19,0))),INDEX(Baseline!$B$3:$E$122,MATCH(MIN(MAX(ROUND(($F1143)/5,0)*5,5),600),Baseline!$A$3:$A$122,0),MATCH($E1143,Baseline!$B$2:$E$2,0))))))</f>
        <v/>
      </c>
      <c r="P1143" s="17" t="str">
        <f aca="false">IF($B1143="","",INDEX(Course!$N$2:$N$19,MATCH($B1143,Course!$A$2:$A$19,0)))</f>
        <v/>
      </c>
      <c r="Q1143" s="17" t="str">
        <f aca="false">IF($B1143="","",INDEX(Course!$P$2:$P$19,MATCH($B1143,Course!$A$2:$A$19,0)))</f>
        <v/>
      </c>
      <c r="R1143" s="17" t="str">
        <f aca="false">IF($C1143="","",IF(OR($C1143="G",$C1143="H"),0,IF($C1143="T",1,MIN(1,MAX(0,($N1143-Inputs!$B$8)/MAX($P1143-Inputs!$B$8,0.01))))))</f>
        <v/>
      </c>
      <c r="S1143" s="17" t="str">
        <f aca="false">IF($C1143="","",IF(OR($E1143="G",$E1143="H"),0,IF($E1143="T",1,MIN(1,MAX(0,($O1143-Inputs!$B$8)/MAX($P1143-Inputs!$B$8,0.01))))))</f>
        <v/>
      </c>
    </row>
    <row r="1144" customFormat="false" ht="15" hidden="false" customHeight="false" outlineLevel="0" collapsed="false">
      <c r="I1144" s="7" t="str">
        <f aca="false">IF($C1144="","",IF($C1144="G","PUTT",IF(AND($C1144="T",$M1144&gt;3),"OTT",IF($D1144&lt;=30,"ARG","APP"))))</f>
        <v/>
      </c>
      <c r="J1144" s="17" t="str">
        <f aca="false">IF($C1144="","",$N1144+$Q1144*$R1144)</f>
        <v/>
      </c>
      <c r="K1144" s="17" t="str">
        <f aca="false">IF($C1144="","",$O1144+$Q1144*$S1144)</f>
        <v/>
      </c>
      <c r="L1144" s="17" t="str">
        <f aca="false">IF($C1144="","",$J1144-$K1144-1-N($G1144))</f>
        <v/>
      </c>
      <c r="M1144" s="7" t="str">
        <f aca="false">IF($B1144="","",INDEX(Course!$B$2:$B$19,MATCH($B1144,Course!$A$2:$A$19,0)))</f>
        <v/>
      </c>
      <c r="N1144" s="17" t="str">
        <f aca="false">IF($C1144="","",IF($C1144="H",0,IF($C1144="G",INDEX(Baseline!$I$3:$I$102,MIN(MAX(ROUND($D1144,0),1),100)),IF($C1144="T",IF($M1144=3,INDEX(Baseline!$B$3:$B$122,MATCH(MIN(MAX(ROUND(($D1144)/5,0)*5,5),600),Baseline!$A$3:$A$122,0))-Inputs!$B$9,INDEX(Course!$N$2:$N$19,MATCH($B1144,Course!$A$2:$A$19,0))),INDEX(Baseline!$B$3:$E$122,MATCH(MIN(MAX(ROUND(($D1144)/5,0)*5,5),600),Baseline!$A$3:$A$122,0),MATCH($C1144,Baseline!$B$2:$E$2,0))))))</f>
        <v/>
      </c>
      <c r="O1144" s="17" t="str">
        <f aca="false">IF($C1144="","",IF($E1144="H",0,IF($E1144="G",INDEX(Baseline!$I$3:$I$102,MIN(MAX(ROUND($F1144,0),1),100)),IF($E1144="T",IF($M1144=3,INDEX(Baseline!$B$3:$B$122,MATCH(MIN(MAX(ROUND(($F1144)/5,0)*5,5),600),Baseline!$A$3:$A$122,0))-Inputs!$B$9,INDEX(Course!$N$2:$N$19,MATCH($B1144,Course!$A$2:$A$19,0))),INDEX(Baseline!$B$3:$E$122,MATCH(MIN(MAX(ROUND(($F1144)/5,0)*5,5),600),Baseline!$A$3:$A$122,0),MATCH($E1144,Baseline!$B$2:$E$2,0))))))</f>
        <v/>
      </c>
      <c r="P1144" s="17" t="str">
        <f aca="false">IF($B1144="","",INDEX(Course!$N$2:$N$19,MATCH($B1144,Course!$A$2:$A$19,0)))</f>
        <v/>
      </c>
      <c r="Q1144" s="17" t="str">
        <f aca="false">IF($B1144="","",INDEX(Course!$P$2:$P$19,MATCH($B1144,Course!$A$2:$A$19,0)))</f>
        <v/>
      </c>
      <c r="R1144" s="17" t="str">
        <f aca="false">IF($C1144="","",IF(OR($C1144="G",$C1144="H"),0,IF($C1144="T",1,MIN(1,MAX(0,($N1144-Inputs!$B$8)/MAX($P1144-Inputs!$B$8,0.01))))))</f>
        <v/>
      </c>
      <c r="S1144" s="17" t="str">
        <f aca="false">IF($C1144="","",IF(OR($E1144="G",$E1144="H"),0,IF($E1144="T",1,MIN(1,MAX(0,($O1144-Inputs!$B$8)/MAX($P1144-Inputs!$B$8,0.01))))))</f>
        <v/>
      </c>
    </row>
    <row r="1145" customFormat="false" ht="15" hidden="false" customHeight="false" outlineLevel="0" collapsed="false">
      <c r="I1145" s="7" t="str">
        <f aca="false">IF($C1145="","",IF($C1145="G","PUTT",IF(AND($C1145="T",$M1145&gt;3),"OTT",IF($D1145&lt;=30,"ARG","APP"))))</f>
        <v/>
      </c>
      <c r="J1145" s="17" t="str">
        <f aca="false">IF($C1145="","",$N1145+$Q1145*$R1145)</f>
        <v/>
      </c>
      <c r="K1145" s="17" t="str">
        <f aca="false">IF($C1145="","",$O1145+$Q1145*$S1145)</f>
        <v/>
      </c>
      <c r="L1145" s="17" t="str">
        <f aca="false">IF($C1145="","",$J1145-$K1145-1-N($G1145))</f>
        <v/>
      </c>
      <c r="M1145" s="7" t="str">
        <f aca="false">IF($B1145="","",INDEX(Course!$B$2:$B$19,MATCH($B1145,Course!$A$2:$A$19,0)))</f>
        <v/>
      </c>
      <c r="N1145" s="17" t="str">
        <f aca="false">IF($C1145="","",IF($C1145="H",0,IF($C1145="G",INDEX(Baseline!$I$3:$I$102,MIN(MAX(ROUND($D1145,0),1),100)),IF($C1145="T",IF($M1145=3,INDEX(Baseline!$B$3:$B$122,MATCH(MIN(MAX(ROUND(($D1145)/5,0)*5,5),600),Baseline!$A$3:$A$122,0))-Inputs!$B$9,INDEX(Course!$N$2:$N$19,MATCH($B1145,Course!$A$2:$A$19,0))),INDEX(Baseline!$B$3:$E$122,MATCH(MIN(MAX(ROUND(($D1145)/5,0)*5,5),600),Baseline!$A$3:$A$122,0),MATCH($C1145,Baseline!$B$2:$E$2,0))))))</f>
        <v/>
      </c>
      <c r="O1145" s="17" t="str">
        <f aca="false">IF($C1145="","",IF($E1145="H",0,IF($E1145="G",INDEX(Baseline!$I$3:$I$102,MIN(MAX(ROUND($F1145,0),1),100)),IF($E1145="T",IF($M1145=3,INDEX(Baseline!$B$3:$B$122,MATCH(MIN(MAX(ROUND(($F1145)/5,0)*5,5),600),Baseline!$A$3:$A$122,0))-Inputs!$B$9,INDEX(Course!$N$2:$N$19,MATCH($B1145,Course!$A$2:$A$19,0))),INDEX(Baseline!$B$3:$E$122,MATCH(MIN(MAX(ROUND(($F1145)/5,0)*5,5),600),Baseline!$A$3:$A$122,0),MATCH($E1145,Baseline!$B$2:$E$2,0))))))</f>
        <v/>
      </c>
      <c r="P1145" s="17" t="str">
        <f aca="false">IF($B1145="","",INDEX(Course!$N$2:$N$19,MATCH($B1145,Course!$A$2:$A$19,0)))</f>
        <v/>
      </c>
      <c r="Q1145" s="17" t="str">
        <f aca="false">IF($B1145="","",INDEX(Course!$P$2:$P$19,MATCH($B1145,Course!$A$2:$A$19,0)))</f>
        <v/>
      </c>
      <c r="R1145" s="17" t="str">
        <f aca="false">IF($C1145="","",IF(OR($C1145="G",$C1145="H"),0,IF($C1145="T",1,MIN(1,MAX(0,($N1145-Inputs!$B$8)/MAX($P1145-Inputs!$B$8,0.01))))))</f>
        <v/>
      </c>
      <c r="S1145" s="17" t="str">
        <f aca="false">IF($C1145="","",IF(OR($E1145="G",$E1145="H"),0,IF($E1145="T",1,MIN(1,MAX(0,($O1145-Inputs!$B$8)/MAX($P1145-Inputs!$B$8,0.01))))))</f>
        <v/>
      </c>
    </row>
    <row r="1146" customFormat="false" ht="15" hidden="false" customHeight="false" outlineLevel="0" collapsed="false">
      <c r="I1146" s="7" t="str">
        <f aca="false">IF($C1146="","",IF($C1146="G","PUTT",IF(AND($C1146="T",$M1146&gt;3),"OTT",IF($D1146&lt;=30,"ARG","APP"))))</f>
        <v/>
      </c>
      <c r="J1146" s="17" t="str">
        <f aca="false">IF($C1146="","",$N1146+$Q1146*$R1146)</f>
        <v/>
      </c>
      <c r="K1146" s="17" t="str">
        <f aca="false">IF($C1146="","",$O1146+$Q1146*$S1146)</f>
        <v/>
      </c>
      <c r="L1146" s="17" t="str">
        <f aca="false">IF($C1146="","",$J1146-$K1146-1-N($G1146))</f>
        <v/>
      </c>
      <c r="M1146" s="7" t="str">
        <f aca="false">IF($B1146="","",INDEX(Course!$B$2:$B$19,MATCH($B1146,Course!$A$2:$A$19,0)))</f>
        <v/>
      </c>
      <c r="N1146" s="17" t="str">
        <f aca="false">IF($C1146="","",IF($C1146="H",0,IF($C1146="G",INDEX(Baseline!$I$3:$I$102,MIN(MAX(ROUND($D1146,0),1),100)),IF($C1146="T",IF($M1146=3,INDEX(Baseline!$B$3:$B$122,MATCH(MIN(MAX(ROUND(($D1146)/5,0)*5,5),600),Baseline!$A$3:$A$122,0))-Inputs!$B$9,INDEX(Course!$N$2:$N$19,MATCH($B1146,Course!$A$2:$A$19,0))),INDEX(Baseline!$B$3:$E$122,MATCH(MIN(MAX(ROUND(($D1146)/5,0)*5,5),600),Baseline!$A$3:$A$122,0),MATCH($C1146,Baseline!$B$2:$E$2,0))))))</f>
        <v/>
      </c>
      <c r="O1146" s="17" t="str">
        <f aca="false">IF($C1146="","",IF($E1146="H",0,IF($E1146="G",INDEX(Baseline!$I$3:$I$102,MIN(MAX(ROUND($F1146,0),1),100)),IF($E1146="T",IF($M1146=3,INDEX(Baseline!$B$3:$B$122,MATCH(MIN(MAX(ROUND(($F1146)/5,0)*5,5),600),Baseline!$A$3:$A$122,0))-Inputs!$B$9,INDEX(Course!$N$2:$N$19,MATCH($B1146,Course!$A$2:$A$19,0))),INDEX(Baseline!$B$3:$E$122,MATCH(MIN(MAX(ROUND(($F1146)/5,0)*5,5),600),Baseline!$A$3:$A$122,0),MATCH($E1146,Baseline!$B$2:$E$2,0))))))</f>
        <v/>
      </c>
      <c r="P1146" s="17" t="str">
        <f aca="false">IF($B1146="","",INDEX(Course!$N$2:$N$19,MATCH($B1146,Course!$A$2:$A$19,0)))</f>
        <v/>
      </c>
      <c r="Q1146" s="17" t="str">
        <f aca="false">IF($B1146="","",INDEX(Course!$P$2:$P$19,MATCH($B1146,Course!$A$2:$A$19,0)))</f>
        <v/>
      </c>
      <c r="R1146" s="17" t="str">
        <f aca="false">IF($C1146="","",IF(OR($C1146="G",$C1146="H"),0,IF($C1146="T",1,MIN(1,MAX(0,($N1146-Inputs!$B$8)/MAX($P1146-Inputs!$B$8,0.01))))))</f>
        <v/>
      </c>
      <c r="S1146" s="17" t="str">
        <f aca="false">IF($C1146="","",IF(OR($E1146="G",$E1146="H"),0,IF($E1146="T",1,MIN(1,MAX(0,($O1146-Inputs!$B$8)/MAX($P1146-Inputs!$B$8,0.01))))))</f>
        <v/>
      </c>
    </row>
    <row r="1147" customFormat="false" ht="15" hidden="false" customHeight="false" outlineLevel="0" collapsed="false">
      <c r="I1147" s="7" t="str">
        <f aca="false">IF($C1147="","",IF($C1147="G","PUTT",IF(AND($C1147="T",$M1147&gt;3),"OTT",IF($D1147&lt;=30,"ARG","APP"))))</f>
        <v/>
      </c>
      <c r="J1147" s="17" t="str">
        <f aca="false">IF($C1147="","",$N1147+$Q1147*$R1147)</f>
        <v/>
      </c>
      <c r="K1147" s="17" t="str">
        <f aca="false">IF($C1147="","",$O1147+$Q1147*$S1147)</f>
        <v/>
      </c>
      <c r="L1147" s="17" t="str">
        <f aca="false">IF($C1147="","",$J1147-$K1147-1-N($G1147))</f>
        <v/>
      </c>
      <c r="M1147" s="7" t="str">
        <f aca="false">IF($B1147="","",INDEX(Course!$B$2:$B$19,MATCH($B1147,Course!$A$2:$A$19,0)))</f>
        <v/>
      </c>
      <c r="N1147" s="17" t="str">
        <f aca="false">IF($C1147="","",IF($C1147="H",0,IF($C1147="G",INDEX(Baseline!$I$3:$I$102,MIN(MAX(ROUND($D1147,0),1),100)),IF($C1147="T",IF($M1147=3,INDEX(Baseline!$B$3:$B$122,MATCH(MIN(MAX(ROUND(($D1147)/5,0)*5,5),600),Baseline!$A$3:$A$122,0))-Inputs!$B$9,INDEX(Course!$N$2:$N$19,MATCH($B1147,Course!$A$2:$A$19,0))),INDEX(Baseline!$B$3:$E$122,MATCH(MIN(MAX(ROUND(($D1147)/5,0)*5,5),600),Baseline!$A$3:$A$122,0),MATCH($C1147,Baseline!$B$2:$E$2,0))))))</f>
        <v/>
      </c>
      <c r="O1147" s="17" t="str">
        <f aca="false">IF($C1147="","",IF($E1147="H",0,IF($E1147="G",INDEX(Baseline!$I$3:$I$102,MIN(MAX(ROUND($F1147,0),1),100)),IF($E1147="T",IF($M1147=3,INDEX(Baseline!$B$3:$B$122,MATCH(MIN(MAX(ROUND(($F1147)/5,0)*5,5),600),Baseline!$A$3:$A$122,0))-Inputs!$B$9,INDEX(Course!$N$2:$N$19,MATCH($B1147,Course!$A$2:$A$19,0))),INDEX(Baseline!$B$3:$E$122,MATCH(MIN(MAX(ROUND(($F1147)/5,0)*5,5),600),Baseline!$A$3:$A$122,0),MATCH($E1147,Baseline!$B$2:$E$2,0))))))</f>
        <v/>
      </c>
      <c r="P1147" s="17" t="str">
        <f aca="false">IF($B1147="","",INDEX(Course!$N$2:$N$19,MATCH($B1147,Course!$A$2:$A$19,0)))</f>
        <v/>
      </c>
      <c r="Q1147" s="17" t="str">
        <f aca="false">IF($B1147="","",INDEX(Course!$P$2:$P$19,MATCH($B1147,Course!$A$2:$A$19,0)))</f>
        <v/>
      </c>
      <c r="R1147" s="17" t="str">
        <f aca="false">IF($C1147="","",IF(OR($C1147="G",$C1147="H"),0,IF($C1147="T",1,MIN(1,MAX(0,($N1147-Inputs!$B$8)/MAX($P1147-Inputs!$B$8,0.01))))))</f>
        <v/>
      </c>
      <c r="S1147" s="17" t="str">
        <f aca="false">IF($C1147="","",IF(OR($E1147="G",$E1147="H"),0,IF($E1147="T",1,MIN(1,MAX(0,($O1147-Inputs!$B$8)/MAX($P1147-Inputs!$B$8,0.01))))))</f>
        <v/>
      </c>
    </row>
    <row r="1148" customFormat="false" ht="15" hidden="false" customHeight="false" outlineLevel="0" collapsed="false">
      <c r="I1148" s="7" t="str">
        <f aca="false">IF($C1148="","",IF($C1148="G","PUTT",IF(AND($C1148="T",$M1148&gt;3),"OTT",IF($D1148&lt;=30,"ARG","APP"))))</f>
        <v/>
      </c>
      <c r="J1148" s="17" t="str">
        <f aca="false">IF($C1148="","",$N1148+$Q1148*$R1148)</f>
        <v/>
      </c>
      <c r="K1148" s="17" t="str">
        <f aca="false">IF($C1148="","",$O1148+$Q1148*$S1148)</f>
        <v/>
      </c>
      <c r="L1148" s="17" t="str">
        <f aca="false">IF($C1148="","",$J1148-$K1148-1-N($G1148))</f>
        <v/>
      </c>
      <c r="M1148" s="7" t="str">
        <f aca="false">IF($B1148="","",INDEX(Course!$B$2:$B$19,MATCH($B1148,Course!$A$2:$A$19,0)))</f>
        <v/>
      </c>
      <c r="N1148" s="17" t="str">
        <f aca="false">IF($C1148="","",IF($C1148="H",0,IF($C1148="G",INDEX(Baseline!$I$3:$I$102,MIN(MAX(ROUND($D1148,0),1),100)),IF($C1148="T",IF($M1148=3,INDEX(Baseline!$B$3:$B$122,MATCH(MIN(MAX(ROUND(($D1148)/5,0)*5,5),600),Baseline!$A$3:$A$122,0))-Inputs!$B$9,INDEX(Course!$N$2:$N$19,MATCH($B1148,Course!$A$2:$A$19,0))),INDEX(Baseline!$B$3:$E$122,MATCH(MIN(MAX(ROUND(($D1148)/5,0)*5,5),600),Baseline!$A$3:$A$122,0),MATCH($C1148,Baseline!$B$2:$E$2,0))))))</f>
        <v/>
      </c>
      <c r="O1148" s="17" t="str">
        <f aca="false">IF($C1148="","",IF($E1148="H",0,IF($E1148="G",INDEX(Baseline!$I$3:$I$102,MIN(MAX(ROUND($F1148,0),1),100)),IF($E1148="T",IF($M1148=3,INDEX(Baseline!$B$3:$B$122,MATCH(MIN(MAX(ROUND(($F1148)/5,0)*5,5),600),Baseline!$A$3:$A$122,0))-Inputs!$B$9,INDEX(Course!$N$2:$N$19,MATCH($B1148,Course!$A$2:$A$19,0))),INDEX(Baseline!$B$3:$E$122,MATCH(MIN(MAX(ROUND(($F1148)/5,0)*5,5),600),Baseline!$A$3:$A$122,0),MATCH($E1148,Baseline!$B$2:$E$2,0))))))</f>
        <v/>
      </c>
      <c r="P1148" s="17" t="str">
        <f aca="false">IF($B1148="","",INDEX(Course!$N$2:$N$19,MATCH($B1148,Course!$A$2:$A$19,0)))</f>
        <v/>
      </c>
      <c r="Q1148" s="17" t="str">
        <f aca="false">IF($B1148="","",INDEX(Course!$P$2:$P$19,MATCH($B1148,Course!$A$2:$A$19,0)))</f>
        <v/>
      </c>
      <c r="R1148" s="17" t="str">
        <f aca="false">IF($C1148="","",IF(OR($C1148="G",$C1148="H"),0,IF($C1148="T",1,MIN(1,MAX(0,($N1148-Inputs!$B$8)/MAX($P1148-Inputs!$B$8,0.01))))))</f>
        <v/>
      </c>
      <c r="S1148" s="17" t="str">
        <f aca="false">IF($C1148="","",IF(OR($E1148="G",$E1148="H"),0,IF($E1148="T",1,MIN(1,MAX(0,($O1148-Inputs!$B$8)/MAX($P1148-Inputs!$B$8,0.01))))))</f>
        <v/>
      </c>
    </row>
    <row r="1149" customFormat="false" ht="15" hidden="false" customHeight="false" outlineLevel="0" collapsed="false">
      <c r="I1149" s="7" t="str">
        <f aca="false">IF($C1149="","",IF($C1149="G","PUTT",IF(AND($C1149="T",$M1149&gt;3),"OTT",IF($D1149&lt;=30,"ARG","APP"))))</f>
        <v/>
      </c>
      <c r="J1149" s="17" t="str">
        <f aca="false">IF($C1149="","",$N1149+$Q1149*$R1149)</f>
        <v/>
      </c>
      <c r="K1149" s="17" t="str">
        <f aca="false">IF($C1149="","",$O1149+$Q1149*$S1149)</f>
        <v/>
      </c>
      <c r="L1149" s="17" t="str">
        <f aca="false">IF($C1149="","",$J1149-$K1149-1-N($G1149))</f>
        <v/>
      </c>
      <c r="M1149" s="7" t="str">
        <f aca="false">IF($B1149="","",INDEX(Course!$B$2:$B$19,MATCH($B1149,Course!$A$2:$A$19,0)))</f>
        <v/>
      </c>
      <c r="N1149" s="17" t="str">
        <f aca="false">IF($C1149="","",IF($C1149="H",0,IF($C1149="G",INDEX(Baseline!$I$3:$I$102,MIN(MAX(ROUND($D1149,0),1),100)),IF($C1149="T",IF($M1149=3,INDEX(Baseline!$B$3:$B$122,MATCH(MIN(MAX(ROUND(($D1149)/5,0)*5,5),600),Baseline!$A$3:$A$122,0))-Inputs!$B$9,INDEX(Course!$N$2:$N$19,MATCH($B1149,Course!$A$2:$A$19,0))),INDEX(Baseline!$B$3:$E$122,MATCH(MIN(MAX(ROUND(($D1149)/5,0)*5,5),600),Baseline!$A$3:$A$122,0),MATCH($C1149,Baseline!$B$2:$E$2,0))))))</f>
        <v/>
      </c>
      <c r="O1149" s="17" t="str">
        <f aca="false">IF($C1149="","",IF($E1149="H",0,IF($E1149="G",INDEX(Baseline!$I$3:$I$102,MIN(MAX(ROUND($F1149,0),1),100)),IF($E1149="T",IF($M1149=3,INDEX(Baseline!$B$3:$B$122,MATCH(MIN(MAX(ROUND(($F1149)/5,0)*5,5),600),Baseline!$A$3:$A$122,0))-Inputs!$B$9,INDEX(Course!$N$2:$N$19,MATCH($B1149,Course!$A$2:$A$19,0))),INDEX(Baseline!$B$3:$E$122,MATCH(MIN(MAX(ROUND(($F1149)/5,0)*5,5),600),Baseline!$A$3:$A$122,0),MATCH($E1149,Baseline!$B$2:$E$2,0))))))</f>
        <v/>
      </c>
      <c r="P1149" s="17" t="str">
        <f aca="false">IF($B1149="","",INDEX(Course!$N$2:$N$19,MATCH($B1149,Course!$A$2:$A$19,0)))</f>
        <v/>
      </c>
      <c r="Q1149" s="17" t="str">
        <f aca="false">IF($B1149="","",INDEX(Course!$P$2:$P$19,MATCH($B1149,Course!$A$2:$A$19,0)))</f>
        <v/>
      </c>
      <c r="R1149" s="17" t="str">
        <f aca="false">IF($C1149="","",IF(OR($C1149="G",$C1149="H"),0,IF($C1149="T",1,MIN(1,MAX(0,($N1149-Inputs!$B$8)/MAX($P1149-Inputs!$B$8,0.01))))))</f>
        <v/>
      </c>
      <c r="S1149" s="17" t="str">
        <f aca="false">IF($C1149="","",IF(OR($E1149="G",$E1149="H"),0,IF($E1149="T",1,MIN(1,MAX(0,($O1149-Inputs!$B$8)/MAX($P1149-Inputs!$B$8,0.01))))))</f>
        <v/>
      </c>
    </row>
    <row r="1150" customFormat="false" ht="15" hidden="false" customHeight="false" outlineLevel="0" collapsed="false">
      <c r="I1150" s="7" t="str">
        <f aca="false">IF($C1150="","",IF($C1150="G","PUTT",IF(AND($C1150="T",$M1150&gt;3),"OTT",IF($D1150&lt;=30,"ARG","APP"))))</f>
        <v/>
      </c>
      <c r="J1150" s="17" t="str">
        <f aca="false">IF($C1150="","",$N1150+$Q1150*$R1150)</f>
        <v/>
      </c>
      <c r="K1150" s="17" t="str">
        <f aca="false">IF($C1150="","",$O1150+$Q1150*$S1150)</f>
        <v/>
      </c>
      <c r="L1150" s="17" t="str">
        <f aca="false">IF($C1150="","",$J1150-$K1150-1-N($G1150))</f>
        <v/>
      </c>
      <c r="M1150" s="7" t="str">
        <f aca="false">IF($B1150="","",INDEX(Course!$B$2:$B$19,MATCH($B1150,Course!$A$2:$A$19,0)))</f>
        <v/>
      </c>
      <c r="N1150" s="17" t="str">
        <f aca="false">IF($C1150="","",IF($C1150="H",0,IF($C1150="G",INDEX(Baseline!$I$3:$I$102,MIN(MAX(ROUND($D1150,0),1),100)),IF($C1150="T",IF($M1150=3,INDEX(Baseline!$B$3:$B$122,MATCH(MIN(MAX(ROUND(($D1150)/5,0)*5,5),600),Baseline!$A$3:$A$122,0))-Inputs!$B$9,INDEX(Course!$N$2:$N$19,MATCH($B1150,Course!$A$2:$A$19,0))),INDEX(Baseline!$B$3:$E$122,MATCH(MIN(MAX(ROUND(($D1150)/5,0)*5,5),600),Baseline!$A$3:$A$122,0),MATCH($C1150,Baseline!$B$2:$E$2,0))))))</f>
        <v/>
      </c>
      <c r="O1150" s="17" t="str">
        <f aca="false">IF($C1150="","",IF($E1150="H",0,IF($E1150="G",INDEX(Baseline!$I$3:$I$102,MIN(MAX(ROUND($F1150,0),1),100)),IF($E1150="T",IF($M1150=3,INDEX(Baseline!$B$3:$B$122,MATCH(MIN(MAX(ROUND(($F1150)/5,0)*5,5),600),Baseline!$A$3:$A$122,0))-Inputs!$B$9,INDEX(Course!$N$2:$N$19,MATCH($B1150,Course!$A$2:$A$19,0))),INDEX(Baseline!$B$3:$E$122,MATCH(MIN(MAX(ROUND(($F1150)/5,0)*5,5),600),Baseline!$A$3:$A$122,0),MATCH($E1150,Baseline!$B$2:$E$2,0))))))</f>
        <v/>
      </c>
      <c r="P1150" s="17" t="str">
        <f aca="false">IF($B1150="","",INDEX(Course!$N$2:$N$19,MATCH($B1150,Course!$A$2:$A$19,0)))</f>
        <v/>
      </c>
      <c r="Q1150" s="17" t="str">
        <f aca="false">IF($B1150="","",INDEX(Course!$P$2:$P$19,MATCH($B1150,Course!$A$2:$A$19,0)))</f>
        <v/>
      </c>
      <c r="R1150" s="17" t="str">
        <f aca="false">IF($C1150="","",IF(OR($C1150="G",$C1150="H"),0,IF($C1150="T",1,MIN(1,MAX(0,($N1150-Inputs!$B$8)/MAX($P1150-Inputs!$B$8,0.01))))))</f>
        <v/>
      </c>
      <c r="S1150" s="17" t="str">
        <f aca="false">IF($C1150="","",IF(OR($E1150="G",$E1150="H"),0,IF($E1150="T",1,MIN(1,MAX(0,($O1150-Inputs!$B$8)/MAX($P1150-Inputs!$B$8,0.01))))))</f>
        <v/>
      </c>
    </row>
    <row r="1151" customFormat="false" ht="15" hidden="false" customHeight="false" outlineLevel="0" collapsed="false">
      <c r="I1151" s="7" t="str">
        <f aca="false">IF($C1151="","",IF($C1151="G","PUTT",IF(AND($C1151="T",$M1151&gt;3),"OTT",IF($D1151&lt;=30,"ARG","APP"))))</f>
        <v/>
      </c>
      <c r="J1151" s="17" t="str">
        <f aca="false">IF($C1151="","",$N1151+$Q1151*$R1151)</f>
        <v/>
      </c>
      <c r="K1151" s="17" t="str">
        <f aca="false">IF($C1151="","",$O1151+$Q1151*$S1151)</f>
        <v/>
      </c>
      <c r="L1151" s="17" t="str">
        <f aca="false">IF($C1151="","",$J1151-$K1151-1-N($G1151))</f>
        <v/>
      </c>
      <c r="M1151" s="7" t="str">
        <f aca="false">IF($B1151="","",INDEX(Course!$B$2:$B$19,MATCH($B1151,Course!$A$2:$A$19,0)))</f>
        <v/>
      </c>
      <c r="N1151" s="17" t="str">
        <f aca="false">IF($C1151="","",IF($C1151="H",0,IF($C1151="G",INDEX(Baseline!$I$3:$I$102,MIN(MAX(ROUND($D1151,0),1),100)),IF($C1151="T",IF($M1151=3,INDEX(Baseline!$B$3:$B$122,MATCH(MIN(MAX(ROUND(($D1151)/5,0)*5,5),600),Baseline!$A$3:$A$122,0))-Inputs!$B$9,INDEX(Course!$N$2:$N$19,MATCH($B1151,Course!$A$2:$A$19,0))),INDEX(Baseline!$B$3:$E$122,MATCH(MIN(MAX(ROUND(($D1151)/5,0)*5,5),600),Baseline!$A$3:$A$122,0),MATCH($C1151,Baseline!$B$2:$E$2,0))))))</f>
        <v/>
      </c>
      <c r="O1151" s="17" t="str">
        <f aca="false">IF($C1151="","",IF($E1151="H",0,IF($E1151="G",INDEX(Baseline!$I$3:$I$102,MIN(MAX(ROUND($F1151,0),1),100)),IF($E1151="T",IF($M1151=3,INDEX(Baseline!$B$3:$B$122,MATCH(MIN(MAX(ROUND(($F1151)/5,0)*5,5),600),Baseline!$A$3:$A$122,0))-Inputs!$B$9,INDEX(Course!$N$2:$N$19,MATCH($B1151,Course!$A$2:$A$19,0))),INDEX(Baseline!$B$3:$E$122,MATCH(MIN(MAX(ROUND(($F1151)/5,0)*5,5),600),Baseline!$A$3:$A$122,0),MATCH($E1151,Baseline!$B$2:$E$2,0))))))</f>
        <v/>
      </c>
      <c r="P1151" s="17" t="str">
        <f aca="false">IF($B1151="","",INDEX(Course!$N$2:$N$19,MATCH($B1151,Course!$A$2:$A$19,0)))</f>
        <v/>
      </c>
      <c r="Q1151" s="17" t="str">
        <f aca="false">IF($B1151="","",INDEX(Course!$P$2:$P$19,MATCH($B1151,Course!$A$2:$A$19,0)))</f>
        <v/>
      </c>
      <c r="R1151" s="17" t="str">
        <f aca="false">IF($C1151="","",IF(OR($C1151="G",$C1151="H"),0,IF($C1151="T",1,MIN(1,MAX(0,($N1151-Inputs!$B$8)/MAX($P1151-Inputs!$B$8,0.01))))))</f>
        <v/>
      </c>
      <c r="S1151" s="17" t="str">
        <f aca="false">IF($C1151="","",IF(OR($E1151="G",$E1151="H"),0,IF($E1151="T",1,MIN(1,MAX(0,($O1151-Inputs!$B$8)/MAX($P1151-Inputs!$B$8,0.01))))))</f>
        <v/>
      </c>
    </row>
    <row r="1152" customFormat="false" ht="15" hidden="false" customHeight="false" outlineLevel="0" collapsed="false">
      <c r="I1152" s="7" t="str">
        <f aca="false">IF($C1152="","",IF($C1152="G","PUTT",IF(AND($C1152="T",$M1152&gt;3),"OTT",IF($D1152&lt;=30,"ARG","APP"))))</f>
        <v/>
      </c>
      <c r="J1152" s="17" t="str">
        <f aca="false">IF($C1152="","",$N1152+$Q1152*$R1152)</f>
        <v/>
      </c>
      <c r="K1152" s="17" t="str">
        <f aca="false">IF($C1152="","",$O1152+$Q1152*$S1152)</f>
        <v/>
      </c>
      <c r="L1152" s="17" t="str">
        <f aca="false">IF($C1152="","",$J1152-$K1152-1-N($G1152))</f>
        <v/>
      </c>
      <c r="M1152" s="7" t="str">
        <f aca="false">IF($B1152="","",INDEX(Course!$B$2:$B$19,MATCH($B1152,Course!$A$2:$A$19,0)))</f>
        <v/>
      </c>
      <c r="N1152" s="17" t="str">
        <f aca="false">IF($C1152="","",IF($C1152="H",0,IF($C1152="G",INDEX(Baseline!$I$3:$I$102,MIN(MAX(ROUND($D1152,0),1),100)),IF($C1152="T",IF($M1152=3,INDEX(Baseline!$B$3:$B$122,MATCH(MIN(MAX(ROUND(($D1152)/5,0)*5,5),600),Baseline!$A$3:$A$122,0))-Inputs!$B$9,INDEX(Course!$N$2:$N$19,MATCH($B1152,Course!$A$2:$A$19,0))),INDEX(Baseline!$B$3:$E$122,MATCH(MIN(MAX(ROUND(($D1152)/5,0)*5,5),600),Baseline!$A$3:$A$122,0),MATCH($C1152,Baseline!$B$2:$E$2,0))))))</f>
        <v/>
      </c>
      <c r="O1152" s="17" t="str">
        <f aca="false">IF($C1152="","",IF($E1152="H",0,IF($E1152="G",INDEX(Baseline!$I$3:$I$102,MIN(MAX(ROUND($F1152,0),1),100)),IF($E1152="T",IF($M1152=3,INDEX(Baseline!$B$3:$B$122,MATCH(MIN(MAX(ROUND(($F1152)/5,0)*5,5),600),Baseline!$A$3:$A$122,0))-Inputs!$B$9,INDEX(Course!$N$2:$N$19,MATCH($B1152,Course!$A$2:$A$19,0))),INDEX(Baseline!$B$3:$E$122,MATCH(MIN(MAX(ROUND(($F1152)/5,0)*5,5),600),Baseline!$A$3:$A$122,0),MATCH($E1152,Baseline!$B$2:$E$2,0))))))</f>
        <v/>
      </c>
      <c r="P1152" s="17" t="str">
        <f aca="false">IF($B1152="","",INDEX(Course!$N$2:$N$19,MATCH($B1152,Course!$A$2:$A$19,0)))</f>
        <v/>
      </c>
      <c r="Q1152" s="17" t="str">
        <f aca="false">IF($B1152="","",INDEX(Course!$P$2:$P$19,MATCH($B1152,Course!$A$2:$A$19,0)))</f>
        <v/>
      </c>
      <c r="R1152" s="17" t="str">
        <f aca="false">IF($C1152="","",IF(OR($C1152="G",$C1152="H"),0,IF($C1152="T",1,MIN(1,MAX(0,($N1152-Inputs!$B$8)/MAX($P1152-Inputs!$B$8,0.01))))))</f>
        <v/>
      </c>
      <c r="S1152" s="17" t="str">
        <f aca="false">IF($C1152="","",IF(OR($E1152="G",$E1152="H"),0,IF($E1152="T",1,MIN(1,MAX(0,($O1152-Inputs!$B$8)/MAX($P1152-Inputs!$B$8,0.01))))))</f>
        <v/>
      </c>
    </row>
    <row r="1153" customFormat="false" ht="15" hidden="false" customHeight="false" outlineLevel="0" collapsed="false">
      <c r="I1153" s="7" t="str">
        <f aca="false">IF($C1153="","",IF($C1153="G","PUTT",IF(AND($C1153="T",$M1153&gt;3),"OTT",IF($D1153&lt;=30,"ARG","APP"))))</f>
        <v/>
      </c>
      <c r="J1153" s="17" t="str">
        <f aca="false">IF($C1153="","",$N1153+$Q1153*$R1153)</f>
        <v/>
      </c>
      <c r="K1153" s="17" t="str">
        <f aca="false">IF($C1153="","",$O1153+$Q1153*$S1153)</f>
        <v/>
      </c>
      <c r="L1153" s="17" t="str">
        <f aca="false">IF($C1153="","",$J1153-$K1153-1-N($G1153))</f>
        <v/>
      </c>
      <c r="M1153" s="7" t="str">
        <f aca="false">IF($B1153="","",INDEX(Course!$B$2:$B$19,MATCH($B1153,Course!$A$2:$A$19,0)))</f>
        <v/>
      </c>
      <c r="N1153" s="17" t="str">
        <f aca="false">IF($C1153="","",IF($C1153="H",0,IF($C1153="G",INDEX(Baseline!$I$3:$I$102,MIN(MAX(ROUND($D1153,0),1),100)),IF($C1153="T",IF($M1153=3,INDEX(Baseline!$B$3:$B$122,MATCH(MIN(MAX(ROUND(($D1153)/5,0)*5,5),600),Baseline!$A$3:$A$122,0))-Inputs!$B$9,INDEX(Course!$N$2:$N$19,MATCH($B1153,Course!$A$2:$A$19,0))),INDEX(Baseline!$B$3:$E$122,MATCH(MIN(MAX(ROUND(($D1153)/5,0)*5,5),600),Baseline!$A$3:$A$122,0),MATCH($C1153,Baseline!$B$2:$E$2,0))))))</f>
        <v/>
      </c>
      <c r="O1153" s="17" t="str">
        <f aca="false">IF($C1153="","",IF($E1153="H",0,IF($E1153="G",INDEX(Baseline!$I$3:$I$102,MIN(MAX(ROUND($F1153,0),1),100)),IF($E1153="T",IF($M1153=3,INDEX(Baseline!$B$3:$B$122,MATCH(MIN(MAX(ROUND(($F1153)/5,0)*5,5),600),Baseline!$A$3:$A$122,0))-Inputs!$B$9,INDEX(Course!$N$2:$N$19,MATCH($B1153,Course!$A$2:$A$19,0))),INDEX(Baseline!$B$3:$E$122,MATCH(MIN(MAX(ROUND(($F1153)/5,0)*5,5),600),Baseline!$A$3:$A$122,0),MATCH($E1153,Baseline!$B$2:$E$2,0))))))</f>
        <v/>
      </c>
      <c r="P1153" s="17" t="str">
        <f aca="false">IF($B1153="","",INDEX(Course!$N$2:$N$19,MATCH($B1153,Course!$A$2:$A$19,0)))</f>
        <v/>
      </c>
      <c r="Q1153" s="17" t="str">
        <f aca="false">IF($B1153="","",INDEX(Course!$P$2:$P$19,MATCH($B1153,Course!$A$2:$A$19,0)))</f>
        <v/>
      </c>
      <c r="R1153" s="17" t="str">
        <f aca="false">IF($C1153="","",IF(OR($C1153="G",$C1153="H"),0,IF($C1153="T",1,MIN(1,MAX(0,($N1153-Inputs!$B$8)/MAX($P1153-Inputs!$B$8,0.01))))))</f>
        <v/>
      </c>
      <c r="S1153" s="17" t="str">
        <f aca="false">IF($C1153="","",IF(OR($E1153="G",$E1153="H"),0,IF($E1153="T",1,MIN(1,MAX(0,($O1153-Inputs!$B$8)/MAX($P1153-Inputs!$B$8,0.01))))))</f>
        <v/>
      </c>
    </row>
    <row r="1154" customFormat="false" ht="15" hidden="false" customHeight="false" outlineLevel="0" collapsed="false">
      <c r="I1154" s="7" t="str">
        <f aca="false">IF($C1154="","",IF($C1154="G","PUTT",IF(AND($C1154="T",$M1154&gt;3),"OTT",IF($D1154&lt;=30,"ARG","APP"))))</f>
        <v/>
      </c>
      <c r="J1154" s="17" t="str">
        <f aca="false">IF($C1154="","",$N1154+$Q1154*$R1154)</f>
        <v/>
      </c>
      <c r="K1154" s="17" t="str">
        <f aca="false">IF($C1154="","",$O1154+$Q1154*$S1154)</f>
        <v/>
      </c>
      <c r="L1154" s="17" t="str">
        <f aca="false">IF($C1154="","",$J1154-$K1154-1-N($G1154))</f>
        <v/>
      </c>
      <c r="M1154" s="7" t="str">
        <f aca="false">IF($B1154="","",INDEX(Course!$B$2:$B$19,MATCH($B1154,Course!$A$2:$A$19,0)))</f>
        <v/>
      </c>
      <c r="N1154" s="17" t="str">
        <f aca="false">IF($C1154="","",IF($C1154="H",0,IF($C1154="G",INDEX(Baseline!$I$3:$I$102,MIN(MAX(ROUND($D1154,0),1),100)),IF($C1154="T",IF($M1154=3,INDEX(Baseline!$B$3:$B$122,MATCH(MIN(MAX(ROUND(($D1154)/5,0)*5,5),600),Baseline!$A$3:$A$122,0))-Inputs!$B$9,INDEX(Course!$N$2:$N$19,MATCH($B1154,Course!$A$2:$A$19,0))),INDEX(Baseline!$B$3:$E$122,MATCH(MIN(MAX(ROUND(($D1154)/5,0)*5,5),600),Baseline!$A$3:$A$122,0),MATCH($C1154,Baseline!$B$2:$E$2,0))))))</f>
        <v/>
      </c>
      <c r="O1154" s="17" t="str">
        <f aca="false">IF($C1154="","",IF($E1154="H",0,IF($E1154="G",INDEX(Baseline!$I$3:$I$102,MIN(MAX(ROUND($F1154,0),1),100)),IF($E1154="T",IF($M1154=3,INDEX(Baseline!$B$3:$B$122,MATCH(MIN(MAX(ROUND(($F1154)/5,0)*5,5),600),Baseline!$A$3:$A$122,0))-Inputs!$B$9,INDEX(Course!$N$2:$N$19,MATCH($B1154,Course!$A$2:$A$19,0))),INDEX(Baseline!$B$3:$E$122,MATCH(MIN(MAX(ROUND(($F1154)/5,0)*5,5),600),Baseline!$A$3:$A$122,0),MATCH($E1154,Baseline!$B$2:$E$2,0))))))</f>
        <v/>
      </c>
      <c r="P1154" s="17" t="str">
        <f aca="false">IF($B1154="","",INDEX(Course!$N$2:$N$19,MATCH($B1154,Course!$A$2:$A$19,0)))</f>
        <v/>
      </c>
      <c r="Q1154" s="17" t="str">
        <f aca="false">IF($B1154="","",INDEX(Course!$P$2:$P$19,MATCH($B1154,Course!$A$2:$A$19,0)))</f>
        <v/>
      </c>
      <c r="R1154" s="17" t="str">
        <f aca="false">IF($C1154="","",IF(OR($C1154="G",$C1154="H"),0,IF($C1154="T",1,MIN(1,MAX(0,($N1154-Inputs!$B$8)/MAX($P1154-Inputs!$B$8,0.01))))))</f>
        <v/>
      </c>
      <c r="S1154" s="17" t="str">
        <f aca="false">IF($C1154="","",IF(OR($E1154="G",$E1154="H"),0,IF($E1154="T",1,MIN(1,MAX(0,($O1154-Inputs!$B$8)/MAX($P1154-Inputs!$B$8,0.01))))))</f>
        <v/>
      </c>
    </row>
    <row r="1155" customFormat="false" ht="15" hidden="false" customHeight="false" outlineLevel="0" collapsed="false">
      <c r="I1155" s="7" t="str">
        <f aca="false">IF($C1155="","",IF($C1155="G","PUTT",IF(AND($C1155="T",$M1155&gt;3),"OTT",IF($D1155&lt;=30,"ARG","APP"))))</f>
        <v/>
      </c>
      <c r="J1155" s="17" t="str">
        <f aca="false">IF($C1155="","",$N1155+$Q1155*$R1155)</f>
        <v/>
      </c>
      <c r="K1155" s="17" t="str">
        <f aca="false">IF($C1155="","",$O1155+$Q1155*$S1155)</f>
        <v/>
      </c>
      <c r="L1155" s="17" t="str">
        <f aca="false">IF($C1155="","",$J1155-$K1155-1-N($G1155))</f>
        <v/>
      </c>
      <c r="M1155" s="7" t="str">
        <f aca="false">IF($B1155="","",INDEX(Course!$B$2:$B$19,MATCH($B1155,Course!$A$2:$A$19,0)))</f>
        <v/>
      </c>
      <c r="N1155" s="17" t="str">
        <f aca="false">IF($C1155="","",IF($C1155="H",0,IF($C1155="G",INDEX(Baseline!$I$3:$I$102,MIN(MAX(ROUND($D1155,0),1),100)),IF($C1155="T",IF($M1155=3,INDEX(Baseline!$B$3:$B$122,MATCH(MIN(MAX(ROUND(($D1155)/5,0)*5,5),600),Baseline!$A$3:$A$122,0))-Inputs!$B$9,INDEX(Course!$N$2:$N$19,MATCH($B1155,Course!$A$2:$A$19,0))),INDEX(Baseline!$B$3:$E$122,MATCH(MIN(MAX(ROUND(($D1155)/5,0)*5,5),600),Baseline!$A$3:$A$122,0),MATCH($C1155,Baseline!$B$2:$E$2,0))))))</f>
        <v/>
      </c>
      <c r="O1155" s="17" t="str">
        <f aca="false">IF($C1155="","",IF($E1155="H",0,IF($E1155="G",INDEX(Baseline!$I$3:$I$102,MIN(MAX(ROUND($F1155,0),1),100)),IF($E1155="T",IF($M1155=3,INDEX(Baseline!$B$3:$B$122,MATCH(MIN(MAX(ROUND(($F1155)/5,0)*5,5),600),Baseline!$A$3:$A$122,0))-Inputs!$B$9,INDEX(Course!$N$2:$N$19,MATCH($B1155,Course!$A$2:$A$19,0))),INDEX(Baseline!$B$3:$E$122,MATCH(MIN(MAX(ROUND(($F1155)/5,0)*5,5),600),Baseline!$A$3:$A$122,0),MATCH($E1155,Baseline!$B$2:$E$2,0))))))</f>
        <v/>
      </c>
      <c r="P1155" s="17" t="str">
        <f aca="false">IF($B1155="","",INDEX(Course!$N$2:$N$19,MATCH($B1155,Course!$A$2:$A$19,0)))</f>
        <v/>
      </c>
      <c r="Q1155" s="17" t="str">
        <f aca="false">IF($B1155="","",INDEX(Course!$P$2:$P$19,MATCH($B1155,Course!$A$2:$A$19,0)))</f>
        <v/>
      </c>
      <c r="R1155" s="17" t="str">
        <f aca="false">IF($C1155="","",IF(OR($C1155="G",$C1155="H"),0,IF($C1155="T",1,MIN(1,MAX(0,($N1155-Inputs!$B$8)/MAX($P1155-Inputs!$B$8,0.01))))))</f>
        <v/>
      </c>
      <c r="S1155" s="17" t="str">
        <f aca="false">IF($C1155="","",IF(OR($E1155="G",$E1155="H"),0,IF($E1155="T",1,MIN(1,MAX(0,($O1155-Inputs!$B$8)/MAX($P1155-Inputs!$B$8,0.01))))))</f>
        <v/>
      </c>
    </row>
    <row r="1156" customFormat="false" ht="15" hidden="false" customHeight="false" outlineLevel="0" collapsed="false">
      <c r="I1156" s="7" t="str">
        <f aca="false">IF($C1156="","",IF($C1156="G","PUTT",IF(AND($C1156="T",$M1156&gt;3),"OTT",IF($D1156&lt;=30,"ARG","APP"))))</f>
        <v/>
      </c>
      <c r="J1156" s="17" t="str">
        <f aca="false">IF($C1156="","",$N1156+$Q1156*$R1156)</f>
        <v/>
      </c>
      <c r="K1156" s="17" t="str">
        <f aca="false">IF($C1156="","",$O1156+$Q1156*$S1156)</f>
        <v/>
      </c>
      <c r="L1156" s="17" t="str">
        <f aca="false">IF($C1156="","",$J1156-$K1156-1-N($G1156))</f>
        <v/>
      </c>
      <c r="M1156" s="7" t="str">
        <f aca="false">IF($B1156="","",INDEX(Course!$B$2:$B$19,MATCH($B1156,Course!$A$2:$A$19,0)))</f>
        <v/>
      </c>
      <c r="N1156" s="17" t="str">
        <f aca="false">IF($C1156="","",IF($C1156="H",0,IF($C1156="G",INDEX(Baseline!$I$3:$I$102,MIN(MAX(ROUND($D1156,0),1),100)),IF($C1156="T",IF($M1156=3,INDEX(Baseline!$B$3:$B$122,MATCH(MIN(MAX(ROUND(($D1156)/5,0)*5,5),600),Baseline!$A$3:$A$122,0))-Inputs!$B$9,INDEX(Course!$N$2:$N$19,MATCH($B1156,Course!$A$2:$A$19,0))),INDEX(Baseline!$B$3:$E$122,MATCH(MIN(MAX(ROUND(($D1156)/5,0)*5,5),600),Baseline!$A$3:$A$122,0),MATCH($C1156,Baseline!$B$2:$E$2,0))))))</f>
        <v/>
      </c>
      <c r="O1156" s="17" t="str">
        <f aca="false">IF($C1156="","",IF($E1156="H",0,IF($E1156="G",INDEX(Baseline!$I$3:$I$102,MIN(MAX(ROUND($F1156,0),1),100)),IF($E1156="T",IF($M1156=3,INDEX(Baseline!$B$3:$B$122,MATCH(MIN(MAX(ROUND(($F1156)/5,0)*5,5),600),Baseline!$A$3:$A$122,0))-Inputs!$B$9,INDEX(Course!$N$2:$N$19,MATCH($B1156,Course!$A$2:$A$19,0))),INDEX(Baseline!$B$3:$E$122,MATCH(MIN(MAX(ROUND(($F1156)/5,0)*5,5),600),Baseline!$A$3:$A$122,0),MATCH($E1156,Baseline!$B$2:$E$2,0))))))</f>
        <v/>
      </c>
      <c r="P1156" s="17" t="str">
        <f aca="false">IF($B1156="","",INDEX(Course!$N$2:$N$19,MATCH($B1156,Course!$A$2:$A$19,0)))</f>
        <v/>
      </c>
      <c r="Q1156" s="17" t="str">
        <f aca="false">IF($B1156="","",INDEX(Course!$P$2:$P$19,MATCH($B1156,Course!$A$2:$A$19,0)))</f>
        <v/>
      </c>
      <c r="R1156" s="17" t="str">
        <f aca="false">IF($C1156="","",IF(OR($C1156="G",$C1156="H"),0,IF($C1156="T",1,MIN(1,MAX(0,($N1156-Inputs!$B$8)/MAX($P1156-Inputs!$B$8,0.01))))))</f>
        <v/>
      </c>
      <c r="S1156" s="17" t="str">
        <f aca="false">IF($C1156="","",IF(OR($E1156="G",$E1156="H"),0,IF($E1156="T",1,MIN(1,MAX(0,($O1156-Inputs!$B$8)/MAX($P1156-Inputs!$B$8,0.01))))))</f>
        <v/>
      </c>
    </row>
    <row r="1157" customFormat="false" ht="15" hidden="false" customHeight="false" outlineLevel="0" collapsed="false">
      <c r="I1157" s="7" t="str">
        <f aca="false">IF($C1157="","",IF($C1157="G","PUTT",IF(AND($C1157="T",$M1157&gt;3),"OTT",IF($D1157&lt;=30,"ARG","APP"))))</f>
        <v/>
      </c>
      <c r="J1157" s="17" t="str">
        <f aca="false">IF($C1157="","",$N1157+$Q1157*$R1157)</f>
        <v/>
      </c>
      <c r="K1157" s="17" t="str">
        <f aca="false">IF($C1157="","",$O1157+$Q1157*$S1157)</f>
        <v/>
      </c>
      <c r="L1157" s="17" t="str">
        <f aca="false">IF($C1157="","",$J1157-$K1157-1-N($G1157))</f>
        <v/>
      </c>
      <c r="M1157" s="7" t="str">
        <f aca="false">IF($B1157="","",INDEX(Course!$B$2:$B$19,MATCH($B1157,Course!$A$2:$A$19,0)))</f>
        <v/>
      </c>
      <c r="N1157" s="17" t="str">
        <f aca="false">IF($C1157="","",IF($C1157="H",0,IF($C1157="G",INDEX(Baseline!$I$3:$I$102,MIN(MAX(ROUND($D1157,0),1),100)),IF($C1157="T",IF($M1157=3,INDEX(Baseline!$B$3:$B$122,MATCH(MIN(MAX(ROUND(($D1157)/5,0)*5,5),600),Baseline!$A$3:$A$122,0))-Inputs!$B$9,INDEX(Course!$N$2:$N$19,MATCH($B1157,Course!$A$2:$A$19,0))),INDEX(Baseline!$B$3:$E$122,MATCH(MIN(MAX(ROUND(($D1157)/5,0)*5,5),600),Baseline!$A$3:$A$122,0),MATCH($C1157,Baseline!$B$2:$E$2,0))))))</f>
        <v/>
      </c>
      <c r="O1157" s="17" t="str">
        <f aca="false">IF($C1157="","",IF($E1157="H",0,IF($E1157="G",INDEX(Baseline!$I$3:$I$102,MIN(MAX(ROUND($F1157,0),1),100)),IF($E1157="T",IF($M1157=3,INDEX(Baseline!$B$3:$B$122,MATCH(MIN(MAX(ROUND(($F1157)/5,0)*5,5),600),Baseline!$A$3:$A$122,0))-Inputs!$B$9,INDEX(Course!$N$2:$N$19,MATCH($B1157,Course!$A$2:$A$19,0))),INDEX(Baseline!$B$3:$E$122,MATCH(MIN(MAX(ROUND(($F1157)/5,0)*5,5),600),Baseline!$A$3:$A$122,0),MATCH($E1157,Baseline!$B$2:$E$2,0))))))</f>
        <v/>
      </c>
      <c r="P1157" s="17" t="str">
        <f aca="false">IF($B1157="","",INDEX(Course!$N$2:$N$19,MATCH($B1157,Course!$A$2:$A$19,0)))</f>
        <v/>
      </c>
      <c r="Q1157" s="17" t="str">
        <f aca="false">IF($B1157="","",INDEX(Course!$P$2:$P$19,MATCH($B1157,Course!$A$2:$A$19,0)))</f>
        <v/>
      </c>
      <c r="R1157" s="17" t="str">
        <f aca="false">IF($C1157="","",IF(OR($C1157="G",$C1157="H"),0,IF($C1157="T",1,MIN(1,MAX(0,($N1157-Inputs!$B$8)/MAX($P1157-Inputs!$B$8,0.01))))))</f>
        <v/>
      </c>
      <c r="S1157" s="17" t="str">
        <f aca="false">IF($C1157="","",IF(OR($E1157="G",$E1157="H"),0,IF($E1157="T",1,MIN(1,MAX(0,($O1157-Inputs!$B$8)/MAX($P1157-Inputs!$B$8,0.01))))))</f>
        <v/>
      </c>
    </row>
    <row r="1158" customFormat="false" ht="15" hidden="false" customHeight="false" outlineLevel="0" collapsed="false">
      <c r="I1158" s="7" t="str">
        <f aca="false">IF($C1158="","",IF($C1158="G","PUTT",IF(AND($C1158="T",$M1158&gt;3),"OTT",IF($D1158&lt;=30,"ARG","APP"))))</f>
        <v/>
      </c>
      <c r="J1158" s="17" t="str">
        <f aca="false">IF($C1158="","",$N1158+$Q1158*$R1158)</f>
        <v/>
      </c>
      <c r="K1158" s="17" t="str">
        <f aca="false">IF($C1158="","",$O1158+$Q1158*$S1158)</f>
        <v/>
      </c>
      <c r="L1158" s="17" t="str">
        <f aca="false">IF($C1158="","",$J1158-$K1158-1-N($G1158))</f>
        <v/>
      </c>
      <c r="M1158" s="7" t="str">
        <f aca="false">IF($B1158="","",INDEX(Course!$B$2:$B$19,MATCH($B1158,Course!$A$2:$A$19,0)))</f>
        <v/>
      </c>
      <c r="N1158" s="17" t="str">
        <f aca="false">IF($C1158="","",IF($C1158="H",0,IF($C1158="G",INDEX(Baseline!$I$3:$I$102,MIN(MAX(ROUND($D1158,0),1),100)),IF($C1158="T",IF($M1158=3,INDEX(Baseline!$B$3:$B$122,MATCH(MIN(MAX(ROUND(($D1158)/5,0)*5,5),600),Baseline!$A$3:$A$122,0))-Inputs!$B$9,INDEX(Course!$N$2:$N$19,MATCH($B1158,Course!$A$2:$A$19,0))),INDEX(Baseline!$B$3:$E$122,MATCH(MIN(MAX(ROUND(($D1158)/5,0)*5,5),600),Baseline!$A$3:$A$122,0),MATCH($C1158,Baseline!$B$2:$E$2,0))))))</f>
        <v/>
      </c>
      <c r="O1158" s="17" t="str">
        <f aca="false">IF($C1158="","",IF($E1158="H",0,IF($E1158="G",INDEX(Baseline!$I$3:$I$102,MIN(MAX(ROUND($F1158,0),1),100)),IF($E1158="T",IF($M1158=3,INDEX(Baseline!$B$3:$B$122,MATCH(MIN(MAX(ROUND(($F1158)/5,0)*5,5),600),Baseline!$A$3:$A$122,0))-Inputs!$B$9,INDEX(Course!$N$2:$N$19,MATCH($B1158,Course!$A$2:$A$19,0))),INDEX(Baseline!$B$3:$E$122,MATCH(MIN(MAX(ROUND(($F1158)/5,0)*5,5),600),Baseline!$A$3:$A$122,0),MATCH($E1158,Baseline!$B$2:$E$2,0))))))</f>
        <v/>
      </c>
      <c r="P1158" s="17" t="str">
        <f aca="false">IF($B1158="","",INDEX(Course!$N$2:$N$19,MATCH($B1158,Course!$A$2:$A$19,0)))</f>
        <v/>
      </c>
      <c r="Q1158" s="17" t="str">
        <f aca="false">IF($B1158="","",INDEX(Course!$P$2:$P$19,MATCH($B1158,Course!$A$2:$A$19,0)))</f>
        <v/>
      </c>
      <c r="R1158" s="17" t="str">
        <f aca="false">IF($C1158="","",IF(OR($C1158="G",$C1158="H"),0,IF($C1158="T",1,MIN(1,MAX(0,($N1158-Inputs!$B$8)/MAX($P1158-Inputs!$B$8,0.01))))))</f>
        <v/>
      </c>
      <c r="S1158" s="17" t="str">
        <f aca="false">IF($C1158="","",IF(OR($E1158="G",$E1158="H"),0,IF($E1158="T",1,MIN(1,MAX(0,($O1158-Inputs!$B$8)/MAX($P1158-Inputs!$B$8,0.01))))))</f>
        <v/>
      </c>
    </row>
    <row r="1159" customFormat="false" ht="15" hidden="false" customHeight="false" outlineLevel="0" collapsed="false">
      <c r="I1159" s="7" t="str">
        <f aca="false">IF($C1159="","",IF($C1159="G","PUTT",IF(AND($C1159="T",$M1159&gt;3),"OTT",IF($D1159&lt;=30,"ARG","APP"))))</f>
        <v/>
      </c>
      <c r="J1159" s="17" t="str">
        <f aca="false">IF($C1159="","",$N1159+$Q1159*$R1159)</f>
        <v/>
      </c>
      <c r="K1159" s="17" t="str">
        <f aca="false">IF($C1159="","",$O1159+$Q1159*$S1159)</f>
        <v/>
      </c>
      <c r="L1159" s="17" t="str">
        <f aca="false">IF($C1159="","",$J1159-$K1159-1-N($G1159))</f>
        <v/>
      </c>
      <c r="M1159" s="7" t="str">
        <f aca="false">IF($B1159="","",INDEX(Course!$B$2:$B$19,MATCH($B1159,Course!$A$2:$A$19,0)))</f>
        <v/>
      </c>
      <c r="N1159" s="17" t="str">
        <f aca="false">IF($C1159="","",IF($C1159="H",0,IF($C1159="G",INDEX(Baseline!$I$3:$I$102,MIN(MAX(ROUND($D1159,0),1),100)),IF($C1159="T",IF($M1159=3,INDEX(Baseline!$B$3:$B$122,MATCH(MIN(MAX(ROUND(($D1159)/5,0)*5,5),600),Baseline!$A$3:$A$122,0))-Inputs!$B$9,INDEX(Course!$N$2:$N$19,MATCH($B1159,Course!$A$2:$A$19,0))),INDEX(Baseline!$B$3:$E$122,MATCH(MIN(MAX(ROUND(($D1159)/5,0)*5,5),600),Baseline!$A$3:$A$122,0),MATCH($C1159,Baseline!$B$2:$E$2,0))))))</f>
        <v/>
      </c>
      <c r="O1159" s="17" t="str">
        <f aca="false">IF($C1159="","",IF($E1159="H",0,IF($E1159="G",INDEX(Baseline!$I$3:$I$102,MIN(MAX(ROUND($F1159,0),1),100)),IF($E1159="T",IF($M1159=3,INDEX(Baseline!$B$3:$B$122,MATCH(MIN(MAX(ROUND(($F1159)/5,0)*5,5),600),Baseline!$A$3:$A$122,0))-Inputs!$B$9,INDEX(Course!$N$2:$N$19,MATCH($B1159,Course!$A$2:$A$19,0))),INDEX(Baseline!$B$3:$E$122,MATCH(MIN(MAX(ROUND(($F1159)/5,0)*5,5),600),Baseline!$A$3:$A$122,0),MATCH($E1159,Baseline!$B$2:$E$2,0))))))</f>
        <v/>
      </c>
      <c r="P1159" s="17" t="str">
        <f aca="false">IF($B1159="","",INDEX(Course!$N$2:$N$19,MATCH($B1159,Course!$A$2:$A$19,0)))</f>
        <v/>
      </c>
      <c r="Q1159" s="17" t="str">
        <f aca="false">IF($B1159="","",INDEX(Course!$P$2:$P$19,MATCH($B1159,Course!$A$2:$A$19,0)))</f>
        <v/>
      </c>
      <c r="R1159" s="17" t="str">
        <f aca="false">IF($C1159="","",IF(OR($C1159="G",$C1159="H"),0,IF($C1159="T",1,MIN(1,MAX(0,($N1159-Inputs!$B$8)/MAX($P1159-Inputs!$B$8,0.01))))))</f>
        <v/>
      </c>
      <c r="S1159" s="17" t="str">
        <f aca="false">IF($C1159="","",IF(OR($E1159="G",$E1159="H"),0,IF($E1159="T",1,MIN(1,MAX(0,($O1159-Inputs!$B$8)/MAX($P1159-Inputs!$B$8,0.01))))))</f>
        <v/>
      </c>
    </row>
    <row r="1160" customFormat="false" ht="15" hidden="false" customHeight="false" outlineLevel="0" collapsed="false">
      <c r="I1160" s="7" t="str">
        <f aca="false">IF($C1160="","",IF($C1160="G","PUTT",IF(AND($C1160="T",$M1160&gt;3),"OTT",IF($D1160&lt;=30,"ARG","APP"))))</f>
        <v/>
      </c>
      <c r="J1160" s="17" t="str">
        <f aca="false">IF($C1160="","",$N1160+$Q1160*$R1160)</f>
        <v/>
      </c>
      <c r="K1160" s="17" t="str">
        <f aca="false">IF($C1160="","",$O1160+$Q1160*$S1160)</f>
        <v/>
      </c>
      <c r="L1160" s="17" t="str">
        <f aca="false">IF($C1160="","",$J1160-$K1160-1-N($G1160))</f>
        <v/>
      </c>
      <c r="M1160" s="7" t="str">
        <f aca="false">IF($B1160="","",INDEX(Course!$B$2:$B$19,MATCH($B1160,Course!$A$2:$A$19,0)))</f>
        <v/>
      </c>
      <c r="N1160" s="17" t="str">
        <f aca="false">IF($C1160="","",IF($C1160="H",0,IF($C1160="G",INDEX(Baseline!$I$3:$I$102,MIN(MAX(ROUND($D1160,0),1),100)),IF($C1160="T",IF($M1160=3,INDEX(Baseline!$B$3:$B$122,MATCH(MIN(MAX(ROUND(($D1160)/5,0)*5,5),600),Baseline!$A$3:$A$122,0))-Inputs!$B$9,INDEX(Course!$N$2:$N$19,MATCH($B1160,Course!$A$2:$A$19,0))),INDEX(Baseline!$B$3:$E$122,MATCH(MIN(MAX(ROUND(($D1160)/5,0)*5,5),600),Baseline!$A$3:$A$122,0),MATCH($C1160,Baseline!$B$2:$E$2,0))))))</f>
        <v/>
      </c>
      <c r="O1160" s="17" t="str">
        <f aca="false">IF($C1160="","",IF($E1160="H",0,IF($E1160="G",INDEX(Baseline!$I$3:$I$102,MIN(MAX(ROUND($F1160,0),1),100)),IF($E1160="T",IF($M1160=3,INDEX(Baseline!$B$3:$B$122,MATCH(MIN(MAX(ROUND(($F1160)/5,0)*5,5),600),Baseline!$A$3:$A$122,0))-Inputs!$B$9,INDEX(Course!$N$2:$N$19,MATCH($B1160,Course!$A$2:$A$19,0))),INDEX(Baseline!$B$3:$E$122,MATCH(MIN(MAX(ROUND(($F1160)/5,0)*5,5),600),Baseline!$A$3:$A$122,0),MATCH($E1160,Baseline!$B$2:$E$2,0))))))</f>
        <v/>
      </c>
      <c r="P1160" s="17" t="str">
        <f aca="false">IF($B1160="","",INDEX(Course!$N$2:$N$19,MATCH($B1160,Course!$A$2:$A$19,0)))</f>
        <v/>
      </c>
      <c r="Q1160" s="17" t="str">
        <f aca="false">IF($B1160="","",INDEX(Course!$P$2:$P$19,MATCH($B1160,Course!$A$2:$A$19,0)))</f>
        <v/>
      </c>
      <c r="R1160" s="17" t="str">
        <f aca="false">IF($C1160="","",IF(OR($C1160="G",$C1160="H"),0,IF($C1160="T",1,MIN(1,MAX(0,($N1160-Inputs!$B$8)/MAX($P1160-Inputs!$B$8,0.01))))))</f>
        <v/>
      </c>
      <c r="S1160" s="17" t="str">
        <f aca="false">IF($C1160="","",IF(OR($E1160="G",$E1160="H"),0,IF($E1160="T",1,MIN(1,MAX(0,($O1160-Inputs!$B$8)/MAX($P1160-Inputs!$B$8,0.01))))))</f>
        <v/>
      </c>
    </row>
    <row r="1161" customFormat="false" ht="15" hidden="false" customHeight="false" outlineLevel="0" collapsed="false">
      <c r="I1161" s="7" t="str">
        <f aca="false">IF($C1161="","",IF($C1161="G","PUTT",IF(AND($C1161="T",$M1161&gt;3),"OTT",IF($D1161&lt;=30,"ARG","APP"))))</f>
        <v/>
      </c>
      <c r="J1161" s="17" t="str">
        <f aca="false">IF($C1161="","",$N1161+$Q1161*$R1161)</f>
        <v/>
      </c>
      <c r="K1161" s="17" t="str">
        <f aca="false">IF($C1161="","",$O1161+$Q1161*$S1161)</f>
        <v/>
      </c>
      <c r="L1161" s="17" t="str">
        <f aca="false">IF($C1161="","",$J1161-$K1161-1-N($G1161))</f>
        <v/>
      </c>
      <c r="M1161" s="7" t="str">
        <f aca="false">IF($B1161="","",INDEX(Course!$B$2:$B$19,MATCH($B1161,Course!$A$2:$A$19,0)))</f>
        <v/>
      </c>
      <c r="N1161" s="17" t="str">
        <f aca="false">IF($C1161="","",IF($C1161="H",0,IF($C1161="G",INDEX(Baseline!$I$3:$I$102,MIN(MAX(ROUND($D1161,0),1),100)),IF($C1161="T",IF($M1161=3,INDEX(Baseline!$B$3:$B$122,MATCH(MIN(MAX(ROUND(($D1161)/5,0)*5,5),600),Baseline!$A$3:$A$122,0))-Inputs!$B$9,INDEX(Course!$N$2:$N$19,MATCH($B1161,Course!$A$2:$A$19,0))),INDEX(Baseline!$B$3:$E$122,MATCH(MIN(MAX(ROUND(($D1161)/5,0)*5,5),600),Baseline!$A$3:$A$122,0),MATCH($C1161,Baseline!$B$2:$E$2,0))))))</f>
        <v/>
      </c>
      <c r="O1161" s="17" t="str">
        <f aca="false">IF($C1161="","",IF($E1161="H",0,IF($E1161="G",INDEX(Baseline!$I$3:$I$102,MIN(MAX(ROUND($F1161,0),1),100)),IF($E1161="T",IF($M1161=3,INDEX(Baseline!$B$3:$B$122,MATCH(MIN(MAX(ROUND(($F1161)/5,0)*5,5),600),Baseline!$A$3:$A$122,0))-Inputs!$B$9,INDEX(Course!$N$2:$N$19,MATCH($B1161,Course!$A$2:$A$19,0))),INDEX(Baseline!$B$3:$E$122,MATCH(MIN(MAX(ROUND(($F1161)/5,0)*5,5),600),Baseline!$A$3:$A$122,0),MATCH($E1161,Baseline!$B$2:$E$2,0))))))</f>
        <v/>
      </c>
      <c r="P1161" s="17" t="str">
        <f aca="false">IF($B1161="","",INDEX(Course!$N$2:$N$19,MATCH($B1161,Course!$A$2:$A$19,0)))</f>
        <v/>
      </c>
      <c r="Q1161" s="17" t="str">
        <f aca="false">IF($B1161="","",INDEX(Course!$P$2:$P$19,MATCH($B1161,Course!$A$2:$A$19,0)))</f>
        <v/>
      </c>
      <c r="R1161" s="17" t="str">
        <f aca="false">IF($C1161="","",IF(OR($C1161="G",$C1161="H"),0,IF($C1161="T",1,MIN(1,MAX(0,($N1161-Inputs!$B$8)/MAX($P1161-Inputs!$B$8,0.01))))))</f>
        <v/>
      </c>
      <c r="S1161" s="17" t="str">
        <f aca="false">IF($C1161="","",IF(OR($E1161="G",$E1161="H"),0,IF($E1161="T",1,MIN(1,MAX(0,($O1161-Inputs!$B$8)/MAX($P1161-Inputs!$B$8,0.01))))))</f>
        <v/>
      </c>
    </row>
    <row r="1162" customFormat="false" ht="15" hidden="false" customHeight="false" outlineLevel="0" collapsed="false">
      <c r="I1162" s="7" t="str">
        <f aca="false">IF($C1162="","",IF($C1162="G","PUTT",IF(AND($C1162="T",$M1162&gt;3),"OTT",IF($D1162&lt;=30,"ARG","APP"))))</f>
        <v/>
      </c>
      <c r="J1162" s="17" t="str">
        <f aca="false">IF($C1162="","",$N1162+$Q1162*$R1162)</f>
        <v/>
      </c>
      <c r="K1162" s="17" t="str">
        <f aca="false">IF($C1162="","",$O1162+$Q1162*$S1162)</f>
        <v/>
      </c>
      <c r="L1162" s="17" t="str">
        <f aca="false">IF($C1162="","",$J1162-$K1162-1-N($G1162))</f>
        <v/>
      </c>
      <c r="M1162" s="7" t="str">
        <f aca="false">IF($B1162="","",INDEX(Course!$B$2:$B$19,MATCH($B1162,Course!$A$2:$A$19,0)))</f>
        <v/>
      </c>
      <c r="N1162" s="17" t="str">
        <f aca="false">IF($C1162="","",IF($C1162="H",0,IF($C1162="G",INDEX(Baseline!$I$3:$I$102,MIN(MAX(ROUND($D1162,0),1),100)),IF($C1162="T",IF($M1162=3,INDEX(Baseline!$B$3:$B$122,MATCH(MIN(MAX(ROUND(($D1162)/5,0)*5,5),600),Baseline!$A$3:$A$122,0))-Inputs!$B$9,INDEX(Course!$N$2:$N$19,MATCH($B1162,Course!$A$2:$A$19,0))),INDEX(Baseline!$B$3:$E$122,MATCH(MIN(MAX(ROUND(($D1162)/5,0)*5,5),600),Baseline!$A$3:$A$122,0),MATCH($C1162,Baseline!$B$2:$E$2,0))))))</f>
        <v/>
      </c>
      <c r="O1162" s="17" t="str">
        <f aca="false">IF($C1162="","",IF($E1162="H",0,IF($E1162="G",INDEX(Baseline!$I$3:$I$102,MIN(MAX(ROUND($F1162,0),1),100)),IF($E1162="T",IF($M1162=3,INDEX(Baseline!$B$3:$B$122,MATCH(MIN(MAX(ROUND(($F1162)/5,0)*5,5),600),Baseline!$A$3:$A$122,0))-Inputs!$B$9,INDEX(Course!$N$2:$N$19,MATCH($B1162,Course!$A$2:$A$19,0))),INDEX(Baseline!$B$3:$E$122,MATCH(MIN(MAX(ROUND(($F1162)/5,0)*5,5),600),Baseline!$A$3:$A$122,0),MATCH($E1162,Baseline!$B$2:$E$2,0))))))</f>
        <v/>
      </c>
      <c r="P1162" s="17" t="str">
        <f aca="false">IF($B1162="","",INDEX(Course!$N$2:$N$19,MATCH($B1162,Course!$A$2:$A$19,0)))</f>
        <v/>
      </c>
      <c r="Q1162" s="17" t="str">
        <f aca="false">IF($B1162="","",INDEX(Course!$P$2:$P$19,MATCH($B1162,Course!$A$2:$A$19,0)))</f>
        <v/>
      </c>
      <c r="R1162" s="17" t="str">
        <f aca="false">IF($C1162="","",IF(OR($C1162="G",$C1162="H"),0,IF($C1162="T",1,MIN(1,MAX(0,($N1162-Inputs!$B$8)/MAX($P1162-Inputs!$B$8,0.01))))))</f>
        <v/>
      </c>
      <c r="S1162" s="17" t="str">
        <f aca="false">IF($C1162="","",IF(OR($E1162="G",$E1162="H"),0,IF($E1162="T",1,MIN(1,MAX(0,($O1162-Inputs!$B$8)/MAX($P1162-Inputs!$B$8,0.01))))))</f>
        <v/>
      </c>
    </row>
    <row r="1163" customFormat="false" ht="15" hidden="false" customHeight="false" outlineLevel="0" collapsed="false">
      <c r="I1163" s="7" t="str">
        <f aca="false">IF($C1163="","",IF($C1163="G","PUTT",IF(AND($C1163="T",$M1163&gt;3),"OTT",IF($D1163&lt;=30,"ARG","APP"))))</f>
        <v/>
      </c>
      <c r="J1163" s="17" t="str">
        <f aca="false">IF($C1163="","",$N1163+$Q1163*$R1163)</f>
        <v/>
      </c>
      <c r="K1163" s="17" t="str">
        <f aca="false">IF($C1163="","",$O1163+$Q1163*$S1163)</f>
        <v/>
      </c>
      <c r="L1163" s="17" t="str">
        <f aca="false">IF($C1163="","",$J1163-$K1163-1-N($G1163))</f>
        <v/>
      </c>
      <c r="M1163" s="7" t="str">
        <f aca="false">IF($B1163="","",INDEX(Course!$B$2:$B$19,MATCH($B1163,Course!$A$2:$A$19,0)))</f>
        <v/>
      </c>
      <c r="N1163" s="17" t="str">
        <f aca="false">IF($C1163="","",IF($C1163="H",0,IF($C1163="G",INDEX(Baseline!$I$3:$I$102,MIN(MAX(ROUND($D1163,0),1),100)),IF($C1163="T",IF($M1163=3,INDEX(Baseline!$B$3:$B$122,MATCH(MIN(MAX(ROUND(($D1163)/5,0)*5,5),600),Baseline!$A$3:$A$122,0))-Inputs!$B$9,INDEX(Course!$N$2:$N$19,MATCH($B1163,Course!$A$2:$A$19,0))),INDEX(Baseline!$B$3:$E$122,MATCH(MIN(MAX(ROUND(($D1163)/5,0)*5,5),600),Baseline!$A$3:$A$122,0),MATCH($C1163,Baseline!$B$2:$E$2,0))))))</f>
        <v/>
      </c>
      <c r="O1163" s="17" t="str">
        <f aca="false">IF($C1163="","",IF($E1163="H",0,IF($E1163="G",INDEX(Baseline!$I$3:$I$102,MIN(MAX(ROUND($F1163,0),1),100)),IF($E1163="T",IF($M1163=3,INDEX(Baseline!$B$3:$B$122,MATCH(MIN(MAX(ROUND(($F1163)/5,0)*5,5),600),Baseline!$A$3:$A$122,0))-Inputs!$B$9,INDEX(Course!$N$2:$N$19,MATCH($B1163,Course!$A$2:$A$19,0))),INDEX(Baseline!$B$3:$E$122,MATCH(MIN(MAX(ROUND(($F1163)/5,0)*5,5),600),Baseline!$A$3:$A$122,0),MATCH($E1163,Baseline!$B$2:$E$2,0))))))</f>
        <v/>
      </c>
      <c r="P1163" s="17" t="str">
        <f aca="false">IF($B1163="","",INDEX(Course!$N$2:$N$19,MATCH($B1163,Course!$A$2:$A$19,0)))</f>
        <v/>
      </c>
      <c r="Q1163" s="17" t="str">
        <f aca="false">IF($B1163="","",INDEX(Course!$P$2:$P$19,MATCH($B1163,Course!$A$2:$A$19,0)))</f>
        <v/>
      </c>
      <c r="R1163" s="17" t="str">
        <f aca="false">IF($C1163="","",IF(OR($C1163="G",$C1163="H"),0,IF($C1163="T",1,MIN(1,MAX(0,($N1163-Inputs!$B$8)/MAX($P1163-Inputs!$B$8,0.01))))))</f>
        <v/>
      </c>
      <c r="S1163" s="17" t="str">
        <f aca="false">IF($C1163="","",IF(OR($E1163="G",$E1163="H"),0,IF($E1163="T",1,MIN(1,MAX(0,($O1163-Inputs!$B$8)/MAX($P1163-Inputs!$B$8,0.01))))))</f>
        <v/>
      </c>
    </row>
    <row r="1164" customFormat="false" ht="15" hidden="false" customHeight="false" outlineLevel="0" collapsed="false">
      <c r="I1164" s="7" t="str">
        <f aca="false">IF($C1164="","",IF($C1164="G","PUTT",IF(AND($C1164="T",$M1164&gt;3),"OTT",IF($D1164&lt;=30,"ARG","APP"))))</f>
        <v/>
      </c>
      <c r="J1164" s="17" t="str">
        <f aca="false">IF($C1164="","",$N1164+$Q1164*$R1164)</f>
        <v/>
      </c>
      <c r="K1164" s="17" t="str">
        <f aca="false">IF($C1164="","",$O1164+$Q1164*$S1164)</f>
        <v/>
      </c>
      <c r="L1164" s="17" t="str">
        <f aca="false">IF($C1164="","",$J1164-$K1164-1-N($G1164))</f>
        <v/>
      </c>
      <c r="M1164" s="7" t="str">
        <f aca="false">IF($B1164="","",INDEX(Course!$B$2:$B$19,MATCH($B1164,Course!$A$2:$A$19,0)))</f>
        <v/>
      </c>
      <c r="N1164" s="17" t="str">
        <f aca="false">IF($C1164="","",IF($C1164="H",0,IF($C1164="G",INDEX(Baseline!$I$3:$I$102,MIN(MAX(ROUND($D1164,0),1),100)),IF($C1164="T",IF($M1164=3,INDEX(Baseline!$B$3:$B$122,MATCH(MIN(MAX(ROUND(($D1164)/5,0)*5,5),600),Baseline!$A$3:$A$122,0))-Inputs!$B$9,INDEX(Course!$N$2:$N$19,MATCH($B1164,Course!$A$2:$A$19,0))),INDEX(Baseline!$B$3:$E$122,MATCH(MIN(MAX(ROUND(($D1164)/5,0)*5,5),600),Baseline!$A$3:$A$122,0),MATCH($C1164,Baseline!$B$2:$E$2,0))))))</f>
        <v/>
      </c>
      <c r="O1164" s="17" t="str">
        <f aca="false">IF($C1164="","",IF($E1164="H",0,IF($E1164="G",INDEX(Baseline!$I$3:$I$102,MIN(MAX(ROUND($F1164,0),1),100)),IF($E1164="T",IF($M1164=3,INDEX(Baseline!$B$3:$B$122,MATCH(MIN(MAX(ROUND(($F1164)/5,0)*5,5),600),Baseline!$A$3:$A$122,0))-Inputs!$B$9,INDEX(Course!$N$2:$N$19,MATCH($B1164,Course!$A$2:$A$19,0))),INDEX(Baseline!$B$3:$E$122,MATCH(MIN(MAX(ROUND(($F1164)/5,0)*5,5),600),Baseline!$A$3:$A$122,0),MATCH($E1164,Baseline!$B$2:$E$2,0))))))</f>
        <v/>
      </c>
      <c r="P1164" s="17" t="str">
        <f aca="false">IF($B1164="","",INDEX(Course!$N$2:$N$19,MATCH($B1164,Course!$A$2:$A$19,0)))</f>
        <v/>
      </c>
      <c r="Q1164" s="17" t="str">
        <f aca="false">IF($B1164="","",INDEX(Course!$P$2:$P$19,MATCH($B1164,Course!$A$2:$A$19,0)))</f>
        <v/>
      </c>
      <c r="R1164" s="17" t="str">
        <f aca="false">IF($C1164="","",IF(OR($C1164="G",$C1164="H"),0,IF($C1164="T",1,MIN(1,MAX(0,($N1164-Inputs!$B$8)/MAX($P1164-Inputs!$B$8,0.01))))))</f>
        <v/>
      </c>
      <c r="S1164" s="17" t="str">
        <f aca="false">IF($C1164="","",IF(OR($E1164="G",$E1164="H"),0,IF($E1164="T",1,MIN(1,MAX(0,($O1164-Inputs!$B$8)/MAX($P1164-Inputs!$B$8,0.01))))))</f>
        <v/>
      </c>
    </row>
    <row r="1165" customFormat="false" ht="15" hidden="false" customHeight="false" outlineLevel="0" collapsed="false">
      <c r="I1165" s="7" t="str">
        <f aca="false">IF($C1165="","",IF($C1165="G","PUTT",IF(AND($C1165="T",$M1165&gt;3),"OTT",IF($D1165&lt;=30,"ARG","APP"))))</f>
        <v/>
      </c>
      <c r="J1165" s="17" t="str">
        <f aca="false">IF($C1165="","",$N1165+$Q1165*$R1165)</f>
        <v/>
      </c>
      <c r="K1165" s="17" t="str">
        <f aca="false">IF($C1165="","",$O1165+$Q1165*$S1165)</f>
        <v/>
      </c>
      <c r="L1165" s="17" t="str">
        <f aca="false">IF($C1165="","",$J1165-$K1165-1-N($G1165))</f>
        <v/>
      </c>
      <c r="M1165" s="7" t="str">
        <f aca="false">IF($B1165="","",INDEX(Course!$B$2:$B$19,MATCH($B1165,Course!$A$2:$A$19,0)))</f>
        <v/>
      </c>
      <c r="N1165" s="17" t="str">
        <f aca="false">IF($C1165="","",IF($C1165="H",0,IF($C1165="G",INDEX(Baseline!$I$3:$I$102,MIN(MAX(ROUND($D1165,0),1),100)),IF($C1165="T",IF($M1165=3,INDEX(Baseline!$B$3:$B$122,MATCH(MIN(MAX(ROUND(($D1165)/5,0)*5,5),600),Baseline!$A$3:$A$122,0))-Inputs!$B$9,INDEX(Course!$N$2:$N$19,MATCH($B1165,Course!$A$2:$A$19,0))),INDEX(Baseline!$B$3:$E$122,MATCH(MIN(MAX(ROUND(($D1165)/5,0)*5,5),600),Baseline!$A$3:$A$122,0),MATCH($C1165,Baseline!$B$2:$E$2,0))))))</f>
        <v/>
      </c>
      <c r="O1165" s="17" t="str">
        <f aca="false">IF($C1165="","",IF($E1165="H",0,IF($E1165="G",INDEX(Baseline!$I$3:$I$102,MIN(MAX(ROUND($F1165,0),1),100)),IF($E1165="T",IF($M1165=3,INDEX(Baseline!$B$3:$B$122,MATCH(MIN(MAX(ROUND(($F1165)/5,0)*5,5),600),Baseline!$A$3:$A$122,0))-Inputs!$B$9,INDEX(Course!$N$2:$N$19,MATCH($B1165,Course!$A$2:$A$19,0))),INDEX(Baseline!$B$3:$E$122,MATCH(MIN(MAX(ROUND(($F1165)/5,0)*5,5),600),Baseline!$A$3:$A$122,0),MATCH($E1165,Baseline!$B$2:$E$2,0))))))</f>
        <v/>
      </c>
      <c r="P1165" s="17" t="str">
        <f aca="false">IF($B1165="","",INDEX(Course!$N$2:$N$19,MATCH($B1165,Course!$A$2:$A$19,0)))</f>
        <v/>
      </c>
      <c r="Q1165" s="17" t="str">
        <f aca="false">IF($B1165="","",INDEX(Course!$P$2:$P$19,MATCH($B1165,Course!$A$2:$A$19,0)))</f>
        <v/>
      </c>
      <c r="R1165" s="17" t="str">
        <f aca="false">IF($C1165="","",IF(OR($C1165="G",$C1165="H"),0,IF($C1165="T",1,MIN(1,MAX(0,($N1165-Inputs!$B$8)/MAX($P1165-Inputs!$B$8,0.01))))))</f>
        <v/>
      </c>
      <c r="S1165" s="17" t="str">
        <f aca="false">IF($C1165="","",IF(OR($E1165="G",$E1165="H"),0,IF($E1165="T",1,MIN(1,MAX(0,($O1165-Inputs!$B$8)/MAX($P1165-Inputs!$B$8,0.01))))))</f>
        <v/>
      </c>
    </row>
    <row r="1166" customFormat="false" ht="15" hidden="false" customHeight="false" outlineLevel="0" collapsed="false">
      <c r="I1166" s="7" t="str">
        <f aca="false">IF($C1166="","",IF($C1166="G","PUTT",IF(AND($C1166="T",$M1166&gt;3),"OTT",IF($D1166&lt;=30,"ARG","APP"))))</f>
        <v/>
      </c>
      <c r="J1166" s="17" t="str">
        <f aca="false">IF($C1166="","",$N1166+$Q1166*$R1166)</f>
        <v/>
      </c>
      <c r="K1166" s="17" t="str">
        <f aca="false">IF($C1166="","",$O1166+$Q1166*$S1166)</f>
        <v/>
      </c>
      <c r="L1166" s="17" t="str">
        <f aca="false">IF($C1166="","",$J1166-$K1166-1-N($G1166))</f>
        <v/>
      </c>
      <c r="M1166" s="7" t="str">
        <f aca="false">IF($B1166="","",INDEX(Course!$B$2:$B$19,MATCH($B1166,Course!$A$2:$A$19,0)))</f>
        <v/>
      </c>
      <c r="N1166" s="17" t="str">
        <f aca="false">IF($C1166="","",IF($C1166="H",0,IF($C1166="G",INDEX(Baseline!$I$3:$I$102,MIN(MAX(ROUND($D1166,0),1),100)),IF($C1166="T",IF($M1166=3,INDEX(Baseline!$B$3:$B$122,MATCH(MIN(MAX(ROUND(($D1166)/5,0)*5,5),600),Baseline!$A$3:$A$122,0))-Inputs!$B$9,INDEX(Course!$N$2:$N$19,MATCH($B1166,Course!$A$2:$A$19,0))),INDEX(Baseline!$B$3:$E$122,MATCH(MIN(MAX(ROUND(($D1166)/5,0)*5,5),600),Baseline!$A$3:$A$122,0),MATCH($C1166,Baseline!$B$2:$E$2,0))))))</f>
        <v/>
      </c>
      <c r="O1166" s="17" t="str">
        <f aca="false">IF($C1166="","",IF($E1166="H",0,IF($E1166="G",INDEX(Baseline!$I$3:$I$102,MIN(MAX(ROUND($F1166,0),1),100)),IF($E1166="T",IF($M1166=3,INDEX(Baseline!$B$3:$B$122,MATCH(MIN(MAX(ROUND(($F1166)/5,0)*5,5),600),Baseline!$A$3:$A$122,0))-Inputs!$B$9,INDEX(Course!$N$2:$N$19,MATCH($B1166,Course!$A$2:$A$19,0))),INDEX(Baseline!$B$3:$E$122,MATCH(MIN(MAX(ROUND(($F1166)/5,0)*5,5),600),Baseline!$A$3:$A$122,0),MATCH($E1166,Baseline!$B$2:$E$2,0))))))</f>
        <v/>
      </c>
      <c r="P1166" s="17" t="str">
        <f aca="false">IF($B1166="","",INDEX(Course!$N$2:$N$19,MATCH($B1166,Course!$A$2:$A$19,0)))</f>
        <v/>
      </c>
      <c r="Q1166" s="17" t="str">
        <f aca="false">IF($B1166="","",INDEX(Course!$P$2:$P$19,MATCH($B1166,Course!$A$2:$A$19,0)))</f>
        <v/>
      </c>
      <c r="R1166" s="17" t="str">
        <f aca="false">IF($C1166="","",IF(OR($C1166="G",$C1166="H"),0,IF($C1166="T",1,MIN(1,MAX(0,($N1166-Inputs!$B$8)/MAX($P1166-Inputs!$B$8,0.01))))))</f>
        <v/>
      </c>
      <c r="S1166" s="17" t="str">
        <f aca="false">IF($C1166="","",IF(OR($E1166="G",$E1166="H"),0,IF($E1166="T",1,MIN(1,MAX(0,($O1166-Inputs!$B$8)/MAX($P1166-Inputs!$B$8,0.01))))))</f>
        <v/>
      </c>
    </row>
    <row r="1167" customFormat="false" ht="15" hidden="false" customHeight="false" outlineLevel="0" collapsed="false">
      <c r="I1167" s="7" t="str">
        <f aca="false">IF($C1167="","",IF($C1167="G","PUTT",IF(AND($C1167="T",$M1167&gt;3),"OTT",IF($D1167&lt;=30,"ARG","APP"))))</f>
        <v/>
      </c>
      <c r="J1167" s="17" t="str">
        <f aca="false">IF($C1167="","",$N1167+$Q1167*$R1167)</f>
        <v/>
      </c>
      <c r="K1167" s="17" t="str">
        <f aca="false">IF($C1167="","",$O1167+$Q1167*$S1167)</f>
        <v/>
      </c>
      <c r="L1167" s="17" t="str">
        <f aca="false">IF($C1167="","",$J1167-$K1167-1-N($G1167))</f>
        <v/>
      </c>
      <c r="M1167" s="7" t="str">
        <f aca="false">IF($B1167="","",INDEX(Course!$B$2:$B$19,MATCH($B1167,Course!$A$2:$A$19,0)))</f>
        <v/>
      </c>
      <c r="N1167" s="17" t="str">
        <f aca="false">IF($C1167="","",IF($C1167="H",0,IF($C1167="G",INDEX(Baseline!$I$3:$I$102,MIN(MAX(ROUND($D1167,0),1),100)),IF($C1167="T",IF($M1167=3,INDEX(Baseline!$B$3:$B$122,MATCH(MIN(MAX(ROUND(($D1167)/5,0)*5,5),600),Baseline!$A$3:$A$122,0))-Inputs!$B$9,INDEX(Course!$N$2:$N$19,MATCH($B1167,Course!$A$2:$A$19,0))),INDEX(Baseline!$B$3:$E$122,MATCH(MIN(MAX(ROUND(($D1167)/5,0)*5,5),600),Baseline!$A$3:$A$122,0),MATCH($C1167,Baseline!$B$2:$E$2,0))))))</f>
        <v/>
      </c>
      <c r="O1167" s="17" t="str">
        <f aca="false">IF($C1167="","",IF($E1167="H",0,IF($E1167="G",INDEX(Baseline!$I$3:$I$102,MIN(MAX(ROUND($F1167,0),1),100)),IF($E1167="T",IF($M1167=3,INDEX(Baseline!$B$3:$B$122,MATCH(MIN(MAX(ROUND(($F1167)/5,0)*5,5),600),Baseline!$A$3:$A$122,0))-Inputs!$B$9,INDEX(Course!$N$2:$N$19,MATCH($B1167,Course!$A$2:$A$19,0))),INDEX(Baseline!$B$3:$E$122,MATCH(MIN(MAX(ROUND(($F1167)/5,0)*5,5),600),Baseline!$A$3:$A$122,0),MATCH($E1167,Baseline!$B$2:$E$2,0))))))</f>
        <v/>
      </c>
      <c r="P1167" s="17" t="str">
        <f aca="false">IF($B1167="","",INDEX(Course!$N$2:$N$19,MATCH($B1167,Course!$A$2:$A$19,0)))</f>
        <v/>
      </c>
      <c r="Q1167" s="17" t="str">
        <f aca="false">IF($B1167="","",INDEX(Course!$P$2:$P$19,MATCH($B1167,Course!$A$2:$A$19,0)))</f>
        <v/>
      </c>
      <c r="R1167" s="17" t="str">
        <f aca="false">IF($C1167="","",IF(OR($C1167="G",$C1167="H"),0,IF($C1167="T",1,MIN(1,MAX(0,($N1167-Inputs!$B$8)/MAX($P1167-Inputs!$B$8,0.01))))))</f>
        <v/>
      </c>
      <c r="S1167" s="17" t="str">
        <f aca="false">IF($C1167="","",IF(OR($E1167="G",$E1167="H"),0,IF($E1167="T",1,MIN(1,MAX(0,($O1167-Inputs!$B$8)/MAX($P1167-Inputs!$B$8,0.01))))))</f>
        <v/>
      </c>
    </row>
    <row r="1168" customFormat="false" ht="15" hidden="false" customHeight="false" outlineLevel="0" collapsed="false">
      <c r="I1168" s="7" t="str">
        <f aca="false">IF($C1168="","",IF($C1168="G","PUTT",IF(AND($C1168="T",$M1168&gt;3),"OTT",IF($D1168&lt;=30,"ARG","APP"))))</f>
        <v/>
      </c>
      <c r="J1168" s="17" t="str">
        <f aca="false">IF($C1168="","",$N1168+$Q1168*$R1168)</f>
        <v/>
      </c>
      <c r="K1168" s="17" t="str">
        <f aca="false">IF($C1168="","",$O1168+$Q1168*$S1168)</f>
        <v/>
      </c>
      <c r="L1168" s="17" t="str">
        <f aca="false">IF($C1168="","",$J1168-$K1168-1-N($G1168))</f>
        <v/>
      </c>
      <c r="M1168" s="7" t="str">
        <f aca="false">IF($B1168="","",INDEX(Course!$B$2:$B$19,MATCH($B1168,Course!$A$2:$A$19,0)))</f>
        <v/>
      </c>
      <c r="N1168" s="17" t="str">
        <f aca="false">IF($C1168="","",IF($C1168="H",0,IF($C1168="G",INDEX(Baseline!$I$3:$I$102,MIN(MAX(ROUND($D1168,0),1),100)),IF($C1168="T",IF($M1168=3,INDEX(Baseline!$B$3:$B$122,MATCH(MIN(MAX(ROUND(($D1168)/5,0)*5,5),600),Baseline!$A$3:$A$122,0))-Inputs!$B$9,INDEX(Course!$N$2:$N$19,MATCH($B1168,Course!$A$2:$A$19,0))),INDEX(Baseline!$B$3:$E$122,MATCH(MIN(MAX(ROUND(($D1168)/5,0)*5,5),600),Baseline!$A$3:$A$122,0),MATCH($C1168,Baseline!$B$2:$E$2,0))))))</f>
        <v/>
      </c>
      <c r="O1168" s="17" t="str">
        <f aca="false">IF($C1168="","",IF($E1168="H",0,IF($E1168="G",INDEX(Baseline!$I$3:$I$102,MIN(MAX(ROUND($F1168,0),1),100)),IF($E1168="T",IF($M1168=3,INDEX(Baseline!$B$3:$B$122,MATCH(MIN(MAX(ROUND(($F1168)/5,0)*5,5),600),Baseline!$A$3:$A$122,0))-Inputs!$B$9,INDEX(Course!$N$2:$N$19,MATCH($B1168,Course!$A$2:$A$19,0))),INDEX(Baseline!$B$3:$E$122,MATCH(MIN(MAX(ROUND(($F1168)/5,0)*5,5),600),Baseline!$A$3:$A$122,0),MATCH($E1168,Baseline!$B$2:$E$2,0))))))</f>
        <v/>
      </c>
      <c r="P1168" s="17" t="str">
        <f aca="false">IF($B1168="","",INDEX(Course!$N$2:$N$19,MATCH($B1168,Course!$A$2:$A$19,0)))</f>
        <v/>
      </c>
      <c r="Q1168" s="17" t="str">
        <f aca="false">IF($B1168="","",INDEX(Course!$P$2:$P$19,MATCH($B1168,Course!$A$2:$A$19,0)))</f>
        <v/>
      </c>
      <c r="R1168" s="17" t="str">
        <f aca="false">IF($C1168="","",IF(OR($C1168="G",$C1168="H"),0,IF($C1168="T",1,MIN(1,MAX(0,($N1168-Inputs!$B$8)/MAX($P1168-Inputs!$B$8,0.01))))))</f>
        <v/>
      </c>
      <c r="S1168" s="17" t="str">
        <f aca="false">IF($C1168="","",IF(OR($E1168="G",$E1168="H"),0,IF($E1168="T",1,MIN(1,MAX(0,($O1168-Inputs!$B$8)/MAX($P1168-Inputs!$B$8,0.01))))))</f>
        <v/>
      </c>
    </row>
    <row r="1169" customFormat="false" ht="15" hidden="false" customHeight="false" outlineLevel="0" collapsed="false">
      <c r="I1169" s="7" t="str">
        <f aca="false">IF($C1169="","",IF($C1169="G","PUTT",IF(AND($C1169="T",$M1169&gt;3),"OTT",IF($D1169&lt;=30,"ARG","APP"))))</f>
        <v/>
      </c>
      <c r="J1169" s="17" t="str">
        <f aca="false">IF($C1169="","",$N1169+$Q1169*$R1169)</f>
        <v/>
      </c>
      <c r="K1169" s="17" t="str">
        <f aca="false">IF($C1169="","",$O1169+$Q1169*$S1169)</f>
        <v/>
      </c>
      <c r="L1169" s="17" t="str">
        <f aca="false">IF($C1169="","",$J1169-$K1169-1-N($G1169))</f>
        <v/>
      </c>
      <c r="M1169" s="7" t="str">
        <f aca="false">IF($B1169="","",INDEX(Course!$B$2:$B$19,MATCH($B1169,Course!$A$2:$A$19,0)))</f>
        <v/>
      </c>
      <c r="N1169" s="17" t="str">
        <f aca="false">IF($C1169="","",IF($C1169="H",0,IF($C1169="G",INDEX(Baseline!$I$3:$I$102,MIN(MAX(ROUND($D1169,0),1),100)),IF($C1169="T",IF($M1169=3,INDEX(Baseline!$B$3:$B$122,MATCH(MIN(MAX(ROUND(($D1169)/5,0)*5,5),600),Baseline!$A$3:$A$122,0))-Inputs!$B$9,INDEX(Course!$N$2:$N$19,MATCH($B1169,Course!$A$2:$A$19,0))),INDEX(Baseline!$B$3:$E$122,MATCH(MIN(MAX(ROUND(($D1169)/5,0)*5,5),600),Baseline!$A$3:$A$122,0),MATCH($C1169,Baseline!$B$2:$E$2,0))))))</f>
        <v/>
      </c>
      <c r="O1169" s="17" t="str">
        <f aca="false">IF($C1169="","",IF($E1169="H",0,IF($E1169="G",INDEX(Baseline!$I$3:$I$102,MIN(MAX(ROUND($F1169,0),1),100)),IF($E1169="T",IF($M1169=3,INDEX(Baseline!$B$3:$B$122,MATCH(MIN(MAX(ROUND(($F1169)/5,0)*5,5),600),Baseline!$A$3:$A$122,0))-Inputs!$B$9,INDEX(Course!$N$2:$N$19,MATCH($B1169,Course!$A$2:$A$19,0))),INDEX(Baseline!$B$3:$E$122,MATCH(MIN(MAX(ROUND(($F1169)/5,0)*5,5),600),Baseline!$A$3:$A$122,0),MATCH($E1169,Baseline!$B$2:$E$2,0))))))</f>
        <v/>
      </c>
      <c r="P1169" s="17" t="str">
        <f aca="false">IF($B1169="","",INDEX(Course!$N$2:$N$19,MATCH($B1169,Course!$A$2:$A$19,0)))</f>
        <v/>
      </c>
      <c r="Q1169" s="17" t="str">
        <f aca="false">IF($B1169="","",INDEX(Course!$P$2:$P$19,MATCH($B1169,Course!$A$2:$A$19,0)))</f>
        <v/>
      </c>
      <c r="R1169" s="17" t="str">
        <f aca="false">IF($C1169="","",IF(OR($C1169="G",$C1169="H"),0,IF($C1169="T",1,MIN(1,MAX(0,($N1169-Inputs!$B$8)/MAX($P1169-Inputs!$B$8,0.01))))))</f>
        <v/>
      </c>
      <c r="S1169" s="17" t="str">
        <f aca="false">IF($C1169="","",IF(OR($E1169="G",$E1169="H"),0,IF($E1169="T",1,MIN(1,MAX(0,($O1169-Inputs!$B$8)/MAX($P1169-Inputs!$B$8,0.01))))))</f>
        <v/>
      </c>
    </row>
    <row r="1170" customFormat="false" ht="15" hidden="false" customHeight="false" outlineLevel="0" collapsed="false">
      <c r="I1170" s="7" t="str">
        <f aca="false">IF($C1170="","",IF($C1170="G","PUTT",IF(AND($C1170="T",$M1170&gt;3),"OTT",IF($D1170&lt;=30,"ARG","APP"))))</f>
        <v/>
      </c>
      <c r="J1170" s="17" t="str">
        <f aca="false">IF($C1170="","",$N1170+$Q1170*$R1170)</f>
        <v/>
      </c>
      <c r="K1170" s="17" t="str">
        <f aca="false">IF($C1170="","",$O1170+$Q1170*$S1170)</f>
        <v/>
      </c>
      <c r="L1170" s="17" t="str">
        <f aca="false">IF($C1170="","",$J1170-$K1170-1-N($G1170))</f>
        <v/>
      </c>
      <c r="M1170" s="7" t="str">
        <f aca="false">IF($B1170="","",INDEX(Course!$B$2:$B$19,MATCH($B1170,Course!$A$2:$A$19,0)))</f>
        <v/>
      </c>
      <c r="N1170" s="17" t="str">
        <f aca="false">IF($C1170="","",IF($C1170="H",0,IF($C1170="G",INDEX(Baseline!$I$3:$I$102,MIN(MAX(ROUND($D1170,0),1),100)),IF($C1170="T",IF($M1170=3,INDEX(Baseline!$B$3:$B$122,MATCH(MIN(MAX(ROUND(($D1170)/5,0)*5,5),600),Baseline!$A$3:$A$122,0))-Inputs!$B$9,INDEX(Course!$N$2:$N$19,MATCH($B1170,Course!$A$2:$A$19,0))),INDEX(Baseline!$B$3:$E$122,MATCH(MIN(MAX(ROUND(($D1170)/5,0)*5,5),600),Baseline!$A$3:$A$122,0),MATCH($C1170,Baseline!$B$2:$E$2,0))))))</f>
        <v/>
      </c>
      <c r="O1170" s="17" t="str">
        <f aca="false">IF($C1170="","",IF($E1170="H",0,IF($E1170="G",INDEX(Baseline!$I$3:$I$102,MIN(MAX(ROUND($F1170,0),1),100)),IF($E1170="T",IF($M1170=3,INDEX(Baseline!$B$3:$B$122,MATCH(MIN(MAX(ROUND(($F1170)/5,0)*5,5),600),Baseline!$A$3:$A$122,0))-Inputs!$B$9,INDEX(Course!$N$2:$N$19,MATCH($B1170,Course!$A$2:$A$19,0))),INDEX(Baseline!$B$3:$E$122,MATCH(MIN(MAX(ROUND(($F1170)/5,0)*5,5),600),Baseline!$A$3:$A$122,0),MATCH($E1170,Baseline!$B$2:$E$2,0))))))</f>
        <v/>
      </c>
      <c r="P1170" s="17" t="str">
        <f aca="false">IF($B1170="","",INDEX(Course!$N$2:$N$19,MATCH($B1170,Course!$A$2:$A$19,0)))</f>
        <v/>
      </c>
      <c r="Q1170" s="17" t="str">
        <f aca="false">IF($B1170="","",INDEX(Course!$P$2:$P$19,MATCH($B1170,Course!$A$2:$A$19,0)))</f>
        <v/>
      </c>
      <c r="R1170" s="17" t="str">
        <f aca="false">IF($C1170="","",IF(OR($C1170="G",$C1170="H"),0,IF($C1170="T",1,MIN(1,MAX(0,($N1170-Inputs!$B$8)/MAX($P1170-Inputs!$B$8,0.01))))))</f>
        <v/>
      </c>
      <c r="S1170" s="17" t="str">
        <f aca="false">IF($C1170="","",IF(OR($E1170="G",$E1170="H"),0,IF($E1170="T",1,MIN(1,MAX(0,($O1170-Inputs!$B$8)/MAX($P1170-Inputs!$B$8,0.01))))))</f>
        <v/>
      </c>
    </row>
    <row r="1171" customFormat="false" ht="15" hidden="false" customHeight="false" outlineLevel="0" collapsed="false">
      <c r="I1171" s="7" t="str">
        <f aca="false">IF($C1171="","",IF($C1171="G","PUTT",IF(AND($C1171="T",$M1171&gt;3),"OTT",IF($D1171&lt;=30,"ARG","APP"))))</f>
        <v/>
      </c>
      <c r="J1171" s="17" t="str">
        <f aca="false">IF($C1171="","",$N1171+$Q1171*$R1171)</f>
        <v/>
      </c>
      <c r="K1171" s="17" t="str">
        <f aca="false">IF($C1171="","",$O1171+$Q1171*$S1171)</f>
        <v/>
      </c>
      <c r="L1171" s="17" t="str">
        <f aca="false">IF($C1171="","",$J1171-$K1171-1-N($G1171))</f>
        <v/>
      </c>
      <c r="M1171" s="7" t="str">
        <f aca="false">IF($B1171="","",INDEX(Course!$B$2:$B$19,MATCH($B1171,Course!$A$2:$A$19,0)))</f>
        <v/>
      </c>
      <c r="N1171" s="17" t="str">
        <f aca="false">IF($C1171="","",IF($C1171="H",0,IF($C1171="G",INDEX(Baseline!$I$3:$I$102,MIN(MAX(ROUND($D1171,0),1),100)),IF($C1171="T",IF($M1171=3,INDEX(Baseline!$B$3:$B$122,MATCH(MIN(MAX(ROUND(($D1171)/5,0)*5,5),600),Baseline!$A$3:$A$122,0))-Inputs!$B$9,INDEX(Course!$N$2:$N$19,MATCH($B1171,Course!$A$2:$A$19,0))),INDEX(Baseline!$B$3:$E$122,MATCH(MIN(MAX(ROUND(($D1171)/5,0)*5,5),600),Baseline!$A$3:$A$122,0),MATCH($C1171,Baseline!$B$2:$E$2,0))))))</f>
        <v/>
      </c>
      <c r="O1171" s="17" t="str">
        <f aca="false">IF($C1171="","",IF($E1171="H",0,IF($E1171="G",INDEX(Baseline!$I$3:$I$102,MIN(MAX(ROUND($F1171,0),1),100)),IF($E1171="T",IF($M1171=3,INDEX(Baseline!$B$3:$B$122,MATCH(MIN(MAX(ROUND(($F1171)/5,0)*5,5),600),Baseline!$A$3:$A$122,0))-Inputs!$B$9,INDEX(Course!$N$2:$N$19,MATCH($B1171,Course!$A$2:$A$19,0))),INDEX(Baseline!$B$3:$E$122,MATCH(MIN(MAX(ROUND(($F1171)/5,0)*5,5),600),Baseline!$A$3:$A$122,0),MATCH($E1171,Baseline!$B$2:$E$2,0))))))</f>
        <v/>
      </c>
      <c r="P1171" s="17" t="str">
        <f aca="false">IF($B1171="","",INDEX(Course!$N$2:$N$19,MATCH($B1171,Course!$A$2:$A$19,0)))</f>
        <v/>
      </c>
      <c r="Q1171" s="17" t="str">
        <f aca="false">IF($B1171="","",INDEX(Course!$P$2:$P$19,MATCH($B1171,Course!$A$2:$A$19,0)))</f>
        <v/>
      </c>
      <c r="R1171" s="17" t="str">
        <f aca="false">IF($C1171="","",IF(OR($C1171="G",$C1171="H"),0,IF($C1171="T",1,MIN(1,MAX(0,($N1171-Inputs!$B$8)/MAX($P1171-Inputs!$B$8,0.01))))))</f>
        <v/>
      </c>
      <c r="S1171" s="17" t="str">
        <f aca="false">IF($C1171="","",IF(OR($E1171="G",$E1171="H"),0,IF($E1171="T",1,MIN(1,MAX(0,($O1171-Inputs!$B$8)/MAX($P1171-Inputs!$B$8,0.01))))))</f>
        <v/>
      </c>
    </row>
    <row r="1172" customFormat="false" ht="15" hidden="false" customHeight="false" outlineLevel="0" collapsed="false">
      <c r="I1172" s="7" t="str">
        <f aca="false">IF($C1172="","",IF($C1172="G","PUTT",IF(AND($C1172="T",$M1172&gt;3),"OTT",IF($D1172&lt;=30,"ARG","APP"))))</f>
        <v/>
      </c>
      <c r="J1172" s="17" t="str">
        <f aca="false">IF($C1172="","",$N1172+$Q1172*$R1172)</f>
        <v/>
      </c>
      <c r="K1172" s="17" t="str">
        <f aca="false">IF($C1172="","",$O1172+$Q1172*$S1172)</f>
        <v/>
      </c>
      <c r="L1172" s="17" t="str">
        <f aca="false">IF($C1172="","",$J1172-$K1172-1-N($G1172))</f>
        <v/>
      </c>
      <c r="M1172" s="7" t="str">
        <f aca="false">IF($B1172="","",INDEX(Course!$B$2:$B$19,MATCH($B1172,Course!$A$2:$A$19,0)))</f>
        <v/>
      </c>
      <c r="N1172" s="17" t="str">
        <f aca="false">IF($C1172="","",IF($C1172="H",0,IF($C1172="G",INDEX(Baseline!$I$3:$I$102,MIN(MAX(ROUND($D1172,0),1),100)),IF($C1172="T",IF($M1172=3,INDEX(Baseline!$B$3:$B$122,MATCH(MIN(MAX(ROUND(($D1172)/5,0)*5,5),600),Baseline!$A$3:$A$122,0))-Inputs!$B$9,INDEX(Course!$N$2:$N$19,MATCH($B1172,Course!$A$2:$A$19,0))),INDEX(Baseline!$B$3:$E$122,MATCH(MIN(MAX(ROUND(($D1172)/5,0)*5,5),600),Baseline!$A$3:$A$122,0),MATCH($C1172,Baseline!$B$2:$E$2,0))))))</f>
        <v/>
      </c>
      <c r="O1172" s="17" t="str">
        <f aca="false">IF($C1172="","",IF($E1172="H",0,IF($E1172="G",INDEX(Baseline!$I$3:$I$102,MIN(MAX(ROUND($F1172,0),1),100)),IF($E1172="T",IF($M1172=3,INDEX(Baseline!$B$3:$B$122,MATCH(MIN(MAX(ROUND(($F1172)/5,0)*5,5),600),Baseline!$A$3:$A$122,0))-Inputs!$B$9,INDEX(Course!$N$2:$N$19,MATCH($B1172,Course!$A$2:$A$19,0))),INDEX(Baseline!$B$3:$E$122,MATCH(MIN(MAX(ROUND(($F1172)/5,0)*5,5),600),Baseline!$A$3:$A$122,0),MATCH($E1172,Baseline!$B$2:$E$2,0))))))</f>
        <v/>
      </c>
      <c r="P1172" s="17" t="str">
        <f aca="false">IF($B1172="","",INDEX(Course!$N$2:$N$19,MATCH($B1172,Course!$A$2:$A$19,0)))</f>
        <v/>
      </c>
      <c r="Q1172" s="17" t="str">
        <f aca="false">IF($B1172="","",INDEX(Course!$P$2:$P$19,MATCH($B1172,Course!$A$2:$A$19,0)))</f>
        <v/>
      </c>
      <c r="R1172" s="17" t="str">
        <f aca="false">IF($C1172="","",IF(OR($C1172="G",$C1172="H"),0,IF($C1172="T",1,MIN(1,MAX(0,($N1172-Inputs!$B$8)/MAX($P1172-Inputs!$B$8,0.01))))))</f>
        <v/>
      </c>
      <c r="S1172" s="17" t="str">
        <f aca="false">IF($C1172="","",IF(OR($E1172="G",$E1172="H"),0,IF($E1172="T",1,MIN(1,MAX(0,($O1172-Inputs!$B$8)/MAX($P1172-Inputs!$B$8,0.01))))))</f>
        <v/>
      </c>
    </row>
    <row r="1173" customFormat="false" ht="15" hidden="false" customHeight="false" outlineLevel="0" collapsed="false">
      <c r="I1173" s="7" t="str">
        <f aca="false">IF($C1173="","",IF($C1173="G","PUTT",IF(AND($C1173="T",$M1173&gt;3),"OTT",IF($D1173&lt;=30,"ARG","APP"))))</f>
        <v/>
      </c>
      <c r="J1173" s="17" t="str">
        <f aca="false">IF($C1173="","",$N1173+$Q1173*$R1173)</f>
        <v/>
      </c>
      <c r="K1173" s="17" t="str">
        <f aca="false">IF($C1173="","",$O1173+$Q1173*$S1173)</f>
        <v/>
      </c>
      <c r="L1173" s="17" t="str">
        <f aca="false">IF($C1173="","",$J1173-$K1173-1-N($G1173))</f>
        <v/>
      </c>
      <c r="M1173" s="7" t="str">
        <f aca="false">IF($B1173="","",INDEX(Course!$B$2:$B$19,MATCH($B1173,Course!$A$2:$A$19,0)))</f>
        <v/>
      </c>
      <c r="N1173" s="17" t="str">
        <f aca="false">IF($C1173="","",IF($C1173="H",0,IF($C1173="G",INDEX(Baseline!$I$3:$I$102,MIN(MAX(ROUND($D1173,0),1),100)),IF($C1173="T",IF($M1173=3,INDEX(Baseline!$B$3:$B$122,MATCH(MIN(MAX(ROUND(($D1173)/5,0)*5,5),600),Baseline!$A$3:$A$122,0))-Inputs!$B$9,INDEX(Course!$N$2:$N$19,MATCH($B1173,Course!$A$2:$A$19,0))),INDEX(Baseline!$B$3:$E$122,MATCH(MIN(MAX(ROUND(($D1173)/5,0)*5,5),600),Baseline!$A$3:$A$122,0),MATCH($C1173,Baseline!$B$2:$E$2,0))))))</f>
        <v/>
      </c>
      <c r="O1173" s="17" t="str">
        <f aca="false">IF($C1173="","",IF($E1173="H",0,IF($E1173="G",INDEX(Baseline!$I$3:$I$102,MIN(MAX(ROUND($F1173,0),1),100)),IF($E1173="T",IF($M1173=3,INDEX(Baseline!$B$3:$B$122,MATCH(MIN(MAX(ROUND(($F1173)/5,0)*5,5),600),Baseline!$A$3:$A$122,0))-Inputs!$B$9,INDEX(Course!$N$2:$N$19,MATCH($B1173,Course!$A$2:$A$19,0))),INDEX(Baseline!$B$3:$E$122,MATCH(MIN(MAX(ROUND(($F1173)/5,0)*5,5),600),Baseline!$A$3:$A$122,0),MATCH($E1173,Baseline!$B$2:$E$2,0))))))</f>
        <v/>
      </c>
      <c r="P1173" s="17" t="str">
        <f aca="false">IF($B1173="","",INDEX(Course!$N$2:$N$19,MATCH($B1173,Course!$A$2:$A$19,0)))</f>
        <v/>
      </c>
      <c r="Q1173" s="17" t="str">
        <f aca="false">IF($B1173="","",INDEX(Course!$P$2:$P$19,MATCH($B1173,Course!$A$2:$A$19,0)))</f>
        <v/>
      </c>
      <c r="R1173" s="17" t="str">
        <f aca="false">IF($C1173="","",IF(OR($C1173="G",$C1173="H"),0,IF($C1173="T",1,MIN(1,MAX(0,($N1173-Inputs!$B$8)/MAX($P1173-Inputs!$B$8,0.01))))))</f>
        <v/>
      </c>
      <c r="S1173" s="17" t="str">
        <f aca="false">IF($C1173="","",IF(OR($E1173="G",$E1173="H"),0,IF($E1173="T",1,MIN(1,MAX(0,($O1173-Inputs!$B$8)/MAX($P1173-Inputs!$B$8,0.01))))))</f>
        <v/>
      </c>
    </row>
    <row r="1174" customFormat="false" ht="15" hidden="false" customHeight="false" outlineLevel="0" collapsed="false">
      <c r="I1174" s="7" t="str">
        <f aca="false">IF($C1174="","",IF($C1174="G","PUTT",IF(AND($C1174="T",$M1174&gt;3),"OTT",IF($D1174&lt;=30,"ARG","APP"))))</f>
        <v/>
      </c>
      <c r="J1174" s="17" t="str">
        <f aca="false">IF($C1174="","",$N1174+$Q1174*$R1174)</f>
        <v/>
      </c>
      <c r="K1174" s="17" t="str">
        <f aca="false">IF($C1174="","",$O1174+$Q1174*$S1174)</f>
        <v/>
      </c>
      <c r="L1174" s="17" t="str">
        <f aca="false">IF($C1174="","",$J1174-$K1174-1-N($G1174))</f>
        <v/>
      </c>
      <c r="M1174" s="7" t="str">
        <f aca="false">IF($B1174="","",INDEX(Course!$B$2:$B$19,MATCH($B1174,Course!$A$2:$A$19,0)))</f>
        <v/>
      </c>
      <c r="N1174" s="17" t="str">
        <f aca="false">IF($C1174="","",IF($C1174="H",0,IF($C1174="G",INDEX(Baseline!$I$3:$I$102,MIN(MAX(ROUND($D1174,0),1),100)),IF($C1174="T",IF($M1174=3,INDEX(Baseline!$B$3:$B$122,MATCH(MIN(MAX(ROUND(($D1174)/5,0)*5,5),600),Baseline!$A$3:$A$122,0))-Inputs!$B$9,INDEX(Course!$N$2:$N$19,MATCH($B1174,Course!$A$2:$A$19,0))),INDEX(Baseline!$B$3:$E$122,MATCH(MIN(MAX(ROUND(($D1174)/5,0)*5,5),600),Baseline!$A$3:$A$122,0),MATCH($C1174,Baseline!$B$2:$E$2,0))))))</f>
        <v/>
      </c>
      <c r="O1174" s="17" t="str">
        <f aca="false">IF($C1174="","",IF($E1174="H",0,IF($E1174="G",INDEX(Baseline!$I$3:$I$102,MIN(MAX(ROUND($F1174,0),1),100)),IF($E1174="T",IF($M1174=3,INDEX(Baseline!$B$3:$B$122,MATCH(MIN(MAX(ROUND(($F1174)/5,0)*5,5),600),Baseline!$A$3:$A$122,0))-Inputs!$B$9,INDEX(Course!$N$2:$N$19,MATCH($B1174,Course!$A$2:$A$19,0))),INDEX(Baseline!$B$3:$E$122,MATCH(MIN(MAX(ROUND(($F1174)/5,0)*5,5),600),Baseline!$A$3:$A$122,0),MATCH($E1174,Baseline!$B$2:$E$2,0))))))</f>
        <v/>
      </c>
      <c r="P1174" s="17" t="str">
        <f aca="false">IF($B1174="","",INDEX(Course!$N$2:$N$19,MATCH($B1174,Course!$A$2:$A$19,0)))</f>
        <v/>
      </c>
      <c r="Q1174" s="17" t="str">
        <f aca="false">IF($B1174="","",INDEX(Course!$P$2:$P$19,MATCH($B1174,Course!$A$2:$A$19,0)))</f>
        <v/>
      </c>
      <c r="R1174" s="17" t="str">
        <f aca="false">IF($C1174="","",IF(OR($C1174="G",$C1174="H"),0,IF($C1174="T",1,MIN(1,MAX(0,($N1174-Inputs!$B$8)/MAX($P1174-Inputs!$B$8,0.01))))))</f>
        <v/>
      </c>
      <c r="S1174" s="17" t="str">
        <f aca="false">IF($C1174="","",IF(OR($E1174="G",$E1174="H"),0,IF($E1174="T",1,MIN(1,MAX(0,($O1174-Inputs!$B$8)/MAX($P1174-Inputs!$B$8,0.01))))))</f>
        <v/>
      </c>
    </row>
    <row r="1175" customFormat="false" ht="15" hidden="false" customHeight="false" outlineLevel="0" collapsed="false">
      <c r="I1175" s="7" t="str">
        <f aca="false">IF($C1175="","",IF($C1175="G","PUTT",IF(AND($C1175="T",$M1175&gt;3),"OTT",IF($D1175&lt;=30,"ARG","APP"))))</f>
        <v/>
      </c>
      <c r="J1175" s="17" t="str">
        <f aca="false">IF($C1175="","",$N1175+$Q1175*$R1175)</f>
        <v/>
      </c>
      <c r="K1175" s="17" t="str">
        <f aca="false">IF($C1175="","",$O1175+$Q1175*$S1175)</f>
        <v/>
      </c>
      <c r="L1175" s="17" t="str">
        <f aca="false">IF($C1175="","",$J1175-$K1175-1-N($G1175))</f>
        <v/>
      </c>
      <c r="M1175" s="7" t="str">
        <f aca="false">IF($B1175="","",INDEX(Course!$B$2:$B$19,MATCH($B1175,Course!$A$2:$A$19,0)))</f>
        <v/>
      </c>
      <c r="N1175" s="17" t="str">
        <f aca="false">IF($C1175="","",IF($C1175="H",0,IF($C1175="G",INDEX(Baseline!$I$3:$I$102,MIN(MAX(ROUND($D1175,0),1),100)),IF($C1175="T",IF($M1175=3,INDEX(Baseline!$B$3:$B$122,MATCH(MIN(MAX(ROUND(($D1175)/5,0)*5,5),600),Baseline!$A$3:$A$122,0))-Inputs!$B$9,INDEX(Course!$N$2:$N$19,MATCH($B1175,Course!$A$2:$A$19,0))),INDEX(Baseline!$B$3:$E$122,MATCH(MIN(MAX(ROUND(($D1175)/5,0)*5,5),600),Baseline!$A$3:$A$122,0),MATCH($C1175,Baseline!$B$2:$E$2,0))))))</f>
        <v/>
      </c>
      <c r="O1175" s="17" t="str">
        <f aca="false">IF($C1175="","",IF($E1175="H",0,IF($E1175="G",INDEX(Baseline!$I$3:$I$102,MIN(MAX(ROUND($F1175,0),1),100)),IF($E1175="T",IF($M1175=3,INDEX(Baseline!$B$3:$B$122,MATCH(MIN(MAX(ROUND(($F1175)/5,0)*5,5),600),Baseline!$A$3:$A$122,0))-Inputs!$B$9,INDEX(Course!$N$2:$N$19,MATCH($B1175,Course!$A$2:$A$19,0))),INDEX(Baseline!$B$3:$E$122,MATCH(MIN(MAX(ROUND(($F1175)/5,0)*5,5),600),Baseline!$A$3:$A$122,0),MATCH($E1175,Baseline!$B$2:$E$2,0))))))</f>
        <v/>
      </c>
      <c r="P1175" s="17" t="str">
        <f aca="false">IF($B1175="","",INDEX(Course!$N$2:$N$19,MATCH($B1175,Course!$A$2:$A$19,0)))</f>
        <v/>
      </c>
      <c r="Q1175" s="17" t="str">
        <f aca="false">IF($B1175="","",INDEX(Course!$P$2:$P$19,MATCH($B1175,Course!$A$2:$A$19,0)))</f>
        <v/>
      </c>
      <c r="R1175" s="17" t="str">
        <f aca="false">IF($C1175="","",IF(OR($C1175="G",$C1175="H"),0,IF($C1175="T",1,MIN(1,MAX(0,($N1175-Inputs!$B$8)/MAX($P1175-Inputs!$B$8,0.01))))))</f>
        <v/>
      </c>
      <c r="S1175" s="17" t="str">
        <f aca="false">IF($C1175="","",IF(OR($E1175="G",$E1175="H"),0,IF($E1175="T",1,MIN(1,MAX(0,($O1175-Inputs!$B$8)/MAX($P1175-Inputs!$B$8,0.01))))))</f>
        <v/>
      </c>
    </row>
    <row r="1176" customFormat="false" ht="15" hidden="false" customHeight="false" outlineLevel="0" collapsed="false">
      <c r="I1176" s="7" t="str">
        <f aca="false">IF($C1176="","",IF($C1176="G","PUTT",IF(AND($C1176="T",$M1176&gt;3),"OTT",IF($D1176&lt;=30,"ARG","APP"))))</f>
        <v/>
      </c>
      <c r="J1176" s="17" t="str">
        <f aca="false">IF($C1176="","",$N1176+$Q1176*$R1176)</f>
        <v/>
      </c>
      <c r="K1176" s="17" t="str">
        <f aca="false">IF($C1176="","",$O1176+$Q1176*$S1176)</f>
        <v/>
      </c>
      <c r="L1176" s="17" t="str">
        <f aca="false">IF($C1176="","",$J1176-$K1176-1-N($G1176))</f>
        <v/>
      </c>
      <c r="M1176" s="7" t="str">
        <f aca="false">IF($B1176="","",INDEX(Course!$B$2:$B$19,MATCH($B1176,Course!$A$2:$A$19,0)))</f>
        <v/>
      </c>
      <c r="N1176" s="17" t="str">
        <f aca="false">IF($C1176="","",IF($C1176="H",0,IF($C1176="G",INDEX(Baseline!$I$3:$I$102,MIN(MAX(ROUND($D1176,0),1),100)),IF($C1176="T",IF($M1176=3,INDEX(Baseline!$B$3:$B$122,MATCH(MIN(MAX(ROUND(($D1176)/5,0)*5,5),600),Baseline!$A$3:$A$122,0))-Inputs!$B$9,INDEX(Course!$N$2:$N$19,MATCH($B1176,Course!$A$2:$A$19,0))),INDEX(Baseline!$B$3:$E$122,MATCH(MIN(MAX(ROUND(($D1176)/5,0)*5,5),600),Baseline!$A$3:$A$122,0),MATCH($C1176,Baseline!$B$2:$E$2,0))))))</f>
        <v/>
      </c>
      <c r="O1176" s="17" t="str">
        <f aca="false">IF($C1176="","",IF($E1176="H",0,IF($E1176="G",INDEX(Baseline!$I$3:$I$102,MIN(MAX(ROUND($F1176,0),1),100)),IF($E1176="T",IF($M1176=3,INDEX(Baseline!$B$3:$B$122,MATCH(MIN(MAX(ROUND(($F1176)/5,0)*5,5),600),Baseline!$A$3:$A$122,0))-Inputs!$B$9,INDEX(Course!$N$2:$N$19,MATCH($B1176,Course!$A$2:$A$19,0))),INDEX(Baseline!$B$3:$E$122,MATCH(MIN(MAX(ROUND(($F1176)/5,0)*5,5),600),Baseline!$A$3:$A$122,0),MATCH($E1176,Baseline!$B$2:$E$2,0))))))</f>
        <v/>
      </c>
      <c r="P1176" s="17" t="str">
        <f aca="false">IF($B1176="","",INDEX(Course!$N$2:$N$19,MATCH($B1176,Course!$A$2:$A$19,0)))</f>
        <v/>
      </c>
      <c r="Q1176" s="17" t="str">
        <f aca="false">IF($B1176="","",INDEX(Course!$P$2:$P$19,MATCH($B1176,Course!$A$2:$A$19,0)))</f>
        <v/>
      </c>
      <c r="R1176" s="17" t="str">
        <f aca="false">IF($C1176="","",IF(OR($C1176="G",$C1176="H"),0,IF($C1176="T",1,MIN(1,MAX(0,($N1176-Inputs!$B$8)/MAX($P1176-Inputs!$B$8,0.01))))))</f>
        <v/>
      </c>
      <c r="S1176" s="17" t="str">
        <f aca="false">IF($C1176="","",IF(OR($E1176="G",$E1176="H"),0,IF($E1176="T",1,MIN(1,MAX(0,($O1176-Inputs!$B$8)/MAX($P1176-Inputs!$B$8,0.01))))))</f>
        <v/>
      </c>
    </row>
    <row r="1177" customFormat="false" ht="15" hidden="false" customHeight="false" outlineLevel="0" collapsed="false">
      <c r="I1177" s="7" t="str">
        <f aca="false">IF($C1177="","",IF($C1177="G","PUTT",IF(AND($C1177="T",$M1177&gt;3),"OTT",IF($D1177&lt;=30,"ARG","APP"))))</f>
        <v/>
      </c>
      <c r="J1177" s="17" t="str">
        <f aca="false">IF($C1177="","",$N1177+$Q1177*$R1177)</f>
        <v/>
      </c>
      <c r="K1177" s="17" t="str">
        <f aca="false">IF($C1177="","",$O1177+$Q1177*$S1177)</f>
        <v/>
      </c>
      <c r="L1177" s="17" t="str">
        <f aca="false">IF($C1177="","",$J1177-$K1177-1-N($G1177))</f>
        <v/>
      </c>
      <c r="M1177" s="7" t="str">
        <f aca="false">IF($B1177="","",INDEX(Course!$B$2:$B$19,MATCH($B1177,Course!$A$2:$A$19,0)))</f>
        <v/>
      </c>
      <c r="N1177" s="17" t="str">
        <f aca="false">IF($C1177="","",IF($C1177="H",0,IF($C1177="G",INDEX(Baseline!$I$3:$I$102,MIN(MAX(ROUND($D1177,0),1),100)),IF($C1177="T",IF($M1177=3,INDEX(Baseline!$B$3:$B$122,MATCH(MIN(MAX(ROUND(($D1177)/5,0)*5,5),600),Baseline!$A$3:$A$122,0))-Inputs!$B$9,INDEX(Course!$N$2:$N$19,MATCH($B1177,Course!$A$2:$A$19,0))),INDEX(Baseline!$B$3:$E$122,MATCH(MIN(MAX(ROUND(($D1177)/5,0)*5,5),600),Baseline!$A$3:$A$122,0),MATCH($C1177,Baseline!$B$2:$E$2,0))))))</f>
        <v/>
      </c>
      <c r="O1177" s="17" t="str">
        <f aca="false">IF($C1177="","",IF($E1177="H",0,IF($E1177="G",INDEX(Baseline!$I$3:$I$102,MIN(MAX(ROUND($F1177,0),1),100)),IF($E1177="T",IF($M1177=3,INDEX(Baseline!$B$3:$B$122,MATCH(MIN(MAX(ROUND(($F1177)/5,0)*5,5),600),Baseline!$A$3:$A$122,0))-Inputs!$B$9,INDEX(Course!$N$2:$N$19,MATCH($B1177,Course!$A$2:$A$19,0))),INDEX(Baseline!$B$3:$E$122,MATCH(MIN(MAX(ROUND(($F1177)/5,0)*5,5),600),Baseline!$A$3:$A$122,0),MATCH($E1177,Baseline!$B$2:$E$2,0))))))</f>
        <v/>
      </c>
      <c r="P1177" s="17" t="str">
        <f aca="false">IF($B1177="","",INDEX(Course!$N$2:$N$19,MATCH($B1177,Course!$A$2:$A$19,0)))</f>
        <v/>
      </c>
      <c r="Q1177" s="17" t="str">
        <f aca="false">IF($B1177="","",INDEX(Course!$P$2:$P$19,MATCH($B1177,Course!$A$2:$A$19,0)))</f>
        <v/>
      </c>
      <c r="R1177" s="17" t="str">
        <f aca="false">IF($C1177="","",IF(OR($C1177="G",$C1177="H"),0,IF($C1177="T",1,MIN(1,MAX(0,($N1177-Inputs!$B$8)/MAX($P1177-Inputs!$B$8,0.01))))))</f>
        <v/>
      </c>
      <c r="S1177" s="17" t="str">
        <f aca="false">IF($C1177="","",IF(OR($E1177="G",$E1177="H"),0,IF($E1177="T",1,MIN(1,MAX(0,($O1177-Inputs!$B$8)/MAX($P1177-Inputs!$B$8,0.01))))))</f>
        <v/>
      </c>
    </row>
    <row r="1178" customFormat="false" ht="15" hidden="false" customHeight="false" outlineLevel="0" collapsed="false">
      <c r="I1178" s="7" t="str">
        <f aca="false">IF($C1178="","",IF($C1178="G","PUTT",IF(AND($C1178="T",$M1178&gt;3),"OTT",IF($D1178&lt;=30,"ARG","APP"))))</f>
        <v/>
      </c>
      <c r="J1178" s="17" t="str">
        <f aca="false">IF($C1178="","",$N1178+$Q1178*$R1178)</f>
        <v/>
      </c>
      <c r="K1178" s="17" t="str">
        <f aca="false">IF($C1178="","",$O1178+$Q1178*$S1178)</f>
        <v/>
      </c>
      <c r="L1178" s="17" t="str">
        <f aca="false">IF($C1178="","",$J1178-$K1178-1-N($G1178))</f>
        <v/>
      </c>
      <c r="M1178" s="7" t="str">
        <f aca="false">IF($B1178="","",INDEX(Course!$B$2:$B$19,MATCH($B1178,Course!$A$2:$A$19,0)))</f>
        <v/>
      </c>
      <c r="N1178" s="17" t="str">
        <f aca="false">IF($C1178="","",IF($C1178="H",0,IF($C1178="G",INDEX(Baseline!$I$3:$I$102,MIN(MAX(ROUND($D1178,0),1),100)),IF($C1178="T",IF($M1178=3,INDEX(Baseline!$B$3:$B$122,MATCH(MIN(MAX(ROUND(($D1178)/5,0)*5,5),600),Baseline!$A$3:$A$122,0))-Inputs!$B$9,INDEX(Course!$N$2:$N$19,MATCH($B1178,Course!$A$2:$A$19,0))),INDEX(Baseline!$B$3:$E$122,MATCH(MIN(MAX(ROUND(($D1178)/5,0)*5,5),600),Baseline!$A$3:$A$122,0),MATCH($C1178,Baseline!$B$2:$E$2,0))))))</f>
        <v/>
      </c>
      <c r="O1178" s="17" t="str">
        <f aca="false">IF($C1178="","",IF($E1178="H",0,IF($E1178="G",INDEX(Baseline!$I$3:$I$102,MIN(MAX(ROUND($F1178,0),1),100)),IF($E1178="T",IF($M1178=3,INDEX(Baseline!$B$3:$B$122,MATCH(MIN(MAX(ROUND(($F1178)/5,0)*5,5),600),Baseline!$A$3:$A$122,0))-Inputs!$B$9,INDEX(Course!$N$2:$N$19,MATCH($B1178,Course!$A$2:$A$19,0))),INDEX(Baseline!$B$3:$E$122,MATCH(MIN(MAX(ROUND(($F1178)/5,0)*5,5),600),Baseline!$A$3:$A$122,0),MATCH($E1178,Baseline!$B$2:$E$2,0))))))</f>
        <v/>
      </c>
      <c r="P1178" s="17" t="str">
        <f aca="false">IF($B1178="","",INDEX(Course!$N$2:$N$19,MATCH($B1178,Course!$A$2:$A$19,0)))</f>
        <v/>
      </c>
      <c r="Q1178" s="17" t="str">
        <f aca="false">IF($B1178="","",INDEX(Course!$P$2:$P$19,MATCH($B1178,Course!$A$2:$A$19,0)))</f>
        <v/>
      </c>
      <c r="R1178" s="17" t="str">
        <f aca="false">IF($C1178="","",IF(OR($C1178="G",$C1178="H"),0,IF($C1178="T",1,MIN(1,MAX(0,($N1178-Inputs!$B$8)/MAX($P1178-Inputs!$B$8,0.01))))))</f>
        <v/>
      </c>
      <c r="S1178" s="17" t="str">
        <f aca="false">IF($C1178="","",IF(OR($E1178="G",$E1178="H"),0,IF($E1178="T",1,MIN(1,MAX(0,($O1178-Inputs!$B$8)/MAX($P1178-Inputs!$B$8,0.01))))))</f>
        <v/>
      </c>
    </row>
    <row r="1179" customFormat="false" ht="15" hidden="false" customHeight="false" outlineLevel="0" collapsed="false">
      <c r="I1179" s="7" t="str">
        <f aca="false">IF($C1179="","",IF($C1179="G","PUTT",IF(AND($C1179="T",$M1179&gt;3),"OTT",IF($D1179&lt;=30,"ARG","APP"))))</f>
        <v/>
      </c>
      <c r="J1179" s="17" t="str">
        <f aca="false">IF($C1179="","",$N1179+$Q1179*$R1179)</f>
        <v/>
      </c>
      <c r="K1179" s="17" t="str">
        <f aca="false">IF($C1179="","",$O1179+$Q1179*$S1179)</f>
        <v/>
      </c>
      <c r="L1179" s="17" t="str">
        <f aca="false">IF($C1179="","",$J1179-$K1179-1-N($G1179))</f>
        <v/>
      </c>
      <c r="M1179" s="7" t="str">
        <f aca="false">IF($B1179="","",INDEX(Course!$B$2:$B$19,MATCH($B1179,Course!$A$2:$A$19,0)))</f>
        <v/>
      </c>
      <c r="N1179" s="17" t="str">
        <f aca="false">IF($C1179="","",IF($C1179="H",0,IF($C1179="G",INDEX(Baseline!$I$3:$I$102,MIN(MAX(ROUND($D1179,0),1),100)),IF($C1179="T",IF($M1179=3,INDEX(Baseline!$B$3:$B$122,MATCH(MIN(MAX(ROUND(($D1179)/5,0)*5,5),600),Baseline!$A$3:$A$122,0))-Inputs!$B$9,INDEX(Course!$N$2:$N$19,MATCH($B1179,Course!$A$2:$A$19,0))),INDEX(Baseline!$B$3:$E$122,MATCH(MIN(MAX(ROUND(($D1179)/5,0)*5,5),600),Baseline!$A$3:$A$122,0),MATCH($C1179,Baseline!$B$2:$E$2,0))))))</f>
        <v/>
      </c>
      <c r="O1179" s="17" t="str">
        <f aca="false">IF($C1179="","",IF($E1179="H",0,IF($E1179="G",INDEX(Baseline!$I$3:$I$102,MIN(MAX(ROUND($F1179,0),1),100)),IF($E1179="T",IF($M1179=3,INDEX(Baseline!$B$3:$B$122,MATCH(MIN(MAX(ROUND(($F1179)/5,0)*5,5),600),Baseline!$A$3:$A$122,0))-Inputs!$B$9,INDEX(Course!$N$2:$N$19,MATCH($B1179,Course!$A$2:$A$19,0))),INDEX(Baseline!$B$3:$E$122,MATCH(MIN(MAX(ROUND(($F1179)/5,0)*5,5),600),Baseline!$A$3:$A$122,0),MATCH($E1179,Baseline!$B$2:$E$2,0))))))</f>
        <v/>
      </c>
      <c r="P1179" s="17" t="str">
        <f aca="false">IF($B1179="","",INDEX(Course!$N$2:$N$19,MATCH($B1179,Course!$A$2:$A$19,0)))</f>
        <v/>
      </c>
      <c r="Q1179" s="17" t="str">
        <f aca="false">IF($B1179="","",INDEX(Course!$P$2:$P$19,MATCH($B1179,Course!$A$2:$A$19,0)))</f>
        <v/>
      </c>
      <c r="R1179" s="17" t="str">
        <f aca="false">IF($C1179="","",IF(OR($C1179="G",$C1179="H"),0,IF($C1179="T",1,MIN(1,MAX(0,($N1179-Inputs!$B$8)/MAX($P1179-Inputs!$B$8,0.01))))))</f>
        <v/>
      </c>
      <c r="S1179" s="17" t="str">
        <f aca="false">IF($C1179="","",IF(OR($E1179="G",$E1179="H"),0,IF($E1179="T",1,MIN(1,MAX(0,($O1179-Inputs!$B$8)/MAX($P1179-Inputs!$B$8,0.01))))))</f>
        <v/>
      </c>
    </row>
    <row r="1180" customFormat="false" ht="15" hidden="false" customHeight="false" outlineLevel="0" collapsed="false">
      <c r="I1180" s="7" t="str">
        <f aca="false">IF($C1180="","",IF($C1180="G","PUTT",IF(AND($C1180="T",$M1180&gt;3),"OTT",IF($D1180&lt;=30,"ARG","APP"))))</f>
        <v/>
      </c>
      <c r="J1180" s="17" t="str">
        <f aca="false">IF($C1180="","",$N1180+$Q1180*$R1180)</f>
        <v/>
      </c>
      <c r="K1180" s="17" t="str">
        <f aca="false">IF($C1180="","",$O1180+$Q1180*$S1180)</f>
        <v/>
      </c>
      <c r="L1180" s="17" t="str">
        <f aca="false">IF($C1180="","",$J1180-$K1180-1-N($G1180))</f>
        <v/>
      </c>
      <c r="M1180" s="7" t="str">
        <f aca="false">IF($B1180="","",INDEX(Course!$B$2:$B$19,MATCH($B1180,Course!$A$2:$A$19,0)))</f>
        <v/>
      </c>
      <c r="N1180" s="17" t="str">
        <f aca="false">IF($C1180="","",IF($C1180="H",0,IF($C1180="G",INDEX(Baseline!$I$3:$I$102,MIN(MAX(ROUND($D1180,0),1),100)),IF($C1180="T",IF($M1180=3,INDEX(Baseline!$B$3:$B$122,MATCH(MIN(MAX(ROUND(($D1180)/5,0)*5,5),600),Baseline!$A$3:$A$122,0))-Inputs!$B$9,INDEX(Course!$N$2:$N$19,MATCH($B1180,Course!$A$2:$A$19,0))),INDEX(Baseline!$B$3:$E$122,MATCH(MIN(MAX(ROUND(($D1180)/5,0)*5,5),600),Baseline!$A$3:$A$122,0),MATCH($C1180,Baseline!$B$2:$E$2,0))))))</f>
        <v/>
      </c>
      <c r="O1180" s="17" t="str">
        <f aca="false">IF($C1180="","",IF($E1180="H",0,IF($E1180="G",INDEX(Baseline!$I$3:$I$102,MIN(MAX(ROUND($F1180,0),1),100)),IF($E1180="T",IF($M1180=3,INDEX(Baseline!$B$3:$B$122,MATCH(MIN(MAX(ROUND(($F1180)/5,0)*5,5),600),Baseline!$A$3:$A$122,0))-Inputs!$B$9,INDEX(Course!$N$2:$N$19,MATCH($B1180,Course!$A$2:$A$19,0))),INDEX(Baseline!$B$3:$E$122,MATCH(MIN(MAX(ROUND(($F1180)/5,0)*5,5),600),Baseline!$A$3:$A$122,0),MATCH($E1180,Baseline!$B$2:$E$2,0))))))</f>
        <v/>
      </c>
      <c r="P1180" s="17" t="str">
        <f aca="false">IF($B1180="","",INDEX(Course!$N$2:$N$19,MATCH($B1180,Course!$A$2:$A$19,0)))</f>
        <v/>
      </c>
      <c r="Q1180" s="17" t="str">
        <f aca="false">IF($B1180="","",INDEX(Course!$P$2:$P$19,MATCH($B1180,Course!$A$2:$A$19,0)))</f>
        <v/>
      </c>
      <c r="R1180" s="17" t="str">
        <f aca="false">IF($C1180="","",IF(OR($C1180="G",$C1180="H"),0,IF($C1180="T",1,MIN(1,MAX(0,($N1180-Inputs!$B$8)/MAX($P1180-Inputs!$B$8,0.01))))))</f>
        <v/>
      </c>
      <c r="S1180" s="17" t="str">
        <f aca="false">IF($C1180="","",IF(OR($E1180="G",$E1180="H"),0,IF($E1180="T",1,MIN(1,MAX(0,($O1180-Inputs!$B$8)/MAX($P1180-Inputs!$B$8,0.01))))))</f>
        <v/>
      </c>
    </row>
    <row r="1181" customFormat="false" ht="15" hidden="false" customHeight="false" outlineLevel="0" collapsed="false">
      <c r="I1181" s="7" t="str">
        <f aca="false">IF($C1181="","",IF($C1181="G","PUTT",IF(AND($C1181="T",$M1181&gt;3),"OTT",IF($D1181&lt;=30,"ARG","APP"))))</f>
        <v/>
      </c>
      <c r="J1181" s="17" t="str">
        <f aca="false">IF($C1181="","",$N1181+$Q1181*$R1181)</f>
        <v/>
      </c>
      <c r="K1181" s="17" t="str">
        <f aca="false">IF($C1181="","",$O1181+$Q1181*$S1181)</f>
        <v/>
      </c>
      <c r="L1181" s="17" t="str">
        <f aca="false">IF($C1181="","",$J1181-$K1181-1-N($G1181))</f>
        <v/>
      </c>
      <c r="M1181" s="7" t="str">
        <f aca="false">IF($B1181="","",INDEX(Course!$B$2:$B$19,MATCH($B1181,Course!$A$2:$A$19,0)))</f>
        <v/>
      </c>
      <c r="N1181" s="17" t="str">
        <f aca="false">IF($C1181="","",IF($C1181="H",0,IF($C1181="G",INDEX(Baseline!$I$3:$I$102,MIN(MAX(ROUND($D1181,0),1),100)),IF($C1181="T",IF($M1181=3,INDEX(Baseline!$B$3:$B$122,MATCH(MIN(MAX(ROUND(($D1181)/5,0)*5,5),600),Baseline!$A$3:$A$122,0))-Inputs!$B$9,INDEX(Course!$N$2:$N$19,MATCH($B1181,Course!$A$2:$A$19,0))),INDEX(Baseline!$B$3:$E$122,MATCH(MIN(MAX(ROUND(($D1181)/5,0)*5,5),600),Baseline!$A$3:$A$122,0),MATCH($C1181,Baseline!$B$2:$E$2,0))))))</f>
        <v/>
      </c>
      <c r="O1181" s="17" t="str">
        <f aca="false">IF($C1181="","",IF($E1181="H",0,IF($E1181="G",INDEX(Baseline!$I$3:$I$102,MIN(MAX(ROUND($F1181,0),1),100)),IF($E1181="T",IF($M1181=3,INDEX(Baseline!$B$3:$B$122,MATCH(MIN(MAX(ROUND(($F1181)/5,0)*5,5),600),Baseline!$A$3:$A$122,0))-Inputs!$B$9,INDEX(Course!$N$2:$N$19,MATCH($B1181,Course!$A$2:$A$19,0))),INDEX(Baseline!$B$3:$E$122,MATCH(MIN(MAX(ROUND(($F1181)/5,0)*5,5),600),Baseline!$A$3:$A$122,0),MATCH($E1181,Baseline!$B$2:$E$2,0))))))</f>
        <v/>
      </c>
      <c r="P1181" s="17" t="str">
        <f aca="false">IF($B1181="","",INDEX(Course!$N$2:$N$19,MATCH($B1181,Course!$A$2:$A$19,0)))</f>
        <v/>
      </c>
      <c r="Q1181" s="17" t="str">
        <f aca="false">IF($B1181="","",INDEX(Course!$P$2:$P$19,MATCH($B1181,Course!$A$2:$A$19,0)))</f>
        <v/>
      </c>
      <c r="R1181" s="17" t="str">
        <f aca="false">IF($C1181="","",IF(OR($C1181="G",$C1181="H"),0,IF($C1181="T",1,MIN(1,MAX(0,($N1181-Inputs!$B$8)/MAX($P1181-Inputs!$B$8,0.01))))))</f>
        <v/>
      </c>
      <c r="S1181" s="17" t="str">
        <f aca="false">IF($C1181="","",IF(OR($E1181="G",$E1181="H"),0,IF($E1181="T",1,MIN(1,MAX(0,($O1181-Inputs!$B$8)/MAX($P1181-Inputs!$B$8,0.01))))))</f>
        <v/>
      </c>
    </row>
    <row r="1182" customFormat="false" ht="15" hidden="false" customHeight="false" outlineLevel="0" collapsed="false">
      <c r="I1182" s="7" t="str">
        <f aca="false">IF($C1182="","",IF($C1182="G","PUTT",IF(AND($C1182="T",$M1182&gt;3),"OTT",IF($D1182&lt;=30,"ARG","APP"))))</f>
        <v/>
      </c>
      <c r="J1182" s="17" t="str">
        <f aca="false">IF($C1182="","",$N1182+$Q1182*$R1182)</f>
        <v/>
      </c>
      <c r="K1182" s="17" t="str">
        <f aca="false">IF($C1182="","",$O1182+$Q1182*$S1182)</f>
        <v/>
      </c>
      <c r="L1182" s="17" t="str">
        <f aca="false">IF($C1182="","",$J1182-$K1182-1-N($G1182))</f>
        <v/>
      </c>
      <c r="M1182" s="7" t="str">
        <f aca="false">IF($B1182="","",INDEX(Course!$B$2:$B$19,MATCH($B1182,Course!$A$2:$A$19,0)))</f>
        <v/>
      </c>
      <c r="N1182" s="17" t="str">
        <f aca="false">IF($C1182="","",IF($C1182="H",0,IF($C1182="G",INDEX(Baseline!$I$3:$I$102,MIN(MAX(ROUND($D1182,0),1),100)),IF($C1182="T",IF($M1182=3,INDEX(Baseline!$B$3:$B$122,MATCH(MIN(MAX(ROUND(($D1182)/5,0)*5,5),600),Baseline!$A$3:$A$122,0))-Inputs!$B$9,INDEX(Course!$N$2:$N$19,MATCH($B1182,Course!$A$2:$A$19,0))),INDEX(Baseline!$B$3:$E$122,MATCH(MIN(MAX(ROUND(($D1182)/5,0)*5,5),600),Baseline!$A$3:$A$122,0),MATCH($C1182,Baseline!$B$2:$E$2,0))))))</f>
        <v/>
      </c>
      <c r="O1182" s="17" t="str">
        <f aca="false">IF($C1182="","",IF($E1182="H",0,IF($E1182="G",INDEX(Baseline!$I$3:$I$102,MIN(MAX(ROUND($F1182,0),1),100)),IF($E1182="T",IF($M1182=3,INDEX(Baseline!$B$3:$B$122,MATCH(MIN(MAX(ROUND(($F1182)/5,0)*5,5),600),Baseline!$A$3:$A$122,0))-Inputs!$B$9,INDEX(Course!$N$2:$N$19,MATCH($B1182,Course!$A$2:$A$19,0))),INDEX(Baseline!$B$3:$E$122,MATCH(MIN(MAX(ROUND(($F1182)/5,0)*5,5),600),Baseline!$A$3:$A$122,0),MATCH($E1182,Baseline!$B$2:$E$2,0))))))</f>
        <v/>
      </c>
      <c r="P1182" s="17" t="str">
        <f aca="false">IF($B1182="","",INDEX(Course!$N$2:$N$19,MATCH($B1182,Course!$A$2:$A$19,0)))</f>
        <v/>
      </c>
      <c r="Q1182" s="17" t="str">
        <f aca="false">IF($B1182="","",INDEX(Course!$P$2:$P$19,MATCH($B1182,Course!$A$2:$A$19,0)))</f>
        <v/>
      </c>
      <c r="R1182" s="17" t="str">
        <f aca="false">IF($C1182="","",IF(OR($C1182="G",$C1182="H"),0,IF($C1182="T",1,MIN(1,MAX(0,($N1182-Inputs!$B$8)/MAX($P1182-Inputs!$B$8,0.01))))))</f>
        <v/>
      </c>
      <c r="S1182" s="17" t="str">
        <f aca="false">IF($C1182="","",IF(OR($E1182="G",$E1182="H"),0,IF($E1182="T",1,MIN(1,MAX(0,($O1182-Inputs!$B$8)/MAX($P1182-Inputs!$B$8,0.01))))))</f>
        <v/>
      </c>
    </row>
    <row r="1183" customFormat="false" ht="15" hidden="false" customHeight="false" outlineLevel="0" collapsed="false">
      <c r="I1183" s="7" t="str">
        <f aca="false">IF($C1183="","",IF($C1183="G","PUTT",IF(AND($C1183="T",$M1183&gt;3),"OTT",IF($D1183&lt;=30,"ARG","APP"))))</f>
        <v/>
      </c>
      <c r="J1183" s="17" t="str">
        <f aca="false">IF($C1183="","",$N1183+$Q1183*$R1183)</f>
        <v/>
      </c>
      <c r="K1183" s="17" t="str">
        <f aca="false">IF($C1183="","",$O1183+$Q1183*$S1183)</f>
        <v/>
      </c>
      <c r="L1183" s="17" t="str">
        <f aca="false">IF($C1183="","",$J1183-$K1183-1-N($G1183))</f>
        <v/>
      </c>
      <c r="M1183" s="7" t="str">
        <f aca="false">IF($B1183="","",INDEX(Course!$B$2:$B$19,MATCH($B1183,Course!$A$2:$A$19,0)))</f>
        <v/>
      </c>
      <c r="N1183" s="17" t="str">
        <f aca="false">IF($C1183="","",IF($C1183="H",0,IF($C1183="G",INDEX(Baseline!$I$3:$I$102,MIN(MAX(ROUND($D1183,0),1),100)),IF($C1183="T",IF($M1183=3,INDEX(Baseline!$B$3:$B$122,MATCH(MIN(MAX(ROUND(($D1183)/5,0)*5,5),600),Baseline!$A$3:$A$122,0))-Inputs!$B$9,INDEX(Course!$N$2:$N$19,MATCH($B1183,Course!$A$2:$A$19,0))),INDEX(Baseline!$B$3:$E$122,MATCH(MIN(MAX(ROUND(($D1183)/5,0)*5,5),600),Baseline!$A$3:$A$122,0),MATCH($C1183,Baseline!$B$2:$E$2,0))))))</f>
        <v/>
      </c>
      <c r="O1183" s="17" t="str">
        <f aca="false">IF($C1183="","",IF($E1183="H",0,IF($E1183="G",INDEX(Baseline!$I$3:$I$102,MIN(MAX(ROUND($F1183,0),1),100)),IF($E1183="T",IF($M1183=3,INDEX(Baseline!$B$3:$B$122,MATCH(MIN(MAX(ROUND(($F1183)/5,0)*5,5),600),Baseline!$A$3:$A$122,0))-Inputs!$B$9,INDEX(Course!$N$2:$N$19,MATCH($B1183,Course!$A$2:$A$19,0))),INDEX(Baseline!$B$3:$E$122,MATCH(MIN(MAX(ROUND(($F1183)/5,0)*5,5),600),Baseline!$A$3:$A$122,0),MATCH($E1183,Baseline!$B$2:$E$2,0))))))</f>
        <v/>
      </c>
      <c r="P1183" s="17" t="str">
        <f aca="false">IF($B1183="","",INDEX(Course!$N$2:$N$19,MATCH($B1183,Course!$A$2:$A$19,0)))</f>
        <v/>
      </c>
      <c r="Q1183" s="17" t="str">
        <f aca="false">IF($B1183="","",INDEX(Course!$P$2:$P$19,MATCH($B1183,Course!$A$2:$A$19,0)))</f>
        <v/>
      </c>
      <c r="R1183" s="17" t="str">
        <f aca="false">IF($C1183="","",IF(OR($C1183="G",$C1183="H"),0,IF($C1183="T",1,MIN(1,MAX(0,($N1183-Inputs!$B$8)/MAX($P1183-Inputs!$B$8,0.01))))))</f>
        <v/>
      </c>
      <c r="S1183" s="17" t="str">
        <f aca="false">IF($C1183="","",IF(OR($E1183="G",$E1183="H"),0,IF($E1183="T",1,MIN(1,MAX(0,($O1183-Inputs!$B$8)/MAX($P1183-Inputs!$B$8,0.01))))))</f>
        <v/>
      </c>
    </row>
    <row r="1184" customFormat="false" ht="15" hidden="false" customHeight="false" outlineLevel="0" collapsed="false">
      <c r="I1184" s="7" t="str">
        <f aca="false">IF($C1184="","",IF($C1184="G","PUTT",IF(AND($C1184="T",$M1184&gt;3),"OTT",IF($D1184&lt;=30,"ARG","APP"))))</f>
        <v/>
      </c>
      <c r="J1184" s="17" t="str">
        <f aca="false">IF($C1184="","",$N1184+$Q1184*$R1184)</f>
        <v/>
      </c>
      <c r="K1184" s="17" t="str">
        <f aca="false">IF($C1184="","",$O1184+$Q1184*$S1184)</f>
        <v/>
      </c>
      <c r="L1184" s="17" t="str">
        <f aca="false">IF($C1184="","",$J1184-$K1184-1-N($G1184))</f>
        <v/>
      </c>
      <c r="M1184" s="7" t="str">
        <f aca="false">IF($B1184="","",INDEX(Course!$B$2:$B$19,MATCH($B1184,Course!$A$2:$A$19,0)))</f>
        <v/>
      </c>
      <c r="N1184" s="17" t="str">
        <f aca="false">IF($C1184="","",IF($C1184="H",0,IF($C1184="G",INDEX(Baseline!$I$3:$I$102,MIN(MAX(ROUND($D1184,0),1),100)),IF($C1184="T",IF($M1184=3,INDEX(Baseline!$B$3:$B$122,MATCH(MIN(MAX(ROUND(($D1184)/5,0)*5,5),600),Baseline!$A$3:$A$122,0))-Inputs!$B$9,INDEX(Course!$N$2:$N$19,MATCH($B1184,Course!$A$2:$A$19,0))),INDEX(Baseline!$B$3:$E$122,MATCH(MIN(MAX(ROUND(($D1184)/5,0)*5,5),600),Baseline!$A$3:$A$122,0),MATCH($C1184,Baseline!$B$2:$E$2,0))))))</f>
        <v/>
      </c>
      <c r="O1184" s="17" t="str">
        <f aca="false">IF($C1184="","",IF($E1184="H",0,IF($E1184="G",INDEX(Baseline!$I$3:$I$102,MIN(MAX(ROUND($F1184,0),1),100)),IF($E1184="T",IF($M1184=3,INDEX(Baseline!$B$3:$B$122,MATCH(MIN(MAX(ROUND(($F1184)/5,0)*5,5),600),Baseline!$A$3:$A$122,0))-Inputs!$B$9,INDEX(Course!$N$2:$N$19,MATCH($B1184,Course!$A$2:$A$19,0))),INDEX(Baseline!$B$3:$E$122,MATCH(MIN(MAX(ROUND(($F1184)/5,0)*5,5),600),Baseline!$A$3:$A$122,0),MATCH($E1184,Baseline!$B$2:$E$2,0))))))</f>
        <v/>
      </c>
      <c r="P1184" s="17" t="str">
        <f aca="false">IF($B1184="","",INDEX(Course!$N$2:$N$19,MATCH($B1184,Course!$A$2:$A$19,0)))</f>
        <v/>
      </c>
      <c r="Q1184" s="17" t="str">
        <f aca="false">IF($B1184="","",INDEX(Course!$P$2:$P$19,MATCH($B1184,Course!$A$2:$A$19,0)))</f>
        <v/>
      </c>
      <c r="R1184" s="17" t="str">
        <f aca="false">IF($C1184="","",IF(OR($C1184="G",$C1184="H"),0,IF($C1184="T",1,MIN(1,MAX(0,($N1184-Inputs!$B$8)/MAX($P1184-Inputs!$B$8,0.01))))))</f>
        <v/>
      </c>
      <c r="S1184" s="17" t="str">
        <f aca="false">IF($C1184="","",IF(OR($E1184="G",$E1184="H"),0,IF($E1184="T",1,MIN(1,MAX(0,($O1184-Inputs!$B$8)/MAX($P1184-Inputs!$B$8,0.01))))))</f>
        <v/>
      </c>
    </row>
    <row r="1185" customFormat="false" ht="15" hidden="false" customHeight="false" outlineLevel="0" collapsed="false">
      <c r="I1185" s="7" t="str">
        <f aca="false">IF($C1185="","",IF($C1185="G","PUTT",IF(AND($C1185="T",$M1185&gt;3),"OTT",IF($D1185&lt;=30,"ARG","APP"))))</f>
        <v/>
      </c>
      <c r="J1185" s="17" t="str">
        <f aca="false">IF($C1185="","",$N1185+$Q1185*$R1185)</f>
        <v/>
      </c>
      <c r="K1185" s="17" t="str">
        <f aca="false">IF($C1185="","",$O1185+$Q1185*$S1185)</f>
        <v/>
      </c>
      <c r="L1185" s="17" t="str">
        <f aca="false">IF($C1185="","",$J1185-$K1185-1-N($G1185))</f>
        <v/>
      </c>
      <c r="M1185" s="7" t="str">
        <f aca="false">IF($B1185="","",INDEX(Course!$B$2:$B$19,MATCH($B1185,Course!$A$2:$A$19,0)))</f>
        <v/>
      </c>
      <c r="N1185" s="17" t="str">
        <f aca="false">IF($C1185="","",IF($C1185="H",0,IF($C1185="G",INDEX(Baseline!$I$3:$I$102,MIN(MAX(ROUND($D1185,0),1),100)),IF($C1185="T",IF($M1185=3,INDEX(Baseline!$B$3:$B$122,MATCH(MIN(MAX(ROUND(($D1185)/5,0)*5,5),600),Baseline!$A$3:$A$122,0))-Inputs!$B$9,INDEX(Course!$N$2:$N$19,MATCH($B1185,Course!$A$2:$A$19,0))),INDEX(Baseline!$B$3:$E$122,MATCH(MIN(MAX(ROUND(($D1185)/5,0)*5,5),600),Baseline!$A$3:$A$122,0),MATCH($C1185,Baseline!$B$2:$E$2,0))))))</f>
        <v/>
      </c>
      <c r="O1185" s="17" t="str">
        <f aca="false">IF($C1185="","",IF($E1185="H",0,IF($E1185="G",INDEX(Baseline!$I$3:$I$102,MIN(MAX(ROUND($F1185,0),1),100)),IF($E1185="T",IF($M1185=3,INDEX(Baseline!$B$3:$B$122,MATCH(MIN(MAX(ROUND(($F1185)/5,0)*5,5),600),Baseline!$A$3:$A$122,0))-Inputs!$B$9,INDEX(Course!$N$2:$N$19,MATCH($B1185,Course!$A$2:$A$19,0))),INDEX(Baseline!$B$3:$E$122,MATCH(MIN(MAX(ROUND(($F1185)/5,0)*5,5),600),Baseline!$A$3:$A$122,0),MATCH($E1185,Baseline!$B$2:$E$2,0))))))</f>
        <v/>
      </c>
      <c r="P1185" s="17" t="str">
        <f aca="false">IF($B1185="","",INDEX(Course!$N$2:$N$19,MATCH($B1185,Course!$A$2:$A$19,0)))</f>
        <v/>
      </c>
      <c r="Q1185" s="17" t="str">
        <f aca="false">IF($B1185="","",INDEX(Course!$P$2:$P$19,MATCH($B1185,Course!$A$2:$A$19,0)))</f>
        <v/>
      </c>
      <c r="R1185" s="17" t="str">
        <f aca="false">IF($C1185="","",IF(OR($C1185="G",$C1185="H"),0,IF($C1185="T",1,MIN(1,MAX(0,($N1185-Inputs!$B$8)/MAX($P1185-Inputs!$B$8,0.01))))))</f>
        <v/>
      </c>
      <c r="S1185" s="17" t="str">
        <f aca="false">IF($C1185="","",IF(OR($E1185="G",$E1185="H"),0,IF($E1185="T",1,MIN(1,MAX(0,($O1185-Inputs!$B$8)/MAX($P1185-Inputs!$B$8,0.01))))))</f>
        <v/>
      </c>
    </row>
    <row r="1186" customFormat="false" ht="15" hidden="false" customHeight="false" outlineLevel="0" collapsed="false">
      <c r="I1186" s="7" t="str">
        <f aca="false">IF($C1186="","",IF($C1186="G","PUTT",IF(AND($C1186="T",$M1186&gt;3),"OTT",IF($D1186&lt;=30,"ARG","APP"))))</f>
        <v/>
      </c>
      <c r="J1186" s="17" t="str">
        <f aca="false">IF($C1186="","",$N1186+$Q1186*$R1186)</f>
        <v/>
      </c>
      <c r="K1186" s="17" t="str">
        <f aca="false">IF($C1186="","",$O1186+$Q1186*$S1186)</f>
        <v/>
      </c>
      <c r="L1186" s="17" t="str">
        <f aca="false">IF($C1186="","",$J1186-$K1186-1-N($G1186))</f>
        <v/>
      </c>
      <c r="M1186" s="7" t="str">
        <f aca="false">IF($B1186="","",INDEX(Course!$B$2:$B$19,MATCH($B1186,Course!$A$2:$A$19,0)))</f>
        <v/>
      </c>
      <c r="N1186" s="17" t="str">
        <f aca="false">IF($C1186="","",IF($C1186="H",0,IF($C1186="G",INDEX(Baseline!$I$3:$I$102,MIN(MAX(ROUND($D1186,0),1),100)),IF($C1186="T",IF($M1186=3,INDEX(Baseline!$B$3:$B$122,MATCH(MIN(MAX(ROUND(($D1186)/5,0)*5,5),600),Baseline!$A$3:$A$122,0))-Inputs!$B$9,INDEX(Course!$N$2:$N$19,MATCH($B1186,Course!$A$2:$A$19,0))),INDEX(Baseline!$B$3:$E$122,MATCH(MIN(MAX(ROUND(($D1186)/5,0)*5,5),600),Baseline!$A$3:$A$122,0),MATCH($C1186,Baseline!$B$2:$E$2,0))))))</f>
        <v/>
      </c>
      <c r="O1186" s="17" t="str">
        <f aca="false">IF($C1186="","",IF($E1186="H",0,IF($E1186="G",INDEX(Baseline!$I$3:$I$102,MIN(MAX(ROUND($F1186,0),1),100)),IF($E1186="T",IF($M1186=3,INDEX(Baseline!$B$3:$B$122,MATCH(MIN(MAX(ROUND(($F1186)/5,0)*5,5),600),Baseline!$A$3:$A$122,0))-Inputs!$B$9,INDEX(Course!$N$2:$N$19,MATCH($B1186,Course!$A$2:$A$19,0))),INDEX(Baseline!$B$3:$E$122,MATCH(MIN(MAX(ROUND(($F1186)/5,0)*5,5),600),Baseline!$A$3:$A$122,0),MATCH($E1186,Baseline!$B$2:$E$2,0))))))</f>
        <v/>
      </c>
      <c r="P1186" s="17" t="str">
        <f aca="false">IF($B1186="","",INDEX(Course!$N$2:$N$19,MATCH($B1186,Course!$A$2:$A$19,0)))</f>
        <v/>
      </c>
      <c r="Q1186" s="17" t="str">
        <f aca="false">IF($B1186="","",INDEX(Course!$P$2:$P$19,MATCH($B1186,Course!$A$2:$A$19,0)))</f>
        <v/>
      </c>
      <c r="R1186" s="17" t="str">
        <f aca="false">IF($C1186="","",IF(OR($C1186="G",$C1186="H"),0,IF($C1186="T",1,MIN(1,MAX(0,($N1186-Inputs!$B$8)/MAX($P1186-Inputs!$B$8,0.01))))))</f>
        <v/>
      </c>
      <c r="S1186" s="17" t="str">
        <f aca="false">IF($C1186="","",IF(OR($E1186="G",$E1186="H"),0,IF($E1186="T",1,MIN(1,MAX(0,($O1186-Inputs!$B$8)/MAX($P1186-Inputs!$B$8,0.01))))))</f>
        <v/>
      </c>
    </row>
    <row r="1187" customFormat="false" ht="15" hidden="false" customHeight="false" outlineLevel="0" collapsed="false">
      <c r="I1187" s="7" t="str">
        <f aca="false">IF($C1187="","",IF($C1187="G","PUTT",IF(AND($C1187="T",$M1187&gt;3),"OTT",IF($D1187&lt;=30,"ARG","APP"))))</f>
        <v/>
      </c>
      <c r="J1187" s="17" t="str">
        <f aca="false">IF($C1187="","",$N1187+$Q1187*$R1187)</f>
        <v/>
      </c>
      <c r="K1187" s="17" t="str">
        <f aca="false">IF($C1187="","",$O1187+$Q1187*$S1187)</f>
        <v/>
      </c>
      <c r="L1187" s="17" t="str">
        <f aca="false">IF($C1187="","",$J1187-$K1187-1-N($G1187))</f>
        <v/>
      </c>
      <c r="M1187" s="7" t="str">
        <f aca="false">IF($B1187="","",INDEX(Course!$B$2:$B$19,MATCH($B1187,Course!$A$2:$A$19,0)))</f>
        <v/>
      </c>
      <c r="N1187" s="17" t="str">
        <f aca="false">IF($C1187="","",IF($C1187="H",0,IF($C1187="G",INDEX(Baseline!$I$3:$I$102,MIN(MAX(ROUND($D1187,0),1),100)),IF($C1187="T",IF($M1187=3,INDEX(Baseline!$B$3:$B$122,MATCH(MIN(MAX(ROUND(($D1187)/5,0)*5,5),600),Baseline!$A$3:$A$122,0))-Inputs!$B$9,INDEX(Course!$N$2:$N$19,MATCH($B1187,Course!$A$2:$A$19,0))),INDEX(Baseline!$B$3:$E$122,MATCH(MIN(MAX(ROUND(($D1187)/5,0)*5,5),600),Baseline!$A$3:$A$122,0),MATCH($C1187,Baseline!$B$2:$E$2,0))))))</f>
        <v/>
      </c>
      <c r="O1187" s="17" t="str">
        <f aca="false">IF($C1187="","",IF($E1187="H",0,IF($E1187="G",INDEX(Baseline!$I$3:$I$102,MIN(MAX(ROUND($F1187,0),1),100)),IF($E1187="T",IF($M1187=3,INDEX(Baseline!$B$3:$B$122,MATCH(MIN(MAX(ROUND(($F1187)/5,0)*5,5),600),Baseline!$A$3:$A$122,0))-Inputs!$B$9,INDEX(Course!$N$2:$N$19,MATCH($B1187,Course!$A$2:$A$19,0))),INDEX(Baseline!$B$3:$E$122,MATCH(MIN(MAX(ROUND(($F1187)/5,0)*5,5),600),Baseline!$A$3:$A$122,0),MATCH($E1187,Baseline!$B$2:$E$2,0))))))</f>
        <v/>
      </c>
      <c r="P1187" s="17" t="str">
        <f aca="false">IF($B1187="","",INDEX(Course!$N$2:$N$19,MATCH($B1187,Course!$A$2:$A$19,0)))</f>
        <v/>
      </c>
      <c r="Q1187" s="17" t="str">
        <f aca="false">IF($B1187="","",INDEX(Course!$P$2:$P$19,MATCH($B1187,Course!$A$2:$A$19,0)))</f>
        <v/>
      </c>
      <c r="R1187" s="17" t="str">
        <f aca="false">IF($C1187="","",IF(OR($C1187="G",$C1187="H"),0,IF($C1187="T",1,MIN(1,MAX(0,($N1187-Inputs!$B$8)/MAX($P1187-Inputs!$B$8,0.01))))))</f>
        <v/>
      </c>
      <c r="S1187" s="17" t="str">
        <f aca="false">IF($C1187="","",IF(OR($E1187="G",$E1187="H"),0,IF($E1187="T",1,MIN(1,MAX(0,($O1187-Inputs!$B$8)/MAX($P1187-Inputs!$B$8,0.01))))))</f>
        <v/>
      </c>
    </row>
    <row r="1188" customFormat="false" ht="15" hidden="false" customHeight="false" outlineLevel="0" collapsed="false">
      <c r="I1188" s="7" t="str">
        <f aca="false">IF($C1188="","",IF($C1188="G","PUTT",IF(AND($C1188="T",$M1188&gt;3),"OTT",IF($D1188&lt;=30,"ARG","APP"))))</f>
        <v/>
      </c>
      <c r="J1188" s="17" t="str">
        <f aca="false">IF($C1188="","",$N1188+$Q1188*$R1188)</f>
        <v/>
      </c>
      <c r="K1188" s="17" t="str">
        <f aca="false">IF($C1188="","",$O1188+$Q1188*$S1188)</f>
        <v/>
      </c>
      <c r="L1188" s="17" t="str">
        <f aca="false">IF($C1188="","",$J1188-$K1188-1-N($G1188))</f>
        <v/>
      </c>
      <c r="M1188" s="7" t="str">
        <f aca="false">IF($B1188="","",INDEX(Course!$B$2:$B$19,MATCH($B1188,Course!$A$2:$A$19,0)))</f>
        <v/>
      </c>
      <c r="N1188" s="17" t="str">
        <f aca="false">IF($C1188="","",IF($C1188="H",0,IF($C1188="G",INDEX(Baseline!$I$3:$I$102,MIN(MAX(ROUND($D1188,0),1),100)),IF($C1188="T",IF($M1188=3,INDEX(Baseline!$B$3:$B$122,MATCH(MIN(MAX(ROUND(($D1188)/5,0)*5,5),600),Baseline!$A$3:$A$122,0))-Inputs!$B$9,INDEX(Course!$N$2:$N$19,MATCH($B1188,Course!$A$2:$A$19,0))),INDEX(Baseline!$B$3:$E$122,MATCH(MIN(MAX(ROUND(($D1188)/5,0)*5,5),600),Baseline!$A$3:$A$122,0),MATCH($C1188,Baseline!$B$2:$E$2,0))))))</f>
        <v/>
      </c>
      <c r="O1188" s="17" t="str">
        <f aca="false">IF($C1188="","",IF($E1188="H",0,IF($E1188="G",INDEX(Baseline!$I$3:$I$102,MIN(MAX(ROUND($F1188,0),1),100)),IF($E1188="T",IF($M1188=3,INDEX(Baseline!$B$3:$B$122,MATCH(MIN(MAX(ROUND(($F1188)/5,0)*5,5),600),Baseline!$A$3:$A$122,0))-Inputs!$B$9,INDEX(Course!$N$2:$N$19,MATCH($B1188,Course!$A$2:$A$19,0))),INDEX(Baseline!$B$3:$E$122,MATCH(MIN(MAX(ROUND(($F1188)/5,0)*5,5),600),Baseline!$A$3:$A$122,0),MATCH($E1188,Baseline!$B$2:$E$2,0))))))</f>
        <v/>
      </c>
      <c r="P1188" s="17" t="str">
        <f aca="false">IF($B1188="","",INDEX(Course!$N$2:$N$19,MATCH($B1188,Course!$A$2:$A$19,0)))</f>
        <v/>
      </c>
      <c r="Q1188" s="17" t="str">
        <f aca="false">IF($B1188="","",INDEX(Course!$P$2:$P$19,MATCH($B1188,Course!$A$2:$A$19,0)))</f>
        <v/>
      </c>
      <c r="R1188" s="17" t="str">
        <f aca="false">IF($C1188="","",IF(OR($C1188="G",$C1188="H"),0,IF($C1188="T",1,MIN(1,MAX(0,($N1188-Inputs!$B$8)/MAX($P1188-Inputs!$B$8,0.01))))))</f>
        <v/>
      </c>
      <c r="S1188" s="17" t="str">
        <f aca="false">IF($C1188="","",IF(OR($E1188="G",$E1188="H"),0,IF($E1188="T",1,MIN(1,MAX(0,($O1188-Inputs!$B$8)/MAX($P1188-Inputs!$B$8,0.01))))))</f>
        <v/>
      </c>
    </row>
    <row r="1189" customFormat="false" ht="15" hidden="false" customHeight="false" outlineLevel="0" collapsed="false">
      <c r="I1189" s="7" t="str">
        <f aca="false">IF($C1189="","",IF($C1189="G","PUTT",IF(AND($C1189="T",$M1189&gt;3),"OTT",IF($D1189&lt;=30,"ARG","APP"))))</f>
        <v/>
      </c>
      <c r="J1189" s="17" t="str">
        <f aca="false">IF($C1189="","",$N1189+$Q1189*$R1189)</f>
        <v/>
      </c>
      <c r="K1189" s="17" t="str">
        <f aca="false">IF($C1189="","",$O1189+$Q1189*$S1189)</f>
        <v/>
      </c>
      <c r="L1189" s="17" t="str">
        <f aca="false">IF($C1189="","",$J1189-$K1189-1-N($G1189))</f>
        <v/>
      </c>
      <c r="M1189" s="7" t="str">
        <f aca="false">IF($B1189="","",INDEX(Course!$B$2:$B$19,MATCH($B1189,Course!$A$2:$A$19,0)))</f>
        <v/>
      </c>
      <c r="N1189" s="17" t="str">
        <f aca="false">IF($C1189="","",IF($C1189="H",0,IF($C1189="G",INDEX(Baseline!$I$3:$I$102,MIN(MAX(ROUND($D1189,0),1),100)),IF($C1189="T",IF($M1189=3,INDEX(Baseline!$B$3:$B$122,MATCH(MIN(MAX(ROUND(($D1189)/5,0)*5,5),600),Baseline!$A$3:$A$122,0))-Inputs!$B$9,INDEX(Course!$N$2:$N$19,MATCH($B1189,Course!$A$2:$A$19,0))),INDEX(Baseline!$B$3:$E$122,MATCH(MIN(MAX(ROUND(($D1189)/5,0)*5,5),600),Baseline!$A$3:$A$122,0),MATCH($C1189,Baseline!$B$2:$E$2,0))))))</f>
        <v/>
      </c>
      <c r="O1189" s="17" t="str">
        <f aca="false">IF($C1189="","",IF($E1189="H",0,IF($E1189="G",INDEX(Baseline!$I$3:$I$102,MIN(MAX(ROUND($F1189,0),1),100)),IF($E1189="T",IF($M1189=3,INDEX(Baseline!$B$3:$B$122,MATCH(MIN(MAX(ROUND(($F1189)/5,0)*5,5),600),Baseline!$A$3:$A$122,0))-Inputs!$B$9,INDEX(Course!$N$2:$N$19,MATCH($B1189,Course!$A$2:$A$19,0))),INDEX(Baseline!$B$3:$E$122,MATCH(MIN(MAX(ROUND(($F1189)/5,0)*5,5),600),Baseline!$A$3:$A$122,0),MATCH($E1189,Baseline!$B$2:$E$2,0))))))</f>
        <v/>
      </c>
      <c r="P1189" s="17" t="str">
        <f aca="false">IF($B1189="","",INDEX(Course!$N$2:$N$19,MATCH($B1189,Course!$A$2:$A$19,0)))</f>
        <v/>
      </c>
      <c r="Q1189" s="17" t="str">
        <f aca="false">IF($B1189="","",INDEX(Course!$P$2:$P$19,MATCH($B1189,Course!$A$2:$A$19,0)))</f>
        <v/>
      </c>
      <c r="R1189" s="17" t="str">
        <f aca="false">IF($C1189="","",IF(OR($C1189="G",$C1189="H"),0,IF($C1189="T",1,MIN(1,MAX(0,($N1189-Inputs!$B$8)/MAX($P1189-Inputs!$B$8,0.01))))))</f>
        <v/>
      </c>
      <c r="S1189" s="17" t="str">
        <f aca="false">IF($C1189="","",IF(OR($E1189="G",$E1189="H"),0,IF($E1189="T",1,MIN(1,MAX(0,($O1189-Inputs!$B$8)/MAX($P1189-Inputs!$B$8,0.01))))))</f>
        <v/>
      </c>
    </row>
    <row r="1190" customFormat="false" ht="15" hidden="false" customHeight="false" outlineLevel="0" collapsed="false">
      <c r="I1190" s="7" t="str">
        <f aca="false">IF($C1190="","",IF($C1190="G","PUTT",IF(AND($C1190="T",$M1190&gt;3),"OTT",IF($D1190&lt;=30,"ARG","APP"))))</f>
        <v/>
      </c>
      <c r="J1190" s="17" t="str">
        <f aca="false">IF($C1190="","",$N1190+$Q1190*$R1190)</f>
        <v/>
      </c>
      <c r="K1190" s="17" t="str">
        <f aca="false">IF($C1190="","",$O1190+$Q1190*$S1190)</f>
        <v/>
      </c>
      <c r="L1190" s="17" t="str">
        <f aca="false">IF($C1190="","",$J1190-$K1190-1-N($G1190))</f>
        <v/>
      </c>
      <c r="M1190" s="7" t="str">
        <f aca="false">IF($B1190="","",INDEX(Course!$B$2:$B$19,MATCH($B1190,Course!$A$2:$A$19,0)))</f>
        <v/>
      </c>
      <c r="N1190" s="17" t="str">
        <f aca="false">IF($C1190="","",IF($C1190="H",0,IF($C1190="G",INDEX(Baseline!$I$3:$I$102,MIN(MAX(ROUND($D1190,0),1),100)),IF($C1190="T",IF($M1190=3,INDEX(Baseline!$B$3:$B$122,MATCH(MIN(MAX(ROUND(($D1190)/5,0)*5,5),600),Baseline!$A$3:$A$122,0))-Inputs!$B$9,INDEX(Course!$N$2:$N$19,MATCH($B1190,Course!$A$2:$A$19,0))),INDEX(Baseline!$B$3:$E$122,MATCH(MIN(MAX(ROUND(($D1190)/5,0)*5,5),600),Baseline!$A$3:$A$122,0),MATCH($C1190,Baseline!$B$2:$E$2,0))))))</f>
        <v/>
      </c>
      <c r="O1190" s="17" t="str">
        <f aca="false">IF($C1190="","",IF($E1190="H",0,IF($E1190="G",INDEX(Baseline!$I$3:$I$102,MIN(MAX(ROUND($F1190,0),1),100)),IF($E1190="T",IF($M1190=3,INDEX(Baseline!$B$3:$B$122,MATCH(MIN(MAX(ROUND(($F1190)/5,0)*5,5),600),Baseline!$A$3:$A$122,0))-Inputs!$B$9,INDEX(Course!$N$2:$N$19,MATCH($B1190,Course!$A$2:$A$19,0))),INDEX(Baseline!$B$3:$E$122,MATCH(MIN(MAX(ROUND(($F1190)/5,0)*5,5),600),Baseline!$A$3:$A$122,0),MATCH($E1190,Baseline!$B$2:$E$2,0))))))</f>
        <v/>
      </c>
      <c r="P1190" s="17" t="str">
        <f aca="false">IF($B1190="","",INDEX(Course!$N$2:$N$19,MATCH($B1190,Course!$A$2:$A$19,0)))</f>
        <v/>
      </c>
      <c r="Q1190" s="17" t="str">
        <f aca="false">IF($B1190="","",INDEX(Course!$P$2:$P$19,MATCH($B1190,Course!$A$2:$A$19,0)))</f>
        <v/>
      </c>
      <c r="R1190" s="17" t="str">
        <f aca="false">IF($C1190="","",IF(OR($C1190="G",$C1190="H"),0,IF($C1190="T",1,MIN(1,MAX(0,($N1190-Inputs!$B$8)/MAX($P1190-Inputs!$B$8,0.01))))))</f>
        <v/>
      </c>
      <c r="S1190" s="17" t="str">
        <f aca="false">IF($C1190="","",IF(OR($E1190="G",$E1190="H"),0,IF($E1190="T",1,MIN(1,MAX(0,($O1190-Inputs!$B$8)/MAX($P1190-Inputs!$B$8,0.01))))))</f>
        <v/>
      </c>
    </row>
    <row r="1191" customFormat="false" ht="15" hidden="false" customHeight="false" outlineLevel="0" collapsed="false">
      <c r="I1191" s="7" t="str">
        <f aca="false">IF($C1191="","",IF($C1191="G","PUTT",IF(AND($C1191="T",$M1191&gt;3),"OTT",IF($D1191&lt;=30,"ARG","APP"))))</f>
        <v/>
      </c>
      <c r="J1191" s="17" t="str">
        <f aca="false">IF($C1191="","",$N1191+$Q1191*$R1191)</f>
        <v/>
      </c>
      <c r="K1191" s="17" t="str">
        <f aca="false">IF($C1191="","",$O1191+$Q1191*$S1191)</f>
        <v/>
      </c>
      <c r="L1191" s="17" t="str">
        <f aca="false">IF($C1191="","",$J1191-$K1191-1-N($G1191))</f>
        <v/>
      </c>
      <c r="M1191" s="7" t="str">
        <f aca="false">IF($B1191="","",INDEX(Course!$B$2:$B$19,MATCH($B1191,Course!$A$2:$A$19,0)))</f>
        <v/>
      </c>
      <c r="N1191" s="17" t="str">
        <f aca="false">IF($C1191="","",IF($C1191="H",0,IF($C1191="G",INDEX(Baseline!$I$3:$I$102,MIN(MAX(ROUND($D1191,0),1),100)),IF($C1191="T",IF($M1191=3,INDEX(Baseline!$B$3:$B$122,MATCH(MIN(MAX(ROUND(($D1191)/5,0)*5,5),600),Baseline!$A$3:$A$122,0))-Inputs!$B$9,INDEX(Course!$N$2:$N$19,MATCH($B1191,Course!$A$2:$A$19,0))),INDEX(Baseline!$B$3:$E$122,MATCH(MIN(MAX(ROUND(($D1191)/5,0)*5,5),600),Baseline!$A$3:$A$122,0),MATCH($C1191,Baseline!$B$2:$E$2,0))))))</f>
        <v/>
      </c>
      <c r="O1191" s="17" t="str">
        <f aca="false">IF($C1191="","",IF($E1191="H",0,IF($E1191="G",INDEX(Baseline!$I$3:$I$102,MIN(MAX(ROUND($F1191,0),1),100)),IF($E1191="T",IF($M1191=3,INDEX(Baseline!$B$3:$B$122,MATCH(MIN(MAX(ROUND(($F1191)/5,0)*5,5),600),Baseline!$A$3:$A$122,0))-Inputs!$B$9,INDEX(Course!$N$2:$N$19,MATCH($B1191,Course!$A$2:$A$19,0))),INDEX(Baseline!$B$3:$E$122,MATCH(MIN(MAX(ROUND(($F1191)/5,0)*5,5),600),Baseline!$A$3:$A$122,0),MATCH($E1191,Baseline!$B$2:$E$2,0))))))</f>
        <v/>
      </c>
      <c r="P1191" s="17" t="str">
        <f aca="false">IF($B1191="","",INDEX(Course!$N$2:$N$19,MATCH($B1191,Course!$A$2:$A$19,0)))</f>
        <v/>
      </c>
      <c r="Q1191" s="17" t="str">
        <f aca="false">IF($B1191="","",INDEX(Course!$P$2:$P$19,MATCH($B1191,Course!$A$2:$A$19,0)))</f>
        <v/>
      </c>
      <c r="R1191" s="17" t="str">
        <f aca="false">IF($C1191="","",IF(OR($C1191="G",$C1191="H"),0,IF($C1191="T",1,MIN(1,MAX(0,($N1191-Inputs!$B$8)/MAX($P1191-Inputs!$B$8,0.01))))))</f>
        <v/>
      </c>
      <c r="S1191" s="17" t="str">
        <f aca="false">IF($C1191="","",IF(OR($E1191="G",$E1191="H"),0,IF($E1191="T",1,MIN(1,MAX(0,($O1191-Inputs!$B$8)/MAX($P1191-Inputs!$B$8,0.01))))))</f>
        <v/>
      </c>
    </row>
    <row r="1192" customFormat="false" ht="15" hidden="false" customHeight="false" outlineLevel="0" collapsed="false">
      <c r="I1192" s="7" t="str">
        <f aca="false">IF($C1192="","",IF($C1192="G","PUTT",IF(AND($C1192="T",$M1192&gt;3),"OTT",IF($D1192&lt;=30,"ARG","APP"))))</f>
        <v/>
      </c>
      <c r="J1192" s="17" t="str">
        <f aca="false">IF($C1192="","",$N1192+$Q1192*$R1192)</f>
        <v/>
      </c>
      <c r="K1192" s="17" t="str">
        <f aca="false">IF($C1192="","",$O1192+$Q1192*$S1192)</f>
        <v/>
      </c>
      <c r="L1192" s="17" t="str">
        <f aca="false">IF($C1192="","",$J1192-$K1192-1-N($G1192))</f>
        <v/>
      </c>
      <c r="M1192" s="7" t="str">
        <f aca="false">IF($B1192="","",INDEX(Course!$B$2:$B$19,MATCH($B1192,Course!$A$2:$A$19,0)))</f>
        <v/>
      </c>
      <c r="N1192" s="17" t="str">
        <f aca="false">IF($C1192="","",IF($C1192="H",0,IF($C1192="G",INDEX(Baseline!$I$3:$I$102,MIN(MAX(ROUND($D1192,0),1),100)),IF($C1192="T",IF($M1192=3,INDEX(Baseline!$B$3:$B$122,MATCH(MIN(MAX(ROUND(($D1192)/5,0)*5,5),600),Baseline!$A$3:$A$122,0))-Inputs!$B$9,INDEX(Course!$N$2:$N$19,MATCH($B1192,Course!$A$2:$A$19,0))),INDEX(Baseline!$B$3:$E$122,MATCH(MIN(MAX(ROUND(($D1192)/5,0)*5,5),600),Baseline!$A$3:$A$122,0),MATCH($C1192,Baseline!$B$2:$E$2,0))))))</f>
        <v/>
      </c>
      <c r="O1192" s="17" t="str">
        <f aca="false">IF($C1192="","",IF($E1192="H",0,IF($E1192="G",INDEX(Baseline!$I$3:$I$102,MIN(MAX(ROUND($F1192,0),1),100)),IF($E1192="T",IF($M1192=3,INDEX(Baseline!$B$3:$B$122,MATCH(MIN(MAX(ROUND(($F1192)/5,0)*5,5),600),Baseline!$A$3:$A$122,0))-Inputs!$B$9,INDEX(Course!$N$2:$N$19,MATCH($B1192,Course!$A$2:$A$19,0))),INDEX(Baseline!$B$3:$E$122,MATCH(MIN(MAX(ROUND(($F1192)/5,0)*5,5),600),Baseline!$A$3:$A$122,0),MATCH($E1192,Baseline!$B$2:$E$2,0))))))</f>
        <v/>
      </c>
      <c r="P1192" s="17" t="str">
        <f aca="false">IF($B1192="","",INDEX(Course!$N$2:$N$19,MATCH($B1192,Course!$A$2:$A$19,0)))</f>
        <v/>
      </c>
      <c r="Q1192" s="17" t="str">
        <f aca="false">IF($B1192="","",INDEX(Course!$P$2:$P$19,MATCH($B1192,Course!$A$2:$A$19,0)))</f>
        <v/>
      </c>
      <c r="R1192" s="17" t="str">
        <f aca="false">IF($C1192="","",IF(OR($C1192="G",$C1192="H"),0,IF($C1192="T",1,MIN(1,MAX(0,($N1192-Inputs!$B$8)/MAX($P1192-Inputs!$B$8,0.01))))))</f>
        <v/>
      </c>
      <c r="S1192" s="17" t="str">
        <f aca="false">IF($C1192="","",IF(OR($E1192="G",$E1192="H"),0,IF($E1192="T",1,MIN(1,MAX(0,($O1192-Inputs!$B$8)/MAX($P1192-Inputs!$B$8,0.01))))))</f>
        <v/>
      </c>
    </row>
    <row r="1193" customFormat="false" ht="15" hidden="false" customHeight="false" outlineLevel="0" collapsed="false">
      <c r="I1193" s="7" t="str">
        <f aca="false">IF($C1193="","",IF($C1193="G","PUTT",IF(AND($C1193="T",$M1193&gt;3),"OTT",IF($D1193&lt;=30,"ARG","APP"))))</f>
        <v/>
      </c>
      <c r="J1193" s="17" t="str">
        <f aca="false">IF($C1193="","",$N1193+$Q1193*$R1193)</f>
        <v/>
      </c>
      <c r="K1193" s="17" t="str">
        <f aca="false">IF($C1193="","",$O1193+$Q1193*$S1193)</f>
        <v/>
      </c>
      <c r="L1193" s="17" t="str">
        <f aca="false">IF($C1193="","",$J1193-$K1193-1-N($G1193))</f>
        <v/>
      </c>
      <c r="M1193" s="7" t="str">
        <f aca="false">IF($B1193="","",INDEX(Course!$B$2:$B$19,MATCH($B1193,Course!$A$2:$A$19,0)))</f>
        <v/>
      </c>
      <c r="N1193" s="17" t="str">
        <f aca="false">IF($C1193="","",IF($C1193="H",0,IF($C1193="G",INDEX(Baseline!$I$3:$I$102,MIN(MAX(ROUND($D1193,0),1),100)),IF($C1193="T",IF($M1193=3,INDEX(Baseline!$B$3:$B$122,MATCH(MIN(MAX(ROUND(($D1193)/5,0)*5,5),600),Baseline!$A$3:$A$122,0))-Inputs!$B$9,INDEX(Course!$N$2:$N$19,MATCH($B1193,Course!$A$2:$A$19,0))),INDEX(Baseline!$B$3:$E$122,MATCH(MIN(MAX(ROUND(($D1193)/5,0)*5,5),600),Baseline!$A$3:$A$122,0),MATCH($C1193,Baseline!$B$2:$E$2,0))))))</f>
        <v/>
      </c>
      <c r="O1193" s="17" t="str">
        <f aca="false">IF($C1193="","",IF($E1193="H",0,IF($E1193="G",INDEX(Baseline!$I$3:$I$102,MIN(MAX(ROUND($F1193,0),1),100)),IF($E1193="T",IF($M1193=3,INDEX(Baseline!$B$3:$B$122,MATCH(MIN(MAX(ROUND(($F1193)/5,0)*5,5),600),Baseline!$A$3:$A$122,0))-Inputs!$B$9,INDEX(Course!$N$2:$N$19,MATCH($B1193,Course!$A$2:$A$19,0))),INDEX(Baseline!$B$3:$E$122,MATCH(MIN(MAX(ROUND(($F1193)/5,0)*5,5),600),Baseline!$A$3:$A$122,0),MATCH($E1193,Baseline!$B$2:$E$2,0))))))</f>
        <v/>
      </c>
      <c r="P1193" s="17" t="str">
        <f aca="false">IF($B1193="","",INDEX(Course!$N$2:$N$19,MATCH($B1193,Course!$A$2:$A$19,0)))</f>
        <v/>
      </c>
      <c r="Q1193" s="17" t="str">
        <f aca="false">IF($B1193="","",INDEX(Course!$P$2:$P$19,MATCH($B1193,Course!$A$2:$A$19,0)))</f>
        <v/>
      </c>
      <c r="R1193" s="17" t="str">
        <f aca="false">IF($C1193="","",IF(OR($C1193="G",$C1193="H"),0,IF($C1193="T",1,MIN(1,MAX(0,($N1193-Inputs!$B$8)/MAX($P1193-Inputs!$B$8,0.01))))))</f>
        <v/>
      </c>
      <c r="S1193" s="17" t="str">
        <f aca="false">IF($C1193="","",IF(OR($E1193="G",$E1193="H"),0,IF($E1193="T",1,MIN(1,MAX(0,($O1193-Inputs!$B$8)/MAX($P1193-Inputs!$B$8,0.01))))))</f>
        <v/>
      </c>
    </row>
    <row r="1194" customFormat="false" ht="15" hidden="false" customHeight="false" outlineLevel="0" collapsed="false">
      <c r="I1194" s="7" t="str">
        <f aca="false">IF($C1194="","",IF($C1194="G","PUTT",IF(AND($C1194="T",$M1194&gt;3),"OTT",IF($D1194&lt;=30,"ARG","APP"))))</f>
        <v/>
      </c>
      <c r="J1194" s="17" t="str">
        <f aca="false">IF($C1194="","",$N1194+$Q1194*$R1194)</f>
        <v/>
      </c>
      <c r="K1194" s="17" t="str">
        <f aca="false">IF($C1194="","",$O1194+$Q1194*$S1194)</f>
        <v/>
      </c>
      <c r="L1194" s="17" t="str">
        <f aca="false">IF($C1194="","",$J1194-$K1194-1-N($G1194))</f>
        <v/>
      </c>
      <c r="M1194" s="7" t="str">
        <f aca="false">IF($B1194="","",INDEX(Course!$B$2:$B$19,MATCH($B1194,Course!$A$2:$A$19,0)))</f>
        <v/>
      </c>
      <c r="N1194" s="17" t="str">
        <f aca="false">IF($C1194="","",IF($C1194="H",0,IF($C1194="G",INDEX(Baseline!$I$3:$I$102,MIN(MAX(ROUND($D1194,0),1),100)),IF($C1194="T",IF($M1194=3,INDEX(Baseline!$B$3:$B$122,MATCH(MIN(MAX(ROUND(($D1194)/5,0)*5,5),600),Baseline!$A$3:$A$122,0))-Inputs!$B$9,INDEX(Course!$N$2:$N$19,MATCH($B1194,Course!$A$2:$A$19,0))),INDEX(Baseline!$B$3:$E$122,MATCH(MIN(MAX(ROUND(($D1194)/5,0)*5,5),600),Baseline!$A$3:$A$122,0),MATCH($C1194,Baseline!$B$2:$E$2,0))))))</f>
        <v/>
      </c>
      <c r="O1194" s="17" t="str">
        <f aca="false">IF($C1194="","",IF($E1194="H",0,IF($E1194="G",INDEX(Baseline!$I$3:$I$102,MIN(MAX(ROUND($F1194,0),1),100)),IF($E1194="T",IF($M1194=3,INDEX(Baseline!$B$3:$B$122,MATCH(MIN(MAX(ROUND(($F1194)/5,0)*5,5),600),Baseline!$A$3:$A$122,0))-Inputs!$B$9,INDEX(Course!$N$2:$N$19,MATCH($B1194,Course!$A$2:$A$19,0))),INDEX(Baseline!$B$3:$E$122,MATCH(MIN(MAX(ROUND(($F1194)/5,0)*5,5),600),Baseline!$A$3:$A$122,0),MATCH($E1194,Baseline!$B$2:$E$2,0))))))</f>
        <v/>
      </c>
      <c r="P1194" s="17" t="str">
        <f aca="false">IF($B1194="","",INDEX(Course!$N$2:$N$19,MATCH($B1194,Course!$A$2:$A$19,0)))</f>
        <v/>
      </c>
      <c r="Q1194" s="17" t="str">
        <f aca="false">IF($B1194="","",INDEX(Course!$P$2:$P$19,MATCH($B1194,Course!$A$2:$A$19,0)))</f>
        <v/>
      </c>
      <c r="R1194" s="17" t="str">
        <f aca="false">IF($C1194="","",IF(OR($C1194="G",$C1194="H"),0,IF($C1194="T",1,MIN(1,MAX(0,($N1194-Inputs!$B$8)/MAX($P1194-Inputs!$B$8,0.01))))))</f>
        <v/>
      </c>
      <c r="S1194" s="17" t="str">
        <f aca="false">IF($C1194="","",IF(OR($E1194="G",$E1194="H"),0,IF($E1194="T",1,MIN(1,MAX(0,($O1194-Inputs!$B$8)/MAX($P1194-Inputs!$B$8,0.01))))))</f>
        <v/>
      </c>
    </row>
    <row r="1195" customFormat="false" ht="15" hidden="false" customHeight="false" outlineLevel="0" collapsed="false">
      <c r="I1195" s="7" t="str">
        <f aca="false">IF($C1195="","",IF($C1195="G","PUTT",IF(AND($C1195="T",$M1195&gt;3),"OTT",IF($D1195&lt;=30,"ARG","APP"))))</f>
        <v/>
      </c>
      <c r="J1195" s="17" t="str">
        <f aca="false">IF($C1195="","",$N1195+$Q1195*$R1195)</f>
        <v/>
      </c>
      <c r="K1195" s="17" t="str">
        <f aca="false">IF($C1195="","",$O1195+$Q1195*$S1195)</f>
        <v/>
      </c>
      <c r="L1195" s="17" t="str">
        <f aca="false">IF($C1195="","",$J1195-$K1195-1-N($G1195))</f>
        <v/>
      </c>
      <c r="M1195" s="7" t="str">
        <f aca="false">IF($B1195="","",INDEX(Course!$B$2:$B$19,MATCH($B1195,Course!$A$2:$A$19,0)))</f>
        <v/>
      </c>
      <c r="N1195" s="17" t="str">
        <f aca="false">IF($C1195="","",IF($C1195="H",0,IF($C1195="G",INDEX(Baseline!$I$3:$I$102,MIN(MAX(ROUND($D1195,0),1),100)),IF($C1195="T",IF($M1195=3,INDEX(Baseline!$B$3:$B$122,MATCH(MIN(MAX(ROUND(($D1195)/5,0)*5,5),600),Baseline!$A$3:$A$122,0))-Inputs!$B$9,INDEX(Course!$N$2:$N$19,MATCH($B1195,Course!$A$2:$A$19,0))),INDEX(Baseline!$B$3:$E$122,MATCH(MIN(MAX(ROUND(($D1195)/5,0)*5,5),600),Baseline!$A$3:$A$122,0),MATCH($C1195,Baseline!$B$2:$E$2,0))))))</f>
        <v/>
      </c>
      <c r="O1195" s="17" t="str">
        <f aca="false">IF($C1195="","",IF($E1195="H",0,IF($E1195="G",INDEX(Baseline!$I$3:$I$102,MIN(MAX(ROUND($F1195,0),1),100)),IF($E1195="T",IF($M1195=3,INDEX(Baseline!$B$3:$B$122,MATCH(MIN(MAX(ROUND(($F1195)/5,0)*5,5),600),Baseline!$A$3:$A$122,0))-Inputs!$B$9,INDEX(Course!$N$2:$N$19,MATCH($B1195,Course!$A$2:$A$19,0))),INDEX(Baseline!$B$3:$E$122,MATCH(MIN(MAX(ROUND(($F1195)/5,0)*5,5),600),Baseline!$A$3:$A$122,0),MATCH($E1195,Baseline!$B$2:$E$2,0))))))</f>
        <v/>
      </c>
      <c r="P1195" s="17" t="str">
        <f aca="false">IF($B1195="","",INDEX(Course!$N$2:$N$19,MATCH($B1195,Course!$A$2:$A$19,0)))</f>
        <v/>
      </c>
      <c r="Q1195" s="17" t="str">
        <f aca="false">IF($B1195="","",INDEX(Course!$P$2:$P$19,MATCH($B1195,Course!$A$2:$A$19,0)))</f>
        <v/>
      </c>
      <c r="R1195" s="17" t="str">
        <f aca="false">IF($C1195="","",IF(OR($C1195="G",$C1195="H"),0,IF($C1195="T",1,MIN(1,MAX(0,($N1195-Inputs!$B$8)/MAX($P1195-Inputs!$B$8,0.01))))))</f>
        <v/>
      </c>
      <c r="S1195" s="17" t="str">
        <f aca="false">IF($C1195="","",IF(OR($E1195="G",$E1195="H"),0,IF($E1195="T",1,MIN(1,MAX(0,($O1195-Inputs!$B$8)/MAX($P1195-Inputs!$B$8,0.01))))))</f>
        <v/>
      </c>
    </row>
    <row r="1196" customFormat="false" ht="15" hidden="false" customHeight="false" outlineLevel="0" collapsed="false">
      <c r="I1196" s="7" t="str">
        <f aca="false">IF($C1196="","",IF($C1196="G","PUTT",IF(AND($C1196="T",$M1196&gt;3),"OTT",IF($D1196&lt;=30,"ARG","APP"))))</f>
        <v/>
      </c>
      <c r="J1196" s="17" t="str">
        <f aca="false">IF($C1196="","",$N1196+$Q1196*$R1196)</f>
        <v/>
      </c>
      <c r="K1196" s="17" t="str">
        <f aca="false">IF($C1196="","",$O1196+$Q1196*$S1196)</f>
        <v/>
      </c>
      <c r="L1196" s="17" t="str">
        <f aca="false">IF($C1196="","",$J1196-$K1196-1-N($G1196))</f>
        <v/>
      </c>
      <c r="M1196" s="7" t="str">
        <f aca="false">IF($B1196="","",INDEX(Course!$B$2:$B$19,MATCH($B1196,Course!$A$2:$A$19,0)))</f>
        <v/>
      </c>
      <c r="N1196" s="17" t="str">
        <f aca="false">IF($C1196="","",IF($C1196="H",0,IF($C1196="G",INDEX(Baseline!$I$3:$I$102,MIN(MAX(ROUND($D1196,0),1),100)),IF($C1196="T",IF($M1196=3,INDEX(Baseline!$B$3:$B$122,MATCH(MIN(MAX(ROUND(($D1196)/5,0)*5,5),600),Baseline!$A$3:$A$122,0))-Inputs!$B$9,INDEX(Course!$N$2:$N$19,MATCH($B1196,Course!$A$2:$A$19,0))),INDEX(Baseline!$B$3:$E$122,MATCH(MIN(MAX(ROUND(($D1196)/5,0)*5,5),600),Baseline!$A$3:$A$122,0),MATCH($C1196,Baseline!$B$2:$E$2,0))))))</f>
        <v/>
      </c>
      <c r="O1196" s="17" t="str">
        <f aca="false">IF($C1196="","",IF($E1196="H",0,IF($E1196="G",INDEX(Baseline!$I$3:$I$102,MIN(MAX(ROUND($F1196,0),1),100)),IF($E1196="T",IF($M1196=3,INDEX(Baseline!$B$3:$B$122,MATCH(MIN(MAX(ROUND(($F1196)/5,0)*5,5),600),Baseline!$A$3:$A$122,0))-Inputs!$B$9,INDEX(Course!$N$2:$N$19,MATCH($B1196,Course!$A$2:$A$19,0))),INDEX(Baseline!$B$3:$E$122,MATCH(MIN(MAX(ROUND(($F1196)/5,0)*5,5),600),Baseline!$A$3:$A$122,0),MATCH($E1196,Baseline!$B$2:$E$2,0))))))</f>
        <v/>
      </c>
      <c r="P1196" s="17" t="str">
        <f aca="false">IF($B1196="","",INDEX(Course!$N$2:$N$19,MATCH($B1196,Course!$A$2:$A$19,0)))</f>
        <v/>
      </c>
      <c r="Q1196" s="17" t="str">
        <f aca="false">IF($B1196="","",INDEX(Course!$P$2:$P$19,MATCH($B1196,Course!$A$2:$A$19,0)))</f>
        <v/>
      </c>
      <c r="R1196" s="17" t="str">
        <f aca="false">IF($C1196="","",IF(OR($C1196="G",$C1196="H"),0,IF($C1196="T",1,MIN(1,MAX(0,($N1196-Inputs!$B$8)/MAX($P1196-Inputs!$B$8,0.01))))))</f>
        <v/>
      </c>
      <c r="S1196" s="17" t="str">
        <f aca="false">IF($C1196="","",IF(OR($E1196="G",$E1196="H"),0,IF($E1196="T",1,MIN(1,MAX(0,($O1196-Inputs!$B$8)/MAX($P1196-Inputs!$B$8,0.01))))))</f>
        <v/>
      </c>
    </row>
    <row r="1197" customFormat="false" ht="15" hidden="false" customHeight="false" outlineLevel="0" collapsed="false">
      <c r="I1197" s="7" t="str">
        <f aca="false">IF($C1197="","",IF($C1197="G","PUTT",IF(AND($C1197="T",$M1197&gt;3),"OTT",IF($D1197&lt;=30,"ARG","APP"))))</f>
        <v/>
      </c>
      <c r="J1197" s="17" t="str">
        <f aca="false">IF($C1197="","",$N1197+$Q1197*$R1197)</f>
        <v/>
      </c>
      <c r="K1197" s="17" t="str">
        <f aca="false">IF($C1197="","",$O1197+$Q1197*$S1197)</f>
        <v/>
      </c>
      <c r="L1197" s="17" t="str">
        <f aca="false">IF($C1197="","",$J1197-$K1197-1-N($G1197))</f>
        <v/>
      </c>
      <c r="M1197" s="7" t="str">
        <f aca="false">IF($B1197="","",INDEX(Course!$B$2:$B$19,MATCH($B1197,Course!$A$2:$A$19,0)))</f>
        <v/>
      </c>
      <c r="N1197" s="17" t="str">
        <f aca="false">IF($C1197="","",IF($C1197="H",0,IF($C1197="G",INDEX(Baseline!$I$3:$I$102,MIN(MAX(ROUND($D1197,0),1),100)),IF($C1197="T",IF($M1197=3,INDEX(Baseline!$B$3:$B$122,MATCH(MIN(MAX(ROUND(($D1197)/5,0)*5,5),600),Baseline!$A$3:$A$122,0))-Inputs!$B$9,INDEX(Course!$N$2:$N$19,MATCH($B1197,Course!$A$2:$A$19,0))),INDEX(Baseline!$B$3:$E$122,MATCH(MIN(MAX(ROUND(($D1197)/5,0)*5,5),600),Baseline!$A$3:$A$122,0),MATCH($C1197,Baseline!$B$2:$E$2,0))))))</f>
        <v/>
      </c>
      <c r="O1197" s="17" t="str">
        <f aca="false">IF($C1197="","",IF($E1197="H",0,IF($E1197="G",INDEX(Baseline!$I$3:$I$102,MIN(MAX(ROUND($F1197,0),1),100)),IF($E1197="T",IF($M1197=3,INDEX(Baseline!$B$3:$B$122,MATCH(MIN(MAX(ROUND(($F1197)/5,0)*5,5),600),Baseline!$A$3:$A$122,0))-Inputs!$B$9,INDEX(Course!$N$2:$N$19,MATCH($B1197,Course!$A$2:$A$19,0))),INDEX(Baseline!$B$3:$E$122,MATCH(MIN(MAX(ROUND(($F1197)/5,0)*5,5),600),Baseline!$A$3:$A$122,0),MATCH($E1197,Baseline!$B$2:$E$2,0))))))</f>
        <v/>
      </c>
      <c r="P1197" s="17" t="str">
        <f aca="false">IF($B1197="","",INDEX(Course!$N$2:$N$19,MATCH($B1197,Course!$A$2:$A$19,0)))</f>
        <v/>
      </c>
      <c r="Q1197" s="17" t="str">
        <f aca="false">IF($B1197="","",INDEX(Course!$P$2:$P$19,MATCH($B1197,Course!$A$2:$A$19,0)))</f>
        <v/>
      </c>
      <c r="R1197" s="17" t="str">
        <f aca="false">IF($C1197="","",IF(OR($C1197="G",$C1197="H"),0,IF($C1197="T",1,MIN(1,MAX(0,($N1197-Inputs!$B$8)/MAX($P1197-Inputs!$B$8,0.01))))))</f>
        <v/>
      </c>
      <c r="S1197" s="17" t="str">
        <f aca="false">IF($C1197="","",IF(OR($E1197="G",$E1197="H"),0,IF($E1197="T",1,MIN(1,MAX(0,($O1197-Inputs!$B$8)/MAX($P1197-Inputs!$B$8,0.01))))))</f>
        <v/>
      </c>
    </row>
    <row r="1198" customFormat="false" ht="15" hidden="false" customHeight="false" outlineLevel="0" collapsed="false">
      <c r="I1198" s="7" t="str">
        <f aca="false">IF($C1198="","",IF($C1198="G","PUTT",IF(AND($C1198="T",$M1198&gt;3),"OTT",IF($D1198&lt;=30,"ARG","APP"))))</f>
        <v/>
      </c>
      <c r="J1198" s="17" t="str">
        <f aca="false">IF($C1198="","",$N1198+$Q1198*$R1198)</f>
        <v/>
      </c>
      <c r="K1198" s="17" t="str">
        <f aca="false">IF($C1198="","",$O1198+$Q1198*$S1198)</f>
        <v/>
      </c>
      <c r="L1198" s="17" t="str">
        <f aca="false">IF($C1198="","",$J1198-$K1198-1-N($G1198))</f>
        <v/>
      </c>
      <c r="M1198" s="7" t="str">
        <f aca="false">IF($B1198="","",INDEX(Course!$B$2:$B$19,MATCH($B1198,Course!$A$2:$A$19,0)))</f>
        <v/>
      </c>
      <c r="N1198" s="17" t="str">
        <f aca="false">IF($C1198="","",IF($C1198="H",0,IF($C1198="G",INDEX(Baseline!$I$3:$I$102,MIN(MAX(ROUND($D1198,0),1),100)),IF($C1198="T",IF($M1198=3,INDEX(Baseline!$B$3:$B$122,MATCH(MIN(MAX(ROUND(($D1198)/5,0)*5,5),600),Baseline!$A$3:$A$122,0))-Inputs!$B$9,INDEX(Course!$N$2:$N$19,MATCH($B1198,Course!$A$2:$A$19,0))),INDEX(Baseline!$B$3:$E$122,MATCH(MIN(MAX(ROUND(($D1198)/5,0)*5,5),600),Baseline!$A$3:$A$122,0),MATCH($C1198,Baseline!$B$2:$E$2,0))))))</f>
        <v/>
      </c>
      <c r="O1198" s="17" t="str">
        <f aca="false">IF($C1198="","",IF($E1198="H",0,IF($E1198="G",INDEX(Baseline!$I$3:$I$102,MIN(MAX(ROUND($F1198,0),1),100)),IF($E1198="T",IF($M1198=3,INDEX(Baseline!$B$3:$B$122,MATCH(MIN(MAX(ROUND(($F1198)/5,0)*5,5),600),Baseline!$A$3:$A$122,0))-Inputs!$B$9,INDEX(Course!$N$2:$N$19,MATCH($B1198,Course!$A$2:$A$19,0))),INDEX(Baseline!$B$3:$E$122,MATCH(MIN(MAX(ROUND(($F1198)/5,0)*5,5),600),Baseline!$A$3:$A$122,0),MATCH($E1198,Baseline!$B$2:$E$2,0))))))</f>
        <v/>
      </c>
      <c r="P1198" s="17" t="str">
        <f aca="false">IF($B1198="","",INDEX(Course!$N$2:$N$19,MATCH($B1198,Course!$A$2:$A$19,0)))</f>
        <v/>
      </c>
      <c r="Q1198" s="17" t="str">
        <f aca="false">IF($B1198="","",INDEX(Course!$P$2:$P$19,MATCH($B1198,Course!$A$2:$A$19,0)))</f>
        <v/>
      </c>
      <c r="R1198" s="17" t="str">
        <f aca="false">IF($C1198="","",IF(OR($C1198="G",$C1198="H"),0,IF($C1198="T",1,MIN(1,MAX(0,($N1198-Inputs!$B$8)/MAX($P1198-Inputs!$B$8,0.01))))))</f>
        <v/>
      </c>
      <c r="S1198" s="17" t="str">
        <f aca="false">IF($C1198="","",IF(OR($E1198="G",$E1198="H"),0,IF($E1198="T",1,MIN(1,MAX(0,($O1198-Inputs!$B$8)/MAX($P1198-Inputs!$B$8,0.01))))))</f>
        <v/>
      </c>
    </row>
    <row r="1199" customFormat="false" ht="15" hidden="false" customHeight="false" outlineLevel="0" collapsed="false">
      <c r="I1199" s="7" t="str">
        <f aca="false">IF($C1199="","",IF($C1199="G","PUTT",IF(AND($C1199="T",$M1199&gt;3),"OTT",IF($D1199&lt;=30,"ARG","APP"))))</f>
        <v/>
      </c>
      <c r="J1199" s="17" t="str">
        <f aca="false">IF($C1199="","",$N1199+$Q1199*$R1199)</f>
        <v/>
      </c>
      <c r="K1199" s="17" t="str">
        <f aca="false">IF($C1199="","",$O1199+$Q1199*$S1199)</f>
        <v/>
      </c>
      <c r="L1199" s="17" t="str">
        <f aca="false">IF($C1199="","",$J1199-$K1199-1-N($G1199))</f>
        <v/>
      </c>
      <c r="M1199" s="7" t="str">
        <f aca="false">IF($B1199="","",INDEX(Course!$B$2:$B$19,MATCH($B1199,Course!$A$2:$A$19,0)))</f>
        <v/>
      </c>
      <c r="N1199" s="17" t="str">
        <f aca="false">IF($C1199="","",IF($C1199="H",0,IF($C1199="G",INDEX(Baseline!$I$3:$I$102,MIN(MAX(ROUND($D1199,0),1),100)),IF($C1199="T",IF($M1199=3,INDEX(Baseline!$B$3:$B$122,MATCH(MIN(MAX(ROUND(($D1199)/5,0)*5,5),600),Baseline!$A$3:$A$122,0))-Inputs!$B$9,INDEX(Course!$N$2:$N$19,MATCH($B1199,Course!$A$2:$A$19,0))),INDEX(Baseline!$B$3:$E$122,MATCH(MIN(MAX(ROUND(($D1199)/5,0)*5,5),600),Baseline!$A$3:$A$122,0),MATCH($C1199,Baseline!$B$2:$E$2,0))))))</f>
        <v/>
      </c>
      <c r="O1199" s="17" t="str">
        <f aca="false">IF($C1199="","",IF($E1199="H",0,IF($E1199="G",INDEX(Baseline!$I$3:$I$102,MIN(MAX(ROUND($F1199,0),1),100)),IF($E1199="T",IF($M1199=3,INDEX(Baseline!$B$3:$B$122,MATCH(MIN(MAX(ROUND(($F1199)/5,0)*5,5),600),Baseline!$A$3:$A$122,0))-Inputs!$B$9,INDEX(Course!$N$2:$N$19,MATCH($B1199,Course!$A$2:$A$19,0))),INDEX(Baseline!$B$3:$E$122,MATCH(MIN(MAX(ROUND(($F1199)/5,0)*5,5),600),Baseline!$A$3:$A$122,0),MATCH($E1199,Baseline!$B$2:$E$2,0))))))</f>
        <v/>
      </c>
      <c r="P1199" s="17" t="str">
        <f aca="false">IF($B1199="","",INDEX(Course!$N$2:$N$19,MATCH($B1199,Course!$A$2:$A$19,0)))</f>
        <v/>
      </c>
      <c r="Q1199" s="17" t="str">
        <f aca="false">IF($B1199="","",INDEX(Course!$P$2:$P$19,MATCH($B1199,Course!$A$2:$A$19,0)))</f>
        <v/>
      </c>
      <c r="R1199" s="17" t="str">
        <f aca="false">IF($C1199="","",IF(OR($C1199="G",$C1199="H"),0,IF($C1199="T",1,MIN(1,MAX(0,($N1199-Inputs!$B$8)/MAX($P1199-Inputs!$B$8,0.01))))))</f>
        <v/>
      </c>
      <c r="S1199" s="17" t="str">
        <f aca="false">IF($C1199="","",IF(OR($E1199="G",$E1199="H"),0,IF($E1199="T",1,MIN(1,MAX(0,($O1199-Inputs!$B$8)/MAX($P1199-Inputs!$B$8,0.01))))))</f>
        <v/>
      </c>
    </row>
    <row r="1200" customFormat="false" ht="15" hidden="false" customHeight="false" outlineLevel="0" collapsed="false">
      <c r="I1200" s="7" t="str">
        <f aca="false">IF($C1200="","",IF($C1200="G","PUTT",IF(AND($C1200="T",$M1200&gt;3),"OTT",IF($D1200&lt;=30,"ARG","APP"))))</f>
        <v/>
      </c>
      <c r="J1200" s="17" t="str">
        <f aca="false">IF($C1200="","",$N1200+$Q1200*$R1200)</f>
        <v/>
      </c>
      <c r="K1200" s="17" t="str">
        <f aca="false">IF($C1200="","",$O1200+$Q1200*$S1200)</f>
        <v/>
      </c>
      <c r="L1200" s="17" t="str">
        <f aca="false">IF($C1200="","",$J1200-$K1200-1-N($G1200))</f>
        <v/>
      </c>
      <c r="M1200" s="7" t="str">
        <f aca="false">IF($B1200="","",INDEX(Course!$B$2:$B$19,MATCH($B1200,Course!$A$2:$A$19,0)))</f>
        <v/>
      </c>
      <c r="N1200" s="17" t="str">
        <f aca="false">IF($C1200="","",IF($C1200="H",0,IF($C1200="G",INDEX(Baseline!$I$3:$I$102,MIN(MAX(ROUND($D1200,0),1),100)),IF($C1200="T",IF($M1200=3,INDEX(Baseline!$B$3:$B$122,MATCH(MIN(MAX(ROUND(($D1200)/5,0)*5,5),600),Baseline!$A$3:$A$122,0))-Inputs!$B$9,INDEX(Course!$N$2:$N$19,MATCH($B1200,Course!$A$2:$A$19,0))),INDEX(Baseline!$B$3:$E$122,MATCH(MIN(MAX(ROUND(($D1200)/5,0)*5,5),600),Baseline!$A$3:$A$122,0),MATCH($C1200,Baseline!$B$2:$E$2,0))))))</f>
        <v/>
      </c>
      <c r="O1200" s="17" t="str">
        <f aca="false">IF($C1200="","",IF($E1200="H",0,IF($E1200="G",INDEX(Baseline!$I$3:$I$102,MIN(MAX(ROUND($F1200,0),1),100)),IF($E1200="T",IF($M1200=3,INDEX(Baseline!$B$3:$B$122,MATCH(MIN(MAX(ROUND(($F1200)/5,0)*5,5),600),Baseline!$A$3:$A$122,0))-Inputs!$B$9,INDEX(Course!$N$2:$N$19,MATCH($B1200,Course!$A$2:$A$19,0))),INDEX(Baseline!$B$3:$E$122,MATCH(MIN(MAX(ROUND(($F1200)/5,0)*5,5),600),Baseline!$A$3:$A$122,0),MATCH($E1200,Baseline!$B$2:$E$2,0))))))</f>
        <v/>
      </c>
      <c r="P1200" s="17" t="str">
        <f aca="false">IF($B1200="","",INDEX(Course!$N$2:$N$19,MATCH($B1200,Course!$A$2:$A$19,0)))</f>
        <v/>
      </c>
      <c r="Q1200" s="17" t="str">
        <f aca="false">IF($B1200="","",INDEX(Course!$P$2:$P$19,MATCH($B1200,Course!$A$2:$A$19,0)))</f>
        <v/>
      </c>
      <c r="R1200" s="17" t="str">
        <f aca="false">IF($C1200="","",IF(OR($C1200="G",$C1200="H"),0,IF($C1200="T",1,MIN(1,MAX(0,($N1200-Inputs!$B$8)/MAX($P1200-Inputs!$B$8,0.01))))))</f>
        <v/>
      </c>
      <c r="S1200" s="17" t="str">
        <f aca="false">IF($C1200="","",IF(OR($E1200="G",$E1200="H"),0,IF($E1200="T",1,MIN(1,MAX(0,($O1200-Inputs!$B$8)/MAX($P1200-Inputs!$B$8,0.01))))))</f>
        <v/>
      </c>
    </row>
    <row r="1201" customFormat="false" ht="15" hidden="false" customHeight="false" outlineLevel="0" collapsed="false">
      <c r="I1201" s="7" t="str">
        <f aca="false">IF($C1201="","",IF($C1201="G","PUTT",IF(AND($C1201="T",$M1201&gt;3),"OTT",IF($D1201&lt;=30,"ARG","APP"))))</f>
        <v/>
      </c>
      <c r="J1201" s="17" t="str">
        <f aca="false">IF($C1201="","",$N1201+$Q1201*$R1201)</f>
        <v/>
      </c>
      <c r="K1201" s="17" t="str">
        <f aca="false">IF($C1201="","",$O1201+$Q1201*$S1201)</f>
        <v/>
      </c>
      <c r="L1201" s="17" t="str">
        <f aca="false">IF($C1201="","",$J1201-$K1201-1-N($G1201))</f>
        <v/>
      </c>
      <c r="M1201" s="7" t="str">
        <f aca="false">IF($B1201="","",INDEX(Course!$B$2:$B$19,MATCH($B1201,Course!$A$2:$A$19,0)))</f>
        <v/>
      </c>
      <c r="N1201" s="17" t="str">
        <f aca="false">IF($C1201="","",IF($C1201="H",0,IF($C1201="G",INDEX(Baseline!$I$3:$I$102,MIN(MAX(ROUND($D1201,0),1),100)),IF($C1201="T",IF($M1201=3,INDEX(Baseline!$B$3:$B$122,MATCH(MIN(MAX(ROUND(($D1201)/5,0)*5,5),600),Baseline!$A$3:$A$122,0))-Inputs!$B$9,INDEX(Course!$N$2:$N$19,MATCH($B1201,Course!$A$2:$A$19,0))),INDEX(Baseline!$B$3:$E$122,MATCH(MIN(MAX(ROUND(($D1201)/5,0)*5,5),600),Baseline!$A$3:$A$122,0),MATCH($C1201,Baseline!$B$2:$E$2,0))))))</f>
        <v/>
      </c>
      <c r="O1201" s="17" t="str">
        <f aca="false">IF($C1201="","",IF($E1201="H",0,IF($E1201="G",INDEX(Baseline!$I$3:$I$102,MIN(MAX(ROUND($F1201,0),1),100)),IF($E1201="T",IF($M1201=3,INDEX(Baseline!$B$3:$B$122,MATCH(MIN(MAX(ROUND(($F1201)/5,0)*5,5),600),Baseline!$A$3:$A$122,0))-Inputs!$B$9,INDEX(Course!$N$2:$N$19,MATCH($B1201,Course!$A$2:$A$19,0))),INDEX(Baseline!$B$3:$E$122,MATCH(MIN(MAX(ROUND(($F1201)/5,0)*5,5),600),Baseline!$A$3:$A$122,0),MATCH($E1201,Baseline!$B$2:$E$2,0))))))</f>
        <v/>
      </c>
      <c r="P1201" s="17" t="str">
        <f aca="false">IF($B1201="","",INDEX(Course!$N$2:$N$19,MATCH($B1201,Course!$A$2:$A$19,0)))</f>
        <v/>
      </c>
      <c r="Q1201" s="17" t="str">
        <f aca="false">IF($B1201="","",INDEX(Course!$P$2:$P$19,MATCH($B1201,Course!$A$2:$A$19,0)))</f>
        <v/>
      </c>
      <c r="R1201" s="17" t="str">
        <f aca="false">IF($C1201="","",IF(OR($C1201="G",$C1201="H"),0,IF($C1201="T",1,MIN(1,MAX(0,($N1201-Inputs!$B$8)/MAX($P1201-Inputs!$B$8,0.01))))))</f>
        <v/>
      </c>
      <c r="S1201" s="17" t="str">
        <f aca="false">IF($C1201="","",IF(OR($E1201="G",$E1201="H"),0,IF($E1201="T",1,MIN(1,MAX(0,($O1201-Inputs!$B$8)/MAX($P1201-Inputs!$B$8,0.01))))))</f>
        <v/>
      </c>
    </row>
    <row r="1202" customFormat="false" ht="15" hidden="false" customHeight="false" outlineLevel="0" collapsed="false">
      <c r="I1202" s="7" t="str">
        <f aca="false">IF($C1202="","",IF($C1202="G","PUTT",IF(AND($C1202="T",$M1202&gt;3),"OTT",IF($D1202&lt;=30,"ARG","APP"))))</f>
        <v/>
      </c>
      <c r="J1202" s="17" t="str">
        <f aca="false">IF($C1202="","",$N1202+$Q1202*$R1202)</f>
        <v/>
      </c>
      <c r="K1202" s="17" t="str">
        <f aca="false">IF($C1202="","",$O1202+$Q1202*$S1202)</f>
        <v/>
      </c>
      <c r="L1202" s="17" t="str">
        <f aca="false">IF($C1202="","",$J1202-$K1202-1-N($G1202))</f>
        <v/>
      </c>
      <c r="M1202" s="7" t="str">
        <f aca="false">IF($B1202="","",INDEX(Course!$B$2:$B$19,MATCH($B1202,Course!$A$2:$A$19,0)))</f>
        <v/>
      </c>
      <c r="N1202" s="17" t="str">
        <f aca="false">IF($C1202="","",IF($C1202="H",0,IF($C1202="G",INDEX(Baseline!$I$3:$I$102,MIN(MAX(ROUND($D1202,0),1),100)),IF($C1202="T",IF($M1202=3,INDEX(Baseline!$B$3:$B$122,MATCH(MIN(MAX(ROUND(($D1202)/5,0)*5,5),600),Baseline!$A$3:$A$122,0))-Inputs!$B$9,INDEX(Course!$N$2:$N$19,MATCH($B1202,Course!$A$2:$A$19,0))),INDEX(Baseline!$B$3:$E$122,MATCH(MIN(MAX(ROUND(($D1202)/5,0)*5,5),600),Baseline!$A$3:$A$122,0),MATCH($C1202,Baseline!$B$2:$E$2,0))))))</f>
        <v/>
      </c>
      <c r="O1202" s="17" t="str">
        <f aca="false">IF($C1202="","",IF($E1202="H",0,IF($E1202="G",INDEX(Baseline!$I$3:$I$102,MIN(MAX(ROUND($F1202,0),1),100)),IF($E1202="T",IF($M1202=3,INDEX(Baseline!$B$3:$B$122,MATCH(MIN(MAX(ROUND(($F1202)/5,0)*5,5),600),Baseline!$A$3:$A$122,0))-Inputs!$B$9,INDEX(Course!$N$2:$N$19,MATCH($B1202,Course!$A$2:$A$19,0))),INDEX(Baseline!$B$3:$E$122,MATCH(MIN(MAX(ROUND(($F1202)/5,0)*5,5),600),Baseline!$A$3:$A$122,0),MATCH($E1202,Baseline!$B$2:$E$2,0))))))</f>
        <v/>
      </c>
      <c r="P1202" s="17" t="str">
        <f aca="false">IF($B1202="","",INDEX(Course!$N$2:$N$19,MATCH($B1202,Course!$A$2:$A$19,0)))</f>
        <v/>
      </c>
      <c r="Q1202" s="17" t="str">
        <f aca="false">IF($B1202="","",INDEX(Course!$P$2:$P$19,MATCH($B1202,Course!$A$2:$A$19,0)))</f>
        <v/>
      </c>
      <c r="R1202" s="17" t="str">
        <f aca="false">IF($C1202="","",IF(OR($C1202="G",$C1202="H"),0,IF($C1202="T",1,MIN(1,MAX(0,($N1202-Inputs!$B$8)/MAX($P1202-Inputs!$B$8,0.01))))))</f>
        <v/>
      </c>
      <c r="S1202" s="17" t="str">
        <f aca="false">IF($C1202="","",IF(OR($E1202="G",$E1202="H"),0,IF($E1202="T",1,MIN(1,MAX(0,($O1202-Inputs!$B$8)/MAX($P1202-Inputs!$B$8,0.01))))))</f>
        <v/>
      </c>
    </row>
    <row r="1203" customFormat="false" ht="15" hidden="false" customHeight="false" outlineLevel="0" collapsed="false">
      <c r="I1203" s="7" t="str">
        <f aca="false">IF($C1203="","",IF($C1203="G","PUTT",IF(AND($C1203="T",$M1203&gt;3),"OTT",IF($D1203&lt;=30,"ARG","APP"))))</f>
        <v/>
      </c>
      <c r="J1203" s="17" t="str">
        <f aca="false">IF($C1203="","",$N1203+$Q1203*$R1203)</f>
        <v/>
      </c>
      <c r="K1203" s="17" t="str">
        <f aca="false">IF($C1203="","",$O1203+$Q1203*$S1203)</f>
        <v/>
      </c>
      <c r="L1203" s="17" t="str">
        <f aca="false">IF($C1203="","",$J1203-$K1203-1-N($G1203))</f>
        <v/>
      </c>
      <c r="M1203" s="7" t="str">
        <f aca="false">IF($B1203="","",INDEX(Course!$B$2:$B$19,MATCH($B1203,Course!$A$2:$A$19,0)))</f>
        <v/>
      </c>
      <c r="N1203" s="17" t="str">
        <f aca="false">IF($C1203="","",IF($C1203="H",0,IF($C1203="G",INDEX(Baseline!$I$3:$I$102,MIN(MAX(ROUND($D1203,0),1),100)),IF($C1203="T",IF($M1203=3,INDEX(Baseline!$B$3:$B$122,MATCH(MIN(MAX(ROUND(($D1203)/5,0)*5,5),600),Baseline!$A$3:$A$122,0))-Inputs!$B$9,INDEX(Course!$N$2:$N$19,MATCH($B1203,Course!$A$2:$A$19,0))),INDEX(Baseline!$B$3:$E$122,MATCH(MIN(MAX(ROUND(($D1203)/5,0)*5,5),600),Baseline!$A$3:$A$122,0),MATCH($C1203,Baseline!$B$2:$E$2,0))))))</f>
        <v/>
      </c>
      <c r="O1203" s="17" t="str">
        <f aca="false">IF($C1203="","",IF($E1203="H",0,IF($E1203="G",INDEX(Baseline!$I$3:$I$102,MIN(MAX(ROUND($F1203,0),1),100)),IF($E1203="T",IF($M1203=3,INDEX(Baseline!$B$3:$B$122,MATCH(MIN(MAX(ROUND(($F1203)/5,0)*5,5),600),Baseline!$A$3:$A$122,0))-Inputs!$B$9,INDEX(Course!$N$2:$N$19,MATCH($B1203,Course!$A$2:$A$19,0))),INDEX(Baseline!$B$3:$E$122,MATCH(MIN(MAX(ROUND(($F1203)/5,0)*5,5),600),Baseline!$A$3:$A$122,0),MATCH($E1203,Baseline!$B$2:$E$2,0))))))</f>
        <v/>
      </c>
      <c r="P1203" s="17" t="str">
        <f aca="false">IF($B1203="","",INDEX(Course!$N$2:$N$19,MATCH($B1203,Course!$A$2:$A$19,0)))</f>
        <v/>
      </c>
      <c r="Q1203" s="17" t="str">
        <f aca="false">IF($B1203="","",INDEX(Course!$P$2:$P$19,MATCH($B1203,Course!$A$2:$A$19,0)))</f>
        <v/>
      </c>
      <c r="R1203" s="17" t="str">
        <f aca="false">IF($C1203="","",IF(OR($C1203="G",$C1203="H"),0,IF($C1203="T",1,MIN(1,MAX(0,($N1203-Inputs!$B$8)/MAX($P1203-Inputs!$B$8,0.01))))))</f>
        <v/>
      </c>
      <c r="S1203" s="17" t="str">
        <f aca="false">IF($C1203="","",IF(OR($E1203="G",$E1203="H"),0,IF($E1203="T",1,MIN(1,MAX(0,($O1203-Inputs!$B$8)/MAX($P1203-Inputs!$B$8,0.01))))))</f>
        <v/>
      </c>
    </row>
    <row r="1204" customFormat="false" ht="15" hidden="false" customHeight="false" outlineLevel="0" collapsed="false">
      <c r="I1204" s="7" t="str">
        <f aca="false">IF($C1204="","",IF($C1204="G","PUTT",IF(AND($C1204="T",$M1204&gt;3),"OTT",IF($D1204&lt;=30,"ARG","APP"))))</f>
        <v/>
      </c>
      <c r="J1204" s="17" t="str">
        <f aca="false">IF($C1204="","",$N1204+$Q1204*$R1204)</f>
        <v/>
      </c>
      <c r="K1204" s="17" t="str">
        <f aca="false">IF($C1204="","",$O1204+$Q1204*$S1204)</f>
        <v/>
      </c>
      <c r="L1204" s="17" t="str">
        <f aca="false">IF($C1204="","",$J1204-$K1204-1-N($G1204))</f>
        <v/>
      </c>
      <c r="M1204" s="7" t="str">
        <f aca="false">IF($B1204="","",INDEX(Course!$B$2:$B$19,MATCH($B1204,Course!$A$2:$A$19,0)))</f>
        <v/>
      </c>
      <c r="N1204" s="17" t="str">
        <f aca="false">IF($C1204="","",IF($C1204="H",0,IF($C1204="G",INDEX(Baseline!$I$3:$I$102,MIN(MAX(ROUND($D1204,0),1),100)),IF($C1204="T",IF($M1204=3,INDEX(Baseline!$B$3:$B$122,MATCH(MIN(MAX(ROUND(($D1204)/5,0)*5,5),600),Baseline!$A$3:$A$122,0))-Inputs!$B$9,INDEX(Course!$N$2:$N$19,MATCH($B1204,Course!$A$2:$A$19,0))),INDEX(Baseline!$B$3:$E$122,MATCH(MIN(MAX(ROUND(($D1204)/5,0)*5,5),600),Baseline!$A$3:$A$122,0),MATCH($C1204,Baseline!$B$2:$E$2,0))))))</f>
        <v/>
      </c>
      <c r="O1204" s="17" t="str">
        <f aca="false">IF($C1204="","",IF($E1204="H",0,IF($E1204="G",INDEX(Baseline!$I$3:$I$102,MIN(MAX(ROUND($F1204,0),1),100)),IF($E1204="T",IF($M1204=3,INDEX(Baseline!$B$3:$B$122,MATCH(MIN(MAX(ROUND(($F1204)/5,0)*5,5),600),Baseline!$A$3:$A$122,0))-Inputs!$B$9,INDEX(Course!$N$2:$N$19,MATCH($B1204,Course!$A$2:$A$19,0))),INDEX(Baseline!$B$3:$E$122,MATCH(MIN(MAX(ROUND(($F1204)/5,0)*5,5),600),Baseline!$A$3:$A$122,0),MATCH($E1204,Baseline!$B$2:$E$2,0))))))</f>
        <v/>
      </c>
      <c r="P1204" s="17" t="str">
        <f aca="false">IF($B1204="","",INDEX(Course!$N$2:$N$19,MATCH($B1204,Course!$A$2:$A$19,0)))</f>
        <v/>
      </c>
      <c r="Q1204" s="17" t="str">
        <f aca="false">IF($B1204="","",INDEX(Course!$P$2:$P$19,MATCH($B1204,Course!$A$2:$A$19,0)))</f>
        <v/>
      </c>
      <c r="R1204" s="17" t="str">
        <f aca="false">IF($C1204="","",IF(OR($C1204="G",$C1204="H"),0,IF($C1204="T",1,MIN(1,MAX(0,($N1204-Inputs!$B$8)/MAX($P1204-Inputs!$B$8,0.01))))))</f>
        <v/>
      </c>
      <c r="S1204" s="17" t="str">
        <f aca="false">IF($C1204="","",IF(OR($E1204="G",$E1204="H"),0,IF($E1204="T",1,MIN(1,MAX(0,($O1204-Inputs!$B$8)/MAX($P1204-Inputs!$B$8,0.01))))))</f>
        <v/>
      </c>
    </row>
    <row r="1205" customFormat="false" ht="15" hidden="false" customHeight="false" outlineLevel="0" collapsed="false">
      <c r="I1205" s="7" t="str">
        <f aca="false">IF($C1205="","",IF($C1205="G","PUTT",IF(AND($C1205="T",$M1205&gt;3),"OTT",IF($D1205&lt;=30,"ARG","APP"))))</f>
        <v/>
      </c>
      <c r="J1205" s="17" t="str">
        <f aca="false">IF($C1205="","",$N1205+$Q1205*$R1205)</f>
        <v/>
      </c>
      <c r="K1205" s="17" t="str">
        <f aca="false">IF($C1205="","",$O1205+$Q1205*$S1205)</f>
        <v/>
      </c>
      <c r="L1205" s="17" t="str">
        <f aca="false">IF($C1205="","",$J1205-$K1205-1-N($G1205))</f>
        <v/>
      </c>
      <c r="M1205" s="7" t="str">
        <f aca="false">IF($B1205="","",INDEX(Course!$B$2:$B$19,MATCH($B1205,Course!$A$2:$A$19,0)))</f>
        <v/>
      </c>
      <c r="N1205" s="17" t="str">
        <f aca="false">IF($C1205="","",IF($C1205="H",0,IF($C1205="G",INDEX(Baseline!$I$3:$I$102,MIN(MAX(ROUND($D1205,0),1),100)),IF($C1205="T",IF($M1205=3,INDEX(Baseline!$B$3:$B$122,MATCH(MIN(MAX(ROUND(($D1205)/5,0)*5,5),600),Baseline!$A$3:$A$122,0))-Inputs!$B$9,INDEX(Course!$N$2:$N$19,MATCH($B1205,Course!$A$2:$A$19,0))),INDEX(Baseline!$B$3:$E$122,MATCH(MIN(MAX(ROUND(($D1205)/5,0)*5,5),600),Baseline!$A$3:$A$122,0),MATCH($C1205,Baseline!$B$2:$E$2,0))))))</f>
        <v/>
      </c>
      <c r="O1205" s="17" t="str">
        <f aca="false">IF($C1205="","",IF($E1205="H",0,IF($E1205="G",INDEX(Baseline!$I$3:$I$102,MIN(MAX(ROUND($F1205,0),1),100)),IF($E1205="T",IF($M1205=3,INDEX(Baseline!$B$3:$B$122,MATCH(MIN(MAX(ROUND(($F1205)/5,0)*5,5),600),Baseline!$A$3:$A$122,0))-Inputs!$B$9,INDEX(Course!$N$2:$N$19,MATCH($B1205,Course!$A$2:$A$19,0))),INDEX(Baseline!$B$3:$E$122,MATCH(MIN(MAX(ROUND(($F1205)/5,0)*5,5),600),Baseline!$A$3:$A$122,0),MATCH($E1205,Baseline!$B$2:$E$2,0))))))</f>
        <v/>
      </c>
      <c r="P1205" s="17" t="str">
        <f aca="false">IF($B1205="","",INDEX(Course!$N$2:$N$19,MATCH($B1205,Course!$A$2:$A$19,0)))</f>
        <v/>
      </c>
      <c r="Q1205" s="17" t="str">
        <f aca="false">IF($B1205="","",INDEX(Course!$P$2:$P$19,MATCH($B1205,Course!$A$2:$A$19,0)))</f>
        <v/>
      </c>
      <c r="R1205" s="17" t="str">
        <f aca="false">IF($C1205="","",IF(OR($C1205="G",$C1205="H"),0,IF($C1205="T",1,MIN(1,MAX(0,($N1205-Inputs!$B$8)/MAX($P1205-Inputs!$B$8,0.01))))))</f>
        <v/>
      </c>
      <c r="S1205" s="17" t="str">
        <f aca="false">IF($C1205="","",IF(OR($E1205="G",$E1205="H"),0,IF($E1205="T",1,MIN(1,MAX(0,($O1205-Inputs!$B$8)/MAX($P1205-Inputs!$B$8,0.01))))))</f>
        <v/>
      </c>
    </row>
    <row r="1206" customFormat="false" ht="15" hidden="false" customHeight="false" outlineLevel="0" collapsed="false">
      <c r="I1206" s="7" t="str">
        <f aca="false">IF($C1206="","",IF($C1206="G","PUTT",IF(AND($C1206="T",$M1206&gt;3),"OTT",IF($D1206&lt;=30,"ARG","APP"))))</f>
        <v/>
      </c>
      <c r="J1206" s="17" t="str">
        <f aca="false">IF($C1206="","",$N1206+$Q1206*$R1206)</f>
        <v/>
      </c>
      <c r="K1206" s="17" t="str">
        <f aca="false">IF($C1206="","",$O1206+$Q1206*$S1206)</f>
        <v/>
      </c>
      <c r="L1206" s="17" t="str">
        <f aca="false">IF($C1206="","",$J1206-$K1206-1-N($G1206))</f>
        <v/>
      </c>
      <c r="M1206" s="7" t="str">
        <f aca="false">IF($B1206="","",INDEX(Course!$B$2:$B$19,MATCH($B1206,Course!$A$2:$A$19,0)))</f>
        <v/>
      </c>
      <c r="N1206" s="17" t="str">
        <f aca="false">IF($C1206="","",IF($C1206="H",0,IF($C1206="G",INDEX(Baseline!$I$3:$I$102,MIN(MAX(ROUND($D1206,0),1),100)),IF($C1206="T",IF($M1206=3,INDEX(Baseline!$B$3:$B$122,MATCH(MIN(MAX(ROUND(($D1206)/5,0)*5,5),600),Baseline!$A$3:$A$122,0))-Inputs!$B$9,INDEX(Course!$N$2:$N$19,MATCH($B1206,Course!$A$2:$A$19,0))),INDEX(Baseline!$B$3:$E$122,MATCH(MIN(MAX(ROUND(($D1206)/5,0)*5,5),600),Baseline!$A$3:$A$122,0),MATCH($C1206,Baseline!$B$2:$E$2,0))))))</f>
        <v/>
      </c>
      <c r="O1206" s="17" t="str">
        <f aca="false">IF($C1206="","",IF($E1206="H",0,IF($E1206="G",INDEX(Baseline!$I$3:$I$102,MIN(MAX(ROUND($F1206,0),1),100)),IF($E1206="T",IF($M1206=3,INDEX(Baseline!$B$3:$B$122,MATCH(MIN(MAX(ROUND(($F1206)/5,0)*5,5),600),Baseline!$A$3:$A$122,0))-Inputs!$B$9,INDEX(Course!$N$2:$N$19,MATCH($B1206,Course!$A$2:$A$19,0))),INDEX(Baseline!$B$3:$E$122,MATCH(MIN(MAX(ROUND(($F1206)/5,0)*5,5),600),Baseline!$A$3:$A$122,0),MATCH($E1206,Baseline!$B$2:$E$2,0))))))</f>
        <v/>
      </c>
      <c r="P1206" s="17" t="str">
        <f aca="false">IF($B1206="","",INDEX(Course!$N$2:$N$19,MATCH($B1206,Course!$A$2:$A$19,0)))</f>
        <v/>
      </c>
      <c r="Q1206" s="17" t="str">
        <f aca="false">IF($B1206="","",INDEX(Course!$P$2:$P$19,MATCH($B1206,Course!$A$2:$A$19,0)))</f>
        <v/>
      </c>
      <c r="R1206" s="17" t="str">
        <f aca="false">IF($C1206="","",IF(OR($C1206="G",$C1206="H"),0,IF($C1206="T",1,MIN(1,MAX(0,($N1206-Inputs!$B$8)/MAX($P1206-Inputs!$B$8,0.01))))))</f>
        <v/>
      </c>
      <c r="S1206" s="17" t="str">
        <f aca="false">IF($C1206="","",IF(OR($E1206="G",$E1206="H"),0,IF($E1206="T",1,MIN(1,MAX(0,($O1206-Inputs!$B$8)/MAX($P1206-Inputs!$B$8,0.01))))))</f>
        <v/>
      </c>
    </row>
    <row r="1207" customFormat="false" ht="15" hidden="false" customHeight="false" outlineLevel="0" collapsed="false">
      <c r="I1207" s="7" t="str">
        <f aca="false">IF($C1207="","",IF($C1207="G","PUTT",IF(AND($C1207="T",$M1207&gt;3),"OTT",IF($D1207&lt;=30,"ARG","APP"))))</f>
        <v/>
      </c>
      <c r="J1207" s="17" t="str">
        <f aca="false">IF($C1207="","",$N1207+$Q1207*$R1207)</f>
        <v/>
      </c>
      <c r="K1207" s="17" t="str">
        <f aca="false">IF($C1207="","",$O1207+$Q1207*$S1207)</f>
        <v/>
      </c>
      <c r="L1207" s="17" t="str">
        <f aca="false">IF($C1207="","",$J1207-$K1207-1-N($G1207))</f>
        <v/>
      </c>
      <c r="M1207" s="7" t="str">
        <f aca="false">IF($B1207="","",INDEX(Course!$B$2:$B$19,MATCH($B1207,Course!$A$2:$A$19,0)))</f>
        <v/>
      </c>
      <c r="N1207" s="17" t="str">
        <f aca="false">IF($C1207="","",IF($C1207="H",0,IF($C1207="G",INDEX(Baseline!$I$3:$I$102,MIN(MAX(ROUND($D1207,0),1),100)),IF($C1207="T",IF($M1207=3,INDEX(Baseline!$B$3:$B$122,MATCH(MIN(MAX(ROUND(($D1207)/5,0)*5,5),600),Baseline!$A$3:$A$122,0))-Inputs!$B$9,INDEX(Course!$N$2:$N$19,MATCH($B1207,Course!$A$2:$A$19,0))),INDEX(Baseline!$B$3:$E$122,MATCH(MIN(MAX(ROUND(($D1207)/5,0)*5,5),600),Baseline!$A$3:$A$122,0),MATCH($C1207,Baseline!$B$2:$E$2,0))))))</f>
        <v/>
      </c>
      <c r="O1207" s="17" t="str">
        <f aca="false">IF($C1207="","",IF($E1207="H",0,IF($E1207="G",INDEX(Baseline!$I$3:$I$102,MIN(MAX(ROUND($F1207,0),1),100)),IF($E1207="T",IF($M1207=3,INDEX(Baseline!$B$3:$B$122,MATCH(MIN(MAX(ROUND(($F1207)/5,0)*5,5),600),Baseline!$A$3:$A$122,0))-Inputs!$B$9,INDEX(Course!$N$2:$N$19,MATCH($B1207,Course!$A$2:$A$19,0))),INDEX(Baseline!$B$3:$E$122,MATCH(MIN(MAX(ROUND(($F1207)/5,0)*5,5),600),Baseline!$A$3:$A$122,0),MATCH($E1207,Baseline!$B$2:$E$2,0))))))</f>
        <v/>
      </c>
      <c r="P1207" s="17" t="str">
        <f aca="false">IF($B1207="","",INDEX(Course!$N$2:$N$19,MATCH($B1207,Course!$A$2:$A$19,0)))</f>
        <v/>
      </c>
      <c r="Q1207" s="17" t="str">
        <f aca="false">IF($B1207="","",INDEX(Course!$P$2:$P$19,MATCH($B1207,Course!$A$2:$A$19,0)))</f>
        <v/>
      </c>
      <c r="R1207" s="17" t="str">
        <f aca="false">IF($C1207="","",IF(OR($C1207="G",$C1207="H"),0,IF($C1207="T",1,MIN(1,MAX(0,($N1207-Inputs!$B$8)/MAX($P1207-Inputs!$B$8,0.01))))))</f>
        <v/>
      </c>
      <c r="S1207" s="17" t="str">
        <f aca="false">IF($C1207="","",IF(OR($E1207="G",$E1207="H"),0,IF($E1207="T",1,MIN(1,MAX(0,($O1207-Inputs!$B$8)/MAX($P1207-Inputs!$B$8,0.01))))))</f>
        <v/>
      </c>
    </row>
    <row r="1208" customFormat="false" ht="15" hidden="false" customHeight="false" outlineLevel="0" collapsed="false">
      <c r="I1208" s="7" t="str">
        <f aca="false">IF($C1208="","",IF($C1208="G","PUTT",IF(AND($C1208="T",$M1208&gt;3),"OTT",IF($D1208&lt;=30,"ARG","APP"))))</f>
        <v/>
      </c>
      <c r="J1208" s="17" t="str">
        <f aca="false">IF($C1208="","",$N1208+$Q1208*$R1208)</f>
        <v/>
      </c>
      <c r="K1208" s="17" t="str">
        <f aca="false">IF($C1208="","",$O1208+$Q1208*$S1208)</f>
        <v/>
      </c>
      <c r="L1208" s="17" t="str">
        <f aca="false">IF($C1208="","",$J1208-$K1208-1-N($G1208))</f>
        <v/>
      </c>
      <c r="M1208" s="7" t="str">
        <f aca="false">IF($B1208="","",INDEX(Course!$B$2:$B$19,MATCH($B1208,Course!$A$2:$A$19,0)))</f>
        <v/>
      </c>
      <c r="N1208" s="17" t="str">
        <f aca="false">IF($C1208="","",IF($C1208="H",0,IF($C1208="G",INDEX(Baseline!$I$3:$I$102,MIN(MAX(ROUND($D1208,0),1),100)),IF($C1208="T",IF($M1208=3,INDEX(Baseline!$B$3:$B$122,MATCH(MIN(MAX(ROUND(($D1208)/5,0)*5,5),600),Baseline!$A$3:$A$122,0))-Inputs!$B$9,INDEX(Course!$N$2:$N$19,MATCH($B1208,Course!$A$2:$A$19,0))),INDEX(Baseline!$B$3:$E$122,MATCH(MIN(MAX(ROUND(($D1208)/5,0)*5,5),600),Baseline!$A$3:$A$122,0),MATCH($C1208,Baseline!$B$2:$E$2,0))))))</f>
        <v/>
      </c>
      <c r="O1208" s="17" t="str">
        <f aca="false">IF($C1208="","",IF($E1208="H",0,IF($E1208="G",INDEX(Baseline!$I$3:$I$102,MIN(MAX(ROUND($F1208,0),1),100)),IF($E1208="T",IF($M1208=3,INDEX(Baseline!$B$3:$B$122,MATCH(MIN(MAX(ROUND(($F1208)/5,0)*5,5),600),Baseline!$A$3:$A$122,0))-Inputs!$B$9,INDEX(Course!$N$2:$N$19,MATCH($B1208,Course!$A$2:$A$19,0))),INDEX(Baseline!$B$3:$E$122,MATCH(MIN(MAX(ROUND(($F1208)/5,0)*5,5),600),Baseline!$A$3:$A$122,0),MATCH($E1208,Baseline!$B$2:$E$2,0))))))</f>
        <v/>
      </c>
      <c r="P1208" s="17" t="str">
        <f aca="false">IF($B1208="","",INDEX(Course!$N$2:$N$19,MATCH($B1208,Course!$A$2:$A$19,0)))</f>
        <v/>
      </c>
      <c r="Q1208" s="17" t="str">
        <f aca="false">IF($B1208="","",INDEX(Course!$P$2:$P$19,MATCH($B1208,Course!$A$2:$A$19,0)))</f>
        <v/>
      </c>
      <c r="R1208" s="17" t="str">
        <f aca="false">IF($C1208="","",IF(OR($C1208="G",$C1208="H"),0,IF($C1208="T",1,MIN(1,MAX(0,($N1208-Inputs!$B$8)/MAX($P1208-Inputs!$B$8,0.01))))))</f>
        <v/>
      </c>
      <c r="S1208" s="17" t="str">
        <f aca="false">IF($C1208="","",IF(OR($E1208="G",$E1208="H"),0,IF($E1208="T",1,MIN(1,MAX(0,($O1208-Inputs!$B$8)/MAX($P1208-Inputs!$B$8,0.01))))))</f>
        <v/>
      </c>
    </row>
    <row r="1209" customFormat="false" ht="15" hidden="false" customHeight="false" outlineLevel="0" collapsed="false">
      <c r="I1209" s="7" t="str">
        <f aca="false">IF($C1209="","",IF($C1209="G","PUTT",IF(AND($C1209="T",$M1209&gt;3),"OTT",IF($D1209&lt;=30,"ARG","APP"))))</f>
        <v/>
      </c>
      <c r="J1209" s="17" t="str">
        <f aca="false">IF($C1209="","",$N1209+$Q1209*$R1209)</f>
        <v/>
      </c>
      <c r="K1209" s="17" t="str">
        <f aca="false">IF($C1209="","",$O1209+$Q1209*$S1209)</f>
        <v/>
      </c>
      <c r="L1209" s="17" t="str">
        <f aca="false">IF($C1209="","",$J1209-$K1209-1-N($G1209))</f>
        <v/>
      </c>
      <c r="M1209" s="7" t="str">
        <f aca="false">IF($B1209="","",INDEX(Course!$B$2:$B$19,MATCH($B1209,Course!$A$2:$A$19,0)))</f>
        <v/>
      </c>
      <c r="N1209" s="17" t="str">
        <f aca="false">IF($C1209="","",IF($C1209="H",0,IF($C1209="G",INDEX(Baseline!$I$3:$I$102,MIN(MAX(ROUND($D1209,0),1),100)),IF($C1209="T",IF($M1209=3,INDEX(Baseline!$B$3:$B$122,MATCH(MIN(MAX(ROUND(($D1209)/5,0)*5,5),600),Baseline!$A$3:$A$122,0))-Inputs!$B$9,INDEX(Course!$N$2:$N$19,MATCH($B1209,Course!$A$2:$A$19,0))),INDEX(Baseline!$B$3:$E$122,MATCH(MIN(MAX(ROUND(($D1209)/5,0)*5,5),600),Baseline!$A$3:$A$122,0),MATCH($C1209,Baseline!$B$2:$E$2,0))))))</f>
        <v/>
      </c>
      <c r="O1209" s="17" t="str">
        <f aca="false">IF($C1209="","",IF($E1209="H",0,IF($E1209="G",INDEX(Baseline!$I$3:$I$102,MIN(MAX(ROUND($F1209,0),1),100)),IF($E1209="T",IF($M1209=3,INDEX(Baseline!$B$3:$B$122,MATCH(MIN(MAX(ROUND(($F1209)/5,0)*5,5),600),Baseline!$A$3:$A$122,0))-Inputs!$B$9,INDEX(Course!$N$2:$N$19,MATCH($B1209,Course!$A$2:$A$19,0))),INDEX(Baseline!$B$3:$E$122,MATCH(MIN(MAX(ROUND(($F1209)/5,0)*5,5),600),Baseline!$A$3:$A$122,0),MATCH($E1209,Baseline!$B$2:$E$2,0))))))</f>
        <v/>
      </c>
      <c r="P1209" s="17" t="str">
        <f aca="false">IF($B1209="","",INDEX(Course!$N$2:$N$19,MATCH($B1209,Course!$A$2:$A$19,0)))</f>
        <v/>
      </c>
      <c r="Q1209" s="17" t="str">
        <f aca="false">IF($B1209="","",INDEX(Course!$P$2:$P$19,MATCH($B1209,Course!$A$2:$A$19,0)))</f>
        <v/>
      </c>
      <c r="R1209" s="17" t="str">
        <f aca="false">IF($C1209="","",IF(OR($C1209="G",$C1209="H"),0,IF($C1209="T",1,MIN(1,MAX(0,($N1209-Inputs!$B$8)/MAX($P1209-Inputs!$B$8,0.01))))))</f>
        <v/>
      </c>
      <c r="S1209" s="17" t="str">
        <f aca="false">IF($C1209="","",IF(OR($E1209="G",$E1209="H"),0,IF($E1209="T",1,MIN(1,MAX(0,($O1209-Inputs!$B$8)/MAX($P1209-Inputs!$B$8,0.01))))))</f>
        <v/>
      </c>
    </row>
    <row r="1210" customFormat="false" ht="15" hidden="false" customHeight="false" outlineLevel="0" collapsed="false">
      <c r="I1210" s="7" t="str">
        <f aca="false">IF($C1210="","",IF($C1210="G","PUTT",IF(AND($C1210="T",$M1210&gt;3),"OTT",IF($D1210&lt;=30,"ARG","APP"))))</f>
        <v/>
      </c>
      <c r="J1210" s="17" t="str">
        <f aca="false">IF($C1210="","",$N1210+$Q1210*$R1210)</f>
        <v/>
      </c>
      <c r="K1210" s="17" t="str">
        <f aca="false">IF($C1210="","",$O1210+$Q1210*$S1210)</f>
        <v/>
      </c>
      <c r="L1210" s="17" t="str">
        <f aca="false">IF($C1210="","",$J1210-$K1210-1-N($G1210))</f>
        <v/>
      </c>
      <c r="M1210" s="7" t="str">
        <f aca="false">IF($B1210="","",INDEX(Course!$B$2:$B$19,MATCH($B1210,Course!$A$2:$A$19,0)))</f>
        <v/>
      </c>
      <c r="N1210" s="17" t="str">
        <f aca="false">IF($C1210="","",IF($C1210="H",0,IF($C1210="G",INDEX(Baseline!$I$3:$I$102,MIN(MAX(ROUND($D1210,0),1),100)),IF($C1210="T",IF($M1210=3,INDEX(Baseline!$B$3:$B$122,MATCH(MIN(MAX(ROUND(($D1210)/5,0)*5,5),600),Baseline!$A$3:$A$122,0))-Inputs!$B$9,INDEX(Course!$N$2:$N$19,MATCH($B1210,Course!$A$2:$A$19,0))),INDEX(Baseline!$B$3:$E$122,MATCH(MIN(MAX(ROUND(($D1210)/5,0)*5,5),600),Baseline!$A$3:$A$122,0),MATCH($C1210,Baseline!$B$2:$E$2,0))))))</f>
        <v/>
      </c>
      <c r="O1210" s="17" t="str">
        <f aca="false">IF($C1210="","",IF($E1210="H",0,IF($E1210="G",INDEX(Baseline!$I$3:$I$102,MIN(MAX(ROUND($F1210,0),1),100)),IF($E1210="T",IF($M1210=3,INDEX(Baseline!$B$3:$B$122,MATCH(MIN(MAX(ROUND(($F1210)/5,0)*5,5),600),Baseline!$A$3:$A$122,0))-Inputs!$B$9,INDEX(Course!$N$2:$N$19,MATCH($B1210,Course!$A$2:$A$19,0))),INDEX(Baseline!$B$3:$E$122,MATCH(MIN(MAX(ROUND(($F1210)/5,0)*5,5),600),Baseline!$A$3:$A$122,0),MATCH($E1210,Baseline!$B$2:$E$2,0))))))</f>
        <v/>
      </c>
      <c r="P1210" s="17" t="str">
        <f aca="false">IF($B1210="","",INDEX(Course!$N$2:$N$19,MATCH($B1210,Course!$A$2:$A$19,0)))</f>
        <v/>
      </c>
      <c r="Q1210" s="17" t="str">
        <f aca="false">IF($B1210="","",INDEX(Course!$P$2:$P$19,MATCH($B1210,Course!$A$2:$A$19,0)))</f>
        <v/>
      </c>
      <c r="R1210" s="17" t="str">
        <f aca="false">IF($C1210="","",IF(OR($C1210="G",$C1210="H"),0,IF($C1210="T",1,MIN(1,MAX(0,($N1210-Inputs!$B$8)/MAX($P1210-Inputs!$B$8,0.01))))))</f>
        <v/>
      </c>
      <c r="S1210" s="17" t="str">
        <f aca="false">IF($C1210="","",IF(OR($E1210="G",$E1210="H"),0,IF($E1210="T",1,MIN(1,MAX(0,($O1210-Inputs!$B$8)/MAX($P1210-Inputs!$B$8,0.01))))))</f>
        <v/>
      </c>
    </row>
    <row r="1211" customFormat="false" ht="15" hidden="false" customHeight="false" outlineLevel="0" collapsed="false">
      <c r="I1211" s="7" t="str">
        <f aca="false">IF($C1211="","",IF($C1211="G","PUTT",IF(AND($C1211="T",$M1211&gt;3),"OTT",IF($D1211&lt;=30,"ARG","APP"))))</f>
        <v/>
      </c>
      <c r="J1211" s="17" t="str">
        <f aca="false">IF($C1211="","",$N1211+$Q1211*$R1211)</f>
        <v/>
      </c>
      <c r="K1211" s="17" t="str">
        <f aca="false">IF($C1211="","",$O1211+$Q1211*$S1211)</f>
        <v/>
      </c>
      <c r="L1211" s="17" t="str">
        <f aca="false">IF($C1211="","",$J1211-$K1211-1-N($G1211))</f>
        <v/>
      </c>
      <c r="M1211" s="7" t="str">
        <f aca="false">IF($B1211="","",INDEX(Course!$B$2:$B$19,MATCH($B1211,Course!$A$2:$A$19,0)))</f>
        <v/>
      </c>
      <c r="N1211" s="17" t="str">
        <f aca="false">IF($C1211="","",IF($C1211="H",0,IF($C1211="G",INDEX(Baseline!$I$3:$I$102,MIN(MAX(ROUND($D1211,0),1),100)),IF($C1211="T",IF($M1211=3,INDEX(Baseline!$B$3:$B$122,MATCH(MIN(MAX(ROUND(($D1211)/5,0)*5,5),600),Baseline!$A$3:$A$122,0))-Inputs!$B$9,INDEX(Course!$N$2:$N$19,MATCH($B1211,Course!$A$2:$A$19,0))),INDEX(Baseline!$B$3:$E$122,MATCH(MIN(MAX(ROUND(($D1211)/5,0)*5,5),600),Baseline!$A$3:$A$122,0),MATCH($C1211,Baseline!$B$2:$E$2,0))))))</f>
        <v/>
      </c>
      <c r="O1211" s="17" t="str">
        <f aca="false">IF($C1211="","",IF($E1211="H",0,IF($E1211="G",INDEX(Baseline!$I$3:$I$102,MIN(MAX(ROUND($F1211,0),1),100)),IF($E1211="T",IF($M1211=3,INDEX(Baseline!$B$3:$B$122,MATCH(MIN(MAX(ROUND(($F1211)/5,0)*5,5),600),Baseline!$A$3:$A$122,0))-Inputs!$B$9,INDEX(Course!$N$2:$N$19,MATCH($B1211,Course!$A$2:$A$19,0))),INDEX(Baseline!$B$3:$E$122,MATCH(MIN(MAX(ROUND(($F1211)/5,0)*5,5),600),Baseline!$A$3:$A$122,0),MATCH($E1211,Baseline!$B$2:$E$2,0))))))</f>
        <v/>
      </c>
      <c r="P1211" s="17" t="str">
        <f aca="false">IF($B1211="","",INDEX(Course!$N$2:$N$19,MATCH($B1211,Course!$A$2:$A$19,0)))</f>
        <v/>
      </c>
      <c r="Q1211" s="17" t="str">
        <f aca="false">IF($B1211="","",INDEX(Course!$P$2:$P$19,MATCH($B1211,Course!$A$2:$A$19,0)))</f>
        <v/>
      </c>
      <c r="R1211" s="17" t="str">
        <f aca="false">IF($C1211="","",IF(OR($C1211="G",$C1211="H"),0,IF($C1211="T",1,MIN(1,MAX(0,($N1211-Inputs!$B$8)/MAX($P1211-Inputs!$B$8,0.01))))))</f>
        <v/>
      </c>
      <c r="S1211" s="17" t="str">
        <f aca="false">IF($C1211="","",IF(OR($E1211="G",$E1211="H"),0,IF($E1211="T",1,MIN(1,MAX(0,($O1211-Inputs!$B$8)/MAX($P1211-Inputs!$B$8,0.01))))))</f>
        <v/>
      </c>
    </row>
    <row r="1212" customFormat="false" ht="15" hidden="false" customHeight="false" outlineLevel="0" collapsed="false">
      <c r="I1212" s="7" t="str">
        <f aca="false">IF($C1212="","",IF($C1212="G","PUTT",IF(AND($C1212="T",$M1212&gt;3),"OTT",IF($D1212&lt;=30,"ARG","APP"))))</f>
        <v/>
      </c>
      <c r="J1212" s="17" t="str">
        <f aca="false">IF($C1212="","",$N1212+$Q1212*$R1212)</f>
        <v/>
      </c>
      <c r="K1212" s="17" t="str">
        <f aca="false">IF($C1212="","",$O1212+$Q1212*$S1212)</f>
        <v/>
      </c>
      <c r="L1212" s="17" t="str">
        <f aca="false">IF($C1212="","",$J1212-$K1212-1-N($G1212))</f>
        <v/>
      </c>
      <c r="M1212" s="7" t="str">
        <f aca="false">IF($B1212="","",INDEX(Course!$B$2:$B$19,MATCH($B1212,Course!$A$2:$A$19,0)))</f>
        <v/>
      </c>
      <c r="N1212" s="17" t="str">
        <f aca="false">IF($C1212="","",IF($C1212="H",0,IF($C1212="G",INDEX(Baseline!$I$3:$I$102,MIN(MAX(ROUND($D1212,0),1),100)),IF($C1212="T",IF($M1212=3,INDEX(Baseline!$B$3:$B$122,MATCH(MIN(MAX(ROUND(($D1212)/5,0)*5,5),600),Baseline!$A$3:$A$122,0))-Inputs!$B$9,INDEX(Course!$N$2:$N$19,MATCH($B1212,Course!$A$2:$A$19,0))),INDEX(Baseline!$B$3:$E$122,MATCH(MIN(MAX(ROUND(($D1212)/5,0)*5,5),600),Baseline!$A$3:$A$122,0),MATCH($C1212,Baseline!$B$2:$E$2,0))))))</f>
        <v/>
      </c>
      <c r="O1212" s="17" t="str">
        <f aca="false">IF($C1212="","",IF($E1212="H",0,IF($E1212="G",INDEX(Baseline!$I$3:$I$102,MIN(MAX(ROUND($F1212,0),1),100)),IF($E1212="T",IF($M1212=3,INDEX(Baseline!$B$3:$B$122,MATCH(MIN(MAX(ROUND(($F1212)/5,0)*5,5),600),Baseline!$A$3:$A$122,0))-Inputs!$B$9,INDEX(Course!$N$2:$N$19,MATCH($B1212,Course!$A$2:$A$19,0))),INDEX(Baseline!$B$3:$E$122,MATCH(MIN(MAX(ROUND(($F1212)/5,0)*5,5),600),Baseline!$A$3:$A$122,0),MATCH($E1212,Baseline!$B$2:$E$2,0))))))</f>
        <v/>
      </c>
      <c r="P1212" s="17" t="str">
        <f aca="false">IF($B1212="","",INDEX(Course!$N$2:$N$19,MATCH($B1212,Course!$A$2:$A$19,0)))</f>
        <v/>
      </c>
      <c r="Q1212" s="17" t="str">
        <f aca="false">IF($B1212="","",INDEX(Course!$P$2:$P$19,MATCH($B1212,Course!$A$2:$A$19,0)))</f>
        <v/>
      </c>
      <c r="R1212" s="17" t="str">
        <f aca="false">IF($C1212="","",IF(OR($C1212="G",$C1212="H"),0,IF($C1212="T",1,MIN(1,MAX(0,($N1212-Inputs!$B$8)/MAX($P1212-Inputs!$B$8,0.01))))))</f>
        <v/>
      </c>
      <c r="S1212" s="17" t="str">
        <f aca="false">IF($C1212="","",IF(OR($E1212="G",$E1212="H"),0,IF($E1212="T",1,MIN(1,MAX(0,($O1212-Inputs!$B$8)/MAX($P1212-Inputs!$B$8,0.01))))))</f>
        <v/>
      </c>
    </row>
    <row r="1213" customFormat="false" ht="15" hidden="false" customHeight="false" outlineLevel="0" collapsed="false">
      <c r="I1213" s="7" t="str">
        <f aca="false">IF($C1213="","",IF($C1213="G","PUTT",IF(AND($C1213="T",$M1213&gt;3),"OTT",IF($D1213&lt;=30,"ARG","APP"))))</f>
        <v/>
      </c>
      <c r="J1213" s="17" t="str">
        <f aca="false">IF($C1213="","",$N1213+$Q1213*$R1213)</f>
        <v/>
      </c>
      <c r="K1213" s="17" t="str">
        <f aca="false">IF($C1213="","",$O1213+$Q1213*$S1213)</f>
        <v/>
      </c>
      <c r="L1213" s="17" t="str">
        <f aca="false">IF($C1213="","",$J1213-$K1213-1-N($G1213))</f>
        <v/>
      </c>
      <c r="M1213" s="7" t="str">
        <f aca="false">IF($B1213="","",INDEX(Course!$B$2:$B$19,MATCH($B1213,Course!$A$2:$A$19,0)))</f>
        <v/>
      </c>
      <c r="N1213" s="17" t="str">
        <f aca="false">IF($C1213="","",IF($C1213="H",0,IF($C1213="G",INDEX(Baseline!$I$3:$I$102,MIN(MAX(ROUND($D1213,0),1),100)),IF($C1213="T",IF($M1213=3,INDEX(Baseline!$B$3:$B$122,MATCH(MIN(MAX(ROUND(($D1213)/5,0)*5,5),600),Baseline!$A$3:$A$122,0))-Inputs!$B$9,INDEX(Course!$N$2:$N$19,MATCH($B1213,Course!$A$2:$A$19,0))),INDEX(Baseline!$B$3:$E$122,MATCH(MIN(MAX(ROUND(($D1213)/5,0)*5,5),600),Baseline!$A$3:$A$122,0),MATCH($C1213,Baseline!$B$2:$E$2,0))))))</f>
        <v/>
      </c>
      <c r="O1213" s="17" t="str">
        <f aca="false">IF($C1213="","",IF($E1213="H",0,IF($E1213="G",INDEX(Baseline!$I$3:$I$102,MIN(MAX(ROUND($F1213,0),1),100)),IF($E1213="T",IF($M1213=3,INDEX(Baseline!$B$3:$B$122,MATCH(MIN(MAX(ROUND(($F1213)/5,0)*5,5),600),Baseline!$A$3:$A$122,0))-Inputs!$B$9,INDEX(Course!$N$2:$N$19,MATCH($B1213,Course!$A$2:$A$19,0))),INDEX(Baseline!$B$3:$E$122,MATCH(MIN(MAX(ROUND(($F1213)/5,0)*5,5),600),Baseline!$A$3:$A$122,0),MATCH($E1213,Baseline!$B$2:$E$2,0))))))</f>
        <v/>
      </c>
      <c r="P1213" s="17" t="str">
        <f aca="false">IF($B1213="","",INDEX(Course!$N$2:$N$19,MATCH($B1213,Course!$A$2:$A$19,0)))</f>
        <v/>
      </c>
      <c r="Q1213" s="17" t="str">
        <f aca="false">IF($B1213="","",INDEX(Course!$P$2:$P$19,MATCH($B1213,Course!$A$2:$A$19,0)))</f>
        <v/>
      </c>
      <c r="R1213" s="17" t="str">
        <f aca="false">IF($C1213="","",IF(OR($C1213="G",$C1213="H"),0,IF($C1213="T",1,MIN(1,MAX(0,($N1213-Inputs!$B$8)/MAX($P1213-Inputs!$B$8,0.01))))))</f>
        <v/>
      </c>
      <c r="S1213" s="17" t="str">
        <f aca="false">IF($C1213="","",IF(OR($E1213="G",$E1213="H"),0,IF($E1213="T",1,MIN(1,MAX(0,($O1213-Inputs!$B$8)/MAX($P1213-Inputs!$B$8,0.01))))))</f>
        <v/>
      </c>
    </row>
    <row r="1214" customFormat="false" ht="15" hidden="false" customHeight="false" outlineLevel="0" collapsed="false">
      <c r="I1214" s="7" t="str">
        <f aca="false">IF($C1214="","",IF($C1214="G","PUTT",IF(AND($C1214="T",$M1214&gt;3),"OTT",IF($D1214&lt;=30,"ARG","APP"))))</f>
        <v/>
      </c>
      <c r="J1214" s="17" t="str">
        <f aca="false">IF($C1214="","",$N1214+$Q1214*$R1214)</f>
        <v/>
      </c>
      <c r="K1214" s="17" t="str">
        <f aca="false">IF($C1214="","",$O1214+$Q1214*$S1214)</f>
        <v/>
      </c>
      <c r="L1214" s="17" t="str">
        <f aca="false">IF($C1214="","",$J1214-$K1214-1-N($G1214))</f>
        <v/>
      </c>
      <c r="M1214" s="7" t="str">
        <f aca="false">IF($B1214="","",INDEX(Course!$B$2:$B$19,MATCH($B1214,Course!$A$2:$A$19,0)))</f>
        <v/>
      </c>
      <c r="N1214" s="17" t="str">
        <f aca="false">IF($C1214="","",IF($C1214="H",0,IF($C1214="G",INDEX(Baseline!$I$3:$I$102,MIN(MAX(ROUND($D1214,0),1),100)),IF($C1214="T",IF($M1214=3,INDEX(Baseline!$B$3:$B$122,MATCH(MIN(MAX(ROUND(($D1214)/5,0)*5,5),600),Baseline!$A$3:$A$122,0))-Inputs!$B$9,INDEX(Course!$N$2:$N$19,MATCH($B1214,Course!$A$2:$A$19,0))),INDEX(Baseline!$B$3:$E$122,MATCH(MIN(MAX(ROUND(($D1214)/5,0)*5,5),600),Baseline!$A$3:$A$122,0),MATCH($C1214,Baseline!$B$2:$E$2,0))))))</f>
        <v/>
      </c>
      <c r="O1214" s="17" t="str">
        <f aca="false">IF($C1214="","",IF($E1214="H",0,IF($E1214="G",INDEX(Baseline!$I$3:$I$102,MIN(MAX(ROUND($F1214,0),1),100)),IF($E1214="T",IF($M1214=3,INDEX(Baseline!$B$3:$B$122,MATCH(MIN(MAX(ROUND(($F1214)/5,0)*5,5),600),Baseline!$A$3:$A$122,0))-Inputs!$B$9,INDEX(Course!$N$2:$N$19,MATCH($B1214,Course!$A$2:$A$19,0))),INDEX(Baseline!$B$3:$E$122,MATCH(MIN(MAX(ROUND(($F1214)/5,0)*5,5),600),Baseline!$A$3:$A$122,0),MATCH($E1214,Baseline!$B$2:$E$2,0))))))</f>
        <v/>
      </c>
      <c r="P1214" s="17" t="str">
        <f aca="false">IF($B1214="","",INDEX(Course!$N$2:$N$19,MATCH($B1214,Course!$A$2:$A$19,0)))</f>
        <v/>
      </c>
      <c r="Q1214" s="17" t="str">
        <f aca="false">IF($B1214="","",INDEX(Course!$P$2:$P$19,MATCH($B1214,Course!$A$2:$A$19,0)))</f>
        <v/>
      </c>
      <c r="R1214" s="17" t="str">
        <f aca="false">IF($C1214="","",IF(OR($C1214="G",$C1214="H"),0,IF($C1214="T",1,MIN(1,MAX(0,($N1214-Inputs!$B$8)/MAX($P1214-Inputs!$B$8,0.01))))))</f>
        <v/>
      </c>
      <c r="S1214" s="17" t="str">
        <f aca="false">IF($C1214="","",IF(OR($E1214="G",$E1214="H"),0,IF($E1214="T",1,MIN(1,MAX(0,($O1214-Inputs!$B$8)/MAX($P1214-Inputs!$B$8,0.01))))))</f>
        <v/>
      </c>
    </row>
    <row r="1215" customFormat="false" ht="15" hidden="false" customHeight="false" outlineLevel="0" collapsed="false">
      <c r="I1215" s="7" t="str">
        <f aca="false">IF($C1215="","",IF($C1215="G","PUTT",IF(AND($C1215="T",$M1215&gt;3),"OTT",IF($D1215&lt;=30,"ARG","APP"))))</f>
        <v/>
      </c>
      <c r="J1215" s="17" t="str">
        <f aca="false">IF($C1215="","",$N1215+$Q1215*$R1215)</f>
        <v/>
      </c>
      <c r="K1215" s="17" t="str">
        <f aca="false">IF($C1215="","",$O1215+$Q1215*$S1215)</f>
        <v/>
      </c>
      <c r="L1215" s="17" t="str">
        <f aca="false">IF($C1215="","",$J1215-$K1215-1-N($G1215))</f>
        <v/>
      </c>
      <c r="M1215" s="7" t="str">
        <f aca="false">IF($B1215="","",INDEX(Course!$B$2:$B$19,MATCH($B1215,Course!$A$2:$A$19,0)))</f>
        <v/>
      </c>
      <c r="N1215" s="17" t="str">
        <f aca="false">IF($C1215="","",IF($C1215="H",0,IF($C1215="G",INDEX(Baseline!$I$3:$I$102,MIN(MAX(ROUND($D1215,0),1),100)),IF($C1215="T",IF($M1215=3,INDEX(Baseline!$B$3:$B$122,MATCH(MIN(MAX(ROUND(($D1215)/5,0)*5,5),600),Baseline!$A$3:$A$122,0))-Inputs!$B$9,INDEX(Course!$N$2:$N$19,MATCH($B1215,Course!$A$2:$A$19,0))),INDEX(Baseline!$B$3:$E$122,MATCH(MIN(MAX(ROUND(($D1215)/5,0)*5,5),600),Baseline!$A$3:$A$122,0),MATCH($C1215,Baseline!$B$2:$E$2,0))))))</f>
        <v/>
      </c>
      <c r="O1215" s="17" t="str">
        <f aca="false">IF($C1215="","",IF($E1215="H",0,IF($E1215="G",INDEX(Baseline!$I$3:$I$102,MIN(MAX(ROUND($F1215,0),1),100)),IF($E1215="T",IF($M1215=3,INDEX(Baseline!$B$3:$B$122,MATCH(MIN(MAX(ROUND(($F1215)/5,0)*5,5),600),Baseline!$A$3:$A$122,0))-Inputs!$B$9,INDEX(Course!$N$2:$N$19,MATCH($B1215,Course!$A$2:$A$19,0))),INDEX(Baseline!$B$3:$E$122,MATCH(MIN(MAX(ROUND(($F1215)/5,0)*5,5),600),Baseline!$A$3:$A$122,0),MATCH($E1215,Baseline!$B$2:$E$2,0))))))</f>
        <v/>
      </c>
      <c r="P1215" s="17" t="str">
        <f aca="false">IF($B1215="","",INDEX(Course!$N$2:$N$19,MATCH($B1215,Course!$A$2:$A$19,0)))</f>
        <v/>
      </c>
      <c r="Q1215" s="17" t="str">
        <f aca="false">IF($B1215="","",INDEX(Course!$P$2:$P$19,MATCH($B1215,Course!$A$2:$A$19,0)))</f>
        <v/>
      </c>
      <c r="R1215" s="17" t="str">
        <f aca="false">IF($C1215="","",IF(OR($C1215="G",$C1215="H"),0,IF($C1215="T",1,MIN(1,MAX(0,($N1215-Inputs!$B$8)/MAX($P1215-Inputs!$B$8,0.01))))))</f>
        <v/>
      </c>
      <c r="S1215" s="17" t="str">
        <f aca="false">IF($C1215="","",IF(OR($E1215="G",$E1215="H"),0,IF($E1215="T",1,MIN(1,MAX(0,($O1215-Inputs!$B$8)/MAX($P1215-Inputs!$B$8,0.01))))))</f>
        <v/>
      </c>
    </row>
    <row r="1216" customFormat="false" ht="15" hidden="false" customHeight="false" outlineLevel="0" collapsed="false">
      <c r="I1216" s="7" t="str">
        <f aca="false">IF($C1216="","",IF($C1216="G","PUTT",IF(AND($C1216="T",$M1216&gt;3),"OTT",IF($D1216&lt;=30,"ARG","APP"))))</f>
        <v/>
      </c>
      <c r="J1216" s="17" t="str">
        <f aca="false">IF($C1216="","",$N1216+$Q1216*$R1216)</f>
        <v/>
      </c>
      <c r="K1216" s="17" t="str">
        <f aca="false">IF($C1216="","",$O1216+$Q1216*$S1216)</f>
        <v/>
      </c>
      <c r="L1216" s="17" t="str">
        <f aca="false">IF($C1216="","",$J1216-$K1216-1-N($G1216))</f>
        <v/>
      </c>
      <c r="M1216" s="7" t="str">
        <f aca="false">IF($B1216="","",INDEX(Course!$B$2:$B$19,MATCH($B1216,Course!$A$2:$A$19,0)))</f>
        <v/>
      </c>
      <c r="N1216" s="17" t="str">
        <f aca="false">IF($C1216="","",IF($C1216="H",0,IF($C1216="G",INDEX(Baseline!$I$3:$I$102,MIN(MAX(ROUND($D1216,0),1),100)),IF($C1216="T",IF($M1216=3,INDEX(Baseline!$B$3:$B$122,MATCH(MIN(MAX(ROUND(($D1216)/5,0)*5,5),600),Baseline!$A$3:$A$122,0))-Inputs!$B$9,INDEX(Course!$N$2:$N$19,MATCH($B1216,Course!$A$2:$A$19,0))),INDEX(Baseline!$B$3:$E$122,MATCH(MIN(MAX(ROUND(($D1216)/5,0)*5,5),600),Baseline!$A$3:$A$122,0),MATCH($C1216,Baseline!$B$2:$E$2,0))))))</f>
        <v/>
      </c>
      <c r="O1216" s="17" t="str">
        <f aca="false">IF($C1216="","",IF($E1216="H",0,IF($E1216="G",INDEX(Baseline!$I$3:$I$102,MIN(MAX(ROUND($F1216,0),1),100)),IF($E1216="T",IF($M1216=3,INDEX(Baseline!$B$3:$B$122,MATCH(MIN(MAX(ROUND(($F1216)/5,0)*5,5),600),Baseline!$A$3:$A$122,0))-Inputs!$B$9,INDEX(Course!$N$2:$N$19,MATCH($B1216,Course!$A$2:$A$19,0))),INDEX(Baseline!$B$3:$E$122,MATCH(MIN(MAX(ROUND(($F1216)/5,0)*5,5),600),Baseline!$A$3:$A$122,0),MATCH($E1216,Baseline!$B$2:$E$2,0))))))</f>
        <v/>
      </c>
      <c r="P1216" s="17" t="str">
        <f aca="false">IF($B1216="","",INDEX(Course!$N$2:$N$19,MATCH($B1216,Course!$A$2:$A$19,0)))</f>
        <v/>
      </c>
      <c r="Q1216" s="17" t="str">
        <f aca="false">IF($B1216="","",INDEX(Course!$P$2:$P$19,MATCH($B1216,Course!$A$2:$A$19,0)))</f>
        <v/>
      </c>
      <c r="R1216" s="17" t="str">
        <f aca="false">IF($C1216="","",IF(OR($C1216="G",$C1216="H"),0,IF($C1216="T",1,MIN(1,MAX(0,($N1216-Inputs!$B$8)/MAX($P1216-Inputs!$B$8,0.01))))))</f>
        <v/>
      </c>
      <c r="S1216" s="17" t="str">
        <f aca="false">IF($C1216="","",IF(OR($E1216="G",$E1216="H"),0,IF($E1216="T",1,MIN(1,MAX(0,($O1216-Inputs!$B$8)/MAX($P1216-Inputs!$B$8,0.01))))))</f>
        <v/>
      </c>
    </row>
    <row r="1217" customFormat="false" ht="15" hidden="false" customHeight="false" outlineLevel="0" collapsed="false">
      <c r="I1217" s="7" t="str">
        <f aca="false">IF($C1217="","",IF($C1217="G","PUTT",IF(AND($C1217="T",$M1217&gt;3),"OTT",IF($D1217&lt;=30,"ARG","APP"))))</f>
        <v/>
      </c>
      <c r="J1217" s="17" t="str">
        <f aca="false">IF($C1217="","",$N1217+$Q1217*$R1217)</f>
        <v/>
      </c>
      <c r="K1217" s="17" t="str">
        <f aca="false">IF($C1217="","",$O1217+$Q1217*$S1217)</f>
        <v/>
      </c>
      <c r="L1217" s="17" t="str">
        <f aca="false">IF($C1217="","",$J1217-$K1217-1-N($G1217))</f>
        <v/>
      </c>
      <c r="M1217" s="7" t="str">
        <f aca="false">IF($B1217="","",INDEX(Course!$B$2:$B$19,MATCH($B1217,Course!$A$2:$A$19,0)))</f>
        <v/>
      </c>
      <c r="N1217" s="17" t="str">
        <f aca="false">IF($C1217="","",IF($C1217="H",0,IF($C1217="G",INDEX(Baseline!$I$3:$I$102,MIN(MAX(ROUND($D1217,0),1),100)),IF($C1217="T",IF($M1217=3,INDEX(Baseline!$B$3:$B$122,MATCH(MIN(MAX(ROUND(($D1217)/5,0)*5,5),600),Baseline!$A$3:$A$122,0))-Inputs!$B$9,INDEX(Course!$N$2:$N$19,MATCH($B1217,Course!$A$2:$A$19,0))),INDEX(Baseline!$B$3:$E$122,MATCH(MIN(MAX(ROUND(($D1217)/5,0)*5,5),600),Baseline!$A$3:$A$122,0),MATCH($C1217,Baseline!$B$2:$E$2,0))))))</f>
        <v/>
      </c>
      <c r="O1217" s="17" t="str">
        <f aca="false">IF($C1217="","",IF($E1217="H",0,IF($E1217="G",INDEX(Baseline!$I$3:$I$102,MIN(MAX(ROUND($F1217,0),1),100)),IF($E1217="T",IF($M1217=3,INDEX(Baseline!$B$3:$B$122,MATCH(MIN(MAX(ROUND(($F1217)/5,0)*5,5),600),Baseline!$A$3:$A$122,0))-Inputs!$B$9,INDEX(Course!$N$2:$N$19,MATCH($B1217,Course!$A$2:$A$19,0))),INDEX(Baseline!$B$3:$E$122,MATCH(MIN(MAX(ROUND(($F1217)/5,0)*5,5),600),Baseline!$A$3:$A$122,0),MATCH($E1217,Baseline!$B$2:$E$2,0))))))</f>
        <v/>
      </c>
      <c r="P1217" s="17" t="str">
        <f aca="false">IF($B1217="","",INDEX(Course!$N$2:$N$19,MATCH($B1217,Course!$A$2:$A$19,0)))</f>
        <v/>
      </c>
      <c r="Q1217" s="17" t="str">
        <f aca="false">IF($B1217="","",INDEX(Course!$P$2:$P$19,MATCH($B1217,Course!$A$2:$A$19,0)))</f>
        <v/>
      </c>
      <c r="R1217" s="17" t="str">
        <f aca="false">IF($C1217="","",IF(OR($C1217="G",$C1217="H"),0,IF($C1217="T",1,MIN(1,MAX(0,($N1217-Inputs!$B$8)/MAX($P1217-Inputs!$B$8,0.01))))))</f>
        <v/>
      </c>
      <c r="S1217" s="17" t="str">
        <f aca="false">IF($C1217="","",IF(OR($E1217="G",$E1217="H"),0,IF($E1217="T",1,MIN(1,MAX(0,($O1217-Inputs!$B$8)/MAX($P1217-Inputs!$B$8,0.01))))))</f>
        <v/>
      </c>
    </row>
    <row r="1218" customFormat="false" ht="15" hidden="false" customHeight="false" outlineLevel="0" collapsed="false">
      <c r="I1218" s="7" t="str">
        <f aca="false">IF($C1218="","",IF($C1218="G","PUTT",IF(AND($C1218="T",$M1218&gt;3),"OTT",IF($D1218&lt;=30,"ARG","APP"))))</f>
        <v/>
      </c>
      <c r="J1218" s="17" t="str">
        <f aca="false">IF($C1218="","",$N1218+$Q1218*$R1218)</f>
        <v/>
      </c>
      <c r="K1218" s="17" t="str">
        <f aca="false">IF($C1218="","",$O1218+$Q1218*$S1218)</f>
        <v/>
      </c>
      <c r="L1218" s="17" t="str">
        <f aca="false">IF($C1218="","",$J1218-$K1218-1-N($G1218))</f>
        <v/>
      </c>
      <c r="M1218" s="7" t="str">
        <f aca="false">IF($B1218="","",INDEX(Course!$B$2:$B$19,MATCH($B1218,Course!$A$2:$A$19,0)))</f>
        <v/>
      </c>
      <c r="N1218" s="17" t="str">
        <f aca="false">IF($C1218="","",IF($C1218="H",0,IF($C1218="G",INDEX(Baseline!$I$3:$I$102,MIN(MAX(ROUND($D1218,0),1),100)),IF($C1218="T",IF($M1218=3,INDEX(Baseline!$B$3:$B$122,MATCH(MIN(MAX(ROUND(($D1218)/5,0)*5,5),600),Baseline!$A$3:$A$122,0))-Inputs!$B$9,INDEX(Course!$N$2:$N$19,MATCH($B1218,Course!$A$2:$A$19,0))),INDEX(Baseline!$B$3:$E$122,MATCH(MIN(MAX(ROUND(($D1218)/5,0)*5,5),600),Baseline!$A$3:$A$122,0),MATCH($C1218,Baseline!$B$2:$E$2,0))))))</f>
        <v/>
      </c>
      <c r="O1218" s="17" t="str">
        <f aca="false">IF($C1218="","",IF($E1218="H",0,IF($E1218="G",INDEX(Baseline!$I$3:$I$102,MIN(MAX(ROUND($F1218,0),1),100)),IF($E1218="T",IF($M1218=3,INDEX(Baseline!$B$3:$B$122,MATCH(MIN(MAX(ROUND(($F1218)/5,0)*5,5),600),Baseline!$A$3:$A$122,0))-Inputs!$B$9,INDEX(Course!$N$2:$N$19,MATCH($B1218,Course!$A$2:$A$19,0))),INDEX(Baseline!$B$3:$E$122,MATCH(MIN(MAX(ROUND(($F1218)/5,0)*5,5),600),Baseline!$A$3:$A$122,0),MATCH($E1218,Baseline!$B$2:$E$2,0))))))</f>
        <v/>
      </c>
      <c r="P1218" s="17" t="str">
        <f aca="false">IF($B1218="","",INDEX(Course!$N$2:$N$19,MATCH($B1218,Course!$A$2:$A$19,0)))</f>
        <v/>
      </c>
      <c r="Q1218" s="17" t="str">
        <f aca="false">IF($B1218="","",INDEX(Course!$P$2:$P$19,MATCH($B1218,Course!$A$2:$A$19,0)))</f>
        <v/>
      </c>
      <c r="R1218" s="17" t="str">
        <f aca="false">IF($C1218="","",IF(OR($C1218="G",$C1218="H"),0,IF($C1218="T",1,MIN(1,MAX(0,($N1218-Inputs!$B$8)/MAX($P1218-Inputs!$B$8,0.01))))))</f>
        <v/>
      </c>
      <c r="S1218" s="17" t="str">
        <f aca="false">IF($C1218="","",IF(OR($E1218="G",$E1218="H"),0,IF($E1218="T",1,MIN(1,MAX(0,($O1218-Inputs!$B$8)/MAX($P1218-Inputs!$B$8,0.01))))))</f>
        <v/>
      </c>
    </row>
    <row r="1219" customFormat="false" ht="15" hidden="false" customHeight="false" outlineLevel="0" collapsed="false">
      <c r="I1219" s="7" t="str">
        <f aca="false">IF($C1219="","",IF($C1219="G","PUTT",IF(AND($C1219="T",$M1219&gt;3),"OTT",IF($D1219&lt;=30,"ARG","APP"))))</f>
        <v/>
      </c>
      <c r="J1219" s="17" t="str">
        <f aca="false">IF($C1219="","",$N1219+$Q1219*$R1219)</f>
        <v/>
      </c>
      <c r="K1219" s="17" t="str">
        <f aca="false">IF($C1219="","",$O1219+$Q1219*$S1219)</f>
        <v/>
      </c>
      <c r="L1219" s="17" t="str">
        <f aca="false">IF($C1219="","",$J1219-$K1219-1-N($G1219))</f>
        <v/>
      </c>
      <c r="M1219" s="7" t="str">
        <f aca="false">IF($B1219="","",INDEX(Course!$B$2:$B$19,MATCH($B1219,Course!$A$2:$A$19,0)))</f>
        <v/>
      </c>
      <c r="N1219" s="17" t="str">
        <f aca="false">IF($C1219="","",IF($C1219="H",0,IF($C1219="G",INDEX(Baseline!$I$3:$I$102,MIN(MAX(ROUND($D1219,0),1),100)),IF($C1219="T",IF($M1219=3,INDEX(Baseline!$B$3:$B$122,MATCH(MIN(MAX(ROUND(($D1219)/5,0)*5,5),600),Baseline!$A$3:$A$122,0))-Inputs!$B$9,INDEX(Course!$N$2:$N$19,MATCH($B1219,Course!$A$2:$A$19,0))),INDEX(Baseline!$B$3:$E$122,MATCH(MIN(MAX(ROUND(($D1219)/5,0)*5,5),600),Baseline!$A$3:$A$122,0),MATCH($C1219,Baseline!$B$2:$E$2,0))))))</f>
        <v/>
      </c>
      <c r="O1219" s="17" t="str">
        <f aca="false">IF($C1219="","",IF($E1219="H",0,IF($E1219="G",INDEX(Baseline!$I$3:$I$102,MIN(MAX(ROUND($F1219,0),1),100)),IF($E1219="T",IF($M1219=3,INDEX(Baseline!$B$3:$B$122,MATCH(MIN(MAX(ROUND(($F1219)/5,0)*5,5),600),Baseline!$A$3:$A$122,0))-Inputs!$B$9,INDEX(Course!$N$2:$N$19,MATCH($B1219,Course!$A$2:$A$19,0))),INDEX(Baseline!$B$3:$E$122,MATCH(MIN(MAX(ROUND(($F1219)/5,0)*5,5),600),Baseline!$A$3:$A$122,0),MATCH($E1219,Baseline!$B$2:$E$2,0))))))</f>
        <v/>
      </c>
      <c r="P1219" s="17" t="str">
        <f aca="false">IF($B1219="","",INDEX(Course!$N$2:$N$19,MATCH($B1219,Course!$A$2:$A$19,0)))</f>
        <v/>
      </c>
      <c r="Q1219" s="17" t="str">
        <f aca="false">IF($B1219="","",INDEX(Course!$P$2:$P$19,MATCH($B1219,Course!$A$2:$A$19,0)))</f>
        <v/>
      </c>
      <c r="R1219" s="17" t="str">
        <f aca="false">IF($C1219="","",IF(OR($C1219="G",$C1219="H"),0,IF($C1219="T",1,MIN(1,MAX(0,($N1219-Inputs!$B$8)/MAX($P1219-Inputs!$B$8,0.01))))))</f>
        <v/>
      </c>
      <c r="S1219" s="17" t="str">
        <f aca="false">IF($C1219="","",IF(OR($E1219="G",$E1219="H"),0,IF($E1219="T",1,MIN(1,MAX(0,($O1219-Inputs!$B$8)/MAX($P1219-Inputs!$B$8,0.01))))))</f>
        <v/>
      </c>
    </row>
    <row r="1220" customFormat="false" ht="15" hidden="false" customHeight="false" outlineLevel="0" collapsed="false">
      <c r="I1220" s="7" t="str">
        <f aca="false">IF($C1220="","",IF($C1220="G","PUTT",IF(AND($C1220="T",$M1220&gt;3),"OTT",IF($D1220&lt;=30,"ARG","APP"))))</f>
        <v/>
      </c>
      <c r="J1220" s="17" t="str">
        <f aca="false">IF($C1220="","",$N1220+$Q1220*$R1220)</f>
        <v/>
      </c>
      <c r="K1220" s="17" t="str">
        <f aca="false">IF($C1220="","",$O1220+$Q1220*$S1220)</f>
        <v/>
      </c>
      <c r="L1220" s="17" t="str">
        <f aca="false">IF($C1220="","",$J1220-$K1220-1-N($G1220))</f>
        <v/>
      </c>
      <c r="M1220" s="7" t="str">
        <f aca="false">IF($B1220="","",INDEX(Course!$B$2:$B$19,MATCH($B1220,Course!$A$2:$A$19,0)))</f>
        <v/>
      </c>
      <c r="N1220" s="17" t="str">
        <f aca="false">IF($C1220="","",IF($C1220="H",0,IF($C1220="G",INDEX(Baseline!$I$3:$I$102,MIN(MAX(ROUND($D1220,0),1),100)),IF($C1220="T",IF($M1220=3,INDEX(Baseline!$B$3:$B$122,MATCH(MIN(MAX(ROUND(($D1220)/5,0)*5,5),600),Baseline!$A$3:$A$122,0))-Inputs!$B$9,INDEX(Course!$N$2:$N$19,MATCH($B1220,Course!$A$2:$A$19,0))),INDEX(Baseline!$B$3:$E$122,MATCH(MIN(MAX(ROUND(($D1220)/5,0)*5,5),600),Baseline!$A$3:$A$122,0),MATCH($C1220,Baseline!$B$2:$E$2,0))))))</f>
        <v/>
      </c>
      <c r="O1220" s="17" t="str">
        <f aca="false">IF($C1220="","",IF($E1220="H",0,IF($E1220="G",INDEX(Baseline!$I$3:$I$102,MIN(MAX(ROUND($F1220,0),1),100)),IF($E1220="T",IF($M1220=3,INDEX(Baseline!$B$3:$B$122,MATCH(MIN(MAX(ROUND(($F1220)/5,0)*5,5),600),Baseline!$A$3:$A$122,0))-Inputs!$B$9,INDEX(Course!$N$2:$N$19,MATCH($B1220,Course!$A$2:$A$19,0))),INDEX(Baseline!$B$3:$E$122,MATCH(MIN(MAX(ROUND(($F1220)/5,0)*5,5),600),Baseline!$A$3:$A$122,0),MATCH($E1220,Baseline!$B$2:$E$2,0))))))</f>
        <v/>
      </c>
      <c r="P1220" s="17" t="str">
        <f aca="false">IF($B1220="","",INDEX(Course!$N$2:$N$19,MATCH($B1220,Course!$A$2:$A$19,0)))</f>
        <v/>
      </c>
      <c r="Q1220" s="17" t="str">
        <f aca="false">IF($B1220="","",INDEX(Course!$P$2:$P$19,MATCH($B1220,Course!$A$2:$A$19,0)))</f>
        <v/>
      </c>
      <c r="R1220" s="17" t="str">
        <f aca="false">IF($C1220="","",IF(OR($C1220="G",$C1220="H"),0,IF($C1220="T",1,MIN(1,MAX(0,($N1220-Inputs!$B$8)/MAX($P1220-Inputs!$B$8,0.01))))))</f>
        <v/>
      </c>
      <c r="S1220" s="17" t="str">
        <f aca="false">IF($C1220="","",IF(OR($E1220="G",$E1220="H"),0,IF($E1220="T",1,MIN(1,MAX(0,($O1220-Inputs!$B$8)/MAX($P1220-Inputs!$B$8,0.01))))))</f>
        <v/>
      </c>
    </row>
    <row r="1221" customFormat="false" ht="15" hidden="false" customHeight="false" outlineLevel="0" collapsed="false">
      <c r="I1221" s="7" t="str">
        <f aca="false">IF($C1221="","",IF($C1221="G","PUTT",IF(AND($C1221="T",$M1221&gt;3),"OTT",IF($D1221&lt;=30,"ARG","APP"))))</f>
        <v/>
      </c>
      <c r="J1221" s="17" t="str">
        <f aca="false">IF($C1221="","",$N1221+$Q1221*$R1221)</f>
        <v/>
      </c>
      <c r="K1221" s="17" t="str">
        <f aca="false">IF($C1221="","",$O1221+$Q1221*$S1221)</f>
        <v/>
      </c>
      <c r="L1221" s="17" t="str">
        <f aca="false">IF($C1221="","",$J1221-$K1221-1-N($G1221))</f>
        <v/>
      </c>
      <c r="M1221" s="7" t="str">
        <f aca="false">IF($B1221="","",INDEX(Course!$B$2:$B$19,MATCH($B1221,Course!$A$2:$A$19,0)))</f>
        <v/>
      </c>
      <c r="N1221" s="17" t="str">
        <f aca="false">IF($C1221="","",IF($C1221="H",0,IF($C1221="G",INDEX(Baseline!$I$3:$I$102,MIN(MAX(ROUND($D1221,0),1),100)),IF($C1221="T",IF($M1221=3,INDEX(Baseline!$B$3:$B$122,MATCH(MIN(MAX(ROUND(($D1221)/5,0)*5,5),600),Baseline!$A$3:$A$122,0))-Inputs!$B$9,INDEX(Course!$N$2:$N$19,MATCH($B1221,Course!$A$2:$A$19,0))),INDEX(Baseline!$B$3:$E$122,MATCH(MIN(MAX(ROUND(($D1221)/5,0)*5,5),600),Baseline!$A$3:$A$122,0),MATCH($C1221,Baseline!$B$2:$E$2,0))))))</f>
        <v/>
      </c>
      <c r="O1221" s="17" t="str">
        <f aca="false">IF($C1221="","",IF($E1221="H",0,IF($E1221="G",INDEX(Baseline!$I$3:$I$102,MIN(MAX(ROUND($F1221,0),1),100)),IF($E1221="T",IF($M1221=3,INDEX(Baseline!$B$3:$B$122,MATCH(MIN(MAX(ROUND(($F1221)/5,0)*5,5),600),Baseline!$A$3:$A$122,0))-Inputs!$B$9,INDEX(Course!$N$2:$N$19,MATCH($B1221,Course!$A$2:$A$19,0))),INDEX(Baseline!$B$3:$E$122,MATCH(MIN(MAX(ROUND(($F1221)/5,0)*5,5),600),Baseline!$A$3:$A$122,0),MATCH($E1221,Baseline!$B$2:$E$2,0))))))</f>
        <v/>
      </c>
      <c r="P1221" s="17" t="str">
        <f aca="false">IF($B1221="","",INDEX(Course!$N$2:$N$19,MATCH($B1221,Course!$A$2:$A$19,0)))</f>
        <v/>
      </c>
      <c r="Q1221" s="17" t="str">
        <f aca="false">IF($B1221="","",INDEX(Course!$P$2:$P$19,MATCH($B1221,Course!$A$2:$A$19,0)))</f>
        <v/>
      </c>
      <c r="R1221" s="17" t="str">
        <f aca="false">IF($C1221="","",IF(OR($C1221="G",$C1221="H"),0,IF($C1221="T",1,MIN(1,MAX(0,($N1221-Inputs!$B$8)/MAX($P1221-Inputs!$B$8,0.01))))))</f>
        <v/>
      </c>
      <c r="S1221" s="17" t="str">
        <f aca="false">IF($C1221="","",IF(OR($E1221="G",$E1221="H"),0,IF($E1221="T",1,MIN(1,MAX(0,($O1221-Inputs!$B$8)/MAX($P1221-Inputs!$B$8,0.01))))))</f>
        <v/>
      </c>
    </row>
    <row r="1222" customFormat="false" ht="15" hidden="false" customHeight="false" outlineLevel="0" collapsed="false">
      <c r="I1222" s="7" t="str">
        <f aca="false">IF($C1222="","",IF($C1222="G","PUTT",IF(AND($C1222="T",$M1222&gt;3),"OTT",IF($D1222&lt;=30,"ARG","APP"))))</f>
        <v/>
      </c>
      <c r="J1222" s="17" t="str">
        <f aca="false">IF($C1222="","",$N1222+$Q1222*$R1222)</f>
        <v/>
      </c>
      <c r="K1222" s="17" t="str">
        <f aca="false">IF($C1222="","",$O1222+$Q1222*$S1222)</f>
        <v/>
      </c>
      <c r="L1222" s="17" t="str">
        <f aca="false">IF($C1222="","",$J1222-$K1222-1-N($G1222))</f>
        <v/>
      </c>
      <c r="M1222" s="7" t="str">
        <f aca="false">IF($B1222="","",INDEX(Course!$B$2:$B$19,MATCH($B1222,Course!$A$2:$A$19,0)))</f>
        <v/>
      </c>
      <c r="N1222" s="17" t="str">
        <f aca="false">IF($C1222="","",IF($C1222="H",0,IF($C1222="G",INDEX(Baseline!$I$3:$I$102,MIN(MAX(ROUND($D1222,0),1),100)),IF($C1222="T",IF($M1222=3,INDEX(Baseline!$B$3:$B$122,MATCH(MIN(MAX(ROUND(($D1222)/5,0)*5,5),600),Baseline!$A$3:$A$122,0))-Inputs!$B$9,INDEX(Course!$N$2:$N$19,MATCH($B1222,Course!$A$2:$A$19,0))),INDEX(Baseline!$B$3:$E$122,MATCH(MIN(MAX(ROUND(($D1222)/5,0)*5,5),600),Baseline!$A$3:$A$122,0),MATCH($C1222,Baseline!$B$2:$E$2,0))))))</f>
        <v/>
      </c>
      <c r="O1222" s="17" t="str">
        <f aca="false">IF($C1222="","",IF($E1222="H",0,IF($E1222="G",INDEX(Baseline!$I$3:$I$102,MIN(MAX(ROUND($F1222,0),1),100)),IF($E1222="T",IF($M1222=3,INDEX(Baseline!$B$3:$B$122,MATCH(MIN(MAX(ROUND(($F1222)/5,0)*5,5),600),Baseline!$A$3:$A$122,0))-Inputs!$B$9,INDEX(Course!$N$2:$N$19,MATCH($B1222,Course!$A$2:$A$19,0))),INDEX(Baseline!$B$3:$E$122,MATCH(MIN(MAX(ROUND(($F1222)/5,0)*5,5),600),Baseline!$A$3:$A$122,0),MATCH($E1222,Baseline!$B$2:$E$2,0))))))</f>
        <v/>
      </c>
      <c r="P1222" s="17" t="str">
        <f aca="false">IF($B1222="","",INDEX(Course!$N$2:$N$19,MATCH($B1222,Course!$A$2:$A$19,0)))</f>
        <v/>
      </c>
      <c r="Q1222" s="17" t="str">
        <f aca="false">IF($B1222="","",INDEX(Course!$P$2:$P$19,MATCH($B1222,Course!$A$2:$A$19,0)))</f>
        <v/>
      </c>
      <c r="R1222" s="17" t="str">
        <f aca="false">IF($C1222="","",IF(OR($C1222="G",$C1222="H"),0,IF($C1222="T",1,MIN(1,MAX(0,($N1222-Inputs!$B$8)/MAX($P1222-Inputs!$B$8,0.01))))))</f>
        <v/>
      </c>
      <c r="S1222" s="17" t="str">
        <f aca="false">IF($C1222="","",IF(OR($E1222="G",$E1222="H"),0,IF($E1222="T",1,MIN(1,MAX(0,($O1222-Inputs!$B$8)/MAX($P1222-Inputs!$B$8,0.01))))))</f>
        <v/>
      </c>
    </row>
    <row r="1223" customFormat="false" ht="15" hidden="false" customHeight="false" outlineLevel="0" collapsed="false">
      <c r="I1223" s="7" t="str">
        <f aca="false">IF($C1223="","",IF($C1223="G","PUTT",IF(AND($C1223="T",$M1223&gt;3),"OTT",IF($D1223&lt;=30,"ARG","APP"))))</f>
        <v/>
      </c>
      <c r="J1223" s="17" t="str">
        <f aca="false">IF($C1223="","",$N1223+$Q1223*$R1223)</f>
        <v/>
      </c>
      <c r="K1223" s="17" t="str">
        <f aca="false">IF($C1223="","",$O1223+$Q1223*$S1223)</f>
        <v/>
      </c>
      <c r="L1223" s="17" t="str">
        <f aca="false">IF($C1223="","",$J1223-$K1223-1-N($G1223))</f>
        <v/>
      </c>
      <c r="M1223" s="7" t="str">
        <f aca="false">IF($B1223="","",INDEX(Course!$B$2:$B$19,MATCH($B1223,Course!$A$2:$A$19,0)))</f>
        <v/>
      </c>
      <c r="N1223" s="17" t="str">
        <f aca="false">IF($C1223="","",IF($C1223="H",0,IF($C1223="G",INDEX(Baseline!$I$3:$I$102,MIN(MAX(ROUND($D1223,0),1),100)),IF($C1223="T",IF($M1223=3,INDEX(Baseline!$B$3:$B$122,MATCH(MIN(MAX(ROUND(($D1223)/5,0)*5,5),600),Baseline!$A$3:$A$122,0))-Inputs!$B$9,INDEX(Course!$N$2:$N$19,MATCH($B1223,Course!$A$2:$A$19,0))),INDEX(Baseline!$B$3:$E$122,MATCH(MIN(MAX(ROUND(($D1223)/5,0)*5,5),600),Baseline!$A$3:$A$122,0),MATCH($C1223,Baseline!$B$2:$E$2,0))))))</f>
        <v/>
      </c>
      <c r="O1223" s="17" t="str">
        <f aca="false">IF($C1223="","",IF($E1223="H",0,IF($E1223="G",INDEX(Baseline!$I$3:$I$102,MIN(MAX(ROUND($F1223,0),1),100)),IF($E1223="T",IF($M1223=3,INDEX(Baseline!$B$3:$B$122,MATCH(MIN(MAX(ROUND(($F1223)/5,0)*5,5),600),Baseline!$A$3:$A$122,0))-Inputs!$B$9,INDEX(Course!$N$2:$N$19,MATCH($B1223,Course!$A$2:$A$19,0))),INDEX(Baseline!$B$3:$E$122,MATCH(MIN(MAX(ROUND(($F1223)/5,0)*5,5),600),Baseline!$A$3:$A$122,0),MATCH($E1223,Baseline!$B$2:$E$2,0))))))</f>
        <v/>
      </c>
      <c r="P1223" s="17" t="str">
        <f aca="false">IF($B1223="","",INDEX(Course!$N$2:$N$19,MATCH($B1223,Course!$A$2:$A$19,0)))</f>
        <v/>
      </c>
      <c r="Q1223" s="17" t="str">
        <f aca="false">IF($B1223="","",INDEX(Course!$P$2:$P$19,MATCH($B1223,Course!$A$2:$A$19,0)))</f>
        <v/>
      </c>
      <c r="R1223" s="17" t="str">
        <f aca="false">IF($C1223="","",IF(OR($C1223="G",$C1223="H"),0,IF($C1223="T",1,MIN(1,MAX(0,($N1223-Inputs!$B$8)/MAX($P1223-Inputs!$B$8,0.01))))))</f>
        <v/>
      </c>
      <c r="S1223" s="17" t="str">
        <f aca="false">IF($C1223="","",IF(OR($E1223="G",$E1223="H"),0,IF($E1223="T",1,MIN(1,MAX(0,($O1223-Inputs!$B$8)/MAX($P1223-Inputs!$B$8,0.01))))))</f>
        <v/>
      </c>
    </row>
    <row r="1224" customFormat="false" ht="15" hidden="false" customHeight="false" outlineLevel="0" collapsed="false">
      <c r="I1224" s="7" t="str">
        <f aca="false">IF($C1224="","",IF($C1224="G","PUTT",IF(AND($C1224="T",$M1224&gt;3),"OTT",IF($D1224&lt;=30,"ARG","APP"))))</f>
        <v/>
      </c>
      <c r="J1224" s="17" t="str">
        <f aca="false">IF($C1224="","",$N1224+$Q1224*$R1224)</f>
        <v/>
      </c>
      <c r="K1224" s="17" t="str">
        <f aca="false">IF($C1224="","",$O1224+$Q1224*$S1224)</f>
        <v/>
      </c>
      <c r="L1224" s="17" t="str">
        <f aca="false">IF($C1224="","",$J1224-$K1224-1-N($G1224))</f>
        <v/>
      </c>
      <c r="M1224" s="7" t="str">
        <f aca="false">IF($B1224="","",INDEX(Course!$B$2:$B$19,MATCH($B1224,Course!$A$2:$A$19,0)))</f>
        <v/>
      </c>
      <c r="N1224" s="17" t="str">
        <f aca="false">IF($C1224="","",IF($C1224="H",0,IF($C1224="G",INDEX(Baseline!$I$3:$I$102,MIN(MAX(ROUND($D1224,0),1),100)),IF($C1224="T",IF($M1224=3,INDEX(Baseline!$B$3:$B$122,MATCH(MIN(MAX(ROUND(($D1224)/5,0)*5,5),600),Baseline!$A$3:$A$122,0))-Inputs!$B$9,INDEX(Course!$N$2:$N$19,MATCH($B1224,Course!$A$2:$A$19,0))),INDEX(Baseline!$B$3:$E$122,MATCH(MIN(MAX(ROUND(($D1224)/5,0)*5,5),600),Baseline!$A$3:$A$122,0),MATCH($C1224,Baseline!$B$2:$E$2,0))))))</f>
        <v/>
      </c>
      <c r="O1224" s="17" t="str">
        <f aca="false">IF($C1224="","",IF($E1224="H",0,IF($E1224="G",INDEX(Baseline!$I$3:$I$102,MIN(MAX(ROUND($F1224,0),1),100)),IF($E1224="T",IF($M1224=3,INDEX(Baseline!$B$3:$B$122,MATCH(MIN(MAX(ROUND(($F1224)/5,0)*5,5),600),Baseline!$A$3:$A$122,0))-Inputs!$B$9,INDEX(Course!$N$2:$N$19,MATCH($B1224,Course!$A$2:$A$19,0))),INDEX(Baseline!$B$3:$E$122,MATCH(MIN(MAX(ROUND(($F1224)/5,0)*5,5),600),Baseline!$A$3:$A$122,0),MATCH($E1224,Baseline!$B$2:$E$2,0))))))</f>
        <v/>
      </c>
      <c r="P1224" s="17" t="str">
        <f aca="false">IF($B1224="","",INDEX(Course!$N$2:$N$19,MATCH($B1224,Course!$A$2:$A$19,0)))</f>
        <v/>
      </c>
      <c r="Q1224" s="17" t="str">
        <f aca="false">IF($B1224="","",INDEX(Course!$P$2:$P$19,MATCH($B1224,Course!$A$2:$A$19,0)))</f>
        <v/>
      </c>
      <c r="R1224" s="17" t="str">
        <f aca="false">IF($C1224="","",IF(OR($C1224="G",$C1224="H"),0,IF($C1224="T",1,MIN(1,MAX(0,($N1224-Inputs!$B$8)/MAX($P1224-Inputs!$B$8,0.01))))))</f>
        <v/>
      </c>
      <c r="S1224" s="17" t="str">
        <f aca="false">IF($C1224="","",IF(OR($E1224="G",$E1224="H"),0,IF($E1224="T",1,MIN(1,MAX(0,($O1224-Inputs!$B$8)/MAX($P1224-Inputs!$B$8,0.01))))))</f>
        <v/>
      </c>
    </row>
    <row r="1225" customFormat="false" ht="15" hidden="false" customHeight="false" outlineLevel="0" collapsed="false">
      <c r="I1225" s="7" t="str">
        <f aca="false">IF($C1225="","",IF($C1225="G","PUTT",IF(AND($C1225="T",$M1225&gt;3),"OTT",IF($D1225&lt;=30,"ARG","APP"))))</f>
        <v/>
      </c>
      <c r="J1225" s="17" t="str">
        <f aca="false">IF($C1225="","",$N1225+$Q1225*$R1225)</f>
        <v/>
      </c>
      <c r="K1225" s="17" t="str">
        <f aca="false">IF($C1225="","",$O1225+$Q1225*$S1225)</f>
        <v/>
      </c>
      <c r="L1225" s="17" t="str">
        <f aca="false">IF($C1225="","",$J1225-$K1225-1-N($G1225))</f>
        <v/>
      </c>
      <c r="M1225" s="7" t="str">
        <f aca="false">IF($B1225="","",INDEX(Course!$B$2:$B$19,MATCH($B1225,Course!$A$2:$A$19,0)))</f>
        <v/>
      </c>
      <c r="N1225" s="17" t="str">
        <f aca="false">IF($C1225="","",IF($C1225="H",0,IF($C1225="G",INDEX(Baseline!$I$3:$I$102,MIN(MAX(ROUND($D1225,0),1),100)),IF($C1225="T",IF($M1225=3,INDEX(Baseline!$B$3:$B$122,MATCH(MIN(MAX(ROUND(($D1225)/5,0)*5,5),600),Baseline!$A$3:$A$122,0))-Inputs!$B$9,INDEX(Course!$N$2:$N$19,MATCH($B1225,Course!$A$2:$A$19,0))),INDEX(Baseline!$B$3:$E$122,MATCH(MIN(MAX(ROUND(($D1225)/5,0)*5,5),600),Baseline!$A$3:$A$122,0),MATCH($C1225,Baseline!$B$2:$E$2,0))))))</f>
        <v/>
      </c>
      <c r="O1225" s="17" t="str">
        <f aca="false">IF($C1225="","",IF($E1225="H",0,IF($E1225="G",INDEX(Baseline!$I$3:$I$102,MIN(MAX(ROUND($F1225,0),1),100)),IF($E1225="T",IF($M1225=3,INDEX(Baseline!$B$3:$B$122,MATCH(MIN(MAX(ROUND(($F1225)/5,0)*5,5),600),Baseline!$A$3:$A$122,0))-Inputs!$B$9,INDEX(Course!$N$2:$N$19,MATCH($B1225,Course!$A$2:$A$19,0))),INDEX(Baseline!$B$3:$E$122,MATCH(MIN(MAX(ROUND(($F1225)/5,0)*5,5),600),Baseline!$A$3:$A$122,0),MATCH($E1225,Baseline!$B$2:$E$2,0))))))</f>
        <v/>
      </c>
      <c r="P1225" s="17" t="str">
        <f aca="false">IF($B1225="","",INDEX(Course!$N$2:$N$19,MATCH($B1225,Course!$A$2:$A$19,0)))</f>
        <v/>
      </c>
      <c r="Q1225" s="17" t="str">
        <f aca="false">IF($B1225="","",INDEX(Course!$P$2:$P$19,MATCH($B1225,Course!$A$2:$A$19,0)))</f>
        <v/>
      </c>
      <c r="R1225" s="17" t="str">
        <f aca="false">IF($C1225="","",IF(OR($C1225="G",$C1225="H"),0,IF($C1225="T",1,MIN(1,MAX(0,($N1225-Inputs!$B$8)/MAX($P1225-Inputs!$B$8,0.01))))))</f>
        <v/>
      </c>
      <c r="S1225" s="17" t="str">
        <f aca="false">IF($C1225="","",IF(OR($E1225="G",$E1225="H"),0,IF($E1225="T",1,MIN(1,MAX(0,($O1225-Inputs!$B$8)/MAX($P1225-Inputs!$B$8,0.01))))))</f>
        <v/>
      </c>
    </row>
    <row r="1226" customFormat="false" ht="15" hidden="false" customHeight="false" outlineLevel="0" collapsed="false">
      <c r="I1226" s="7" t="str">
        <f aca="false">IF($C1226="","",IF($C1226="G","PUTT",IF(AND($C1226="T",$M1226&gt;3),"OTT",IF($D1226&lt;=30,"ARG","APP"))))</f>
        <v/>
      </c>
      <c r="J1226" s="17" t="str">
        <f aca="false">IF($C1226="","",$N1226+$Q1226*$R1226)</f>
        <v/>
      </c>
      <c r="K1226" s="17" t="str">
        <f aca="false">IF($C1226="","",$O1226+$Q1226*$S1226)</f>
        <v/>
      </c>
      <c r="L1226" s="17" t="str">
        <f aca="false">IF($C1226="","",$J1226-$K1226-1-N($G1226))</f>
        <v/>
      </c>
      <c r="M1226" s="7" t="str">
        <f aca="false">IF($B1226="","",INDEX(Course!$B$2:$B$19,MATCH($B1226,Course!$A$2:$A$19,0)))</f>
        <v/>
      </c>
      <c r="N1226" s="17" t="str">
        <f aca="false">IF($C1226="","",IF($C1226="H",0,IF($C1226="G",INDEX(Baseline!$I$3:$I$102,MIN(MAX(ROUND($D1226,0),1),100)),IF($C1226="T",IF($M1226=3,INDEX(Baseline!$B$3:$B$122,MATCH(MIN(MAX(ROUND(($D1226)/5,0)*5,5),600),Baseline!$A$3:$A$122,0))-Inputs!$B$9,INDEX(Course!$N$2:$N$19,MATCH($B1226,Course!$A$2:$A$19,0))),INDEX(Baseline!$B$3:$E$122,MATCH(MIN(MAX(ROUND(($D1226)/5,0)*5,5),600),Baseline!$A$3:$A$122,0),MATCH($C1226,Baseline!$B$2:$E$2,0))))))</f>
        <v/>
      </c>
      <c r="O1226" s="17" t="str">
        <f aca="false">IF($C1226="","",IF($E1226="H",0,IF($E1226="G",INDEX(Baseline!$I$3:$I$102,MIN(MAX(ROUND($F1226,0),1),100)),IF($E1226="T",IF($M1226=3,INDEX(Baseline!$B$3:$B$122,MATCH(MIN(MAX(ROUND(($F1226)/5,0)*5,5),600),Baseline!$A$3:$A$122,0))-Inputs!$B$9,INDEX(Course!$N$2:$N$19,MATCH($B1226,Course!$A$2:$A$19,0))),INDEX(Baseline!$B$3:$E$122,MATCH(MIN(MAX(ROUND(($F1226)/5,0)*5,5),600),Baseline!$A$3:$A$122,0),MATCH($E1226,Baseline!$B$2:$E$2,0))))))</f>
        <v/>
      </c>
      <c r="P1226" s="17" t="str">
        <f aca="false">IF($B1226="","",INDEX(Course!$N$2:$N$19,MATCH($B1226,Course!$A$2:$A$19,0)))</f>
        <v/>
      </c>
      <c r="Q1226" s="17" t="str">
        <f aca="false">IF($B1226="","",INDEX(Course!$P$2:$P$19,MATCH($B1226,Course!$A$2:$A$19,0)))</f>
        <v/>
      </c>
      <c r="R1226" s="17" t="str">
        <f aca="false">IF($C1226="","",IF(OR($C1226="G",$C1226="H"),0,IF($C1226="T",1,MIN(1,MAX(0,($N1226-Inputs!$B$8)/MAX($P1226-Inputs!$B$8,0.01))))))</f>
        <v/>
      </c>
      <c r="S1226" s="17" t="str">
        <f aca="false">IF($C1226="","",IF(OR($E1226="G",$E1226="H"),0,IF($E1226="T",1,MIN(1,MAX(0,($O1226-Inputs!$B$8)/MAX($P1226-Inputs!$B$8,0.01))))))</f>
        <v/>
      </c>
    </row>
    <row r="1227" customFormat="false" ht="15" hidden="false" customHeight="false" outlineLevel="0" collapsed="false">
      <c r="I1227" s="7" t="str">
        <f aca="false">IF($C1227="","",IF($C1227="G","PUTT",IF(AND($C1227="T",$M1227&gt;3),"OTT",IF($D1227&lt;=30,"ARG","APP"))))</f>
        <v/>
      </c>
      <c r="J1227" s="17" t="str">
        <f aca="false">IF($C1227="","",$N1227+$Q1227*$R1227)</f>
        <v/>
      </c>
      <c r="K1227" s="17" t="str">
        <f aca="false">IF($C1227="","",$O1227+$Q1227*$S1227)</f>
        <v/>
      </c>
      <c r="L1227" s="17" t="str">
        <f aca="false">IF($C1227="","",$J1227-$K1227-1-N($G1227))</f>
        <v/>
      </c>
      <c r="M1227" s="7" t="str">
        <f aca="false">IF($B1227="","",INDEX(Course!$B$2:$B$19,MATCH($B1227,Course!$A$2:$A$19,0)))</f>
        <v/>
      </c>
      <c r="N1227" s="17" t="str">
        <f aca="false">IF($C1227="","",IF($C1227="H",0,IF($C1227="G",INDEX(Baseline!$I$3:$I$102,MIN(MAX(ROUND($D1227,0),1),100)),IF($C1227="T",IF($M1227=3,INDEX(Baseline!$B$3:$B$122,MATCH(MIN(MAX(ROUND(($D1227)/5,0)*5,5),600),Baseline!$A$3:$A$122,0))-Inputs!$B$9,INDEX(Course!$N$2:$N$19,MATCH($B1227,Course!$A$2:$A$19,0))),INDEX(Baseline!$B$3:$E$122,MATCH(MIN(MAX(ROUND(($D1227)/5,0)*5,5),600),Baseline!$A$3:$A$122,0),MATCH($C1227,Baseline!$B$2:$E$2,0))))))</f>
        <v/>
      </c>
      <c r="O1227" s="17" t="str">
        <f aca="false">IF($C1227="","",IF($E1227="H",0,IF($E1227="G",INDEX(Baseline!$I$3:$I$102,MIN(MAX(ROUND($F1227,0),1),100)),IF($E1227="T",IF($M1227=3,INDEX(Baseline!$B$3:$B$122,MATCH(MIN(MAX(ROUND(($F1227)/5,0)*5,5),600),Baseline!$A$3:$A$122,0))-Inputs!$B$9,INDEX(Course!$N$2:$N$19,MATCH($B1227,Course!$A$2:$A$19,0))),INDEX(Baseline!$B$3:$E$122,MATCH(MIN(MAX(ROUND(($F1227)/5,0)*5,5),600),Baseline!$A$3:$A$122,0),MATCH($E1227,Baseline!$B$2:$E$2,0))))))</f>
        <v/>
      </c>
      <c r="P1227" s="17" t="str">
        <f aca="false">IF($B1227="","",INDEX(Course!$N$2:$N$19,MATCH($B1227,Course!$A$2:$A$19,0)))</f>
        <v/>
      </c>
      <c r="Q1227" s="17" t="str">
        <f aca="false">IF($B1227="","",INDEX(Course!$P$2:$P$19,MATCH($B1227,Course!$A$2:$A$19,0)))</f>
        <v/>
      </c>
      <c r="R1227" s="17" t="str">
        <f aca="false">IF($C1227="","",IF(OR($C1227="G",$C1227="H"),0,IF($C1227="T",1,MIN(1,MAX(0,($N1227-Inputs!$B$8)/MAX($P1227-Inputs!$B$8,0.01))))))</f>
        <v/>
      </c>
      <c r="S1227" s="17" t="str">
        <f aca="false">IF($C1227="","",IF(OR($E1227="G",$E1227="H"),0,IF($E1227="T",1,MIN(1,MAX(0,($O1227-Inputs!$B$8)/MAX($P1227-Inputs!$B$8,0.01))))))</f>
        <v/>
      </c>
    </row>
    <row r="1228" customFormat="false" ht="15" hidden="false" customHeight="false" outlineLevel="0" collapsed="false">
      <c r="I1228" s="7" t="str">
        <f aca="false">IF($C1228="","",IF($C1228="G","PUTT",IF(AND($C1228="T",$M1228&gt;3),"OTT",IF($D1228&lt;=30,"ARG","APP"))))</f>
        <v/>
      </c>
      <c r="J1228" s="17" t="str">
        <f aca="false">IF($C1228="","",$N1228+$Q1228*$R1228)</f>
        <v/>
      </c>
      <c r="K1228" s="17" t="str">
        <f aca="false">IF($C1228="","",$O1228+$Q1228*$S1228)</f>
        <v/>
      </c>
      <c r="L1228" s="17" t="str">
        <f aca="false">IF($C1228="","",$J1228-$K1228-1-N($G1228))</f>
        <v/>
      </c>
      <c r="M1228" s="7" t="str">
        <f aca="false">IF($B1228="","",INDEX(Course!$B$2:$B$19,MATCH($B1228,Course!$A$2:$A$19,0)))</f>
        <v/>
      </c>
      <c r="N1228" s="17" t="str">
        <f aca="false">IF($C1228="","",IF($C1228="H",0,IF($C1228="G",INDEX(Baseline!$I$3:$I$102,MIN(MAX(ROUND($D1228,0),1),100)),IF($C1228="T",IF($M1228=3,INDEX(Baseline!$B$3:$B$122,MATCH(MIN(MAX(ROUND(($D1228)/5,0)*5,5),600),Baseline!$A$3:$A$122,0))-Inputs!$B$9,INDEX(Course!$N$2:$N$19,MATCH($B1228,Course!$A$2:$A$19,0))),INDEX(Baseline!$B$3:$E$122,MATCH(MIN(MAX(ROUND(($D1228)/5,0)*5,5),600),Baseline!$A$3:$A$122,0),MATCH($C1228,Baseline!$B$2:$E$2,0))))))</f>
        <v/>
      </c>
      <c r="O1228" s="17" t="str">
        <f aca="false">IF($C1228="","",IF($E1228="H",0,IF($E1228="G",INDEX(Baseline!$I$3:$I$102,MIN(MAX(ROUND($F1228,0),1),100)),IF($E1228="T",IF($M1228=3,INDEX(Baseline!$B$3:$B$122,MATCH(MIN(MAX(ROUND(($F1228)/5,0)*5,5),600),Baseline!$A$3:$A$122,0))-Inputs!$B$9,INDEX(Course!$N$2:$N$19,MATCH($B1228,Course!$A$2:$A$19,0))),INDEX(Baseline!$B$3:$E$122,MATCH(MIN(MAX(ROUND(($F1228)/5,0)*5,5),600),Baseline!$A$3:$A$122,0),MATCH($E1228,Baseline!$B$2:$E$2,0))))))</f>
        <v/>
      </c>
      <c r="P1228" s="17" t="str">
        <f aca="false">IF($B1228="","",INDEX(Course!$N$2:$N$19,MATCH($B1228,Course!$A$2:$A$19,0)))</f>
        <v/>
      </c>
      <c r="Q1228" s="17" t="str">
        <f aca="false">IF($B1228="","",INDEX(Course!$P$2:$P$19,MATCH($B1228,Course!$A$2:$A$19,0)))</f>
        <v/>
      </c>
      <c r="R1228" s="17" t="str">
        <f aca="false">IF($C1228="","",IF(OR($C1228="G",$C1228="H"),0,IF($C1228="T",1,MIN(1,MAX(0,($N1228-Inputs!$B$8)/MAX($P1228-Inputs!$B$8,0.01))))))</f>
        <v/>
      </c>
      <c r="S1228" s="17" t="str">
        <f aca="false">IF($C1228="","",IF(OR($E1228="G",$E1228="H"),0,IF($E1228="T",1,MIN(1,MAX(0,($O1228-Inputs!$B$8)/MAX($P1228-Inputs!$B$8,0.01))))))</f>
        <v/>
      </c>
    </row>
    <row r="1229" customFormat="false" ht="15" hidden="false" customHeight="false" outlineLevel="0" collapsed="false">
      <c r="I1229" s="7" t="str">
        <f aca="false">IF($C1229="","",IF($C1229="G","PUTT",IF(AND($C1229="T",$M1229&gt;3),"OTT",IF($D1229&lt;=30,"ARG","APP"))))</f>
        <v/>
      </c>
      <c r="J1229" s="17" t="str">
        <f aca="false">IF($C1229="","",$N1229+$Q1229*$R1229)</f>
        <v/>
      </c>
      <c r="K1229" s="17" t="str">
        <f aca="false">IF($C1229="","",$O1229+$Q1229*$S1229)</f>
        <v/>
      </c>
      <c r="L1229" s="17" t="str">
        <f aca="false">IF($C1229="","",$J1229-$K1229-1-N($G1229))</f>
        <v/>
      </c>
      <c r="M1229" s="7" t="str">
        <f aca="false">IF($B1229="","",INDEX(Course!$B$2:$B$19,MATCH($B1229,Course!$A$2:$A$19,0)))</f>
        <v/>
      </c>
      <c r="N1229" s="17" t="str">
        <f aca="false">IF($C1229="","",IF($C1229="H",0,IF($C1229="G",INDEX(Baseline!$I$3:$I$102,MIN(MAX(ROUND($D1229,0),1),100)),IF($C1229="T",IF($M1229=3,INDEX(Baseline!$B$3:$B$122,MATCH(MIN(MAX(ROUND(($D1229)/5,0)*5,5),600),Baseline!$A$3:$A$122,0))-Inputs!$B$9,INDEX(Course!$N$2:$N$19,MATCH($B1229,Course!$A$2:$A$19,0))),INDEX(Baseline!$B$3:$E$122,MATCH(MIN(MAX(ROUND(($D1229)/5,0)*5,5),600),Baseline!$A$3:$A$122,0),MATCH($C1229,Baseline!$B$2:$E$2,0))))))</f>
        <v/>
      </c>
      <c r="O1229" s="17" t="str">
        <f aca="false">IF($C1229="","",IF($E1229="H",0,IF($E1229="G",INDEX(Baseline!$I$3:$I$102,MIN(MAX(ROUND($F1229,0),1),100)),IF($E1229="T",IF($M1229=3,INDEX(Baseline!$B$3:$B$122,MATCH(MIN(MAX(ROUND(($F1229)/5,0)*5,5),600),Baseline!$A$3:$A$122,0))-Inputs!$B$9,INDEX(Course!$N$2:$N$19,MATCH($B1229,Course!$A$2:$A$19,0))),INDEX(Baseline!$B$3:$E$122,MATCH(MIN(MAX(ROUND(($F1229)/5,0)*5,5),600),Baseline!$A$3:$A$122,0),MATCH($E1229,Baseline!$B$2:$E$2,0))))))</f>
        <v/>
      </c>
      <c r="P1229" s="17" t="str">
        <f aca="false">IF($B1229="","",INDEX(Course!$N$2:$N$19,MATCH($B1229,Course!$A$2:$A$19,0)))</f>
        <v/>
      </c>
      <c r="Q1229" s="17" t="str">
        <f aca="false">IF($B1229="","",INDEX(Course!$P$2:$P$19,MATCH($B1229,Course!$A$2:$A$19,0)))</f>
        <v/>
      </c>
      <c r="R1229" s="17" t="str">
        <f aca="false">IF($C1229="","",IF(OR($C1229="G",$C1229="H"),0,IF($C1229="T",1,MIN(1,MAX(0,($N1229-Inputs!$B$8)/MAX($P1229-Inputs!$B$8,0.01))))))</f>
        <v/>
      </c>
      <c r="S1229" s="17" t="str">
        <f aca="false">IF($C1229="","",IF(OR($E1229="G",$E1229="H"),0,IF($E1229="T",1,MIN(1,MAX(0,($O1229-Inputs!$B$8)/MAX($P1229-Inputs!$B$8,0.01))))))</f>
        <v/>
      </c>
    </row>
    <row r="1230" customFormat="false" ht="15" hidden="false" customHeight="false" outlineLevel="0" collapsed="false">
      <c r="I1230" s="7" t="str">
        <f aca="false">IF($C1230="","",IF($C1230="G","PUTT",IF(AND($C1230="T",$M1230&gt;3),"OTT",IF($D1230&lt;=30,"ARG","APP"))))</f>
        <v/>
      </c>
      <c r="J1230" s="17" t="str">
        <f aca="false">IF($C1230="","",$N1230+$Q1230*$R1230)</f>
        <v/>
      </c>
      <c r="K1230" s="17" t="str">
        <f aca="false">IF($C1230="","",$O1230+$Q1230*$S1230)</f>
        <v/>
      </c>
      <c r="L1230" s="17" t="str">
        <f aca="false">IF($C1230="","",$J1230-$K1230-1-N($G1230))</f>
        <v/>
      </c>
      <c r="M1230" s="7" t="str">
        <f aca="false">IF($B1230="","",INDEX(Course!$B$2:$B$19,MATCH($B1230,Course!$A$2:$A$19,0)))</f>
        <v/>
      </c>
      <c r="N1230" s="17" t="str">
        <f aca="false">IF($C1230="","",IF($C1230="H",0,IF($C1230="G",INDEX(Baseline!$I$3:$I$102,MIN(MAX(ROUND($D1230,0),1),100)),IF($C1230="T",IF($M1230=3,INDEX(Baseline!$B$3:$B$122,MATCH(MIN(MAX(ROUND(($D1230)/5,0)*5,5),600),Baseline!$A$3:$A$122,0))-Inputs!$B$9,INDEX(Course!$N$2:$N$19,MATCH($B1230,Course!$A$2:$A$19,0))),INDEX(Baseline!$B$3:$E$122,MATCH(MIN(MAX(ROUND(($D1230)/5,0)*5,5),600),Baseline!$A$3:$A$122,0),MATCH($C1230,Baseline!$B$2:$E$2,0))))))</f>
        <v/>
      </c>
      <c r="O1230" s="17" t="str">
        <f aca="false">IF($C1230="","",IF($E1230="H",0,IF($E1230="G",INDEX(Baseline!$I$3:$I$102,MIN(MAX(ROUND($F1230,0),1),100)),IF($E1230="T",IF($M1230=3,INDEX(Baseline!$B$3:$B$122,MATCH(MIN(MAX(ROUND(($F1230)/5,0)*5,5),600),Baseline!$A$3:$A$122,0))-Inputs!$B$9,INDEX(Course!$N$2:$N$19,MATCH($B1230,Course!$A$2:$A$19,0))),INDEX(Baseline!$B$3:$E$122,MATCH(MIN(MAX(ROUND(($F1230)/5,0)*5,5),600),Baseline!$A$3:$A$122,0),MATCH($E1230,Baseline!$B$2:$E$2,0))))))</f>
        <v/>
      </c>
      <c r="P1230" s="17" t="str">
        <f aca="false">IF($B1230="","",INDEX(Course!$N$2:$N$19,MATCH($B1230,Course!$A$2:$A$19,0)))</f>
        <v/>
      </c>
      <c r="Q1230" s="17" t="str">
        <f aca="false">IF($B1230="","",INDEX(Course!$P$2:$P$19,MATCH($B1230,Course!$A$2:$A$19,0)))</f>
        <v/>
      </c>
      <c r="R1230" s="17" t="str">
        <f aca="false">IF($C1230="","",IF(OR($C1230="G",$C1230="H"),0,IF($C1230="T",1,MIN(1,MAX(0,($N1230-Inputs!$B$8)/MAX($P1230-Inputs!$B$8,0.01))))))</f>
        <v/>
      </c>
      <c r="S1230" s="17" t="str">
        <f aca="false">IF($C1230="","",IF(OR($E1230="G",$E1230="H"),0,IF($E1230="T",1,MIN(1,MAX(0,($O1230-Inputs!$B$8)/MAX($P1230-Inputs!$B$8,0.01))))))</f>
        <v/>
      </c>
    </row>
    <row r="1231" customFormat="false" ht="15" hidden="false" customHeight="false" outlineLevel="0" collapsed="false">
      <c r="I1231" s="7" t="str">
        <f aca="false">IF($C1231="","",IF($C1231="G","PUTT",IF(AND($C1231="T",$M1231&gt;3),"OTT",IF($D1231&lt;=30,"ARG","APP"))))</f>
        <v/>
      </c>
      <c r="J1231" s="17" t="str">
        <f aca="false">IF($C1231="","",$N1231+$Q1231*$R1231)</f>
        <v/>
      </c>
      <c r="K1231" s="17" t="str">
        <f aca="false">IF($C1231="","",$O1231+$Q1231*$S1231)</f>
        <v/>
      </c>
      <c r="L1231" s="17" t="str">
        <f aca="false">IF($C1231="","",$J1231-$K1231-1-N($G1231))</f>
        <v/>
      </c>
      <c r="M1231" s="7" t="str">
        <f aca="false">IF($B1231="","",INDEX(Course!$B$2:$B$19,MATCH($B1231,Course!$A$2:$A$19,0)))</f>
        <v/>
      </c>
      <c r="N1231" s="17" t="str">
        <f aca="false">IF($C1231="","",IF($C1231="H",0,IF($C1231="G",INDEX(Baseline!$I$3:$I$102,MIN(MAX(ROUND($D1231,0),1),100)),IF($C1231="T",IF($M1231=3,INDEX(Baseline!$B$3:$B$122,MATCH(MIN(MAX(ROUND(($D1231)/5,0)*5,5),600),Baseline!$A$3:$A$122,0))-Inputs!$B$9,INDEX(Course!$N$2:$N$19,MATCH($B1231,Course!$A$2:$A$19,0))),INDEX(Baseline!$B$3:$E$122,MATCH(MIN(MAX(ROUND(($D1231)/5,0)*5,5),600),Baseline!$A$3:$A$122,0),MATCH($C1231,Baseline!$B$2:$E$2,0))))))</f>
        <v/>
      </c>
      <c r="O1231" s="17" t="str">
        <f aca="false">IF($C1231="","",IF($E1231="H",0,IF($E1231="G",INDEX(Baseline!$I$3:$I$102,MIN(MAX(ROUND($F1231,0),1),100)),IF($E1231="T",IF($M1231=3,INDEX(Baseline!$B$3:$B$122,MATCH(MIN(MAX(ROUND(($F1231)/5,0)*5,5),600),Baseline!$A$3:$A$122,0))-Inputs!$B$9,INDEX(Course!$N$2:$N$19,MATCH($B1231,Course!$A$2:$A$19,0))),INDEX(Baseline!$B$3:$E$122,MATCH(MIN(MAX(ROUND(($F1231)/5,0)*5,5),600),Baseline!$A$3:$A$122,0),MATCH($E1231,Baseline!$B$2:$E$2,0))))))</f>
        <v/>
      </c>
      <c r="P1231" s="17" t="str">
        <f aca="false">IF($B1231="","",INDEX(Course!$N$2:$N$19,MATCH($B1231,Course!$A$2:$A$19,0)))</f>
        <v/>
      </c>
      <c r="Q1231" s="17" t="str">
        <f aca="false">IF($B1231="","",INDEX(Course!$P$2:$P$19,MATCH($B1231,Course!$A$2:$A$19,0)))</f>
        <v/>
      </c>
      <c r="R1231" s="17" t="str">
        <f aca="false">IF($C1231="","",IF(OR($C1231="G",$C1231="H"),0,IF($C1231="T",1,MIN(1,MAX(0,($N1231-Inputs!$B$8)/MAX($P1231-Inputs!$B$8,0.01))))))</f>
        <v/>
      </c>
      <c r="S1231" s="17" t="str">
        <f aca="false">IF($C1231="","",IF(OR($E1231="G",$E1231="H"),0,IF($E1231="T",1,MIN(1,MAX(0,($O1231-Inputs!$B$8)/MAX($P1231-Inputs!$B$8,0.01))))))</f>
        <v/>
      </c>
    </row>
    <row r="1232" customFormat="false" ht="15" hidden="false" customHeight="false" outlineLevel="0" collapsed="false">
      <c r="I1232" s="7" t="str">
        <f aca="false">IF($C1232="","",IF($C1232="G","PUTT",IF(AND($C1232="T",$M1232&gt;3),"OTT",IF($D1232&lt;=30,"ARG","APP"))))</f>
        <v/>
      </c>
      <c r="J1232" s="17" t="str">
        <f aca="false">IF($C1232="","",$N1232+$Q1232*$R1232)</f>
        <v/>
      </c>
      <c r="K1232" s="17" t="str">
        <f aca="false">IF($C1232="","",$O1232+$Q1232*$S1232)</f>
        <v/>
      </c>
      <c r="L1232" s="17" t="str">
        <f aca="false">IF($C1232="","",$J1232-$K1232-1-N($G1232))</f>
        <v/>
      </c>
      <c r="M1232" s="7" t="str">
        <f aca="false">IF($B1232="","",INDEX(Course!$B$2:$B$19,MATCH($B1232,Course!$A$2:$A$19,0)))</f>
        <v/>
      </c>
      <c r="N1232" s="17" t="str">
        <f aca="false">IF($C1232="","",IF($C1232="H",0,IF($C1232="G",INDEX(Baseline!$I$3:$I$102,MIN(MAX(ROUND($D1232,0),1),100)),IF($C1232="T",IF($M1232=3,INDEX(Baseline!$B$3:$B$122,MATCH(MIN(MAX(ROUND(($D1232)/5,0)*5,5),600),Baseline!$A$3:$A$122,0))-Inputs!$B$9,INDEX(Course!$N$2:$N$19,MATCH($B1232,Course!$A$2:$A$19,0))),INDEX(Baseline!$B$3:$E$122,MATCH(MIN(MAX(ROUND(($D1232)/5,0)*5,5),600),Baseline!$A$3:$A$122,0),MATCH($C1232,Baseline!$B$2:$E$2,0))))))</f>
        <v/>
      </c>
      <c r="O1232" s="17" t="str">
        <f aca="false">IF($C1232="","",IF($E1232="H",0,IF($E1232="G",INDEX(Baseline!$I$3:$I$102,MIN(MAX(ROUND($F1232,0),1),100)),IF($E1232="T",IF($M1232=3,INDEX(Baseline!$B$3:$B$122,MATCH(MIN(MAX(ROUND(($F1232)/5,0)*5,5),600),Baseline!$A$3:$A$122,0))-Inputs!$B$9,INDEX(Course!$N$2:$N$19,MATCH($B1232,Course!$A$2:$A$19,0))),INDEX(Baseline!$B$3:$E$122,MATCH(MIN(MAX(ROUND(($F1232)/5,0)*5,5),600),Baseline!$A$3:$A$122,0),MATCH($E1232,Baseline!$B$2:$E$2,0))))))</f>
        <v/>
      </c>
      <c r="P1232" s="17" t="str">
        <f aca="false">IF($B1232="","",INDEX(Course!$N$2:$N$19,MATCH($B1232,Course!$A$2:$A$19,0)))</f>
        <v/>
      </c>
      <c r="Q1232" s="17" t="str">
        <f aca="false">IF($B1232="","",INDEX(Course!$P$2:$P$19,MATCH($B1232,Course!$A$2:$A$19,0)))</f>
        <v/>
      </c>
      <c r="R1232" s="17" t="str">
        <f aca="false">IF($C1232="","",IF(OR($C1232="G",$C1232="H"),0,IF($C1232="T",1,MIN(1,MAX(0,($N1232-Inputs!$B$8)/MAX($P1232-Inputs!$B$8,0.01))))))</f>
        <v/>
      </c>
      <c r="S1232" s="17" t="str">
        <f aca="false">IF($C1232="","",IF(OR($E1232="G",$E1232="H"),0,IF($E1232="T",1,MIN(1,MAX(0,($O1232-Inputs!$B$8)/MAX($P1232-Inputs!$B$8,0.01))))))</f>
        <v/>
      </c>
    </row>
    <row r="1233" customFormat="false" ht="15" hidden="false" customHeight="false" outlineLevel="0" collapsed="false">
      <c r="I1233" s="7" t="str">
        <f aca="false">IF($C1233="","",IF($C1233="G","PUTT",IF(AND($C1233="T",$M1233&gt;3),"OTT",IF($D1233&lt;=30,"ARG","APP"))))</f>
        <v/>
      </c>
      <c r="J1233" s="17" t="str">
        <f aca="false">IF($C1233="","",$N1233+$Q1233*$R1233)</f>
        <v/>
      </c>
      <c r="K1233" s="17" t="str">
        <f aca="false">IF($C1233="","",$O1233+$Q1233*$S1233)</f>
        <v/>
      </c>
      <c r="L1233" s="17" t="str">
        <f aca="false">IF($C1233="","",$J1233-$K1233-1-N($G1233))</f>
        <v/>
      </c>
      <c r="M1233" s="7" t="str">
        <f aca="false">IF($B1233="","",INDEX(Course!$B$2:$B$19,MATCH($B1233,Course!$A$2:$A$19,0)))</f>
        <v/>
      </c>
      <c r="N1233" s="17" t="str">
        <f aca="false">IF($C1233="","",IF($C1233="H",0,IF($C1233="G",INDEX(Baseline!$I$3:$I$102,MIN(MAX(ROUND($D1233,0),1),100)),IF($C1233="T",IF($M1233=3,INDEX(Baseline!$B$3:$B$122,MATCH(MIN(MAX(ROUND(($D1233)/5,0)*5,5),600),Baseline!$A$3:$A$122,0))-Inputs!$B$9,INDEX(Course!$N$2:$N$19,MATCH($B1233,Course!$A$2:$A$19,0))),INDEX(Baseline!$B$3:$E$122,MATCH(MIN(MAX(ROUND(($D1233)/5,0)*5,5),600),Baseline!$A$3:$A$122,0),MATCH($C1233,Baseline!$B$2:$E$2,0))))))</f>
        <v/>
      </c>
      <c r="O1233" s="17" t="str">
        <f aca="false">IF($C1233="","",IF($E1233="H",0,IF($E1233="G",INDEX(Baseline!$I$3:$I$102,MIN(MAX(ROUND($F1233,0),1),100)),IF($E1233="T",IF($M1233=3,INDEX(Baseline!$B$3:$B$122,MATCH(MIN(MAX(ROUND(($F1233)/5,0)*5,5),600),Baseline!$A$3:$A$122,0))-Inputs!$B$9,INDEX(Course!$N$2:$N$19,MATCH($B1233,Course!$A$2:$A$19,0))),INDEX(Baseline!$B$3:$E$122,MATCH(MIN(MAX(ROUND(($F1233)/5,0)*5,5),600),Baseline!$A$3:$A$122,0),MATCH($E1233,Baseline!$B$2:$E$2,0))))))</f>
        <v/>
      </c>
      <c r="P1233" s="17" t="str">
        <f aca="false">IF($B1233="","",INDEX(Course!$N$2:$N$19,MATCH($B1233,Course!$A$2:$A$19,0)))</f>
        <v/>
      </c>
      <c r="Q1233" s="17" t="str">
        <f aca="false">IF($B1233="","",INDEX(Course!$P$2:$P$19,MATCH($B1233,Course!$A$2:$A$19,0)))</f>
        <v/>
      </c>
      <c r="R1233" s="17" t="str">
        <f aca="false">IF($C1233="","",IF(OR($C1233="G",$C1233="H"),0,IF($C1233="T",1,MIN(1,MAX(0,($N1233-Inputs!$B$8)/MAX($P1233-Inputs!$B$8,0.01))))))</f>
        <v/>
      </c>
      <c r="S1233" s="17" t="str">
        <f aca="false">IF($C1233="","",IF(OR($E1233="G",$E1233="H"),0,IF($E1233="T",1,MIN(1,MAX(0,($O1233-Inputs!$B$8)/MAX($P1233-Inputs!$B$8,0.01))))))</f>
        <v/>
      </c>
    </row>
    <row r="1234" customFormat="false" ht="15" hidden="false" customHeight="false" outlineLevel="0" collapsed="false">
      <c r="I1234" s="7" t="str">
        <f aca="false">IF($C1234="","",IF($C1234="G","PUTT",IF(AND($C1234="T",$M1234&gt;3),"OTT",IF($D1234&lt;=30,"ARG","APP"))))</f>
        <v/>
      </c>
      <c r="J1234" s="17" t="str">
        <f aca="false">IF($C1234="","",$N1234+$Q1234*$R1234)</f>
        <v/>
      </c>
      <c r="K1234" s="17" t="str">
        <f aca="false">IF($C1234="","",$O1234+$Q1234*$S1234)</f>
        <v/>
      </c>
      <c r="L1234" s="17" t="str">
        <f aca="false">IF($C1234="","",$J1234-$K1234-1-N($G1234))</f>
        <v/>
      </c>
      <c r="M1234" s="7" t="str">
        <f aca="false">IF($B1234="","",INDEX(Course!$B$2:$B$19,MATCH($B1234,Course!$A$2:$A$19,0)))</f>
        <v/>
      </c>
      <c r="N1234" s="17" t="str">
        <f aca="false">IF($C1234="","",IF($C1234="H",0,IF($C1234="G",INDEX(Baseline!$I$3:$I$102,MIN(MAX(ROUND($D1234,0),1),100)),IF($C1234="T",IF($M1234=3,INDEX(Baseline!$B$3:$B$122,MATCH(MIN(MAX(ROUND(($D1234)/5,0)*5,5),600),Baseline!$A$3:$A$122,0))-Inputs!$B$9,INDEX(Course!$N$2:$N$19,MATCH($B1234,Course!$A$2:$A$19,0))),INDEX(Baseline!$B$3:$E$122,MATCH(MIN(MAX(ROUND(($D1234)/5,0)*5,5),600),Baseline!$A$3:$A$122,0),MATCH($C1234,Baseline!$B$2:$E$2,0))))))</f>
        <v/>
      </c>
      <c r="O1234" s="17" t="str">
        <f aca="false">IF($C1234="","",IF($E1234="H",0,IF($E1234="G",INDEX(Baseline!$I$3:$I$102,MIN(MAX(ROUND($F1234,0),1),100)),IF($E1234="T",IF($M1234=3,INDEX(Baseline!$B$3:$B$122,MATCH(MIN(MAX(ROUND(($F1234)/5,0)*5,5),600),Baseline!$A$3:$A$122,0))-Inputs!$B$9,INDEX(Course!$N$2:$N$19,MATCH($B1234,Course!$A$2:$A$19,0))),INDEX(Baseline!$B$3:$E$122,MATCH(MIN(MAX(ROUND(($F1234)/5,0)*5,5),600),Baseline!$A$3:$A$122,0),MATCH($E1234,Baseline!$B$2:$E$2,0))))))</f>
        <v/>
      </c>
      <c r="P1234" s="17" t="str">
        <f aca="false">IF($B1234="","",INDEX(Course!$N$2:$N$19,MATCH($B1234,Course!$A$2:$A$19,0)))</f>
        <v/>
      </c>
      <c r="Q1234" s="17" t="str">
        <f aca="false">IF($B1234="","",INDEX(Course!$P$2:$P$19,MATCH($B1234,Course!$A$2:$A$19,0)))</f>
        <v/>
      </c>
      <c r="R1234" s="17" t="str">
        <f aca="false">IF($C1234="","",IF(OR($C1234="G",$C1234="H"),0,IF($C1234="T",1,MIN(1,MAX(0,($N1234-Inputs!$B$8)/MAX($P1234-Inputs!$B$8,0.01))))))</f>
        <v/>
      </c>
      <c r="S1234" s="17" t="str">
        <f aca="false">IF($C1234="","",IF(OR($E1234="G",$E1234="H"),0,IF($E1234="T",1,MIN(1,MAX(0,($O1234-Inputs!$B$8)/MAX($P1234-Inputs!$B$8,0.01))))))</f>
        <v/>
      </c>
    </row>
    <row r="1235" customFormat="false" ht="15" hidden="false" customHeight="false" outlineLevel="0" collapsed="false">
      <c r="I1235" s="7" t="str">
        <f aca="false">IF($C1235="","",IF($C1235="G","PUTT",IF(AND($C1235="T",$M1235&gt;3),"OTT",IF($D1235&lt;=30,"ARG","APP"))))</f>
        <v/>
      </c>
      <c r="J1235" s="17" t="str">
        <f aca="false">IF($C1235="","",$N1235+$Q1235*$R1235)</f>
        <v/>
      </c>
      <c r="K1235" s="17" t="str">
        <f aca="false">IF($C1235="","",$O1235+$Q1235*$S1235)</f>
        <v/>
      </c>
      <c r="L1235" s="17" t="str">
        <f aca="false">IF($C1235="","",$J1235-$K1235-1-N($G1235))</f>
        <v/>
      </c>
      <c r="M1235" s="7" t="str">
        <f aca="false">IF($B1235="","",INDEX(Course!$B$2:$B$19,MATCH($B1235,Course!$A$2:$A$19,0)))</f>
        <v/>
      </c>
      <c r="N1235" s="17" t="str">
        <f aca="false">IF($C1235="","",IF($C1235="H",0,IF($C1235="G",INDEX(Baseline!$I$3:$I$102,MIN(MAX(ROUND($D1235,0),1),100)),IF($C1235="T",IF($M1235=3,INDEX(Baseline!$B$3:$B$122,MATCH(MIN(MAX(ROUND(($D1235)/5,0)*5,5),600),Baseline!$A$3:$A$122,0))-Inputs!$B$9,INDEX(Course!$N$2:$N$19,MATCH($B1235,Course!$A$2:$A$19,0))),INDEX(Baseline!$B$3:$E$122,MATCH(MIN(MAX(ROUND(($D1235)/5,0)*5,5),600),Baseline!$A$3:$A$122,0),MATCH($C1235,Baseline!$B$2:$E$2,0))))))</f>
        <v/>
      </c>
      <c r="O1235" s="17" t="str">
        <f aca="false">IF($C1235="","",IF($E1235="H",0,IF($E1235="G",INDEX(Baseline!$I$3:$I$102,MIN(MAX(ROUND($F1235,0),1),100)),IF($E1235="T",IF($M1235=3,INDEX(Baseline!$B$3:$B$122,MATCH(MIN(MAX(ROUND(($F1235)/5,0)*5,5),600),Baseline!$A$3:$A$122,0))-Inputs!$B$9,INDEX(Course!$N$2:$N$19,MATCH($B1235,Course!$A$2:$A$19,0))),INDEX(Baseline!$B$3:$E$122,MATCH(MIN(MAX(ROUND(($F1235)/5,0)*5,5),600),Baseline!$A$3:$A$122,0),MATCH($E1235,Baseline!$B$2:$E$2,0))))))</f>
        <v/>
      </c>
      <c r="P1235" s="17" t="str">
        <f aca="false">IF($B1235="","",INDEX(Course!$N$2:$N$19,MATCH($B1235,Course!$A$2:$A$19,0)))</f>
        <v/>
      </c>
      <c r="Q1235" s="17" t="str">
        <f aca="false">IF($B1235="","",INDEX(Course!$P$2:$P$19,MATCH($B1235,Course!$A$2:$A$19,0)))</f>
        <v/>
      </c>
      <c r="R1235" s="17" t="str">
        <f aca="false">IF($C1235="","",IF(OR($C1235="G",$C1235="H"),0,IF($C1235="T",1,MIN(1,MAX(0,($N1235-Inputs!$B$8)/MAX($P1235-Inputs!$B$8,0.01))))))</f>
        <v/>
      </c>
      <c r="S1235" s="17" t="str">
        <f aca="false">IF($C1235="","",IF(OR($E1235="G",$E1235="H"),0,IF($E1235="T",1,MIN(1,MAX(0,($O1235-Inputs!$B$8)/MAX($P1235-Inputs!$B$8,0.01))))))</f>
        <v/>
      </c>
    </row>
    <row r="1236" customFormat="false" ht="15" hidden="false" customHeight="false" outlineLevel="0" collapsed="false">
      <c r="I1236" s="7" t="str">
        <f aca="false">IF($C1236="","",IF($C1236="G","PUTT",IF(AND($C1236="T",$M1236&gt;3),"OTT",IF($D1236&lt;=30,"ARG","APP"))))</f>
        <v/>
      </c>
      <c r="J1236" s="17" t="str">
        <f aca="false">IF($C1236="","",$N1236+$Q1236*$R1236)</f>
        <v/>
      </c>
      <c r="K1236" s="17" t="str">
        <f aca="false">IF($C1236="","",$O1236+$Q1236*$S1236)</f>
        <v/>
      </c>
      <c r="L1236" s="17" t="str">
        <f aca="false">IF($C1236="","",$J1236-$K1236-1-N($G1236))</f>
        <v/>
      </c>
      <c r="M1236" s="7" t="str">
        <f aca="false">IF($B1236="","",INDEX(Course!$B$2:$B$19,MATCH($B1236,Course!$A$2:$A$19,0)))</f>
        <v/>
      </c>
      <c r="N1236" s="17" t="str">
        <f aca="false">IF($C1236="","",IF($C1236="H",0,IF($C1236="G",INDEX(Baseline!$I$3:$I$102,MIN(MAX(ROUND($D1236,0),1),100)),IF($C1236="T",IF($M1236=3,INDEX(Baseline!$B$3:$B$122,MATCH(MIN(MAX(ROUND(($D1236)/5,0)*5,5),600),Baseline!$A$3:$A$122,0))-Inputs!$B$9,INDEX(Course!$N$2:$N$19,MATCH($B1236,Course!$A$2:$A$19,0))),INDEX(Baseline!$B$3:$E$122,MATCH(MIN(MAX(ROUND(($D1236)/5,0)*5,5),600),Baseline!$A$3:$A$122,0),MATCH($C1236,Baseline!$B$2:$E$2,0))))))</f>
        <v/>
      </c>
      <c r="O1236" s="17" t="str">
        <f aca="false">IF($C1236="","",IF($E1236="H",0,IF($E1236="G",INDEX(Baseline!$I$3:$I$102,MIN(MAX(ROUND($F1236,0),1),100)),IF($E1236="T",IF($M1236=3,INDEX(Baseline!$B$3:$B$122,MATCH(MIN(MAX(ROUND(($F1236)/5,0)*5,5),600),Baseline!$A$3:$A$122,0))-Inputs!$B$9,INDEX(Course!$N$2:$N$19,MATCH($B1236,Course!$A$2:$A$19,0))),INDEX(Baseline!$B$3:$E$122,MATCH(MIN(MAX(ROUND(($F1236)/5,0)*5,5),600),Baseline!$A$3:$A$122,0),MATCH($E1236,Baseline!$B$2:$E$2,0))))))</f>
        <v/>
      </c>
      <c r="P1236" s="17" t="str">
        <f aca="false">IF($B1236="","",INDEX(Course!$N$2:$N$19,MATCH($B1236,Course!$A$2:$A$19,0)))</f>
        <v/>
      </c>
      <c r="Q1236" s="17" t="str">
        <f aca="false">IF($B1236="","",INDEX(Course!$P$2:$P$19,MATCH($B1236,Course!$A$2:$A$19,0)))</f>
        <v/>
      </c>
      <c r="R1236" s="17" t="str">
        <f aca="false">IF($C1236="","",IF(OR($C1236="G",$C1236="H"),0,IF($C1236="T",1,MIN(1,MAX(0,($N1236-Inputs!$B$8)/MAX($P1236-Inputs!$B$8,0.01))))))</f>
        <v/>
      </c>
      <c r="S1236" s="17" t="str">
        <f aca="false">IF($C1236="","",IF(OR($E1236="G",$E1236="H"),0,IF($E1236="T",1,MIN(1,MAX(0,($O1236-Inputs!$B$8)/MAX($P1236-Inputs!$B$8,0.01))))))</f>
        <v/>
      </c>
    </row>
    <row r="1237" customFormat="false" ht="15" hidden="false" customHeight="false" outlineLevel="0" collapsed="false">
      <c r="I1237" s="7" t="str">
        <f aca="false">IF($C1237="","",IF($C1237="G","PUTT",IF(AND($C1237="T",$M1237&gt;3),"OTT",IF($D1237&lt;=30,"ARG","APP"))))</f>
        <v/>
      </c>
      <c r="J1237" s="17" t="str">
        <f aca="false">IF($C1237="","",$N1237+$Q1237*$R1237)</f>
        <v/>
      </c>
      <c r="K1237" s="17" t="str">
        <f aca="false">IF($C1237="","",$O1237+$Q1237*$S1237)</f>
        <v/>
      </c>
      <c r="L1237" s="17" t="str">
        <f aca="false">IF($C1237="","",$J1237-$K1237-1-N($G1237))</f>
        <v/>
      </c>
      <c r="M1237" s="7" t="str">
        <f aca="false">IF($B1237="","",INDEX(Course!$B$2:$B$19,MATCH($B1237,Course!$A$2:$A$19,0)))</f>
        <v/>
      </c>
      <c r="N1237" s="17" t="str">
        <f aca="false">IF($C1237="","",IF($C1237="H",0,IF($C1237="G",INDEX(Baseline!$I$3:$I$102,MIN(MAX(ROUND($D1237,0),1),100)),IF($C1237="T",IF($M1237=3,INDEX(Baseline!$B$3:$B$122,MATCH(MIN(MAX(ROUND(($D1237)/5,0)*5,5),600),Baseline!$A$3:$A$122,0))-Inputs!$B$9,INDEX(Course!$N$2:$N$19,MATCH($B1237,Course!$A$2:$A$19,0))),INDEX(Baseline!$B$3:$E$122,MATCH(MIN(MAX(ROUND(($D1237)/5,0)*5,5),600),Baseline!$A$3:$A$122,0),MATCH($C1237,Baseline!$B$2:$E$2,0))))))</f>
        <v/>
      </c>
      <c r="O1237" s="17" t="str">
        <f aca="false">IF($C1237="","",IF($E1237="H",0,IF($E1237="G",INDEX(Baseline!$I$3:$I$102,MIN(MAX(ROUND($F1237,0),1),100)),IF($E1237="T",IF($M1237=3,INDEX(Baseline!$B$3:$B$122,MATCH(MIN(MAX(ROUND(($F1237)/5,0)*5,5),600),Baseline!$A$3:$A$122,0))-Inputs!$B$9,INDEX(Course!$N$2:$N$19,MATCH($B1237,Course!$A$2:$A$19,0))),INDEX(Baseline!$B$3:$E$122,MATCH(MIN(MAX(ROUND(($F1237)/5,0)*5,5),600),Baseline!$A$3:$A$122,0),MATCH($E1237,Baseline!$B$2:$E$2,0))))))</f>
        <v/>
      </c>
      <c r="P1237" s="17" t="str">
        <f aca="false">IF($B1237="","",INDEX(Course!$N$2:$N$19,MATCH($B1237,Course!$A$2:$A$19,0)))</f>
        <v/>
      </c>
      <c r="Q1237" s="17" t="str">
        <f aca="false">IF($B1237="","",INDEX(Course!$P$2:$P$19,MATCH($B1237,Course!$A$2:$A$19,0)))</f>
        <v/>
      </c>
      <c r="R1237" s="17" t="str">
        <f aca="false">IF($C1237="","",IF(OR($C1237="G",$C1237="H"),0,IF($C1237="T",1,MIN(1,MAX(0,($N1237-Inputs!$B$8)/MAX($P1237-Inputs!$B$8,0.01))))))</f>
        <v/>
      </c>
      <c r="S1237" s="17" t="str">
        <f aca="false">IF($C1237="","",IF(OR($E1237="G",$E1237="H"),0,IF($E1237="T",1,MIN(1,MAX(0,($O1237-Inputs!$B$8)/MAX($P1237-Inputs!$B$8,0.01))))))</f>
        <v/>
      </c>
    </row>
    <row r="1238" customFormat="false" ht="15" hidden="false" customHeight="false" outlineLevel="0" collapsed="false">
      <c r="I1238" s="7" t="str">
        <f aca="false">IF($C1238="","",IF($C1238="G","PUTT",IF(AND($C1238="T",$M1238&gt;3),"OTT",IF($D1238&lt;=30,"ARG","APP"))))</f>
        <v/>
      </c>
      <c r="J1238" s="17" t="str">
        <f aca="false">IF($C1238="","",$N1238+$Q1238*$R1238)</f>
        <v/>
      </c>
      <c r="K1238" s="17" t="str">
        <f aca="false">IF($C1238="","",$O1238+$Q1238*$S1238)</f>
        <v/>
      </c>
      <c r="L1238" s="17" t="str">
        <f aca="false">IF($C1238="","",$J1238-$K1238-1-N($G1238))</f>
        <v/>
      </c>
      <c r="M1238" s="7" t="str">
        <f aca="false">IF($B1238="","",INDEX(Course!$B$2:$B$19,MATCH($B1238,Course!$A$2:$A$19,0)))</f>
        <v/>
      </c>
      <c r="N1238" s="17" t="str">
        <f aca="false">IF($C1238="","",IF($C1238="H",0,IF($C1238="G",INDEX(Baseline!$I$3:$I$102,MIN(MAX(ROUND($D1238,0),1),100)),IF($C1238="T",IF($M1238=3,INDEX(Baseline!$B$3:$B$122,MATCH(MIN(MAX(ROUND(($D1238)/5,0)*5,5),600),Baseline!$A$3:$A$122,0))-Inputs!$B$9,INDEX(Course!$N$2:$N$19,MATCH($B1238,Course!$A$2:$A$19,0))),INDEX(Baseline!$B$3:$E$122,MATCH(MIN(MAX(ROUND(($D1238)/5,0)*5,5),600),Baseline!$A$3:$A$122,0),MATCH($C1238,Baseline!$B$2:$E$2,0))))))</f>
        <v/>
      </c>
      <c r="O1238" s="17" t="str">
        <f aca="false">IF($C1238="","",IF($E1238="H",0,IF($E1238="G",INDEX(Baseline!$I$3:$I$102,MIN(MAX(ROUND($F1238,0),1),100)),IF($E1238="T",IF($M1238=3,INDEX(Baseline!$B$3:$B$122,MATCH(MIN(MAX(ROUND(($F1238)/5,0)*5,5),600),Baseline!$A$3:$A$122,0))-Inputs!$B$9,INDEX(Course!$N$2:$N$19,MATCH($B1238,Course!$A$2:$A$19,0))),INDEX(Baseline!$B$3:$E$122,MATCH(MIN(MAX(ROUND(($F1238)/5,0)*5,5),600),Baseline!$A$3:$A$122,0),MATCH($E1238,Baseline!$B$2:$E$2,0))))))</f>
        <v/>
      </c>
      <c r="P1238" s="17" t="str">
        <f aca="false">IF($B1238="","",INDEX(Course!$N$2:$N$19,MATCH($B1238,Course!$A$2:$A$19,0)))</f>
        <v/>
      </c>
      <c r="Q1238" s="17" t="str">
        <f aca="false">IF($B1238="","",INDEX(Course!$P$2:$P$19,MATCH($B1238,Course!$A$2:$A$19,0)))</f>
        <v/>
      </c>
      <c r="R1238" s="17" t="str">
        <f aca="false">IF($C1238="","",IF(OR($C1238="G",$C1238="H"),0,IF($C1238="T",1,MIN(1,MAX(0,($N1238-Inputs!$B$8)/MAX($P1238-Inputs!$B$8,0.01))))))</f>
        <v/>
      </c>
      <c r="S1238" s="17" t="str">
        <f aca="false">IF($C1238="","",IF(OR($E1238="G",$E1238="H"),0,IF($E1238="T",1,MIN(1,MAX(0,($O1238-Inputs!$B$8)/MAX($P1238-Inputs!$B$8,0.01))))))</f>
        <v/>
      </c>
    </row>
    <row r="1239" customFormat="false" ht="15" hidden="false" customHeight="false" outlineLevel="0" collapsed="false">
      <c r="I1239" s="7" t="str">
        <f aca="false">IF($C1239="","",IF($C1239="G","PUTT",IF(AND($C1239="T",$M1239&gt;3),"OTT",IF($D1239&lt;=30,"ARG","APP"))))</f>
        <v/>
      </c>
      <c r="J1239" s="17" t="str">
        <f aca="false">IF($C1239="","",$N1239+$Q1239*$R1239)</f>
        <v/>
      </c>
      <c r="K1239" s="17" t="str">
        <f aca="false">IF($C1239="","",$O1239+$Q1239*$S1239)</f>
        <v/>
      </c>
      <c r="L1239" s="17" t="str">
        <f aca="false">IF($C1239="","",$J1239-$K1239-1-N($G1239))</f>
        <v/>
      </c>
      <c r="M1239" s="7" t="str">
        <f aca="false">IF($B1239="","",INDEX(Course!$B$2:$B$19,MATCH($B1239,Course!$A$2:$A$19,0)))</f>
        <v/>
      </c>
      <c r="N1239" s="17" t="str">
        <f aca="false">IF($C1239="","",IF($C1239="H",0,IF($C1239="G",INDEX(Baseline!$I$3:$I$102,MIN(MAX(ROUND($D1239,0),1),100)),IF($C1239="T",IF($M1239=3,INDEX(Baseline!$B$3:$B$122,MATCH(MIN(MAX(ROUND(($D1239)/5,0)*5,5),600),Baseline!$A$3:$A$122,0))-Inputs!$B$9,INDEX(Course!$N$2:$N$19,MATCH($B1239,Course!$A$2:$A$19,0))),INDEX(Baseline!$B$3:$E$122,MATCH(MIN(MAX(ROUND(($D1239)/5,0)*5,5),600),Baseline!$A$3:$A$122,0),MATCH($C1239,Baseline!$B$2:$E$2,0))))))</f>
        <v/>
      </c>
      <c r="O1239" s="17" t="str">
        <f aca="false">IF($C1239="","",IF($E1239="H",0,IF($E1239="G",INDEX(Baseline!$I$3:$I$102,MIN(MAX(ROUND($F1239,0),1),100)),IF($E1239="T",IF($M1239=3,INDEX(Baseline!$B$3:$B$122,MATCH(MIN(MAX(ROUND(($F1239)/5,0)*5,5),600),Baseline!$A$3:$A$122,0))-Inputs!$B$9,INDEX(Course!$N$2:$N$19,MATCH($B1239,Course!$A$2:$A$19,0))),INDEX(Baseline!$B$3:$E$122,MATCH(MIN(MAX(ROUND(($F1239)/5,0)*5,5),600),Baseline!$A$3:$A$122,0),MATCH($E1239,Baseline!$B$2:$E$2,0))))))</f>
        <v/>
      </c>
      <c r="P1239" s="17" t="str">
        <f aca="false">IF($B1239="","",INDEX(Course!$N$2:$N$19,MATCH($B1239,Course!$A$2:$A$19,0)))</f>
        <v/>
      </c>
      <c r="Q1239" s="17" t="str">
        <f aca="false">IF($B1239="","",INDEX(Course!$P$2:$P$19,MATCH($B1239,Course!$A$2:$A$19,0)))</f>
        <v/>
      </c>
      <c r="R1239" s="17" t="str">
        <f aca="false">IF($C1239="","",IF(OR($C1239="G",$C1239="H"),0,IF($C1239="T",1,MIN(1,MAX(0,($N1239-Inputs!$B$8)/MAX($P1239-Inputs!$B$8,0.01))))))</f>
        <v/>
      </c>
      <c r="S1239" s="17" t="str">
        <f aca="false">IF($C1239="","",IF(OR($E1239="G",$E1239="H"),0,IF($E1239="T",1,MIN(1,MAX(0,($O1239-Inputs!$B$8)/MAX($P1239-Inputs!$B$8,0.01))))))</f>
        <v/>
      </c>
    </row>
    <row r="1240" customFormat="false" ht="15" hidden="false" customHeight="false" outlineLevel="0" collapsed="false">
      <c r="I1240" s="7" t="str">
        <f aca="false">IF($C1240="","",IF($C1240="G","PUTT",IF(AND($C1240="T",$M1240&gt;3),"OTT",IF($D1240&lt;=30,"ARG","APP"))))</f>
        <v/>
      </c>
      <c r="J1240" s="17" t="str">
        <f aca="false">IF($C1240="","",$N1240+$Q1240*$R1240)</f>
        <v/>
      </c>
      <c r="K1240" s="17" t="str">
        <f aca="false">IF($C1240="","",$O1240+$Q1240*$S1240)</f>
        <v/>
      </c>
      <c r="L1240" s="17" t="str">
        <f aca="false">IF($C1240="","",$J1240-$K1240-1-N($G1240))</f>
        <v/>
      </c>
      <c r="M1240" s="7" t="str">
        <f aca="false">IF($B1240="","",INDEX(Course!$B$2:$B$19,MATCH($B1240,Course!$A$2:$A$19,0)))</f>
        <v/>
      </c>
      <c r="N1240" s="17" t="str">
        <f aca="false">IF($C1240="","",IF($C1240="H",0,IF($C1240="G",INDEX(Baseline!$I$3:$I$102,MIN(MAX(ROUND($D1240,0),1),100)),IF($C1240="T",IF($M1240=3,INDEX(Baseline!$B$3:$B$122,MATCH(MIN(MAX(ROUND(($D1240)/5,0)*5,5),600),Baseline!$A$3:$A$122,0))-Inputs!$B$9,INDEX(Course!$N$2:$N$19,MATCH($B1240,Course!$A$2:$A$19,0))),INDEX(Baseline!$B$3:$E$122,MATCH(MIN(MAX(ROUND(($D1240)/5,0)*5,5),600),Baseline!$A$3:$A$122,0),MATCH($C1240,Baseline!$B$2:$E$2,0))))))</f>
        <v/>
      </c>
      <c r="O1240" s="17" t="str">
        <f aca="false">IF($C1240="","",IF($E1240="H",0,IF($E1240="G",INDEX(Baseline!$I$3:$I$102,MIN(MAX(ROUND($F1240,0),1),100)),IF($E1240="T",IF($M1240=3,INDEX(Baseline!$B$3:$B$122,MATCH(MIN(MAX(ROUND(($F1240)/5,0)*5,5),600),Baseline!$A$3:$A$122,0))-Inputs!$B$9,INDEX(Course!$N$2:$N$19,MATCH($B1240,Course!$A$2:$A$19,0))),INDEX(Baseline!$B$3:$E$122,MATCH(MIN(MAX(ROUND(($F1240)/5,0)*5,5),600),Baseline!$A$3:$A$122,0),MATCH($E1240,Baseline!$B$2:$E$2,0))))))</f>
        <v/>
      </c>
      <c r="P1240" s="17" t="str">
        <f aca="false">IF($B1240="","",INDEX(Course!$N$2:$N$19,MATCH($B1240,Course!$A$2:$A$19,0)))</f>
        <v/>
      </c>
      <c r="Q1240" s="17" t="str">
        <f aca="false">IF($B1240="","",INDEX(Course!$P$2:$P$19,MATCH($B1240,Course!$A$2:$A$19,0)))</f>
        <v/>
      </c>
      <c r="R1240" s="17" t="str">
        <f aca="false">IF($C1240="","",IF(OR($C1240="G",$C1240="H"),0,IF($C1240="T",1,MIN(1,MAX(0,($N1240-Inputs!$B$8)/MAX($P1240-Inputs!$B$8,0.01))))))</f>
        <v/>
      </c>
      <c r="S1240" s="17" t="str">
        <f aca="false">IF($C1240="","",IF(OR($E1240="G",$E1240="H"),0,IF($E1240="T",1,MIN(1,MAX(0,($O1240-Inputs!$B$8)/MAX($P1240-Inputs!$B$8,0.01))))))</f>
        <v/>
      </c>
    </row>
    <row r="1241" customFormat="false" ht="15" hidden="false" customHeight="false" outlineLevel="0" collapsed="false">
      <c r="I1241" s="7" t="str">
        <f aca="false">IF($C1241="","",IF($C1241="G","PUTT",IF(AND($C1241="T",$M1241&gt;3),"OTT",IF($D1241&lt;=30,"ARG","APP"))))</f>
        <v/>
      </c>
      <c r="J1241" s="17" t="str">
        <f aca="false">IF($C1241="","",$N1241+$Q1241*$R1241)</f>
        <v/>
      </c>
      <c r="K1241" s="17" t="str">
        <f aca="false">IF($C1241="","",$O1241+$Q1241*$S1241)</f>
        <v/>
      </c>
      <c r="L1241" s="17" t="str">
        <f aca="false">IF($C1241="","",$J1241-$K1241-1-N($G1241))</f>
        <v/>
      </c>
      <c r="M1241" s="7" t="str">
        <f aca="false">IF($B1241="","",INDEX(Course!$B$2:$B$19,MATCH($B1241,Course!$A$2:$A$19,0)))</f>
        <v/>
      </c>
      <c r="N1241" s="17" t="str">
        <f aca="false">IF($C1241="","",IF($C1241="H",0,IF($C1241="G",INDEX(Baseline!$I$3:$I$102,MIN(MAX(ROUND($D1241,0),1),100)),IF($C1241="T",IF($M1241=3,INDEX(Baseline!$B$3:$B$122,MATCH(MIN(MAX(ROUND(($D1241)/5,0)*5,5),600),Baseline!$A$3:$A$122,0))-Inputs!$B$9,INDEX(Course!$N$2:$N$19,MATCH($B1241,Course!$A$2:$A$19,0))),INDEX(Baseline!$B$3:$E$122,MATCH(MIN(MAX(ROUND(($D1241)/5,0)*5,5),600),Baseline!$A$3:$A$122,0),MATCH($C1241,Baseline!$B$2:$E$2,0))))))</f>
        <v/>
      </c>
      <c r="O1241" s="17" t="str">
        <f aca="false">IF($C1241="","",IF($E1241="H",0,IF($E1241="G",INDEX(Baseline!$I$3:$I$102,MIN(MAX(ROUND($F1241,0),1),100)),IF($E1241="T",IF($M1241=3,INDEX(Baseline!$B$3:$B$122,MATCH(MIN(MAX(ROUND(($F1241)/5,0)*5,5),600),Baseline!$A$3:$A$122,0))-Inputs!$B$9,INDEX(Course!$N$2:$N$19,MATCH($B1241,Course!$A$2:$A$19,0))),INDEX(Baseline!$B$3:$E$122,MATCH(MIN(MAX(ROUND(($F1241)/5,0)*5,5),600),Baseline!$A$3:$A$122,0),MATCH($E1241,Baseline!$B$2:$E$2,0))))))</f>
        <v/>
      </c>
      <c r="P1241" s="17" t="str">
        <f aca="false">IF($B1241="","",INDEX(Course!$N$2:$N$19,MATCH($B1241,Course!$A$2:$A$19,0)))</f>
        <v/>
      </c>
      <c r="Q1241" s="17" t="str">
        <f aca="false">IF($B1241="","",INDEX(Course!$P$2:$P$19,MATCH($B1241,Course!$A$2:$A$19,0)))</f>
        <v/>
      </c>
      <c r="R1241" s="17" t="str">
        <f aca="false">IF($C1241="","",IF(OR($C1241="G",$C1241="H"),0,IF($C1241="T",1,MIN(1,MAX(0,($N1241-Inputs!$B$8)/MAX($P1241-Inputs!$B$8,0.01))))))</f>
        <v/>
      </c>
      <c r="S1241" s="17" t="str">
        <f aca="false">IF($C1241="","",IF(OR($E1241="G",$E1241="H"),0,IF($E1241="T",1,MIN(1,MAX(0,($O1241-Inputs!$B$8)/MAX($P1241-Inputs!$B$8,0.01))))))</f>
        <v/>
      </c>
    </row>
    <row r="1242" customFormat="false" ht="15" hidden="false" customHeight="false" outlineLevel="0" collapsed="false">
      <c r="I1242" s="7" t="str">
        <f aca="false">IF($C1242="","",IF($C1242="G","PUTT",IF(AND($C1242="T",$M1242&gt;3),"OTT",IF($D1242&lt;=30,"ARG","APP"))))</f>
        <v/>
      </c>
      <c r="J1242" s="17" t="str">
        <f aca="false">IF($C1242="","",$N1242+$Q1242*$R1242)</f>
        <v/>
      </c>
      <c r="K1242" s="17" t="str">
        <f aca="false">IF($C1242="","",$O1242+$Q1242*$S1242)</f>
        <v/>
      </c>
      <c r="L1242" s="17" t="str">
        <f aca="false">IF($C1242="","",$J1242-$K1242-1-N($G1242))</f>
        <v/>
      </c>
      <c r="M1242" s="7" t="str">
        <f aca="false">IF($B1242="","",INDEX(Course!$B$2:$B$19,MATCH($B1242,Course!$A$2:$A$19,0)))</f>
        <v/>
      </c>
      <c r="N1242" s="17" t="str">
        <f aca="false">IF($C1242="","",IF($C1242="H",0,IF($C1242="G",INDEX(Baseline!$I$3:$I$102,MIN(MAX(ROUND($D1242,0),1),100)),IF($C1242="T",IF($M1242=3,INDEX(Baseline!$B$3:$B$122,MATCH(MIN(MAX(ROUND(($D1242)/5,0)*5,5),600),Baseline!$A$3:$A$122,0))-Inputs!$B$9,INDEX(Course!$N$2:$N$19,MATCH($B1242,Course!$A$2:$A$19,0))),INDEX(Baseline!$B$3:$E$122,MATCH(MIN(MAX(ROUND(($D1242)/5,0)*5,5),600),Baseline!$A$3:$A$122,0),MATCH($C1242,Baseline!$B$2:$E$2,0))))))</f>
        <v/>
      </c>
      <c r="O1242" s="17" t="str">
        <f aca="false">IF($C1242="","",IF($E1242="H",0,IF($E1242="G",INDEX(Baseline!$I$3:$I$102,MIN(MAX(ROUND($F1242,0),1),100)),IF($E1242="T",IF($M1242=3,INDEX(Baseline!$B$3:$B$122,MATCH(MIN(MAX(ROUND(($F1242)/5,0)*5,5),600),Baseline!$A$3:$A$122,0))-Inputs!$B$9,INDEX(Course!$N$2:$N$19,MATCH($B1242,Course!$A$2:$A$19,0))),INDEX(Baseline!$B$3:$E$122,MATCH(MIN(MAX(ROUND(($F1242)/5,0)*5,5),600),Baseline!$A$3:$A$122,0),MATCH($E1242,Baseline!$B$2:$E$2,0))))))</f>
        <v/>
      </c>
      <c r="P1242" s="17" t="str">
        <f aca="false">IF($B1242="","",INDEX(Course!$N$2:$N$19,MATCH($B1242,Course!$A$2:$A$19,0)))</f>
        <v/>
      </c>
      <c r="Q1242" s="17" t="str">
        <f aca="false">IF($B1242="","",INDEX(Course!$P$2:$P$19,MATCH($B1242,Course!$A$2:$A$19,0)))</f>
        <v/>
      </c>
      <c r="R1242" s="17" t="str">
        <f aca="false">IF($C1242="","",IF(OR($C1242="G",$C1242="H"),0,IF($C1242="T",1,MIN(1,MAX(0,($N1242-Inputs!$B$8)/MAX($P1242-Inputs!$B$8,0.01))))))</f>
        <v/>
      </c>
      <c r="S1242" s="17" t="str">
        <f aca="false">IF($C1242="","",IF(OR($E1242="G",$E1242="H"),0,IF($E1242="T",1,MIN(1,MAX(0,($O1242-Inputs!$B$8)/MAX($P1242-Inputs!$B$8,0.01))))))</f>
        <v/>
      </c>
    </row>
    <row r="1243" customFormat="false" ht="15" hidden="false" customHeight="false" outlineLevel="0" collapsed="false">
      <c r="I1243" s="7" t="str">
        <f aca="false">IF($C1243="","",IF($C1243="G","PUTT",IF(AND($C1243="T",$M1243&gt;3),"OTT",IF($D1243&lt;=30,"ARG","APP"))))</f>
        <v/>
      </c>
      <c r="J1243" s="17" t="str">
        <f aca="false">IF($C1243="","",$N1243+$Q1243*$R1243)</f>
        <v/>
      </c>
      <c r="K1243" s="17" t="str">
        <f aca="false">IF($C1243="","",$O1243+$Q1243*$S1243)</f>
        <v/>
      </c>
      <c r="L1243" s="17" t="str">
        <f aca="false">IF($C1243="","",$J1243-$K1243-1-N($G1243))</f>
        <v/>
      </c>
      <c r="M1243" s="7" t="str">
        <f aca="false">IF($B1243="","",INDEX(Course!$B$2:$B$19,MATCH($B1243,Course!$A$2:$A$19,0)))</f>
        <v/>
      </c>
      <c r="N1243" s="17" t="str">
        <f aca="false">IF($C1243="","",IF($C1243="H",0,IF($C1243="G",INDEX(Baseline!$I$3:$I$102,MIN(MAX(ROUND($D1243,0),1),100)),IF($C1243="T",IF($M1243=3,INDEX(Baseline!$B$3:$B$122,MATCH(MIN(MAX(ROUND(($D1243)/5,0)*5,5),600),Baseline!$A$3:$A$122,0))-Inputs!$B$9,INDEX(Course!$N$2:$N$19,MATCH($B1243,Course!$A$2:$A$19,0))),INDEX(Baseline!$B$3:$E$122,MATCH(MIN(MAX(ROUND(($D1243)/5,0)*5,5),600),Baseline!$A$3:$A$122,0),MATCH($C1243,Baseline!$B$2:$E$2,0))))))</f>
        <v/>
      </c>
      <c r="O1243" s="17" t="str">
        <f aca="false">IF($C1243="","",IF($E1243="H",0,IF($E1243="G",INDEX(Baseline!$I$3:$I$102,MIN(MAX(ROUND($F1243,0),1),100)),IF($E1243="T",IF($M1243=3,INDEX(Baseline!$B$3:$B$122,MATCH(MIN(MAX(ROUND(($F1243)/5,0)*5,5),600),Baseline!$A$3:$A$122,0))-Inputs!$B$9,INDEX(Course!$N$2:$N$19,MATCH($B1243,Course!$A$2:$A$19,0))),INDEX(Baseline!$B$3:$E$122,MATCH(MIN(MAX(ROUND(($F1243)/5,0)*5,5),600),Baseline!$A$3:$A$122,0),MATCH($E1243,Baseline!$B$2:$E$2,0))))))</f>
        <v/>
      </c>
      <c r="P1243" s="17" t="str">
        <f aca="false">IF($B1243="","",INDEX(Course!$N$2:$N$19,MATCH($B1243,Course!$A$2:$A$19,0)))</f>
        <v/>
      </c>
      <c r="Q1243" s="17" t="str">
        <f aca="false">IF($B1243="","",INDEX(Course!$P$2:$P$19,MATCH($B1243,Course!$A$2:$A$19,0)))</f>
        <v/>
      </c>
      <c r="R1243" s="17" t="str">
        <f aca="false">IF($C1243="","",IF(OR($C1243="G",$C1243="H"),0,IF($C1243="T",1,MIN(1,MAX(0,($N1243-Inputs!$B$8)/MAX($P1243-Inputs!$B$8,0.01))))))</f>
        <v/>
      </c>
      <c r="S1243" s="17" t="str">
        <f aca="false">IF($C1243="","",IF(OR($E1243="G",$E1243="H"),0,IF($E1243="T",1,MIN(1,MAX(0,($O1243-Inputs!$B$8)/MAX($P1243-Inputs!$B$8,0.01))))))</f>
        <v/>
      </c>
    </row>
    <row r="1244" customFormat="false" ht="15" hidden="false" customHeight="false" outlineLevel="0" collapsed="false">
      <c r="I1244" s="7" t="str">
        <f aca="false">IF($C1244="","",IF($C1244="G","PUTT",IF(AND($C1244="T",$M1244&gt;3),"OTT",IF($D1244&lt;=30,"ARG","APP"))))</f>
        <v/>
      </c>
      <c r="J1244" s="17" t="str">
        <f aca="false">IF($C1244="","",$N1244+$Q1244*$R1244)</f>
        <v/>
      </c>
      <c r="K1244" s="17" t="str">
        <f aca="false">IF($C1244="","",$O1244+$Q1244*$S1244)</f>
        <v/>
      </c>
      <c r="L1244" s="17" t="str">
        <f aca="false">IF($C1244="","",$J1244-$K1244-1-N($G1244))</f>
        <v/>
      </c>
      <c r="M1244" s="7" t="str">
        <f aca="false">IF($B1244="","",INDEX(Course!$B$2:$B$19,MATCH($B1244,Course!$A$2:$A$19,0)))</f>
        <v/>
      </c>
      <c r="N1244" s="17" t="str">
        <f aca="false">IF($C1244="","",IF($C1244="H",0,IF($C1244="G",INDEX(Baseline!$I$3:$I$102,MIN(MAX(ROUND($D1244,0),1),100)),IF($C1244="T",IF($M1244=3,INDEX(Baseline!$B$3:$B$122,MATCH(MIN(MAX(ROUND(($D1244)/5,0)*5,5),600),Baseline!$A$3:$A$122,0))-Inputs!$B$9,INDEX(Course!$N$2:$N$19,MATCH($B1244,Course!$A$2:$A$19,0))),INDEX(Baseline!$B$3:$E$122,MATCH(MIN(MAX(ROUND(($D1244)/5,0)*5,5),600),Baseline!$A$3:$A$122,0),MATCH($C1244,Baseline!$B$2:$E$2,0))))))</f>
        <v/>
      </c>
      <c r="O1244" s="17" t="str">
        <f aca="false">IF($C1244="","",IF($E1244="H",0,IF($E1244="G",INDEX(Baseline!$I$3:$I$102,MIN(MAX(ROUND($F1244,0),1),100)),IF($E1244="T",IF($M1244=3,INDEX(Baseline!$B$3:$B$122,MATCH(MIN(MAX(ROUND(($F1244)/5,0)*5,5),600),Baseline!$A$3:$A$122,0))-Inputs!$B$9,INDEX(Course!$N$2:$N$19,MATCH($B1244,Course!$A$2:$A$19,0))),INDEX(Baseline!$B$3:$E$122,MATCH(MIN(MAX(ROUND(($F1244)/5,0)*5,5),600),Baseline!$A$3:$A$122,0),MATCH($E1244,Baseline!$B$2:$E$2,0))))))</f>
        <v/>
      </c>
      <c r="P1244" s="17" t="str">
        <f aca="false">IF($B1244="","",INDEX(Course!$N$2:$N$19,MATCH($B1244,Course!$A$2:$A$19,0)))</f>
        <v/>
      </c>
      <c r="Q1244" s="17" t="str">
        <f aca="false">IF($B1244="","",INDEX(Course!$P$2:$P$19,MATCH($B1244,Course!$A$2:$A$19,0)))</f>
        <v/>
      </c>
      <c r="R1244" s="17" t="str">
        <f aca="false">IF($C1244="","",IF(OR($C1244="G",$C1244="H"),0,IF($C1244="T",1,MIN(1,MAX(0,($N1244-Inputs!$B$8)/MAX($P1244-Inputs!$B$8,0.01))))))</f>
        <v/>
      </c>
      <c r="S1244" s="17" t="str">
        <f aca="false">IF($C1244="","",IF(OR($E1244="G",$E1244="H"),0,IF($E1244="T",1,MIN(1,MAX(0,($O1244-Inputs!$B$8)/MAX($P1244-Inputs!$B$8,0.01))))))</f>
        <v/>
      </c>
    </row>
    <row r="1245" customFormat="false" ht="15" hidden="false" customHeight="false" outlineLevel="0" collapsed="false">
      <c r="I1245" s="7" t="str">
        <f aca="false">IF($C1245="","",IF($C1245="G","PUTT",IF(AND($C1245="T",$M1245&gt;3),"OTT",IF($D1245&lt;=30,"ARG","APP"))))</f>
        <v/>
      </c>
      <c r="J1245" s="17" t="str">
        <f aca="false">IF($C1245="","",$N1245+$Q1245*$R1245)</f>
        <v/>
      </c>
      <c r="K1245" s="17" t="str">
        <f aca="false">IF($C1245="","",$O1245+$Q1245*$S1245)</f>
        <v/>
      </c>
      <c r="L1245" s="17" t="str">
        <f aca="false">IF($C1245="","",$J1245-$K1245-1-N($G1245))</f>
        <v/>
      </c>
      <c r="M1245" s="7" t="str">
        <f aca="false">IF($B1245="","",INDEX(Course!$B$2:$B$19,MATCH($B1245,Course!$A$2:$A$19,0)))</f>
        <v/>
      </c>
      <c r="N1245" s="17" t="str">
        <f aca="false">IF($C1245="","",IF($C1245="H",0,IF($C1245="G",INDEX(Baseline!$I$3:$I$102,MIN(MAX(ROUND($D1245,0),1),100)),IF($C1245="T",IF($M1245=3,INDEX(Baseline!$B$3:$B$122,MATCH(MIN(MAX(ROUND(($D1245)/5,0)*5,5),600),Baseline!$A$3:$A$122,0))-Inputs!$B$9,INDEX(Course!$N$2:$N$19,MATCH($B1245,Course!$A$2:$A$19,0))),INDEX(Baseline!$B$3:$E$122,MATCH(MIN(MAX(ROUND(($D1245)/5,0)*5,5),600),Baseline!$A$3:$A$122,0),MATCH($C1245,Baseline!$B$2:$E$2,0))))))</f>
        <v/>
      </c>
      <c r="O1245" s="17" t="str">
        <f aca="false">IF($C1245="","",IF($E1245="H",0,IF($E1245="G",INDEX(Baseline!$I$3:$I$102,MIN(MAX(ROUND($F1245,0),1),100)),IF($E1245="T",IF($M1245=3,INDEX(Baseline!$B$3:$B$122,MATCH(MIN(MAX(ROUND(($F1245)/5,0)*5,5),600),Baseline!$A$3:$A$122,0))-Inputs!$B$9,INDEX(Course!$N$2:$N$19,MATCH($B1245,Course!$A$2:$A$19,0))),INDEX(Baseline!$B$3:$E$122,MATCH(MIN(MAX(ROUND(($F1245)/5,0)*5,5),600),Baseline!$A$3:$A$122,0),MATCH($E1245,Baseline!$B$2:$E$2,0))))))</f>
        <v/>
      </c>
      <c r="P1245" s="17" t="str">
        <f aca="false">IF($B1245="","",INDEX(Course!$N$2:$N$19,MATCH($B1245,Course!$A$2:$A$19,0)))</f>
        <v/>
      </c>
      <c r="Q1245" s="17" t="str">
        <f aca="false">IF($B1245="","",INDEX(Course!$P$2:$P$19,MATCH($B1245,Course!$A$2:$A$19,0)))</f>
        <v/>
      </c>
      <c r="R1245" s="17" t="str">
        <f aca="false">IF($C1245="","",IF(OR($C1245="G",$C1245="H"),0,IF($C1245="T",1,MIN(1,MAX(0,($N1245-Inputs!$B$8)/MAX($P1245-Inputs!$B$8,0.01))))))</f>
        <v/>
      </c>
      <c r="S1245" s="17" t="str">
        <f aca="false">IF($C1245="","",IF(OR($E1245="G",$E1245="H"),0,IF($E1245="T",1,MIN(1,MAX(0,($O1245-Inputs!$B$8)/MAX($P1245-Inputs!$B$8,0.01))))))</f>
        <v/>
      </c>
    </row>
    <row r="1246" customFormat="false" ht="15" hidden="false" customHeight="false" outlineLevel="0" collapsed="false">
      <c r="I1246" s="7" t="str">
        <f aca="false">IF($C1246="","",IF($C1246="G","PUTT",IF(AND($C1246="T",$M1246&gt;3),"OTT",IF($D1246&lt;=30,"ARG","APP"))))</f>
        <v/>
      </c>
      <c r="J1246" s="17" t="str">
        <f aca="false">IF($C1246="","",$N1246+$Q1246*$R1246)</f>
        <v/>
      </c>
      <c r="K1246" s="17" t="str">
        <f aca="false">IF($C1246="","",$O1246+$Q1246*$S1246)</f>
        <v/>
      </c>
      <c r="L1246" s="17" t="str">
        <f aca="false">IF($C1246="","",$J1246-$K1246-1-N($G1246))</f>
        <v/>
      </c>
      <c r="M1246" s="7" t="str">
        <f aca="false">IF($B1246="","",INDEX(Course!$B$2:$B$19,MATCH($B1246,Course!$A$2:$A$19,0)))</f>
        <v/>
      </c>
      <c r="N1246" s="17" t="str">
        <f aca="false">IF($C1246="","",IF($C1246="H",0,IF($C1246="G",INDEX(Baseline!$I$3:$I$102,MIN(MAX(ROUND($D1246,0),1),100)),IF($C1246="T",IF($M1246=3,INDEX(Baseline!$B$3:$B$122,MATCH(MIN(MAX(ROUND(($D1246)/5,0)*5,5),600),Baseline!$A$3:$A$122,0))-Inputs!$B$9,INDEX(Course!$N$2:$N$19,MATCH($B1246,Course!$A$2:$A$19,0))),INDEX(Baseline!$B$3:$E$122,MATCH(MIN(MAX(ROUND(($D1246)/5,0)*5,5),600),Baseline!$A$3:$A$122,0),MATCH($C1246,Baseline!$B$2:$E$2,0))))))</f>
        <v/>
      </c>
      <c r="O1246" s="17" t="str">
        <f aca="false">IF($C1246="","",IF($E1246="H",0,IF($E1246="G",INDEX(Baseline!$I$3:$I$102,MIN(MAX(ROUND($F1246,0),1),100)),IF($E1246="T",IF($M1246=3,INDEX(Baseline!$B$3:$B$122,MATCH(MIN(MAX(ROUND(($F1246)/5,0)*5,5),600),Baseline!$A$3:$A$122,0))-Inputs!$B$9,INDEX(Course!$N$2:$N$19,MATCH($B1246,Course!$A$2:$A$19,0))),INDEX(Baseline!$B$3:$E$122,MATCH(MIN(MAX(ROUND(($F1246)/5,0)*5,5),600),Baseline!$A$3:$A$122,0),MATCH($E1246,Baseline!$B$2:$E$2,0))))))</f>
        <v/>
      </c>
      <c r="P1246" s="17" t="str">
        <f aca="false">IF($B1246="","",INDEX(Course!$N$2:$N$19,MATCH($B1246,Course!$A$2:$A$19,0)))</f>
        <v/>
      </c>
      <c r="Q1246" s="17" t="str">
        <f aca="false">IF($B1246="","",INDEX(Course!$P$2:$P$19,MATCH($B1246,Course!$A$2:$A$19,0)))</f>
        <v/>
      </c>
      <c r="R1246" s="17" t="str">
        <f aca="false">IF($C1246="","",IF(OR($C1246="G",$C1246="H"),0,IF($C1246="T",1,MIN(1,MAX(0,($N1246-Inputs!$B$8)/MAX($P1246-Inputs!$B$8,0.01))))))</f>
        <v/>
      </c>
      <c r="S1246" s="17" t="str">
        <f aca="false">IF($C1246="","",IF(OR($E1246="G",$E1246="H"),0,IF($E1246="T",1,MIN(1,MAX(0,($O1246-Inputs!$B$8)/MAX($P1246-Inputs!$B$8,0.01))))))</f>
        <v/>
      </c>
    </row>
    <row r="1247" customFormat="false" ht="15" hidden="false" customHeight="false" outlineLevel="0" collapsed="false">
      <c r="I1247" s="7" t="str">
        <f aca="false">IF($C1247="","",IF($C1247="G","PUTT",IF(AND($C1247="T",$M1247&gt;3),"OTT",IF($D1247&lt;=30,"ARG","APP"))))</f>
        <v/>
      </c>
      <c r="J1247" s="17" t="str">
        <f aca="false">IF($C1247="","",$N1247+$Q1247*$R1247)</f>
        <v/>
      </c>
      <c r="K1247" s="17" t="str">
        <f aca="false">IF($C1247="","",$O1247+$Q1247*$S1247)</f>
        <v/>
      </c>
      <c r="L1247" s="17" t="str">
        <f aca="false">IF($C1247="","",$J1247-$K1247-1-N($G1247))</f>
        <v/>
      </c>
      <c r="M1247" s="7" t="str">
        <f aca="false">IF($B1247="","",INDEX(Course!$B$2:$B$19,MATCH($B1247,Course!$A$2:$A$19,0)))</f>
        <v/>
      </c>
      <c r="N1247" s="17" t="str">
        <f aca="false">IF($C1247="","",IF($C1247="H",0,IF($C1247="G",INDEX(Baseline!$I$3:$I$102,MIN(MAX(ROUND($D1247,0),1),100)),IF($C1247="T",IF($M1247=3,INDEX(Baseline!$B$3:$B$122,MATCH(MIN(MAX(ROUND(($D1247)/5,0)*5,5),600),Baseline!$A$3:$A$122,0))-Inputs!$B$9,INDEX(Course!$N$2:$N$19,MATCH($B1247,Course!$A$2:$A$19,0))),INDEX(Baseline!$B$3:$E$122,MATCH(MIN(MAX(ROUND(($D1247)/5,0)*5,5),600),Baseline!$A$3:$A$122,0),MATCH($C1247,Baseline!$B$2:$E$2,0))))))</f>
        <v/>
      </c>
      <c r="O1247" s="17" t="str">
        <f aca="false">IF($C1247="","",IF($E1247="H",0,IF($E1247="G",INDEX(Baseline!$I$3:$I$102,MIN(MAX(ROUND($F1247,0),1),100)),IF($E1247="T",IF($M1247=3,INDEX(Baseline!$B$3:$B$122,MATCH(MIN(MAX(ROUND(($F1247)/5,0)*5,5),600),Baseline!$A$3:$A$122,0))-Inputs!$B$9,INDEX(Course!$N$2:$N$19,MATCH($B1247,Course!$A$2:$A$19,0))),INDEX(Baseline!$B$3:$E$122,MATCH(MIN(MAX(ROUND(($F1247)/5,0)*5,5),600),Baseline!$A$3:$A$122,0),MATCH($E1247,Baseline!$B$2:$E$2,0))))))</f>
        <v/>
      </c>
      <c r="P1247" s="17" t="str">
        <f aca="false">IF($B1247="","",INDEX(Course!$N$2:$N$19,MATCH($B1247,Course!$A$2:$A$19,0)))</f>
        <v/>
      </c>
      <c r="Q1247" s="17" t="str">
        <f aca="false">IF($B1247="","",INDEX(Course!$P$2:$P$19,MATCH($B1247,Course!$A$2:$A$19,0)))</f>
        <v/>
      </c>
      <c r="R1247" s="17" t="str">
        <f aca="false">IF($C1247="","",IF(OR($C1247="G",$C1247="H"),0,IF($C1247="T",1,MIN(1,MAX(0,($N1247-Inputs!$B$8)/MAX($P1247-Inputs!$B$8,0.01))))))</f>
        <v/>
      </c>
      <c r="S1247" s="17" t="str">
        <f aca="false">IF($C1247="","",IF(OR($E1247="G",$E1247="H"),0,IF($E1247="T",1,MIN(1,MAX(0,($O1247-Inputs!$B$8)/MAX($P1247-Inputs!$B$8,0.01))))))</f>
        <v/>
      </c>
    </row>
    <row r="1248" customFormat="false" ht="15" hidden="false" customHeight="false" outlineLevel="0" collapsed="false">
      <c r="I1248" s="7" t="str">
        <f aca="false">IF($C1248="","",IF($C1248="G","PUTT",IF(AND($C1248="T",$M1248&gt;3),"OTT",IF($D1248&lt;=30,"ARG","APP"))))</f>
        <v/>
      </c>
      <c r="J1248" s="17" t="str">
        <f aca="false">IF($C1248="","",$N1248+$Q1248*$R1248)</f>
        <v/>
      </c>
      <c r="K1248" s="17" t="str">
        <f aca="false">IF($C1248="","",$O1248+$Q1248*$S1248)</f>
        <v/>
      </c>
      <c r="L1248" s="17" t="str">
        <f aca="false">IF($C1248="","",$J1248-$K1248-1-N($G1248))</f>
        <v/>
      </c>
      <c r="M1248" s="7" t="str">
        <f aca="false">IF($B1248="","",INDEX(Course!$B$2:$B$19,MATCH($B1248,Course!$A$2:$A$19,0)))</f>
        <v/>
      </c>
      <c r="N1248" s="17" t="str">
        <f aca="false">IF($C1248="","",IF($C1248="H",0,IF($C1248="G",INDEX(Baseline!$I$3:$I$102,MIN(MAX(ROUND($D1248,0),1),100)),IF($C1248="T",IF($M1248=3,INDEX(Baseline!$B$3:$B$122,MATCH(MIN(MAX(ROUND(($D1248)/5,0)*5,5),600),Baseline!$A$3:$A$122,0))-Inputs!$B$9,INDEX(Course!$N$2:$N$19,MATCH($B1248,Course!$A$2:$A$19,0))),INDEX(Baseline!$B$3:$E$122,MATCH(MIN(MAX(ROUND(($D1248)/5,0)*5,5),600),Baseline!$A$3:$A$122,0),MATCH($C1248,Baseline!$B$2:$E$2,0))))))</f>
        <v/>
      </c>
      <c r="O1248" s="17" t="str">
        <f aca="false">IF($C1248="","",IF($E1248="H",0,IF($E1248="G",INDEX(Baseline!$I$3:$I$102,MIN(MAX(ROUND($F1248,0),1),100)),IF($E1248="T",IF($M1248=3,INDEX(Baseline!$B$3:$B$122,MATCH(MIN(MAX(ROUND(($F1248)/5,0)*5,5),600),Baseline!$A$3:$A$122,0))-Inputs!$B$9,INDEX(Course!$N$2:$N$19,MATCH($B1248,Course!$A$2:$A$19,0))),INDEX(Baseline!$B$3:$E$122,MATCH(MIN(MAX(ROUND(($F1248)/5,0)*5,5),600),Baseline!$A$3:$A$122,0),MATCH($E1248,Baseline!$B$2:$E$2,0))))))</f>
        <v/>
      </c>
      <c r="P1248" s="17" t="str">
        <f aca="false">IF($B1248="","",INDEX(Course!$N$2:$N$19,MATCH($B1248,Course!$A$2:$A$19,0)))</f>
        <v/>
      </c>
      <c r="Q1248" s="17" t="str">
        <f aca="false">IF($B1248="","",INDEX(Course!$P$2:$P$19,MATCH($B1248,Course!$A$2:$A$19,0)))</f>
        <v/>
      </c>
      <c r="R1248" s="17" t="str">
        <f aca="false">IF($C1248="","",IF(OR($C1248="G",$C1248="H"),0,IF($C1248="T",1,MIN(1,MAX(0,($N1248-Inputs!$B$8)/MAX($P1248-Inputs!$B$8,0.01))))))</f>
        <v/>
      </c>
      <c r="S1248" s="17" t="str">
        <f aca="false">IF($C1248="","",IF(OR($E1248="G",$E1248="H"),0,IF($E1248="T",1,MIN(1,MAX(0,($O1248-Inputs!$B$8)/MAX($P1248-Inputs!$B$8,0.01))))))</f>
        <v/>
      </c>
    </row>
    <row r="1249" customFormat="false" ht="15" hidden="false" customHeight="false" outlineLevel="0" collapsed="false">
      <c r="I1249" s="7" t="str">
        <f aca="false">IF($C1249="","",IF($C1249="G","PUTT",IF(AND($C1249="T",$M1249&gt;3),"OTT",IF($D1249&lt;=30,"ARG","APP"))))</f>
        <v/>
      </c>
      <c r="J1249" s="17" t="str">
        <f aca="false">IF($C1249="","",$N1249+$Q1249*$R1249)</f>
        <v/>
      </c>
      <c r="K1249" s="17" t="str">
        <f aca="false">IF($C1249="","",$O1249+$Q1249*$S1249)</f>
        <v/>
      </c>
      <c r="L1249" s="17" t="str">
        <f aca="false">IF($C1249="","",$J1249-$K1249-1-N($G1249))</f>
        <v/>
      </c>
      <c r="M1249" s="7" t="str">
        <f aca="false">IF($B1249="","",INDEX(Course!$B$2:$B$19,MATCH($B1249,Course!$A$2:$A$19,0)))</f>
        <v/>
      </c>
      <c r="N1249" s="17" t="str">
        <f aca="false">IF($C1249="","",IF($C1249="H",0,IF($C1249="G",INDEX(Baseline!$I$3:$I$102,MIN(MAX(ROUND($D1249,0),1),100)),IF($C1249="T",IF($M1249=3,INDEX(Baseline!$B$3:$B$122,MATCH(MIN(MAX(ROUND(($D1249)/5,0)*5,5),600),Baseline!$A$3:$A$122,0))-Inputs!$B$9,INDEX(Course!$N$2:$N$19,MATCH($B1249,Course!$A$2:$A$19,0))),INDEX(Baseline!$B$3:$E$122,MATCH(MIN(MAX(ROUND(($D1249)/5,0)*5,5),600),Baseline!$A$3:$A$122,0),MATCH($C1249,Baseline!$B$2:$E$2,0))))))</f>
        <v/>
      </c>
      <c r="O1249" s="17" t="str">
        <f aca="false">IF($C1249="","",IF($E1249="H",0,IF($E1249="G",INDEX(Baseline!$I$3:$I$102,MIN(MAX(ROUND($F1249,0),1),100)),IF($E1249="T",IF($M1249=3,INDEX(Baseline!$B$3:$B$122,MATCH(MIN(MAX(ROUND(($F1249)/5,0)*5,5),600),Baseline!$A$3:$A$122,0))-Inputs!$B$9,INDEX(Course!$N$2:$N$19,MATCH($B1249,Course!$A$2:$A$19,0))),INDEX(Baseline!$B$3:$E$122,MATCH(MIN(MAX(ROUND(($F1249)/5,0)*5,5),600),Baseline!$A$3:$A$122,0),MATCH($E1249,Baseline!$B$2:$E$2,0))))))</f>
        <v/>
      </c>
      <c r="P1249" s="17" t="str">
        <f aca="false">IF($B1249="","",INDEX(Course!$N$2:$N$19,MATCH($B1249,Course!$A$2:$A$19,0)))</f>
        <v/>
      </c>
      <c r="Q1249" s="17" t="str">
        <f aca="false">IF($B1249="","",INDEX(Course!$P$2:$P$19,MATCH($B1249,Course!$A$2:$A$19,0)))</f>
        <v/>
      </c>
      <c r="R1249" s="17" t="str">
        <f aca="false">IF($C1249="","",IF(OR($C1249="G",$C1249="H"),0,IF($C1249="T",1,MIN(1,MAX(0,($N1249-Inputs!$B$8)/MAX($P1249-Inputs!$B$8,0.01))))))</f>
        <v/>
      </c>
      <c r="S1249" s="17" t="str">
        <f aca="false">IF($C1249="","",IF(OR($E1249="G",$E1249="H"),0,IF($E1249="T",1,MIN(1,MAX(0,($O1249-Inputs!$B$8)/MAX($P1249-Inputs!$B$8,0.01))))))</f>
        <v/>
      </c>
    </row>
    <row r="1250" customFormat="false" ht="15" hidden="false" customHeight="false" outlineLevel="0" collapsed="false">
      <c r="I1250" s="7" t="str">
        <f aca="false">IF($C1250="","",IF($C1250="G","PUTT",IF(AND($C1250="T",$M1250&gt;3),"OTT",IF($D1250&lt;=30,"ARG","APP"))))</f>
        <v/>
      </c>
      <c r="J1250" s="17" t="str">
        <f aca="false">IF($C1250="","",$N1250+$Q1250*$R1250)</f>
        <v/>
      </c>
      <c r="K1250" s="17" t="str">
        <f aca="false">IF($C1250="","",$O1250+$Q1250*$S1250)</f>
        <v/>
      </c>
      <c r="L1250" s="17" t="str">
        <f aca="false">IF($C1250="","",$J1250-$K1250-1-N($G1250))</f>
        <v/>
      </c>
      <c r="M1250" s="7" t="str">
        <f aca="false">IF($B1250="","",INDEX(Course!$B$2:$B$19,MATCH($B1250,Course!$A$2:$A$19,0)))</f>
        <v/>
      </c>
      <c r="N1250" s="17" t="str">
        <f aca="false">IF($C1250="","",IF($C1250="H",0,IF($C1250="G",INDEX(Baseline!$I$3:$I$102,MIN(MAX(ROUND($D1250,0),1),100)),IF($C1250="T",IF($M1250=3,INDEX(Baseline!$B$3:$B$122,MATCH(MIN(MAX(ROUND(($D1250)/5,0)*5,5),600),Baseline!$A$3:$A$122,0))-Inputs!$B$9,INDEX(Course!$N$2:$N$19,MATCH($B1250,Course!$A$2:$A$19,0))),INDEX(Baseline!$B$3:$E$122,MATCH(MIN(MAX(ROUND(($D1250)/5,0)*5,5),600),Baseline!$A$3:$A$122,0),MATCH($C1250,Baseline!$B$2:$E$2,0))))))</f>
        <v/>
      </c>
      <c r="O1250" s="17" t="str">
        <f aca="false">IF($C1250="","",IF($E1250="H",0,IF($E1250="G",INDEX(Baseline!$I$3:$I$102,MIN(MAX(ROUND($F1250,0),1),100)),IF($E1250="T",IF($M1250=3,INDEX(Baseline!$B$3:$B$122,MATCH(MIN(MAX(ROUND(($F1250)/5,0)*5,5),600),Baseline!$A$3:$A$122,0))-Inputs!$B$9,INDEX(Course!$N$2:$N$19,MATCH($B1250,Course!$A$2:$A$19,0))),INDEX(Baseline!$B$3:$E$122,MATCH(MIN(MAX(ROUND(($F1250)/5,0)*5,5),600),Baseline!$A$3:$A$122,0),MATCH($E1250,Baseline!$B$2:$E$2,0))))))</f>
        <v/>
      </c>
      <c r="P1250" s="17" t="str">
        <f aca="false">IF($B1250="","",INDEX(Course!$N$2:$N$19,MATCH($B1250,Course!$A$2:$A$19,0)))</f>
        <v/>
      </c>
      <c r="Q1250" s="17" t="str">
        <f aca="false">IF($B1250="","",INDEX(Course!$P$2:$P$19,MATCH($B1250,Course!$A$2:$A$19,0)))</f>
        <v/>
      </c>
      <c r="R1250" s="17" t="str">
        <f aca="false">IF($C1250="","",IF(OR($C1250="G",$C1250="H"),0,IF($C1250="T",1,MIN(1,MAX(0,($N1250-Inputs!$B$8)/MAX($P1250-Inputs!$B$8,0.01))))))</f>
        <v/>
      </c>
      <c r="S1250" s="17" t="str">
        <f aca="false">IF($C1250="","",IF(OR($E1250="G",$E1250="H"),0,IF($E1250="T",1,MIN(1,MAX(0,($O1250-Inputs!$B$8)/MAX($P1250-Inputs!$B$8,0.01))))))</f>
        <v/>
      </c>
    </row>
    <row r="1251" customFormat="false" ht="15" hidden="false" customHeight="false" outlineLevel="0" collapsed="false">
      <c r="I1251" s="7" t="str">
        <f aca="false">IF($C1251="","",IF($C1251="G","PUTT",IF(AND($C1251="T",$M1251&gt;3),"OTT",IF($D1251&lt;=30,"ARG","APP"))))</f>
        <v/>
      </c>
      <c r="J1251" s="17" t="str">
        <f aca="false">IF($C1251="","",$N1251+$Q1251*$R1251)</f>
        <v/>
      </c>
      <c r="K1251" s="17" t="str">
        <f aca="false">IF($C1251="","",$O1251+$Q1251*$S1251)</f>
        <v/>
      </c>
      <c r="L1251" s="17" t="str">
        <f aca="false">IF($C1251="","",$J1251-$K1251-1-N($G1251))</f>
        <v/>
      </c>
      <c r="M1251" s="7" t="str">
        <f aca="false">IF($B1251="","",INDEX(Course!$B$2:$B$19,MATCH($B1251,Course!$A$2:$A$19,0)))</f>
        <v/>
      </c>
      <c r="N1251" s="17" t="str">
        <f aca="false">IF($C1251="","",IF($C1251="H",0,IF($C1251="G",INDEX(Baseline!$I$3:$I$102,MIN(MAX(ROUND($D1251,0),1),100)),IF($C1251="T",IF($M1251=3,INDEX(Baseline!$B$3:$B$122,MATCH(MIN(MAX(ROUND(($D1251)/5,0)*5,5),600),Baseline!$A$3:$A$122,0))-Inputs!$B$9,INDEX(Course!$N$2:$N$19,MATCH($B1251,Course!$A$2:$A$19,0))),INDEX(Baseline!$B$3:$E$122,MATCH(MIN(MAX(ROUND(($D1251)/5,0)*5,5),600),Baseline!$A$3:$A$122,0),MATCH($C1251,Baseline!$B$2:$E$2,0))))))</f>
        <v/>
      </c>
      <c r="O1251" s="17" t="str">
        <f aca="false">IF($C1251="","",IF($E1251="H",0,IF($E1251="G",INDEX(Baseline!$I$3:$I$102,MIN(MAX(ROUND($F1251,0),1),100)),IF($E1251="T",IF($M1251=3,INDEX(Baseline!$B$3:$B$122,MATCH(MIN(MAX(ROUND(($F1251)/5,0)*5,5),600),Baseline!$A$3:$A$122,0))-Inputs!$B$9,INDEX(Course!$N$2:$N$19,MATCH($B1251,Course!$A$2:$A$19,0))),INDEX(Baseline!$B$3:$E$122,MATCH(MIN(MAX(ROUND(($F1251)/5,0)*5,5),600),Baseline!$A$3:$A$122,0),MATCH($E1251,Baseline!$B$2:$E$2,0))))))</f>
        <v/>
      </c>
      <c r="P1251" s="17" t="str">
        <f aca="false">IF($B1251="","",INDEX(Course!$N$2:$N$19,MATCH($B1251,Course!$A$2:$A$19,0)))</f>
        <v/>
      </c>
      <c r="Q1251" s="17" t="str">
        <f aca="false">IF($B1251="","",INDEX(Course!$P$2:$P$19,MATCH($B1251,Course!$A$2:$A$19,0)))</f>
        <v/>
      </c>
      <c r="R1251" s="17" t="str">
        <f aca="false">IF($C1251="","",IF(OR($C1251="G",$C1251="H"),0,IF($C1251="T",1,MIN(1,MAX(0,($N1251-Inputs!$B$8)/MAX($P1251-Inputs!$B$8,0.01))))))</f>
        <v/>
      </c>
      <c r="S1251" s="17" t="str">
        <f aca="false">IF($C1251="","",IF(OR($E1251="G",$E1251="H"),0,IF($E1251="T",1,MIN(1,MAX(0,($O1251-Inputs!$B$8)/MAX($P1251-Inputs!$B$8,0.01))))))</f>
        <v/>
      </c>
    </row>
    <row r="1252" customFormat="false" ht="15" hidden="false" customHeight="false" outlineLevel="0" collapsed="false">
      <c r="I1252" s="7" t="str">
        <f aca="false">IF($C1252="","",IF($C1252="G","PUTT",IF(AND($C1252="T",$M1252&gt;3),"OTT",IF($D1252&lt;=30,"ARG","APP"))))</f>
        <v/>
      </c>
      <c r="J1252" s="17" t="str">
        <f aca="false">IF($C1252="","",$N1252+$Q1252*$R1252)</f>
        <v/>
      </c>
      <c r="K1252" s="17" t="str">
        <f aca="false">IF($C1252="","",$O1252+$Q1252*$S1252)</f>
        <v/>
      </c>
      <c r="L1252" s="17" t="str">
        <f aca="false">IF($C1252="","",$J1252-$K1252-1-N($G1252))</f>
        <v/>
      </c>
      <c r="M1252" s="7" t="str">
        <f aca="false">IF($B1252="","",INDEX(Course!$B$2:$B$19,MATCH($B1252,Course!$A$2:$A$19,0)))</f>
        <v/>
      </c>
      <c r="N1252" s="17" t="str">
        <f aca="false">IF($C1252="","",IF($C1252="H",0,IF($C1252="G",INDEX(Baseline!$I$3:$I$102,MIN(MAX(ROUND($D1252,0),1),100)),IF($C1252="T",IF($M1252=3,INDEX(Baseline!$B$3:$B$122,MATCH(MIN(MAX(ROUND(($D1252)/5,0)*5,5),600),Baseline!$A$3:$A$122,0))-Inputs!$B$9,INDEX(Course!$N$2:$N$19,MATCH($B1252,Course!$A$2:$A$19,0))),INDEX(Baseline!$B$3:$E$122,MATCH(MIN(MAX(ROUND(($D1252)/5,0)*5,5),600),Baseline!$A$3:$A$122,0),MATCH($C1252,Baseline!$B$2:$E$2,0))))))</f>
        <v/>
      </c>
      <c r="O1252" s="17" t="str">
        <f aca="false">IF($C1252="","",IF($E1252="H",0,IF($E1252="G",INDEX(Baseline!$I$3:$I$102,MIN(MAX(ROUND($F1252,0),1),100)),IF($E1252="T",IF($M1252=3,INDEX(Baseline!$B$3:$B$122,MATCH(MIN(MAX(ROUND(($F1252)/5,0)*5,5),600),Baseline!$A$3:$A$122,0))-Inputs!$B$9,INDEX(Course!$N$2:$N$19,MATCH($B1252,Course!$A$2:$A$19,0))),INDEX(Baseline!$B$3:$E$122,MATCH(MIN(MAX(ROUND(($F1252)/5,0)*5,5),600),Baseline!$A$3:$A$122,0),MATCH($E1252,Baseline!$B$2:$E$2,0))))))</f>
        <v/>
      </c>
      <c r="P1252" s="17" t="str">
        <f aca="false">IF($B1252="","",INDEX(Course!$N$2:$N$19,MATCH($B1252,Course!$A$2:$A$19,0)))</f>
        <v/>
      </c>
      <c r="Q1252" s="17" t="str">
        <f aca="false">IF($B1252="","",INDEX(Course!$P$2:$P$19,MATCH($B1252,Course!$A$2:$A$19,0)))</f>
        <v/>
      </c>
      <c r="R1252" s="17" t="str">
        <f aca="false">IF($C1252="","",IF(OR($C1252="G",$C1252="H"),0,IF($C1252="T",1,MIN(1,MAX(0,($N1252-Inputs!$B$8)/MAX($P1252-Inputs!$B$8,0.01))))))</f>
        <v/>
      </c>
      <c r="S1252" s="17" t="str">
        <f aca="false">IF($C1252="","",IF(OR($E1252="G",$E1252="H"),0,IF($E1252="T",1,MIN(1,MAX(0,($O1252-Inputs!$B$8)/MAX($P1252-Inputs!$B$8,0.01))))))</f>
        <v/>
      </c>
    </row>
    <row r="1253" customFormat="false" ht="15" hidden="false" customHeight="false" outlineLevel="0" collapsed="false">
      <c r="I1253" s="7" t="str">
        <f aca="false">IF($C1253="","",IF($C1253="G","PUTT",IF(AND($C1253="T",$M1253&gt;3),"OTT",IF($D1253&lt;=30,"ARG","APP"))))</f>
        <v/>
      </c>
      <c r="J1253" s="17" t="str">
        <f aca="false">IF($C1253="","",$N1253+$Q1253*$R1253)</f>
        <v/>
      </c>
      <c r="K1253" s="17" t="str">
        <f aca="false">IF($C1253="","",$O1253+$Q1253*$S1253)</f>
        <v/>
      </c>
      <c r="L1253" s="17" t="str">
        <f aca="false">IF($C1253="","",$J1253-$K1253-1-N($G1253))</f>
        <v/>
      </c>
      <c r="M1253" s="7" t="str">
        <f aca="false">IF($B1253="","",INDEX(Course!$B$2:$B$19,MATCH($B1253,Course!$A$2:$A$19,0)))</f>
        <v/>
      </c>
      <c r="N1253" s="17" t="str">
        <f aca="false">IF($C1253="","",IF($C1253="H",0,IF($C1253="G",INDEX(Baseline!$I$3:$I$102,MIN(MAX(ROUND($D1253,0),1),100)),IF($C1253="T",IF($M1253=3,INDEX(Baseline!$B$3:$B$122,MATCH(MIN(MAX(ROUND(($D1253)/5,0)*5,5),600),Baseline!$A$3:$A$122,0))-Inputs!$B$9,INDEX(Course!$N$2:$N$19,MATCH($B1253,Course!$A$2:$A$19,0))),INDEX(Baseline!$B$3:$E$122,MATCH(MIN(MAX(ROUND(($D1253)/5,0)*5,5),600),Baseline!$A$3:$A$122,0),MATCH($C1253,Baseline!$B$2:$E$2,0))))))</f>
        <v/>
      </c>
      <c r="O1253" s="17" t="str">
        <f aca="false">IF($C1253="","",IF($E1253="H",0,IF($E1253="G",INDEX(Baseline!$I$3:$I$102,MIN(MAX(ROUND($F1253,0),1),100)),IF($E1253="T",IF($M1253=3,INDEX(Baseline!$B$3:$B$122,MATCH(MIN(MAX(ROUND(($F1253)/5,0)*5,5),600),Baseline!$A$3:$A$122,0))-Inputs!$B$9,INDEX(Course!$N$2:$N$19,MATCH($B1253,Course!$A$2:$A$19,0))),INDEX(Baseline!$B$3:$E$122,MATCH(MIN(MAX(ROUND(($F1253)/5,0)*5,5),600),Baseline!$A$3:$A$122,0),MATCH($E1253,Baseline!$B$2:$E$2,0))))))</f>
        <v/>
      </c>
      <c r="P1253" s="17" t="str">
        <f aca="false">IF($B1253="","",INDEX(Course!$N$2:$N$19,MATCH($B1253,Course!$A$2:$A$19,0)))</f>
        <v/>
      </c>
      <c r="Q1253" s="17" t="str">
        <f aca="false">IF($B1253="","",INDEX(Course!$P$2:$P$19,MATCH($B1253,Course!$A$2:$A$19,0)))</f>
        <v/>
      </c>
      <c r="R1253" s="17" t="str">
        <f aca="false">IF($C1253="","",IF(OR($C1253="G",$C1253="H"),0,IF($C1253="T",1,MIN(1,MAX(0,($N1253-Inputs!$B$8)/MAX($P1253-Inputs!$B$8,0.01))))))</f>
        <v/>
      </c>
      <c r="S1253" s="17" t="str">
        <f aca="false">IF($C1253="","",IF(OR($E1253="G",$E1253="H"),0,IF($E1253="T",1,MIN(1,MAX(0,($O1253-Inputs!$B$8)/MAX($P1253-Inputs!$B$8,0.01))))))</f>
        <v/>
      </c>
    </row>
    <row r="1254" customFormat="false" ht="15" hidden="false" customHeight="false" outlineLevel="0" collapsed="false">
      <c r="I1254" s="7" t="str">
        <f aca="false">IF($C1254="","",IF($C1254="G","PUTT",IF(AND($C1254="T",$M1254&gt;3),"OTT",IF($D1254&lt;=30,"ARG","APP"))))</f>
        <v/>
      </c>
      <c r="J1254" s="17" t="str">
        <f aca="false">IF($C1254="","",$N1254+$Q1254*$R1254)</f>
        <v/>
      </c>
      <c r="K1254" s="17" t="str">
        <f aca="false">IF($C1254="","",$O1254+$Q1254*$S1254)</f>
        <v/>
      </c>
      <c r="L1254" s="17" t="str">
        <f aca="false">IF($C1254="","",$J1254-$K1254-1-N($G1254))</f>
        <v/>
      </c>
      <c r="M1254" s="7" t="str">
        <f aca="false">IF($B1254="","",INDEX(Course!$B$2:$B$19,MATCH($B1254,Course!$A$2:$A$19,0)))</f>
        <v/>
      </c>
      <c r="N1254" s="17" t="str">
        <f aca="false">IF($C1254="","",IF($C1254="H",0,IF($C1254="G",INDEX(Baseline!$I$3:$I$102,MIN(MAX(ROUND($D1254,0),1),100)),IF($C1254="T",IF($M1254=3,INDEX(Baseline!$B$3:$B$122,MATCH(MIN(MAX(ROUND(($D1254)/5,0)*5,5),600),Baseline!$A$3:$A$122,0))-Inputs!$B$9,INDEX(Course!$N$2:$N$19,MATCH($B1254,Course!$A$2:$A$19,0))),INDEX(Baseline!$B$3:$E$122,MATCH(MIN(MAX(ROUND(($D1254)/5,0)*5,5),600),Baseline!$A$3:$A$122,0),MATCH($C1254,Baseline!$B$2:$E$2,0))))))</f>
        <v/>
      </c>
      <c r="O1254" s="17" t="str">
        <f aca="false">IF($C1254="","",IF($E1254="H",0,IF($E1254="G",INDEX(Baseline!$I$3:$I$102,MIN(MAX(ROUND($F1254,0),1),100)),IF($E1254="T",IF($M1254=3,INDEX(Baseline!$B$3:$B$122,MATCH(MIN(MAX(ROUND(($F1254)/5,0)*5,5),600),Baseline!$A$3:$A$122,0))-Inputs!$B$9,INDEX(Course!$N$2:$N$19,MATCH($B1254,Course!$A$2:$A$19,0))),INDEX(Baseline!$B$3:$E$122,MATCH(MIN(MAX(ROUND(($F1254)/5,0)*5,5),600),Baseline!$A$3:$A$122,0),MATCH($E1254,Baseline!$B$2:$E$2,0))))))</f>
        <v/>
      </c>
      <c r="P1254" s="17" t="str">
        <f aca="false">IF($B1254="","",INDEX(Course!$N$2:$N$19,MATCH($B1254,Course!$A$2:$A$19,0)))</f>
        <v/>
      </c>
      <c r="Q1254" s="17" t="str">
        <f aca="false">IF($B1254="","",INDEX(Course!$P$2:$P$19,MATCH($B1254,Course!$A$2:$A$19,0)))</f>
        <v/>
      </c>
      <c r="R1254" s="17" t="str">
        <f aca="false">IF($C1254="","",IF(OR($C1254="G",$C1254="H"),0,IF($C1254="T",1,MIN(1,MAX(0,($N1254-Inputs!$B$8)/MAX($P1254-Inputs!$B$8,0.01))))))</f>
        <v/>
      </c>
      <c r="S1254" s="17" t="str">
        <f aca="false">IF($C1254="","",IF(OR($E1254="G",$E1254="H"),0,IF($E1254="T",1,MIN(1,MAX(0,($O1254-Inputs!$B$8)/MAX($P1254-Inputs!$B$8,0.01))))))</f>
        <v/>
      </c>
    </row>
    <row r="1255" customFormat="false" ht="15" hidden="false" customHeight="false" outlineLevel="0" collapsed="false">
      <c r="I1255" s="7" t="str">
        <f aca="false">IF($C1255="","",IF($C1255="G","PUTT",IF(AND($C1255="T",$M1255&gt;3),"OTT",IF($D1255&lt;=30,"ARG","APP"))))</f>
        <v/>
      </c>
      <c r="J1255" s="17" t="str">
        <f aca="false">IF($C1255="","",$N1255+$Q1255*$R1255)</f>
        <v/>
      </c>
      <c r="K1255" s="17" t="str">
        <f aca="false">IF($C1255="","",$O1255+$Q1255*$S1255)</f>
        <v/>
      </c>
      <c r="L1255" s="17" t="str">
        <f aca="false">IF($C1255="","",$J1255-$K1255-1-N($G1255))</f>
        <v/>
      </c>
      <c r="M1255" s="7" t="str">
        <f aca="false">IF($B1255="","",INDEX(Course!$B$2:$B$19,MATCH($B1255,Course!$A$2:$A$19,0)))</f>
        <v/>
      </c>
      <c r="N1255" s="17" t="str">
        <f aca="false">IF($C1255="","",IF($C1255="H",0,IF($C1255="G",INDEX(Baseline!$I$3:$I$102,MIN(MAX(ROUND($D1255,0),1),100)),IF($C1255="T",IF($M1255=3,INDEX(Baseline!$B$3:$B$122,MATCH(MIN(MAX(ROUND(($D1255)/5,0)*5,5),600),Baseline!$A$3:$A$122,0))-Inputs!$B$9,INDEX(Course!$N$2:$N$19,MATCH($B1255,Course!$A$2:$A$19,0))),INDEX(Baseline!$B$3:$E$122,MATCH(MIN(MAX(ROUND(($D1255)/5,0)*5,5),600),Baseline!$A$3:$A$122,0),MATCH($C1255,Baseline!$B$2:$E$2,0))))))</f>
        <v/>
      </c>
      <c r="O1255" s="17" t="str">
        <f aca="false">IF($C1255="","",IF($E1255="H",0,IF($E1255="G",INDEX(Baseline!$I$3:$I$102,MIN(MAX(ROUND($F1255,0),1),100)),IF($E1255="T",IF($M1255=3,INDEX(Baseline!$B$3:$B$122,MATCH(MIN(MAX(ROUND(($F1255)/5,0)*5,5),600),Baseline!$A$3:$A$122,0))-Inputs!$B$9,INDEX(Course!$N$2:$N$19,MATCH($B1255,Course!$A$2:$A$19,0))),INDEX(Baseline!$B$3:$E$122,MATCH(MIN(MAX(ROUND(($F1255)/5,0)*5,5),600),Baseline!$A$3:$A$122,0),MATCH($E1255,Baseline!$B$2:$E$2,0))))))</f>
        <v/>
      </c>
      <c r="P1255" s="17" t="str">
        <f aca="false">IF($B1255="","",INDEX(Course!$N$2:$N$19,MATCH($B1255,Course!$A$2:$A$19,0)))</f>
        <v/>
      </c>
      <c r="Q1255" s="17" t="str">
        <f aca="false">IF($B1255="","",INDEX(Course!$P$2:$P$19,MATCH($B1255,Course!$A$2:$A$19,0)))</f>
        <v/>
      </c>
      <c r="R1255" s="17" t="str">
        <f aca="false">IF($C1255="","",IF(OR($C1255="G",$C1255="H"),0,IF($C1255="T",1,MIN(1,MAX(0,($N1255-Inputs!$B$8)/MAX($P1255-Inputs!$B$8,0.01))))))</f>
        <v/>
      </c>
      <c r="S1255" s="17" t="str">
        <f aca="false">IF($C1255="","",IF(OR($E1255="G",$E1255="H"),0,IF($E1255="T",1,MIN(1,MAX(0,($O1255-Inputs!$B$8)/MAX($P1255-Inputs!$B$8,0.01))))))</f>
        <v/>
      </c>
    </row>
    <row r="1256" customFormat="false" ht="15" hidden="false" customHeight="false" outlineLevel="0" collapsed="false">
      <c r="I1256" s="7" t="str">
        <f aca="false">IF($C1256="","",IF($C1256="G","PUTT",IF(AND($C1256="T",$M1256&gt;3),"OTT",IF($D1256&lt;=30,"ARG","APP"))))</f>
        <v/>
      </c>
      <c r="J1256" s="17" t="str">
        <f aca="false">IF($C1256="","",$N1256+$Q1256*$R1256)</f>
        <v/>
      </c>
      <c r="K1256" s="17" t="str">
        <f aca="false">IF($C1256="","",$O1256+$Q1256*$S1256)</f>
        <v/>
      </c>
      <c r="L1256" s="17" t="str">
        <f aca="false">IF($C1256="","",$J1256-$K1256-1-N($G1256))</f>
        <v/>
      </c>
      <c r="M1256" s="7" t="str">
        <f aca="false">IF($B1256="","",INDEX(Course!$B$2:$B$19,MATCH($B1256,Course!$A$2:$A$19,0)))</f>
        <v/>
      </c>
      <c r="N1256" s="17" t="str">
        <f aca="false">IF($C1256="","",IF($C1256="H",0,IF($C1256="G",INDEX(Baseline!$I$3:$I$102,MIN(MAX(ROUND($D1256,0),1),100)),IF($C1256="T",IF($M1256=3,INDEX(Baseline!$B$3:$B$122,MATCH(MIN(MAX(ROUND(($D1256)/5,0)*5,5),600),Baseline!$A$3:$A$122,0))-Inputs!$B$9,INDEX(Course!$N$2:$N$19,MATCH($B1256,Course!$A$2:$A$19,0))),INDEX(Baseline!$B$3:$E$122,MATCH(MIN(MAX(ROUND(($D1256)/5,0)*5,5),600),Baseline!$A$3:$A$122,0),MATCH($C1256,Baseline!$B$2:$E$2,0))))))</f>
        <v/>
      </c>
      <c r="O1256" s="17" t="str">
        <f aca="false">IF($C1256="","",IF($E1256="H",0,IF($E1256="G",INDEX(Baseline!$I$3:$I$102,MIN(MAX(ROUND($F1256,0),1),100)),IF($E1256="T",IF($M1256=3,INDEX(Baseline!$B$3:$B$122,MATCH(MIN(MAX(ROUND(($F1256)/5,0)*5,5),600),Baseline!$A$3:$A$122,0))-Inputs!$B$9,INDEX(Course!$N$2:$N$19,MATCH($B1256,Course!$A$2:$A$19,0))),INDEX(Baseline!$B$3:$E$122,MATCH(MIN(MAX(ROUND(($F1256)/5,0)*5,5),600),Baseline!$A$3:$A$122,0),MATCH($E1256,Baseline!$B$2:$E$2,0))))))</f>
        <v/>
      </c>
      <c r="P1256" s="17" t="str">
        <f aca="false">IF($B1256="","",INDEX(Course!$N$2:$N$19,MATCH($B1256,Course!$A$2:$A$19,0)))</f>
        <v/>
      </c>
      <c r="Q1256" s="17" t="str">
        <f aca="false">IF($B1256="","",INDEX(Course!$P$2:$P$19,MATCH($B1256,Course!$A$2:$A$19,0)))</f>
        <v/>
      </c>
      <c r="R1256" s="17" t="str">
        <f aca="false">IF($C1256="","",IF(OR($C1256="G",$C1256="H"),0,IF($C1256="T",1,MIN(1,MAX(0,($N1256-Inputs!$B$8)/MAX($P1256-Inputs!$B$8,0.01))))))</f>
        <v/>
      </c>
      <c r="S1256" s="17" t="str">
        <f aca="false">IF($C1256="","",IF(OR($E1256="G",$E1256="H"),0,IF($E1256="T",1,MIN(1,MAX(0,($O1256-Inputs!$B$8)/MAX($P1256-Inputs!$B$8,0.01))))))</f>
        <v/>
      </c>
    </row>
    <row r="1257" customFormat="false" ht="15" hidden="false" customHeight="false" outlineLevel="0" collapsed="false">
      <c r="I1257" s="7" t="str">
        <f aca="false">IF($C1257="","",IF($C1257="G","PUTT",IF(AND($C1257="T",$M1257&gt;3),"OTT",IF($D1257&lt;=30,"ARG","APP"))))</f>
        <v/>
      </c>
      <c r="J1257" s="17" t="str">
        <f aca="false">IF($C1257="","",$N1257+$Q1257*$R1257)</f>
        <v/>
      </c>
      <c r="K1257" s="17" t="str">
        <f aca="false">IF($C1257="","",$O1257+$Q1257*$S1257)</f>
        <v/>
      </c>
      <c r="L1257" s="17" t="str">
        <f aca="false">IF($C1257="","",$J1257-$K1257-1-N($G1257))</f>
        <v/>
      </c>
      <c r="M1257" s="7" t="str">
        <f aca="false">IF($B1257="","",INDEX(Course!$B$2:$B$19,MATCH($B1257,Course!$A$2:$A$19,0)))</f>
        <v/>
      </c>
      <c r="N1257" s="17" t="str">
        <f aca="false">IF($C1257="","",IF($C1257="H",0,IF($C1257="G",INDEX(Baseline!$I$3:$I$102,MIN(MAX(ROUND($D1257,0),1),100)),IF($C1257="T",IF($M1257=3,INDEX(Baseline!$B$3:$B$122,MATCH(MIN(MAX(ROUND(($D1257)/5,0)*5,5),600),Baseline!$A$3:$A$122,0))-Inputs!$B$9,INDEX(Course!$N$2:$N$19,MATCH($B1257,Course!$A$2:$A$19,0))),INDEX(Baseline!$B$3:$E$122,MATCH(MIN(MAX(ROUND(($D1257)/5,0)*5,5),600),Baseline!$A$3:$A$122,0),MATCH($C1257,Baseline!$B$2:$E$2,0))))))</f>
        <v/>
      </c>
      <c r="O1257" s="17" t="str">
        <f aca="false">IF($C1257="","",IF($E1257="H",0,IF($E1257="G",INDEX(Baseline!$I$3:$I$102,MIN(MAX(ROUND($F1257,0),1),100)),IF($E1257="T",IF($M1257=3,INDEX(Baseline!$B$3:$B$122,MATCH(MIN(MAX(ROUND(($F1257)/5,0)*5,5),600),Baseline!$A$3:$A$122,0))-Inputs!$B$9,INDEX(Course!$N$2:$N$19,MATCH($B1257,Course!$A$2:$A$19,0))),INDEX(Baseline!$B$3:$E$122,MATCH(MIN(MAX(ROUND(($F1257)/5,0)*5,5),600),Baseline!$A$3:$A$122,0),MATCH($E1257,Baseline!$B$2:$E$2,0))))))</f>
        <v/>
      </c>
      <c r="P1257" s="17" t="str">
        <f aca="false">IF($B1257="","",INDEX(Course!$N$2:$N$19,MATCH($B1257,Course!$A$2:$A$19,0)))</f>
        <v/>
      </c>
      <c r="Q1257" s="17" t="str">
        <f aca="false">IF($B1257="","",INDEX(Course!$P$2:$P$19,MATCH($B1257,Course!$A$2:$A$19,0)))</f>
        <v/>
      </c>
      <c r="R1257" s="17" t="str">
        <f aca="false">IF($C1257="","",IF(OR($C1257="G",$C1257="H"),0,IF($C1257="T",1,MIN(1,MAX(0,($N1257-Inputs!$B$8)/MAX($P1257-Inputs!$B$8,0.01))))))</f>
        <v/>
      </c>
      <c r="S1257" s="17" t="str">
        <f aca="false">IF($C1257="","",IF(OR($E1257="G",$E1257="H"),0,IF($E1257="T",1,MIN(1,MAX(0,($O1257-Inputs!$B$8)/MAX($P1257-Inputs!$B$8,0.01))))))</f>
        <v/>
      </c>
    </row>
    <row r="1258" customFormat="false" ht="15" hidden="false" customHeight="false" outlineLevel="0" collapsed="false">
      <c r="I1258" s="7" t="str">
        <f aca="false">IF($C1258="","",IF($C1258="G","PUTT",IF(AND($C1258="T",$M1258&gt;3),"OTT",IF($D1258&lt;=30,"ARG","APP"))))</f>
        <v/>
      </c>
      <c r="J1258" s="17" t="str">
        <f aca="false">IF($C1258="","",$N1258+$Q1258*$R1258)</f>
        <v/>
      </c>
      <c r="K1258" s="17" t="str">
        <f aca="false">IF($C1258="","",$O1258+$Q1258*$S1258)</f>
        <v/>
      </c>
      <c r="L1258" s="17" t="str">
        <f aca="false">IF($C1258="","",$J1258-$K1258-1-N($G1258))</f>
        <v/>
      </c>
      <c r="M1258" s="7" t="str">
        <f aca="false">IF($B1258="","",INDEX(Course!$B$2:$B$19,MATCH($B1258,Course!$A$2:$A$19,0)))</f>
        <v/>
      </c>
      <c r="N1258" s="17" t="str">
        <f aca="false">IF($C1258="","",IF($C1258="H",0,IF($C1258="G",INDEX(Baseline!$I$3:$I$102,MIN(MAX(ROUND($D1258,0),1),100)),IF($C1258="T",IF($M1258=3,INDEX(Baseline!$B$3:$B$122,MATCH(MIN(MAX(ROUND(($D1258)/5,0)*5,5),600),Baseline!$A$3:$A$122,0))-Inputs!$B$9,INDEX(Course!$N$2:$N$19,MATCH($B1258,Course!$A$2:$A$19,0))),INDEX(Baseline!$B$3:$E$122,MATCH(MIN(MAX(ROUND(($D1258)/5,0)*5,5),600),Baseline!$A$3:$A$122,0),MATCH($C1258,Baseline!$B$2:$E$2,0))))))</f>
        <v/>
      </c>
      <c r="O1258" s="17" t="str">
        <f aca="false">IF($C1258="","",IF($E1258="H",0,IF($E1258="G",INDEX(Baseline!$I$3:$I$102,MIN(MAX(ROUND($F1258,0),1),100)),IF($E1258="T",IF($M1258=3,INDEX(Baseline!$B$3:$B$122,MATCH(MIN(MAX(ROUND(($F1258)/5,0)*5,5),600),Baseline!$A$3:$A$122,0))-Inputs!$B$9,INDEX(Course!$N$2:$N$19,MATCH($B1258,Course!$A$2:$A$19,0))),INDEX(Baseline!$B$3:$E$122,MATCH(MIN(MAX(ROUND(($F1258)/5,0)*5,5),600),Baseline!$A$3:$A$122,0),MATCH($E1258,Baseline!$B$2:$E$2,0))))))</f>
        <v/>
      </c>
      <c r="P1258" s="17" t="str">
        <f aca="false">IF($B1258="","",INDEX(Course!$N$2:$N$19,MATCH($B1258,Course!$A$2:$A$19,0)))</f>
        <v/>
      </c>
      <c r="Q1258" s="17" t="str">
        <f aca="false">IF($B1258="","",INDEX(Course!$P$2:$P$19,MATCH($B1258,Course!$A$2:$A$19,0)))</f>
        <v/>
      </c>
      <c r="R1258" s="17" t="str">
        <f aca="false">IF($C1258="","",IF(OR($C1258="G",$C1258="H"),0,IF($C1258="T",1,MIN(1,MAX(0,($N1258-Inputs!$B$8)/MAX($P1258-Inputs!$B$8,0.01))))))</f>
        <v/>
      </c>
      <c r="S1258" s="17" t="str">
        <f aca="false">IF($C1258="","",IF(OR($E1258="G",$E1258="H"),0,IF($E1258="T",1,MIN(1,MAX(0,($O1258-Inputs!$B$8)/MAX($P1258-Inputs!$B$8,0.01))))))</f>
        <v/>
      </c>
    </row>
    <row r="1259" customFormat="false" ht="15" hidden="false" customHeight="false" outlineLevel="0" collapsed="false">
      <c r="I1259" s="7" t="str">
        <f aca="false">IF($C1259="","",IF($C1259="G","PUTT",IF(AND($C1259="T",$M1259&gt;3),"OTT",IF($D1259&lt;=30,"ARG","APP"))))</f>
        <v/>
      </c>
      <c r="J1259" s="17" t="str">
        <f aca="false">IF($C1259="","",$N1259+$Q1259*$R1259)</f>
        <v/>
      </c>
      <c r="K1259" s="17" t="str">
        <f aca="false">IF($C1259="","",$O1259+$Q1259*$S1259)</f>
        <v/>
      </c>
      <c r="L1259" s="17" t="str">
        <f aca="false">IF($C1259="","",$J1259-$K1259-1-N($G1259))</f>
        <v/>
      </c>
      <c r="M1259" s="7" t="str">
        <f aca="false">IF($B1259="","",INDEX(Course!$B$2:$B$19,MATCH($B1259,Course!$A$2:$A$19,0)))</f>
        <v/>
      </c>
      <c r="N1259" s="17" t="str">
        <f aca="false">IF($C1259="","",IF($C1259="H",0,IF($C1259="G",INDEX(Baseline!$I$3:$I$102,MIN(MAX(ROUND($D1259,0),1),100)),IF($C1259="T",IF($M1259=3,INDEX(Baseline!$B$3:$B$122,MATCH(MIN(MAX(ROUND(($D1259)/5,0)*5,5),600),Baseline!$A$3:$A$122,0))-Inputs!$B$9,INDEX(Course!$N$2:$N$19,MATCH($B1259,Course!$A$2:$A$19,0))),INDEX(Baseline!$B$3:$E$122,MATCH(MIN(MAX(ROUND(($D1259)/5,0)*5,5),600),Baseline!$A$3:$A$122,0),MATCH($C1259,Baseline!$B$2:$E$2,0))))))</f>
        <v/>
      </c>
      <c r="O1259" s="17" t="str">
        <f aca="false">IF($C1259="","",IF($E1259="H",0,IF($E1259="G",INDEX(Baseline!$I$3:$I$102,MIN(MAX(ROUND($F1259,0),1),100)),IF($E1259="T",IF($M1259=3,INDEX(Baseline!$B$3:$B$122,MATCH(MIN(MAX(ROUND(($F1259)/5,0)*5,5),600),Baseline!$A$3:$A$122,0))-Inputs!$B$9,INDEX(Course!$N$2:$N$19,MATCH($B1259,Course!$A$2:$A$19,0))),INDEX(Baseline!$B$3:$E$122,MATCH(MIN(MAX(ROUND(($F1259)/5,0)*5,5),600),Baseline!$A$3:$A$122,0),MATCH($E1259,Baseline!$B$2:$E$2,0))))))</f>
        <v/>
      </c>
      <c r="P1259" s="17" t="str">
        <f aca="false">IF($B1259="","",INDEX(Course!$N$2:$N$19,MATCH($B1259,Course!$A$2:$A$19,0)))</f>
        <v/>
      </c>
      <c r="Q1259" s="17" t="str">
        <f aca="false">IF($B1259="","",INDEX(Course!$P$2:$P$19,MATCH($B1259,Course!$A$2:$A$19,0)))</f>
        <v/>
      </c>
      <c r="R1259" s="17" t="str">
        <f aca="false">IF($C1259="","",IF(OR($C1259="G",$C1259="H"),0,IF($C1259="T",1,MIN(1,MAX(0,($N1259-Inputs!$B$8)/MAX($P1259-Inputs!$B$8,0.01))))))</f>
        <v/>
      </c>
      <c r="S1259" s="17" t="str">
        <f aca="false">IF($C1259="","",IF(OR($E1259="G",$E1259="H"),0,IF($E1259="T",1,MIN(1,MAX(0,($O1259-Inputs!$B$8)/MAX($P1259-Inputs!$B$8,0.01))))))</f>
        <v/>
      </c>
    </row>
    <row r="1260" customFormat="false" ht="15" hidden="false" customHeight="false" outlineLevel="0" collapsed="false">
      <c r="I1260" s="7" t="str">
        <f aca="false">IF($C1260="","",IF($C1260="G","PUTT",IF(AND($C1260="T",$M1260&gt;3),"OTT",IF($D1260&lt;=30,"ARG","APP"))))</f>
        <v/>
      </c>
      <c r="J1260" s="17" t="str">
        <f aca="false">IF($C1260="","",$N1260+$Q1260*$R1260)</f>
        <v/>
      </c>
      <c r="K1260" s="17" t="str">
        <f aca="false">IF($C1260="","",$O1260+$Q1260*$S1260)</f>
        <v/>
      </c>
      <c r="L1260" s="17" t="str">
        <f aca="false">IF($C1260="","",$J1260-$K1260-1-N($G1260))</f>
        <v/>
      </c>
      <c r="M1260" s="7" t="str">
        <f aca="false">IF($B1260="","",INDEX(Course!$B$2:$B$19,MATCH($B1260,Course!$A$2:$A$19,0)))</f>
        <v/>
      </c>
      <c r="N1260" s="17" t="str">
        <f aca="false">IF($C1260="","",IF($C1260="H",0,IF($C1260="G",INDEX(Baseline!$I$3:$I$102,MIN(MAX(ROUND($D1260,0),1),100)),IF($C1260="T",IF($M1260=3,INDEX(Baseline!$B$3:$B$122,MATCH(MIN(MAX(ROUND(($D1260)/5,0)*5,5),600),Baseline!$A$3:$A$122,0))-Inputs!$B$9,INDEX(Course!$N$2:$N$19,MATCH($B1260,Course!$A$2:$A$19,0))),INDEX(Baseline!$B$3:$E$122,MATCH(MIN(MAX(ROUND(($D1260)/5,0)*5,5),600),Baseline!$A$3:$A$122,0),MATCH($C1260,Baseline!$B$2:$E$2,0))))))</f>
        <v/>
      </c>
      <c r="O1260" s="17" t="str">
        <f aca="false">IF($C1260="","",IF($E1260="H",0,IF($E1260="G",INDEX(Baseline!$I$3:$I$102,MIN(MAX(ROUND($F1260,0),1),100)),IF($E1260="T",IF($M1260=3,INDEX(Baseline!$B$3:$B$122,MATCH(MIN(MAX(ROUND(($F1260)/5,0)*5,5),600),Baseline!$A$3:$A$122,0))-Inputs!$B$9,INDEX(Course!$N$2:$N$19,MATCH($B1260,Course!$A$2:$A$19,0))),INDEX(Baseline!$B$3:$E$122,MATCH(MIN(MAX(ROUND(($F1260)/5,0)*5,5),600),Baseline!$A$3:$A$122,0),MATCH($E1260,Baseline!$B$2:$E$2,0))))))</f>
        <v/>
      </c>
      <c r="P1260" s="17" t="str">
        <f aca="false">IF($B1260="","",INDEX(Course!$N$2:$N$19,MATCH($B1260,Course!$A$2:$A$19,0)))</f>
        <v/>
      </c>
      <c r="Q1260" s="17" t="str">
        <f aca="false">IF($B1260="","",INDEX(Course!$P$2:$P$19,MATCH($B1260,Course!$A$2:$A$19,0)))</f>
        <v/>
      </c>
      <c r="R1260" s="17" t="str">
        <f aca="false">IF($C1260="","",IF(OR($C1260="G",$C1260="H"),0,IF($C1260="T",1,MIN(1,MAX(0,($N1260-Inputs!$B$8)/MAX($P1260-Inputs!$B$8,0.01))))))</f>
        <v/>
      </c>
      <c r="S1260" s="17" t="str">
        <f aca="false">IF($C1260="","",IF(OR($E1260="G",$E1260="H"),0,IF($E1260="T",1,MIN(1,MAX(0,($O1260-Inputs!$B$8)/MAX($P1260-Inputs!$B$8,0.01))))))</f>
        <v/>
      </c>
    </row>
    <row r="1261" customFormat="false" ht="15" hidden="false" customHeight="false" outlineLevel="0" collapsed="false">
      <c r="I1261" s="7" t="str">
        <f aca="false">IF($C1261="","",IF($C1261="G","PUTT",IF(AND($C1261="T",$M1261&gt;3),"OTT",IF($D1261&lt;=30,"ARG","APP"))))</f>
        <v/>
      </c>
      <c r="J1261" s="17" t="str">
        <f aca="false">IF($C1261="","",$N1261+$Q1261*$R1261)</f>
        <v/>
      </c>
      <c r="K1261" s="17" t="str">
        <f aca="false">IF($C1261="","",$O1261+$Q1261*$S1261)</f>
        <v/>
      </c>
      <c r="L1261" s="17" t="str">
        <f aca="false">IF($C1261="","",$J1261-$K1261-1-N($G1261))</f>
        <v/>
      </c>
      <c r="M1261" s="7" t="str">
        <f aca="false">IF($B1261="","",INDEX(Course!$B$2:$B$19,MATCH($B1261,Course!$A$2:$A$19,0)))</f>
        <v/>
      </c>
      <c r="N1261" s="17" t="str">
        <f aca="false">IF($C1261="","",IF($C1261="H",0,IF($C1261="G",INDEX(Baseline!$I$3:$I$102,MIN(MAX(ROUND($D1261,0),1),100)),IF($C1261="T",IF($M1261=3,INDEX(Baseline!$B$3:$B$122,MATCH(MIN(MAX(ROUND(($D1261)/5,0)*5,5),600),Baseline!$A$3:$A$122,0))-Inputs!$B$9,INDEX(Course!$N$2:$N$19,MATCH($B1261,Course!$A$2:$A$19,0))),INDEX(Baseline!$B$3:$E$122,MATCH(MIN(MAX(ROUND(($D1261)/5,0)*5,5),600),Baseline!$A$3:$A$122,0),MATCH($C1261,Baseline!$B$2:$E$2,0))))))</f>
        <v/>
      </c>
      <c r="O1261" s="17" t="str">
        <f aca="false">IF($C1261="","",IF($E1261="H",0,IF($E1261="G",INDEX(Baseline!$I$3:$I$102,MIN(MAX(ROUND($F1261,0),1),100)),IF($E1261="T",IF($M1261=3,INDEX(Baseline!$B$3:$B$122,MATCH(MIN(MAX(ROUND(($F1261)/5,0)*5,5),600),Baseline!$A$3:$A$122,0))-Inputs!$B$9,INDEX(Course!$N$2:$N$19,MATCH($B1261,Course!$A$2:$A$19,0))),INDEX(Baseline!$B$3:$E$122,MATCH(MIN(MAX(ROUND(($F1261)/5,0)*5,5),600),Baseline!$A$3:$A$122,0),MATCH($E1261,Baseline!$B$2:$E$2,0))))))</f>
        <v/>
      </c>
      <c r="P1261" s="17" t="str">
        <f aca="false">IF($B1261="","",INDEX(Course!$N$2:$N$19,MATCH($B1261,Course!$A$2:$A$19,0)))</f>
        <v/>
      </c>
      <c r="Q1261" s="17" t="str">
        <f aca="false">IF($B1261="","",INDEX(Course!$P$2:$P$19,MATCH($B1261,Course!$A$2:$A$19,0)))</f>
        <v/>
      </c>
      <c r="R1261" s="17" t="str">
        <f aca="false">IF($C1261="","",IF(OR($C1261="G",$C1261="H"),0,IF($C1261="T",1,MIN(1,MAX(0,($N1261-Inputs!$B$8)/MAX($P1261-Inputs!$B$8,0.01))))))</f>
        <v/>
      </c>
      <c r="S1261" s="17" t="str">
        <f aca="false">IF($C1261="","",IF(OR($E1261="G",$E1261="H"),0,IF($E1261="T",1,MIN(1,MAX(0,($O1261-Inputs!$B$8)/MAX($P1261-Inputs!$B$8,0.01))))))</f>
        <v/>
      </c>
    </row>
    <row r="1262" customFormat="false" ht="15" hidden="false" customHeight="false" outlineLevel="0" collapsed="false">
      <c r="I1262" s="7" t="str">
        <f aca="false">IF($C1262="","",IF($C1262="G","PUTT",IF(AND($C1262="T",$M1262&gt;3),"OTT",IF($D1262&lt;=30,"ARG","APP"))))</f>
        <v/>
      </c>
      <c r="J1262" s="17" t="str">
        <f aca="false">IF($C1262="","",$N1262+$Q1262*$R1262)</f>
        <v/>
      </c>
      <c r="K1262" s="17" t="str">
        <f aca="false">IF($C1262="","",$O1262+$Q1262*$S1262)</f>
        <v/>
      </c>
      <c r="L1262" s="17" t="str">
        <f aca="false">IF($C1262="","",$J1262-$K1262-1-N($G1262))</f>
        <v/>
      </c>
      <c r="M1262" s="7" t="str">
        <f aca="false">IF($B1262="","",INDEX(Course!$B$2:$B$19,MATCH($B1262,Course!$A$2:$A$19,0)))</f>
        <v/>
      </c>
      <c r="N1262" s="17" t="str">
        <f aca="false">IF($C1262="","",IF($C1262="H",0,IF($C1262="G",INDEX(Baseline!$I$3:$I$102,MIN(MAX(ROUND($D1262,0),1),100)),IF($C1262="T",IF($M1262=3,INDEX(Baseline!$B$3:$B$122,MATCH(MIN(MAX(ROUND(($D1262)/5,0)*5,5),600),Baseline!$A$3:$A$122,0))-Inputs!$B$9,INDEX(Course!$N$2:$N$19,MATCH($B1262,Course!$A$2:$A$19,0))),INDEX(Baseline!$B$3:$E$122,MATCH(MIN(MAX(ROUND(($D1262)/5,0)*5,5),600),Baseline!$A$3:$A$122,0),MATCH($C1262,Baseline!$B$2:$E$2,0))))))</f>
        <v/>
      </c>
      <c r="O1262" s="17" t="str">
        <f aca="false">IF($C1262="","",IF($E1262="H",0,IF($E1262="G",INDEX(Baseline!$I$3:$I$102,MIN(MAX(ROUND($F1262,0),1),100)),IF($E1262="T",IF($M1262=3,INDEX(Baseline!$B$3:$B$122,MATCH(MIN(MAX(ROUND(($F1262)/5,0)*5,5),600),Baseline!$A$3:$A$122,0))-Inputs!$B$9,INDEX(Course!$N$2:$N$19,MATCH($B1262,Course!$A$2:$A$19,0))),INDEX(Baseline!$B$3:$E$122,MATCH(MIN(MAX(ROUND(($F1262)/5,0)*5,5),600),Baseline!$A$3:$A$122,0),MATCH($E1262,Baseline!$B$2:$E$2,0))))))</f>
        <v/>
      </c>
      <c r="P1262" s="17" t="str">
        <f aca="false">IF($B1262="","",INDEX(Course!$N$2:$N$19,MATCH($B1262,Course!$A$2:$A$19,0)))</f>
        <v/>
      </c>
      <c r="Q1262" s="17" t="str">
        <f aca="false">IF($B1262="","",INDEX(Course!$P$2:$P$19,MATCH($B1262,Course!$A$2:$A$19,0)))</f>
        <v/>
      </c>
      <c r="R1262" s="17" t="str">
        <f aca="false">IF($C1262="","",IF(OR($C1262="G",$C1262="H"),0,IF($C1262="T",1,MIN(1,MAX(0,($N1262-Inputs!$B$8)/MAX($P1262-Inputs!$B$8,0.01))))))</f>
        <v/>
      </c>
      <c r="S1262" s="17" t="str">
        <f aca="false">IF($C1262="","",IF(OR($E1262="G",$E1262="H"),0,IF($E1262="T",1,MIN(1,MAX(0,($O1262-Inputs!$B$8)/MAX($P1262-Inputs!$B$8,0.01))))))</f>
        <v/>
      </c>
    </row>
    <row r="1263" customFormat="false" ht="15" hidden="false" customHeight="false" outlineLevel="0" collapsed="false">
      <c r="I1263" s="7" t="str">
        <f aca="false">IF($C1263="","",IF($C1263="G","PUTT",IF(AND($C1263="T",$M1263&gt;3),"OTT",IF($D1263&lt;=30,"ARG","APP"))))</f>
        <v/>
      </c>
      <c r="J1263" s="17" t="str">
        <f aca="false">IF($C1263="","",$N1263+$Q1263*$R1263)</f>
        <v/>
      </c>
      <c r="K1263" s="17" t="str">
        <f aca="false">IF($C1263="","",$O1263+$Q1263*$S1263)</f>
        <v/>
      </c>
      <c r="L1263" s="17" t="str">
        <f aca="false">IF($C1263="","",$J1263-$K1263-1-N($G1263))</f>
        <v/>
      </c>
      <c r="M1263" s="7" t="str">
        <f aca="false">IF($B1263="","",INDEX(Course!$B$2:$B$19,MATCH($B1263,Course!$A$2:$A$19,0)))</f>
        <v/>
      </c>
      <c r="N1263" s="17" t="str">
        <f aca="false">IF($C1263="","",IF($C1263="H",0,IF($C1263="G",INDEX(Baseline!$I$3:$I$102,MIN(MAX(ROUND($D1263,0),1),100)),IF($C1263="T",IF($M1263=3,INDEX(Baseline!$B$3:$B$122,MATCH(MIN(MAX(ROUND(($D1263)/5,0)*5,5),600),Baseline!$A$3:$A$122,0))-Inputs!$B$9,INDEX(Course!$N$2:$N$19,MATCH($B1263,Course!$A$2:$A$19,0))),INDEX(Baseline!$B$3:$E$122,MATCH(MIN(MAX(ROUND(($D1263)/5,0)*5,5),600),Baseline!$A$3:$A$122,0),MATCH($C1263,Baseline!$B$2:$E$2,0))))))</f>
        <v/>
      </c>
      <c r="O1263" s="17" t="str">
        <f aca="false">IF($C1263="","",IF($E1263="H",0,IF($E1263="G",INDEX(Baseline!$I$3:$I$102,MIN(MAX(ROUND($F1263,0),1),100)),IF($E1263="T",IF($M1263=3,INDEX(Baseline!$B$3:$B$122,MATCH(MIN(MAX(ROUND(($F1263)/5,0)*5,5),600),Baseline!$A$3:$A$122,0))-Inputs!$B$9,INDEX(Course!$N$2:$N$19,MATCH($B1263,Course!$A$2:$A$19,0))),INDEX(Baseline!$B$3:$E$122,MATCH(MIN(MAX(ROUND(($F1263)/5,0)*5,5),600),Baseline!$A$3:$A$122,0),MATCH($E1263,Baseline!$B$2:$E$2,0))))))</f>
        <v/>
      </c>
      <c r="P1263" s="17" t="str">
        <f aca="false">IF($B1263="","",INDEX(Course!$N$2:$N$19,MATCH($B1263,Course!$A$2:$A$19,0)))</f>
        <v/>
      </c>
      <c r="Q1263" s="17" t="str">
        <f aca="false">IF($B1263="","",INDEX(Course!$P$2:$P$19,MATCH($B1263,Course!$A$2:$A$19,0)))</f>
        <v/>
      </c>
      <c r="R1263" s="17" t="str">
        <f aca="false">IF($C1263="","",IF(OR($C1263="G",$C1263="H"),0,IF($C1263="T",1,MIN(1,MAX(0,($N1263-Inputs!$B$8)/MAX($P1263-Inputs!$B$8,0.01))))))</f>
        <v/>
      </c>
      <c r="S1263" s="17" t="str">
        <f aca="false">IF($C1263="","",IF(OR($E1263="G",$E1263="H"),0,IF($E1263="T",1,MIN(1,MAX(0,($O1263-Inputs!$B$8)/MAX($P1263-Inputs!$B$8,0.01))))))</f>
        <v/>
      </c>
    </row>
    <row r="1264" customFormat="false" ht="15" hidden="false" customHeight="false" outlineLevel="0" collapsed="false">
      <c r="I1264" s="7" t="str">
        <f aca="false">IF($C1264="","",IF($C1264="G","PUTT",IF(AND($C1264="T",$M1264&gt;3),"OTT",IF($D1264&lt;=30,"ARG","APP"))))</f>
        <v/>
      </c>
      <c r="J1264" s="17" t="str">
        <f aca="false">IF($C1264="","",$N1264+$Q1264*$R1264)</f>
        <v/>
      </c>
      <c r="K1264" s="17" t="str">
        <f aca="false">IF($C1264="","",$O1264+$Q1264*$S1264)</f>
        <v/>
      </c>
      <c r="L1264" s="17" t="str">
        <f aca="false">IF($C1264="","",$J1264-$K1264-1-N($G1264))</f>
        <v/>
      </c>
      <c r="M1264" s="7" t="str">
        <f aca="false">IF($B1264="","",INDEX(Course!$B$2:$B$19,MATCH($B1264,Course!$A$2:$A$19,0)))</f>
        <v/>
      </c>
      <c r="N1264" s="17" t="str">
        <f aca="false">IF($C1264="","",IF($C1264="H",0,IF($C1264="G",INDEX(Baseline!$I$3:$I$102,MIN(MAX(ROUND($D1264,0),1),100)),IF($C1264="T",IF($M1264=3,INDEX(Baseline!$B$3:$B$122,MATCH(MIN(MAX(ROUND(($D1264)/5,0)*5,5),600),Baseline!$A$3:$A$122,0))-Inputs!$B$9,INDEX(Course!$N$2:$N$19,MATCH($B1264,Course!$A$2:$A$19,0))),INDEX(Baseline!$B$3:$E$122,MATCH(MIN(MAX(ROUND(($D1264)/5,0)*5,5),600),Baseline!$A$3:$A$122,0),MATCH($C1264,Baseline!$B$2:$E$2,0))))))</f>
        <v/>
      </c>
      <c r="O1264" s="17" t="str">
        <f aca="false">IF($C1264="","",IF($E1264="H",0,IF($E1264="G",INDEX(Baseline!$I$3:$I$102,MIN(MAX(ROUND($F1264,0),1),100)),IF($E1264="T",IF($M1264=3,INDEX(Baseline!$B$3:$B$122,MATCH(MIN(MAX(ROUND(($F1264)/5,0)*5,5),600),Baseline!$A$3:$A$122,0))-Inputs!$B$9,INDEX(Course!$N$2:$N$19,MATCH($B1264,Course!$A$2:$A$19,0))),INDEX(Baseline!$B$3:$E$122,MATCH(MIN(MAX(ROUND(($F1264)/5,0)*5,5),600),Baseline!$A$3:$A$122,0),MATCH($E1264,Baseline!$B$2:$E$2,0))))))</f>
        <v/>
      </c>
      <c r="P1264" s="17" t="str">
        <f aca="false">IF($B1264="","",INDEX(Course!$N$2:$N$19,MATCH($B1264,Course!$A$2:$A$19,0)))</f>
        <v/>
      </c>
      <c r="Q1264" s="17" t="str">
        <f aca="false">IF($B1264="","",INDEX(Course!$P$2:$P$19,MATCH($B1264,Course!$A$2:$A$19,0)))</f>
        <v/>
      </c>
      <c r="R1264" s="17" t="str">
        <f aca="false">IF($C1264="","",IF(OR($C1264="G",$C1264="H"),0,IF($C1264="T",1,MIN(1,MAX(0,($N1264-Inputs!$B$8)/MAX($P1264-Inputs!$B$8,0.01))))))</f>
        <v/>
      </c>
      <c r="S1264" s="17" t="str">
        <f aca="false">IF($C1264="","",IF(OR($E1264="G",$E1264="H"),0,IF($E1264="T",1,MIN(1,MAX(0,($O1264-Inputs!$B$8)/MAX($P1264-Inputs!$B$8,0.01))))))</f>
        <v/>
      </c>
    </row>
    <row r="1265" customFormat="false" ht="15" hidden="false" customHeight="false" outlineLevel="0" collapsed="false">
      <c r="I1265" s="7" t="str">
        <f aca="false">IF($C1265="","",IF($C1265="G","PUTT",IF(AND($C1265="T",$M1265&gt;3),"OTT",IF($D1265&lt;=30,"ARG","APP"))))</f>
        <v/>
      </c>
      <c r="J1265" s="17" t="str">
        <f aca="false">IF($C1265="","",$N1265+$Q1265*$R1265)</f>
        <v/>
      </c>
      <c r="K1265" s="17" t="str">
        <f aca="false">IF($C1265="","",$O1265+$Q1265*$S1265)</f>
        <v/>
      </c>
      <c r="L1265" s="17" t="str">
        <f aca="false">IF($C1265="","",$J1265-$K1265-1-N($G1265))</f>
        <v/>
      </c>
      <c r="M1265" s="7" t="str">
        <f aca="false">IF($B1265="","",INDEX(Course!$B$2:$B$19,MATCH($B1265,Course!$A$2:$A$19,0)))</f>
        <v/>
      </c>
      <c r="N1265" s="17" t="str">
        <f aca="false">IF($C1265="","",IF($C1265="H",0,IF($C1265="G",INDEX(Baseline!$I$3:$I$102,MIN(MAX(ROUND($D1265,0),1),100)),IF($C1265="T",IF($M1265=3,INDEX(Baseline!$B$3:$B$122,MATCH(MIN(MAX(ROUND(($D1265)/5,0)*5,5),600),Baseline!$A$3:$A$122,0))-Inputs!$B$9,INDEX(Course!$N$2:$N$19,MATCH($B1265,Course!$A$2:$A$19,0))),INDEX(Baseline!$B$3:$E$122,MATCH(MIN(MAX(ROUND(($D1265)/5,0)*5,5),600),Baseline!$A$3:$A$122,0),MATCH($C1265,Baseline!$B$2:$E$2,0))))))</f>
        <v/>
      </c>
      <c r="O1265" s="17" t="str">
        <f aca="false">IF($C1265="","",IF($E1265="H",0,IF($E1265="G",INDEX(Baseline!$I$3:$I$102,MIN(MAX(ROUND($F1265,0),1),100)),IF($E1265="T",IF($M1265=3,INDEX(Baseline!$B$3:$B$122,MATCH(MIN(MAX(ROUND(($F1265)/5,0)*5,5),600),Baseline!$A$3:$A$122,0))-Inputs!$B$9,INDEX(Course!$N$2:$N$19,MATCH($B1265,Course!$A$2:$A$19,0))),INDEX(Baseline!$B$3:$E$122,MATCH(MIN(MAX(ROUND(($F1265)/5,0)*5,5),600),Baseline!$A$3:$A$122,0),MATCH($E1265,Baseline!$B$2:$E$2,0))))))</f>
        <v/>
      </c>
      <c r="P1265" s="17" t="str">
        <f aca="false">IF($B1265="","",INDEX(Course!$N$2:$N$19,MATCH($B1265,Course!$A$2:$A$19,0)))</f>
        <v/>
      </c>
      <c r="Q1265" s="17" t="str">
        <f aca="false">IF($B1265="","",INDEX(Course!$P$2:$P$19,MATCH($B1265,Course!$A$2:$A$19,0)))</f>
        <v/>
      </c>
      <c r="R1265" s="17" t="str">
        <f aca="false">IF($C1265="","",IF(OR($C1265="G",$C1265="H"),0,IF($C1265="T",1,MIN(1,MAX(0,($N1265-Inputs!$B$8)/MAX($P1265-Inputs!$B$8,0.01))))))</f>
        <v/>
      </c>
      <c r="S1265" s="17" t="str">
        <f aca="false">IF($C1265="","",IF(OR($E1265="G",$E1265="H"),0,IF($E1265="T",1,MIN(1,MAX(0,($O1265-Inputs!$B$8)/MAX($P1265-Inputs!$B$8,0.01))))))</f>
        <v/>
      </c>
    </row>
    <row r="1266" customFormat="false" ht="15" hidden="false" customHeight="false" outlineLevel="0" collapsed="false">
      <c r="I1266" s="7" t="str">
        <f aca="false">IF($C1266="","",IF($C1266="G","PUTT",IF(AND($C1266="T",$M1266&gt;3),"OTT",IF($D1266&lt;=30,"ARG","APP"))))</f>
        <v/>
      </c>
      <c r="J1266" s="17" t="str">
        <f aca="false">IF($C1266="","",$N1266+$Q1266*$R1266)</f>
        <v/>
      </c>
      <c r="K1266" s="17" t="str">
        <f aca="false">IF($C1266="","",$O1266+$Q1266*$S1266)</f>
        <v/>
      </c>
      <c r="L1266" s="17" t="str">
        <f aca="false">IF($C1266="","",$J1266-$K1266-1-N($G1266))</f>
        <v/>
      </c>
      <c r="M1266" s="7" t="str">
        <f aca="false">IF($B1266="","",INDEX(Course!$B$2:$B$19,MATCH($B1266,Course!$A$2:$A$19,0)))</f>
        <v/>
      </c>
      <c r="N1266" s="17" t="str">
        <f aca="false">IF($C1266="","",IF($C1266="H",0,IF($C1266="G",INDEX(Baseline!$I$3:$I$102,MIN(MAX(ROUND($D1266,0),1),100)),IF($C1266="T",IF($M1266=3,INDEX(Baseline!$B$3:$B$122,MATCH(MIN(MAX(ROUND(($D1266)/5,0)*5,5),600),Baseline!$A$3:$A$122,0))-Inputs!$B$9,INDEX(Course!$N$2:$N$19,MATCH($B1266,Course!$A$2:$A$19,0))),INDEX(Baseline!$B$3:$E$122,MATCH(MIN(MAX(ROUND(($D1266)/5,0)*5,5),600),Baseline!$A$3:$A$122,0),MATCH($C1266,Baseline!$B$2:$E$2,0))))))</f>
        <v/>
      </c>
      <c r="O1266" s="17" t="str">
        <f aca="false">IF($C1266="","",IF($E1266="H",0,IF($E1266="G",INDEX(Baseline!$I$3:$I$102,MIN(MAX(ROUND($F1266,0),1),100)),IF($E1266="T",IF($M1266=3,INDEX(Baseline!$B$3:$B$122,MATCH(MIN(MAX(ROUND(($F1266)/5,0)*5,5),600),Baseline!$A$3:$A$122,0))-Inputs!$B$9,INDEX(Course!$N$2:$N$19,MATCH($B1266,Course!$A$2:$A$19,0))),INDEX(Baseline!$B$3:$E$122,MATCH(MIN(MAX(ROUND(($F1266)/5,0)*5,5),600),Baseline!$A$3:$A$122,0),MATCH($E1266,Baseline!$B$2:$E$2,0))))))</f>
        <v/>
      </c>
      <c r="P1266" s="17" t="str">
        <f aca="false">IF($B1266="","",INDEX(Course!$N$2:$N$19,MATCH($B1266,Course!$A$2:$A$19,0)))</f>
        <v/>
      </c>
      <c r="Q1266" s="17" t="str">
        <f aca="false">IF($B1266="","",INDEX(Course!$P$2:$P$19,MATCH($B1266,Course!$A$2:$A$19,0)))</f>
        <v/>
      </c>
      <c r="R1266" s="17" t="str">
        <f aca="false">IF($C1266="","",IF(OR($C1266="G",$C1266="H"),0,IF($C1266="T",1,MIN(1,MAX(0,($N1266-Inputs!$B$8)/MAX($P1266-Inputs!$B$8,0.01))))))</f>
        <v/>
      </c>
      <c r="S1266" s="17" t="str">
        <f aca="false">IF($C1266="","",IF(OR($E1266="G",$E1266="H"),0,IF($E1266="T",1,MIN(1,MAX(0,($O1266-Inputs!$B$8)/MAX($P1266-Inputs!$B$8,0.01))))))</f>
        <v/>
      </c>
    </row>
    <row r="1267" customFormat="false" ht="15" hidden="false" customHeight="false" outlineLevel="0" collapsed="false">
      <c r="I1267" s="7" t="str">
        <f aca="false">IF($C1267="","",IF($C1267="G","PUTT",IF(AND($C1267="T",$M1267&gt;3),"OTT",IF($D1267&lt;=30,"ARG","APP"))))</f>
        <v/>
      </c>
      <c r="J1267" s="17" t="str">
        <f aca="false">IF($C1267="","",$N1267+$Q1267*$R1267)</f>
        <v/>
      </c>
      <c r="K1267" s="17" t="str">
        <f aca="false">IF($C1267="","",$O1267+$Q1267*$S1267)</f>
        <v/>
      </c>
      <c r="L1267" s="17" t="str">
        <f aca="false">IF($C1267="","",$J1267-$K1267-1-N($G1267))</f>
        <v/>
      </c>
      <c r="M1267" s="7" t="str">
        <f aca="false">IF($B1267="","",INDEX(Course!$B$2:$B$19,MATCH($B1267,Course!$A$2:$A$19,0)))</f>
        <v/>
      </c>
      <c r="N1267" s="17" t="str">
        <f aca="false">IF($C1267="","",IF($C1267="H",0,IF($C1267="G",INDEX(Baseline!$I$3:$I$102,MIN(MAX(ROUND($D1267,0),1),100)),IF($C1267="T",IF($M1267=3,INDEX(Baseline!$B$3:$B$122,MATCH(MIN(MAX(ROUND(($D1267)/5,0)*5,5),600),Baseline!$A$3:$A$122,0))-Inputs!$B$9,INDEX(Course!$N$2:$N$19,MATCH($B1267,Course!$A$2:$A$19,0))),INDEX(Baseline!$B$3:$E$122,MATCH(MIN(MAX(ROUND(($D1267)/5,0)*5,5),600),Baseline!$A$3:$A$122,0),MATCH($C1267,Baseline!$B$2:$E$2,0))))))</f>
        <v/>
      </c>
      <c r="O1267" s="17" t="str">
        <f aca="false">IF($C1267="","",IF($E1267="H",0,IF($E1267="G",INDEX(Baseline!$I$3:$I$102,MIN(MAX(ROUND($F1267,0),1),100)),IF($E1267="T",IF($M1267=3,INDEX(Baseline!$B$3:$B$122,MATCH(MIN(MAX(ROUND(($F1267)/5,0)*5,5),600),Baseline!$A$3:$A$122,0))-Inputs!$B$9,INDEX(Course!$N$2:$N$19,MATCH($B1267,Course!$A$2:$A$19,0))),INDEX(Baseline!$B$3:$E$122,MATCH(MIN(MAX(ROUND(($F1267)/5,0)*5,5),600),Baseline!$A$3:$A$122,0),MATCH($E1267,Baseline!$B$2:$E$2,0))))))</f>
        <v/>
      </c>
      <c r="P1267" s="17" t="str">
        <f aca="false">IF($B1267="","",INDEX(Course!$N$2:$N$19,MATCH($B1267,Course!$A$2:$A$19,0)))</f>
        <v/>
      </c>
      <c r="Q1267" s="17" t="str">
        <f aca="false">IF($B1267="","",INDEX(Course!$P$2:$P$19,MATCH($B1267,Course!$A$2:$A$19,0)))</f>
        <v/>
      </c>
      <c r="R1267" s="17" t="str">
        <f aca="false">IF($C1267="","",IF(OR($C1267="G",$C1267="H"),0,IF($C1267="T",1,MIN(1,MAX(0,($N1267-Inputs!$B$8)/MAX($P1267-Inputs!$B$8,0.01))))))</f>
        <v/>
      </c>
      <c r="S1267" s="17" t="str">
        <f aca="false">IF($C1267="","",IF(OR($E1267="G",$E1267="H"),0,IF($E1267="T",1,MIN(1,MAX(0,($O1267-Inputs!$B$8)/MAX($P1267-Inputs!$B$8,0.01))))))</f>
        <v/>
      </c>
    </row>
    <row r="1268" customFormat="false" ht="15" hidden="false" customHeight="false" outlineLevel="0" collapsed="false">
      <c r="I1268" s="7" t="str">
        <f aca="false">IF($C1268="","",IF($C1268="G","PUTT",IF(AND($C1268="T",$M1268&gt;3),"OTT",IF($D1268&lt;=30,"ARG","APP"))))</f>
        <v/>
      </c>
      <c r="J1268" s="17" t="str">
        <f aca="false">IF($C1268="","",$N1268+$Q1268*$R1268)</f>
        <v/>
      </c>
      <c r="K1268" s="17" t="str">
        <f aca="false">IF($C1268="","",$O1268+$Q1268*$S1268)</f>
        <v/>
      </c>
      <c r="L1268" s="17" t="str">
        <f aca="false">IF($C1268="","",$J1268-$K1268-1-N($G1268))</f>
        <v/>
      </c>
      <c r="M1268" s="7" t="str">
        <f aca="false">IF($B1268="","",INDEX(Course!$B$2:$B$19,MATCH($B1268,Course!$A$2:$A$19,0)))</f>
        <v/>
      </c>
      <c r="N1268" s="17" t="str">
        <f aca="false">IF($C1268="","",IF($C1268="H",0,IF($C1268="G",INDEX(Baseline!$I$3:$I$102,MIN(MAX(ROUND($D1268,0),1),100)),IF($C1268="T",IF($M1268=3,INDEX(Baseline!$B$3:$B$122,MATCH(MIN(MAX(ROUND(($D1268)/5,0)*5,5),600),Baseline!$A$3:$A$122,0))-Inputs!$B$9,INDEX(Course!$N$2:$N$19,MATCH($B1268,Course!$A$2:$A$19,0))),INDEX(Baseline!$B$3:$E$122,MATCH(MIN(MAX(ROUND(($D1268)/5,0)*5,5),600),Baseline!$A$3:$A$122,0),MATCH($C1268,Baseline!$B$2:$E$2,0))))))</f>
        <v/>
      </c>
      <c r="O1268" s="17" t="str">
        <f aca="false">IF($C1268="","",IF($E1268="H",0,IF($E1268="G",INDEX(Baseline!$I$3:$I$102,MIN(MAX(ROUND($F1268,0),1),100)),IF($E1268="T",IF($M1268=3,INDEX(Baseline!$B$3:$B$122,MATCH(MIN(MAX(ROUND(($F1268)/5,0)*5,5),600),Baseline!$A$3:$A$122,0))-Inputs!$B$9,INDEX(Course!$N$2:$N$19,MATCH($B1268,Course!$A$2:$A$19,0))),INDEX(Baseline!$B$3:$E$122,MATCH(MIN(MAX(ROUND(($F1268)/5,0)*5,5),600),Baseline!$A$3:$A$122,0),MATCH($E1268,Baseline!$B$2:$E$2,0))))))</f>
        <v/>
      </c>
      <c r="P1268" s="17" t="str">
        <f aca="false">IF($B1268="","",INDEX(Course!$N$2:$N$19,MATCH($B1268,Course!$A$2:$A$19,0)))</f>
        <v/>
      </c>
      <c r="Q1268" s="17" t="str">
        <f aca="false">IF($B1268="","",INDEX(Course!$P$2:$P$19,MATCH($B1268,Course!$A$2:$A$19,0)))</f>
        <v/>
      </c>
      <c r="R1268" s="17" t="str">
        <f aca="false">IF($C1268="","",IF(OR($C1268="G",$C1268="H"),0,IF($C1268="T",1,MIN(1,MAX(0,($N1268-Inputs!$B$8)/MAX($P1268-Inputs!$B$8,0.01))))))</f>
        <v/>
      </c>
      <c r="S1268" s="17" t="str">
        <f aca="false">IF($C1268="","",IF(OR($E1268="G",$E1268="H"),0,IF($E1268="T",1,MIN(1,MAX(0,($O1268-Inputs!$B$8)/MAX($P1268-Inputs!$B$8,0.01))))))</f>
        <v/>
      </c>
    </row>
    <row r="1269" customFormat="false" ht="15" hidden="false" customHeight="false" outlineLevel="0" collapsed="false">
      <c r="I1269" s="7" t="str">
        <f aca="false">IF($C1269="","",IF($C1269="G","PUTT",IF(AND($C1269="T",$M1269&gt;3),"OTT",IF($D1269&lt;=30,"ARG","APP"))))</f>
        <v/>
      </c>
      <c r="J1269" s="17" t="str">
        <f aca="false">IF($C1269="","",$N1269+$Q1269*$R1269)</f>
        <v/>
      </c>
      <c r="K1269" s="17" t="str">
        <f aca="false">IF($C1269="","",$O1269+$Q1269*$S1269)</f>
        <v/>
      </c>
      <c r="L1269" s="17" t="str">
        <f aca="false">IF($C1269="","",$J1269-$K1269-1-N($G1269))</f>
        <v/>
      </c>
      <c r="M1269" s="7" t="str">
        <f aca="false">IF($B1269="","",INDEX(Course!$B$2:$B$19,MATCH($B1269,Course!$A$2:$A$19,0)))</f>
        <v/>
      </c>
      <c r="N1269" s="17" t="str">
        <f aca="false">IF($C1269="","",IF($C1269="H",0,IF($C1269="G",INDEX(Baseline!$I$3:$I$102,MIN(MAX(ROUND($D1269,0),1),100)),IF($C1269="T",IF($M1269=3,INDEX(Baseline!$B$3:$B$122,MATCH(MIN(MAX(ROUND(($D1269)/5,0)*5,5),600),Baseline!$A$3:$A$122,0))-Inputs!$B$9,INDEX(Course!$N$2:$N$19,MATCH($B1269,Course!$A$2:$A$19,0))),INDEX(Baseline!$B$3:$E$122,MATCH(MIN(MAX(ROUND(($D1269)/5,0)*5,5),600),Baseline!$A$3:$A$122,0),MATCH($C1269,Baseline!$B$2:$E$2,0))))))</f>
        <v/>
      </c>
      <c r="O1269" s="17" t="str">
        <f aca="false">IF($C1269="","",IF($E1269="H",0,IF($E1269="G",INDEX(Baseline!$I$3:$I$102,MIN(MAX(ROUND($F1269,0),1),100)),IF($E1269="T",IF($M1269=3,INDEX(Baseline!$B$3:$B$122,MATCH(MIN(MAX(ROUND(($F1269)/5,0)*5,5),600),Baseline!$A$3:$A$122,0))-Inputs!$B$9,INDEX(Course!$N$2:$N$19,MATCH($B1269,Course!$A$2:$A$19,0))),INDEX(Baseline!$B$3:$E$122,MATCH(MIN(MAX(ROUND(($F1269)/5,0)*5,5),600),Baseline!$A$3:$A$122,0),MATCH($E1269,Baseline!$B$2:$E$2,0))))))</f>
        <v/>
      </c>
      <c r="P1269" s="17" t="str">
        <f aca="false">IF($B1269="","",INDEX(Course!$N$2:$N$19,MATCH($B1269,Course!$A$2:$A$19,0)))</f>
        <v/>
      </c>
      <c r="Q1269" s="17" t="str">
        <f aca="false">IF($B1269="","",INDEX(Course!$P$2:$P$19,MATCH($B1269,Course!$A$2:$A$19,0)))</f>
        <v/>
      </c>
      <c r="R1269" s="17" t="str">
        <f aca="false">IF($C1269="","",IF(OR($C1269="G",$C1269="H"),0,IF($C1269="T",1,MIN(1,MAX(0,($N1269-Inputs!$B$8)/MAX($P1269-Inputs!$B$8,0.01))))))</f>
        <v/>
      </c>
      <c r="S1269" s="17" t="str">
        <f aca="false">IF($C1269="","",IF(OR($E1269="G",$E1269="H"),0,IF($E1269="T",1,MIN(1,MAX(0,($O1269-Inputs!$B$8)/MAX($P1269-Inputs!$B$8,0.01))))))</f>
        <v/>
      </c>
    </row>
    <row r="1270" customFormat="false" ht="15" hidden="false" customHeight="false" outlineLevel="0" collapsed="false">
      <c r="I1270" s="7" t="str">
        <f aca="false">IF($C1270="","",IF($C1270="G","PUTT",IF(AND($C1270="T",$M1270&gt;3),"OTT",IF($D1270&lt;=30,"ARG","APP"))))</f>
        <v/>
      </c>
      <c r="J1270" s="17" t="str">
        <f aca="false">IF($C1270="","",$N1270+$Q1270*$R1270)</f>
        <v/>
      </c>
      <c r="K1270" s="17" t="str">
        <f aca="false">IF($C1270="","",$O1270+$Q1270*$S1270)</f>
        <v/>
      </c>
      <c r="L1270" s="17" t="str">
        <f aca="false">IF($C1270="","",$J1270-$K1270-1-N($G1270))</f>
        <v/>
      </c>
      <c r="M1270" s="7" t="str">
        <f aca="false">IF($B1270="","",INDEX(Course!$B$2:$B$19,MATCH($B1270,Course!$A$2:$A$19,0)))</f>
        <v/>
      </c>
      <c r="N1270" s="17" t="str">
        <f aca="false">IF($C1270="","",IF($C1270="H",0,IF($C1270="G",INDEX(Baseline!$I$3:$I$102,MIN(MAX(ROUND($D1270,0),1),100)),IF($C1270="T",IF($M1270=3,INDEX(Baseline!$B$3:$B$122,MATCH(MIN(MAX(ROUND(($D1270)/5,0)*5,5),600),Baseline!$A$3:$A$122,0))-Inputs!$B$9,INDEX(Course!$N$2:$N$19,MATCH($B1270,Course!$A$2:$A$19,0))),INDEX(Baseline!$B$3:$E$122,MATCH(MIN(MAX(ROUND(($D1270)/5,0)*5,5),600),Baseline!$A$3:$A$122,0),MATCH($C1270,Baseline!$B$2:$E$2,0))))))</f>
        <v/>
      </c>
      <c r="O1270" s="17" t="str">
        <f aca="false">IF($C1270="","",IF($E1270="H",0,IF($E1270="G",INDEX(Baseline!$I$3:$I$102,MIN(MAX(ROUND($F1270,0),1),100)),IF($E1270="T",IF($M1270=3,INDEX(Baseline!$B$3:$B$122,MATCH(MIN(MAX(ROUND(($F1270)/5,0)*5,5),600),Baseline!$A$3:$A$122,0))-Inputs!$B$9,INDEX(Course!$N$2:$N$19,MATCH($B1270,Course!$A$2:$A$19,0))),INDEX(Baseline!$B$3:$E$122,MATCH(MIN(MAX(ROUND(($F1270)/5,0)*5,5),600),Baseline!$A$3:$A$122,0),MATCH($E1270,Baseline!$B$2:$E$2,0))))))</f>
        <v/>
      </c>
      <c r="P1270" s="17" t="str">
        <f aca="false">IF($B1270="","",INDEX(Course!$N$2:$N$19,MATCH($B1270,Course!$A$2:$A$19,0)))</f>
        <v/>
      </c>
      <c r="Q1270" s="17" t="str">
        <f aca="false">IF($B1270="","",INDEX(Course!$P$2:$P$19,MATCH($B1270,Course!$A$2:$A$19,0)))</f>
        <v/>
      </c>
      <c r="R1270" s="17" t="str">
        <f aca="false">IF($C1270="","",IF(OR($C1270="G",$C1270="H"),0,IF($C1270="T",1,MIN(1,MAX(0,($N1270-Inputs!$B$8)/MAX($P1270-Inputs!$B$8,0.01))))))</f>
        <v/>
      </c>
      <c r="S1270" s="17" t="str">
        <f aca="false">IF($C1270="","",IF(OR($E1270="G",$E1270="H"),0,IF($E1270="T",1,MIN(1,MAX(0,($O1270-Inputs!$B$8)/MAX($P1270-Inputs!$B$8,0.01))))))</f>
        <v/>
      </c>
    </row>
    <row r="1271" customFormat="false" ht="15" hidden="false" customHeight="false" outlineLevel="0" collapsed="false">
      <c r="I1271" s="7" t="str">
        <f aca="false">IF($C1271="","",IF($C1271="G","PUTT",IF(AND($C1271="T",$M1271&gt;3),"OTT",IF($D1271&lt;=30,"ARG","APP"))))</f>
        <v/>
      </c>
      <c r="J1271" s="17" t="str">
        <f aca="false">IF($C1271="","",$N1271+$Q1271*$R1271)</f>
        <v/>
      </c>
      <c r="K1271" s="17" t="str">
        <f aca="false">IF($C1271="","",$O1271+$Q1271*$S1271)</f>
        <v/>
      </c>
      <c r="L1271" s="17" t="str">
        <f aca="false">IF($C1271="","",$J1271-$K1271-1-N($G1271))</f>
        <v/>
      </c>
      <c r="M1271" s="7" t="str">
        <f aca="false">IF($B1271="","",INDEX(Course!$B$2:$B$19,MATCH($B1271,Course!$A$2:$A$19,0)))</f>
        <v/>
      </c>
      <c r="N1271" s="17" t="str">
        <f aca="false">IF($C1271="","",IF($C1271="H",0,IF($C1271="G",INDEX(Baseline!$I$3:$I$102,MIN(MAX(ROUND($D1271,0),1),100)),IF($C1271="T",IF($M1271=3,INDEX(Baseline!$B$3:$B$122,MATCH(MIN(MAX(ROUND(($D1271)/5,0)*5,5),600),Baseline!$A$3:$A$122,0))-Inputs!$B$9,INDEX(Course!$N$2:$N$19,MATCH($B1271,Course!$A$2:$A$19,0))),INDEX(Baseline!$B$3:$E$122,MATCH(MIN(MAX(ROUND(($D1271)/5,0)*5,5),600),Baseline!$A$3:$A$122,0),MATCH($C1271,Baseline!$B$2:$E$2,0))))))</f>
        <v/>
      </c>
      <c r="O1271" s="17" t="str">
        <f aca="false">IF($C1271="","",IF($E1271="H",0,IF($E1271="G",INDEX(Baseline!$I$3:$I$102,MIN(MAX(ROUND($F1271,0),1),100)),IF($E1271="T",IF($M1271=3,INDEX(Baseline!$B$3:$B$122,MATCH(MIN(MAX(ROUND(($F1271)/5,0)*5,5),600),Baseline!$A$3:$A$122,0))-Inputs!$B$9,INDEX(Course!$N$2:$N$19,MATCH($B1271,Course!$A$2:$A$19,0))),INDEX(Baseline!$B$3:$E$122,MATCH(MIN(MAX(ROUND(($F1271)/5,0)*5,5),600),Baseline!$A$3:$A$122,0),MATCH($E1271,Baseline!$B$2:$E$2,0))))))</f>
        <v/>
      </c>
      <c r="P1271" s="17" t="str">
        <f aca="false">IF($B1271="","",INDEX(Course!$N$2:$N$19,MATCH($B1271,Course!$A$2:$A$19,0)))</f>
        <v/>
      </c>
      <c r="Q1271" s="17" t="str">
        <f aca="false">IF($B1271="","",INDEX(Course!$P$2:$P$19,MATCH($B1271,Course!$A$2:$A$19,0)))</f>
        <v/>
      </c>
      <c r="R1271" s="17" t="str">
        <f aca="false">IF($C1271="","",IF(OR($C1271="G",$C1271="H"),0,IF($C1271="T",1,MIN(1,MAX(0,($N1271-Inputs!$B$8)/MAX($P1271-Inputs!$B$8,0.01))))))</f>
        <v/>
      </c>
      <c r="S1271" s="17" t="str">
        <f aca="false">IF($C1271="","",IF(OR($E1271="G",$E1271="H"),0,IF($E1271="T",1,MIN(1,MAX(0,($O1271-Inputs!$B$8)/MAX($P1271-Inputs!$B$8,0.01))))))</f>
        <v/>
      </c>
    </row>
    <row r="1272" customFormat="false" ht="15" hidden="false" customHeight="false" outlineLevel="0" collapsed="false">
      <c r="I1272" s="7" t="str">
        <f aca="false">IF($C1272="","",IF($C1272="G","PUTT",IF(AND($C1272="T",$M1272&gt;3),"OTT",IF($D1272&lt;=30,"ARG","APP"))))</f>
        <v/>
      </c>
      <c r="J1272" s="17" t="str">
        <f aca="false">IF($C1272="","",$N1272+$Q1272*$R1272)</f>
        <v/>
      </c>
      <c r="K1272" s="17" t="str">
        <f aca="false">IF($C1272="","",$O1272+$Q1272*$S1272)</f>
        <v/>
      </c>
      <c r="L1272" s="17" t="str">
        <f aca="false">IF($C1272="","",$J1272-$K1272-1-N($G1272))</f>
        <v/>
      </c>
      <c r="M1272" s="7" t="str">
        <f aca="false">IF($B1272="","",INDEX(Course!$B$2:$B$19,MATCH($B1272,Course!$A$2:$A$19,0)))</f>
        <v/>
      </c>
      <c r="N1272" s="17" t="str">
        <f aca="false">IF($C1272="","",IF($C1272="H",0,IF($C1272="G",INDEX(Baseline!$I$3:$I$102,MIN(MAX(ROUND($D1272,0),1),100)),IF($C1272="T",IF($M1272=3,INDEX(Baseline!$B$3:$B$122,MATCH(MIN(MAX(ROUND(($D1272)/5,0)*5,5),600),Baseline!$A$3:$A$122,0))-Inputs!$B$9,INDEX(Course!$N$2:$N$19,MATCH($B1272,Course!$A$2:$A$19,0))),INDEX(Baseline!$B$3:$E$122,MATCH(MIN(MAX(ROUND(($D1272)/5,0)*5,5),600),Baseline!$A$3:$A$122,0),MATCH($C1272,Baseline!$B$2:$E$2,0))))))</f>
        <v/>
      </c>
      <c r="O1272" s="17" t="str">
        <f aca="false">IF($C1272="","",IF($E1272="H",0,IF($E1272="G",INDEX(Baseline!$I$3:$I$102,MIN(MAX(ROUND($F1272,0),1),100)),IF($E1272="T",IF($M1272=3,INDEX(Baseline!$B$3:$B$122,MATCH(MIN(MAX(ROUND(($F1272)/5,0)*5,5),600),Baseline!$A$3:$A$122,0))-Inputs!$B$9,INDEX(Course!$N$2:$N$19,MATCH($B1272,Course!$A$2:$A$19,0))),INDEX(Baseline!$B$3:$E$122,MATCH(MIN(MAX(ROUND(($F1272)/5,0)*5,5),600),Baseline!$A$3:$A$122,0),MATCH($E1272,Baseline!$B$2:$E$2,0))))))</f>
        <v/>
      </c>
      <c r="P1272" s="17" t="str">
        <f aca="false">IF($B1272="","",INDEX(Course!$N$2:$N$19,MATCH($B1272,Course!$A$2:$A$19,0)))</f>
        <v/>
      </c>
      <c r="Q1272" s="17" t="str">
        <f aca="false">IF($B1272="","",INDEX(Course!$P$2:$P$19,MATCH($B1272,Course!$A$2:$A$19,0)))</f>
        <v/>
      </c>
      <c r="R1272" s="17" t="str">
        <f aca="false">IF($C1272="","",IF(OR($C1272="G",$C1272="H"),0,IF($C1272="T",1,MIN(1,MAX(0,($N1272-Inputs!$B$8)/MAX($P1272-Inputs!$B$8,0.01))))))</f>
        <v/>
      </c>
      <c r="S1272" s="17" t="str">
        <f aca="false">IF($C1272="","",IF(OR($E1272="G",$E1272="H"),0,IF($E1272="T",1,MIN(1,MAX(0,($O1272-Inputs!$B$8)/MAX($P1272-Inputs!$B$8,0.01))))))</f>
        <v/>
      </c>
    </row>
    <row r="1273" customFormat="false" ht="15" hidden="false" customHeight="false" outlineLevel="0" collapsed="false">
      <c r="I1273" s="7" t="str">
        <f aca="false">IF($C1273="","",IF($C1273="G","PUTT",IF(AND($C1273="T",$M1273&gt;3),"OTT",IF($D1273&lt;=30,"ARG","APP"))))</f>
        <v/>
      </c>
      <c r="J1273" s="17" t="str">
        <f aca="false">IF($C1273="","",$N1273+$Q1273*$R1273)</f>
        <v/>
      </c>
      <c r="K1273" s="17" t="str">
        <f aca="false">IF($C1273="","",$O1273+$Q1273*$S1273)</f>
        <v/>
      </c>
      <c r="L1273" s="17" t="str">
        <f aca="false">IF($C1273="","",$J1273-$K1273-1-N($G1273))</f>
        <v/>
      </c>
      <c r="M1273" s="7" t="str">
        <f aca="false">IF($B1273="","",INDEX(Course!$B$2:$B$19,MATCH($B1273,Course!$A$2:$A$19,0)))</f>
        <v/>
      </c>
      <c r="N1273" s="17" t="str">
        <f aca="false">IF($C1273="","",IF($C1273="H",0,IF($C1273="G",INDEX(Baseline!$I$3:$I$102,MIN(MAX(ROUND($D1273,0),1),100)),IF($C1273="T",IF($M1273=3,INDEX(Baseline!$B$3:$B$122,MATCH(MIN(MAX(ROUND(($D1273)/5,0)*5,5),600),Baseline!$A$3:$A$122,0))-Inputs!$B$9,INDEX(Course!$N$2:$N$19,MATCH($B1273,Course!$A$2:$A$19,0))),INDEX(Baseline!$B$3:$E$122,MATCH(MIN(MAX(ROUND(($D1273)/5,0)*5,5),600),Baseline!$A$3:$A$122,0),MATCH($C1273,Baseline!$B$2:$E$2,0))))))</f>
        <v/>
      </c>
      <c r="O1273" s="17" t="str">
        <f aca="false">IF($C1273="","",IF($E1273="H",0,IF($E1273="G",INDEX(Baseline!$I$3:$I$102,MIN(MAX(ROUND($F1273,0),1),100)),IF($E1273="T",IF($M1273=3,INDEX(Baseline!$B$3:$B$122,MATCH(MIN(MAX(ROUND(($F1273)/5,0)*5,5),600),Baseline!$A$3:$A$122,0))-Inputs!$B$9,INDEX(Course!$N$2:$N$19,MATCH($B1273,Course!$A$2:$A$19,0))),INDEX(Baseline!$B$3:$E$122,MATCH(MIN(MAX(ROUND(($F1273)/5,0)*5,5),600),Baseline!$A$3:$A$122,0),MATCH($E1273,Baseline!$B$2:$E$2,0))))))</f>
        <v/>
      </c>
      <c r="P1273" s="17" t="str">
        <f aca="false">IF($B1273="","",INDEX(Course!$N$2:$N$19,MATCH($B1273,Course!$A$2:$A$19,0)))</f>
        <v/>
      </c>
      <c r="Q1273" s="17" t="str">
        <f aca="false">IF($B1273="","",INDEX(Course!$P$2:$P$19,MATCH($B1273,Course!$A$2:$A$19,0)))</f>
        <v/>
      </c>
      <c r="R1273" s="17" t="str">
        <f aca="false">IF($C1273="","",IF(OR($C1273="G",$C1273="H"),0,IF($C1273="T",1,MIN(1,MAX(0,($N1273-Inputs!$B$8)/MAX($P1273-Inputs!$B$8,0.01))))))</f>
        <v/>
      </c>
      <c r="S1273" s="17" t="str">
        <f aca="false">IF($C1273="","",IF(OR($E1273="G",$E1273="H"),0,IF($E1273="T",1,MIN(1,MAX(0,($O1273-Inputs!$B$8)/MAX($P1273-Inputs!$B$8,0.01))))))</f>
        <v/>
      </c>
    </row>
    <row r="1274" customFormat="false" ht="15" hidden="false" customHeight="false" outlineLevel="0" collapsed="false">
      <c r="I1274" s="7" t="str">
        <f aca="false">IF($C1274="","",IF($C1274="G","PUTT",IF(AND($C1274="T",$M1274&gt;3),"OTT",IF($D1274&lt;=30,"ARG","APP"))))</f>
        <v/>
      </c>
      <c r="J1274" s="17" t="str">
        <f aca="false">IF($C1274="","",$N1274+$Q1274*$R1274)</f>
        <v/>
      </c>
      <c r="K1274" s="17" t="str">
        <f aca="false">IF($C1274="","",$O1274+$Q1274*$S1274)</f>
        <v/>
      </c>
      <c r="L1274" s="17" t="str">
        <f aca="false">IF($C1274="","",$J1274-$K1274-1-N($G1274))</f>
        <v/>
      </c>
      <c r="M1274" s="7" t="str">
        <f aca="false">IF($B1274="","",INDEX(Course!$B$2:$B$19,MATCH($B1274,Course!$A$2:$A$19,0)))</f>
        <v/>
      </c>
      <c r="N1274" s="17" t="str">
        <f aca="false">IF($C1274="","",IF($C1274="H",0,IF($C1274="G",INDEX(Baseline!$I$3:$I$102,MIN(MAX(ROUND($D1274,0),1),100)),IF($C1274="T",IF($M1274=3,INDEX(Baseline!$B$3:$B$122,MATCH(MIN(MAX(ROUND(($D1274)/5,0)*5,5),600),Baseline!$A$3:$A$122,0))-Inputs!$B$9,INDEX(Course!$N$2:$N$19,MATCH($B1274,Course!$A$2:$A$19,0))),INDEX(Baseline!$B$3:$E$122,MATCH(MIN(MAX(ROUND(($D1274)/5,0)*5,5),600),Baseline!$A$3:$A$122,0),MATCH($C1274,Baseline!$B$2:$E$2,0))))))</f>
        <v/>
      </c>
      <c r="O1274" s="17" t="str">
        <f aca="false">IF($C1274="","",IF($E1274="H",0,IF($E1274="G",INDEX(Baseline!$I$3:$I$102,MIN(MAX(ROUND($F1274,0),1),100)),IF($E1274="T",IF($M1274=3,INDEX(Baseline!$B$3:$B$122,MATCH(MIN(MAX(ROUND(($F1274)/5,0)*5,5),600),Baseline!$A$3:$A$122,0))-Inputs!$B$9,INDEX(Course!$N$2:$N$19,MATCH($B1274,Course!$A$2:$A$19,0))),INDEX(Baseline!$B$3:$E$122,MATCH(MIN(MAX(ROUND(($F1274)/5,0)*5,5),600),Baseline!$A$3:$A$122,0),MATCH($E1274,Baseline!$B$2:$E$2,0))))))</f>
        <v/>
      </c>
      <c r="P1274" s="17" t="str">
        <f aca="false">IF($B1274="","",INDEX(Course!$N$2:$N$19,MATCH($B1274,Course!$A$2:$A$19,0)))</f>
        <v/>
      </c>
      <c r="Q1274" s="17" t="str">
        <f aca="false">IF($B1274="","",INDEX(Course!$P$2:$P$19,MATCH($B1274,Course!$A$2:$A$19,0)))</f>
        <v/>
      </c>
      <c r="R1274" s="17" t="str">
        <f aca="false">IF($C1274="","",IF(OR($C1274="G",$C1274="H"),0,IF($C1274="T",1,MIN(1,MAX(0,($N1274-Inputs!$B$8)/MAX($P1274-Inputs!$B$8,0.01))))))</f>
        <v/>
      </c>
      <c r="S1274" s="17" t="str">
        <f aca="false">IF($C1274="","",IF(OR($E1274="G",$E1274="H"),0,IF($E1274="T",1,MIN(1,MAX(0,($O1274-Inputs!$B$8)/MAX($P1274-Inputs!$B$8,0.01))))))</f>
        <v/>
      </c>
    </row>
    <row r="1275" customFormat="false" ht="15" hidden="false" customHeight="false" outlineLevel="0" collapsed="false">
      <c r="I1275" s="7" t="str">
        <f aca="false">IF($C1275="","",IF($C1275="G","PUTT",IF(AND($C1275="T",$M1275&gt;3),"OTT",IF($D1275&lt;=30,"ARG","APP"))))</f>
        <v/>
      </c>
      <c r="J1275" s="17" t="str">
        <f aca="false">IF($C1275="","",$N1275+$Q1275*$R1275)</f>
        <v/>
      </c>
      <c r="K1275" s="17" t="str">
        <f aca="false">IF($C1275="","",$O1275+$Q1275*$S1275)</f>
        <v/>
      </c>
      <c r="L1275" s="17" t="str">
        <f aca="false">IF($C1275="","",$J1275-$K1275-1-N($G1275))</f>
        <v/>
      </c>
      <c r="M1275" s="7" t="str">
        <f aca="false">IF($B1275="","",INDEX(Course!$B$2:$B$19,MATCH($B1275,Course!$A$2:$A$19,0)))</f>
        <v/>
      </c>
      <c r="N1275" s="17" t="str">
        <f aca="false">IF($C1275="","",IF($C1275="H",0,IF($C1275="G",INDEX(Baseline!$I$3:$I$102,MIN(MAX(ROUND($D1275,0),1),100)),IF($C1275="T",IF($M1275=3,INDEX(Baseline!$B$3:$B$122,MATCH(MIN(MAX(ROUND(($D1275)/5,0)*5,5),600),Baseline!$A$3:$A$122,0))-Inputs!$B$9,INDEX(Course!$N$2:$N$19,MATCH($B1275,Course!$A$2:$A$19,0))),INDEX(Baseline!$B$3:$E$122,MATCH(MIN(MAX(ROUND(($D1275)/5,0)*5,5),600),Baseline!$A$3:$A$122,0),MATCH($C1275,Baseline!$B$2:$E$2,0))))))</f>
        <v/>
      </c>
      <c r="O1275" s="17" t="str">
        <f aca="false">IF($C1275="","",IF($E1275="H",0,IF($E1275="G",INDEX(Baseline!$I$3:$I$102,MIN(MAX(ROUND($F1275,0),1),100)),IF($E1275="T",IF($M1275=3,INDEX(Baseline!$B$3:$B$122,MATCH(MIN(MAX(ROUND(($F1275)/5,0)*5,5),600),Baseline!$A$3:$A$122,0))-Inputs!$B$9,INDEX(Course!$N$2:$N$19,MATCH($B1275,Course!$A$2:$A$19,0))),INDEX(Baseline!$B$3:$E$122,MATCH(MIN(MAX(ROUND(($F1275)/5,0)*5,5),600),Baseline!$A$3:$A$122,0),MATCH($E1275,Baseline!$B$2:$E$2,0))))))</f>
        <v/>
      </c>
      <c r="P1275" s="17" t="str">
        <f aca="false">IF($B1275="","",INDEX(Course!$N$2:$N$19,MATCH($B1275,Course!$A$2:$A$19,0)))</f>
        <v/>
      </c>
      <c r="Q1275" s="17" t="str">
        <f aca="false">IF($B1275="","",INDEX(Course!$P$2:$P$19,MATCH($B1275,Course!$A$2:$A$19,0)))</f>
        <v/>
      </c>
      <c r="R1275" s="17" t="str">
        <f aca="false">IF($C1275="","",IF(OR($C1275="G",$C1275="H"),0,IF($C1275="T",1,MIN(1,MAX(0,($N1275-Inputs!$B$8)/MAX($P1275-Inputs!$B$8,0.01))))))</f>
        <v/>
      </c>
      <c r="S1275" s="17" t="str">
        <f aca="false">IF($C1275="","",IF(OR($E1275="G",$E1275="H"),0,IF($E1275="T",1,MIN(1,MAX(0,($O1275-Inputs!$B$8)/MAX($P1275-Inputs!$B$8,0.01))))))</f>
        <v/>
      </c>
    </row>
    <row r="1276" customFormat="false" ht="15" hidden="false" customHeight="false" outlineLevel="0" collapsed="false">
      <c r="I1276" s="7" t="str">
        <f aca="false">IF($C1276="","",IF($C1276="G","PUTT",IF(AND($C1276="T",$M1276&gt;3),"OTT",IF($D1276&lt;=30,"ARG","APP"))))</f>
        <v/>
      </c>
      <c r="J1276" s="17" t="str">
        <f aca="false">IF($C1276="","",$N1276+$Q1276*$R1276)</f>
        <v/>
      </c>
      <c r="K1276" s="17" t="str">
        <f aca="false">IF($C1276="","",$O1276+$Q1276*$S1276)</f>
        <v/>
      </c>
      <c r="L1276" s="17" t="str">
        <f aca="false">IF($C1276="","",$J1276-$K1276-1-N($G1276))</f>
        <v/>
      </c>
      <c r="M1276" s="7" t="str">
        <f aca="false">IF($B1276="","",INDEX(Course!$B$2:$B$19,MATCH($B1276,Course!$A$2:$A$19,0)))</f>
        <v/>
      </c>
      <c r="N1276" s="17" t="str">
        <f aca="false">IF($C1276="","",IF($C1276="H",0,IF($C1276="G",INDEX(Baseline!$I$3:$I$102,MIN(MAX(ROUND($D1276,0),1),100)),IF($C1276="T",IF($M1276=3,INDEX(Baseline!$B$3:$B$122,MATCH(MIN(MAX(ROUND(($D1276)/5,0)*5,5),600),Baseline!$A$3:$A$122,0))-Inputs!$B$9,INDEX(Course!$N$2:$N$19,MATCH($B1276,Course!$A$2:$A$19,0))),INDEX(Baseline!$B$3:$E$122,MATCH(MIN(MAX(ROUND(($D1276)/5,0)*5,5),600),Baseline!$A$3:$A$122,0),MATCH($C1276,Baseline!$B$2:$E$2,0))))))</f>
        <v/>
      </c>
      <c r="O1276" s="17" t="str">
        <f aca="false">IF($C1276="","",IF($E1276="H",0,IF($E1276="G",INDEX(Baseline!$I$3:$I$102,MIN(MAX(ROUND($F1276,0),1),100)),IF($E1276="T",IF($M1276=3,INDEX(Baseline!$B$3:$B$122,MATCH(MIN(MAX(ROUND(($F1276)/5,0)*5,5),600),Baseline!$A$3:$A$122,0))-Inputs!$B$9,INDEX(Course!$N$2:$N$19,MATCH($B1276,Course!$A$2:$A$19,0))),INDEX(Baseline!$B$3:$E$122,MATCH(MIN(MAX(ROUND(($F1276)/5,0)*5,5),600),Baseline!$A$3:$A$122,0),MATCH($E1276,Baseline!$B$2:$E$2,0))))))</f>
        <v/>
      </c>
      <c r="P1276" s="17" t="str">
        <f aca="false">IF($B1276="","",INDEX(Course!$N$2:$N$19,MATCH($B1276,Course!$A$2:$A$19,0)))</f>
        <v/>
      </c>
      <c r="Q1276" s="17" t="str">
        <f aca="false">IF($B1276="","",INDEX(Course!$P$2:$P$19,MATCH($B1276,Course!$A$2:$A$19,0)))</f>
        <v/>
      </c>
      <c r="R1276" s="17" t="str">
        <f aca="false">IF($C1276="","",IF(OR($C1276="G",$C1276="H"),0,IF($C1276="T",1,MIN(1,MAX(0,($N1276-Inputs!$B$8)/MAX($P1276-Inputs!$B$8,0.01))))))</f>
        <v/>
      </c>
      <c r="S1276" s="17" t="str">
        <f aca="false">IF($C1276="","",IF(OR($E1276="G",$E1276="H"),0,IF($E1276="T",1,MIN(1,MAX(0,($O1276-Inputs!$B$8)/MAX($P1276-Inputs!$B$8,0.01))))))</f>
        <v/>
      </c>
    </row>
    <row r="1277" customFormat="false" ht="15" hidden="false" customHeight="false" outlineLevel="0" collapsed="false">
      <c r="I1277" s="7" t="str">
        <f aca="false">IF($C1277="","",IF($C1277="G","PUTT",IF(AND($C1277="T",$M1277&gt;3),"OTT",IF($D1277&lt;=30,"ARG","APP"))))</f>
        <v/>
      </c>
      <c r="J1277" s="17" t="str">
        <f aca="false">IF($C1277="","",$N1277+$Q1277*$R1277)</f>
        <v/>
      </c>
      <c r="K1277" s="17" t="str">
        <f aca="false">IF($C1277="","",$O1277+$Q1277*$S1277)</f>
        <v/>
      </c>
      <c r="L1277" s="17" t="str">
        <f aca="false">IF($C1277="","",$J1277-$K1277-1-N($G1277))</f>
        <v/>
      </c>
      <c r="M1277" s="7" t="str">
        <f aca="false">IF($B1277="","",INDEX(Course!$B$2:$B$19,MATCH($B1277,Course!$A$2:$A$19,0)))</f>
        <v/>
      </c>
      <c r="N1277" s="17" t="str">
        <f aca="false">IF($C1277="","",IF($C1277="H",0,IF($C1277="G",INDEX(Baseline!$I$3:$I$102,MIN(MAX(ROUND($D1277,0),1),100)),IF($C1277="T",IF($M1277=3,INDEX(Baseline!$B$3:$B$122,MATCH(MIN(MAX(ROUND(($D1277)/5,0)*5,5),600),Baseline!$A$3:$A$122,0))-Inputs!$B$9,INDEX(Course!$N$2:$N$19,MATCH($B1277,Course!$A$2:$A$19,0))),INDEX(Baseline!$B$3:$E$122,MATCH(MIN(MAX(ROUND(($D1277)/5,0)*5,5),600),Baseline!$A$3:$A$122,0),MATCH($C1277,Baseline!$B$2:$E$2,0))))))</f>
        <v/>
      </c>
      <c r="O1277" s="17" t="str">
        <f aca="false">IF($C1277="","",IF($E1277="H",0,IF($E1277="G",INDEX(Baseline!$I$3:$I$102,MIN(MAX(ROUND($F1277,0),1),100)),IF($E1277="T",IF($M1277=3,INDEX(Baseline!$B$3:$B$122,MATCH(MIN(MAX(ROUND(($F1277)/5,0)*5,5),600),Baseline!$A$3:$A$122,0))-Inputs!$B$9,INDEX(Course!$N$2:$N$19,MATCH($B1277,Course!$A$2:$A$19,0))),INDEX(Baseline!$B$3:$E$122,MATCH(MIN(MAX(ROUND(($F1277)/5,0)*5,5),600),Baseline!$A$3:$A$122,0),MATCH($E1277,Baseline!$B$2:$E$2,0))))))</f>
        <v/>
      </c>
      <c r="P1277" s="17" t="str">
        <f aca="false">IF($B1277="","",INDEX(Course!$N$2:$N$19,MATCH($B1277,Course!$A$2:$A$19,0)))</f>
        <v/>
      </c>
      <c r="Q1277" s="17" t="str">
        <f aca="false">IF($B1277="","",INDEX(Course!$P$2:$P$19,MATCH($B1277,Course!$A$2:$A$19,0)))</f>
        <v/>
      </c>
      <c r="R1277" s="17" t="str">
        <f aca="false">IF($C1277="","",IF(OR($C1277="G",$C1277="H"),0,IF($C1277="T",1,MIN(1,MAX(0,($N1277-Inputs!$B$8)/MAX($P1277-Inputs!$B$8,0.01))))))</f>
        <v/>
      </c>
      <c r="S1277" s="17" t="str">
        <f aca="false">IF($C1277="","",IF(OR($E1277="G",$E1277="H"),0,IF($E1277="T",1,MIN(1,MAX(0,($O1277-Inputs!$B$8)/MAX($P1277-Inputs!$B$8,0.01))))))</f>
        <v/>
      </c>
    </row>
    <row r="1278" customFormat="false" ht="15" hidden="false" customHeight="false" outlineLevel="0" collapsed="false">
      <c r="I1278" s="7" t="str">
        <f aca="false">IF($C1278="","",IF($C1278="G","PUTT",IF(AND($C1278="T",$M1278&gt;3),"OTT",IF($D1278&lt;=30,"ARG","APP"))))</f>
        <v/>
      </c>
      <c r="J1278" s="17" t="str">
        <f aca="false">IF($C1278="","",$N1278+$Q1278*$R1278)</f>
        <v/>
      </c>
      <c r="K1278" s="17" t="str">
        <f aca="false">IF($C1278="","",$O1278+$Q1278*$S1278)</f>
        <v/>
      </c>
      <c r="L1278" s="17" t="str">
        <f aca="false">IF($C1278="","",$J1278-$K1278-1-N($G1278))</f>
        <v/>
      </c>
      <c r="M1278" s="7" t="str">
        <f aca="false">IF($B1278="","",INDEX(Course!$B$2:$B$19,MATCH($B1278,Course!$A$2:$A$19,0)))</f>
        <v/>
      </c>
      <c r="N1278" s="17" t="str">
        <f aca="false">IF($C1278="","",IF($C1278="H",0,IF($C1278="G",INDEX(Baseline!$I$3:$I$102,MIN(MAX(ROUND($D1278,0),1),100)),IF($C1278="T",IF($M1278=3,INDEX(Baseline!$B$3:$B$122,MATCH(MIN(MAX(ROUND(($D1278)/5,0)*5,5),600),Baseline!$A$3:$A$122,0))-Inputs!$B$9,INDEX(Course!$N$2:$N$19,MATCH($B1278,Course!$A$2:$A$19,0))),INDEX(Baseline!$B$3:$E$122,MATCH(MIN(MAX(ROUND(($D1278)/5,0)*5,5),600),Baseline!$A$3:$A$122,0),MATCH($C1278,Baseline!$B$2:$E$2,0))))))</f>
        <v/>
      </c>
      <c r="O1278" s="17" t="str">
        <f aca="false">IF($C1278="","",IF($E1278="H",0,IF($E1278="G",INDEX(Baseline!$I$3:$I$102,MIN(MAX(ROUND($F1278,0),1),100)),IF($E1278="T",IF($M1278=3,INDEX(Baseline!$B$3:$B$122,MATCH(MIN(MAX(ROUND(($F1278)/5,0)*5,5),600),Baseline!$A$3:$A$122,0))-Inputs!$B$9,INDEX(Course!$N$2:$N$19,MATCH($B1278,Course!$A$2:$A$19,0))),INDEX(Baseline!$B$3:$E$122,MATCH(MIN(MAX(ROUND(($F1278)/5,0)*5,5),600),Baseline!$A$3:$A$122,0),MATCH($E1278,Baseline!$B$2:$E$2,0))))))</f>
        <v/>
      </c>
      <c r="P1278" s="17" t="str">
        <f aca="false">IF($B1278="","",INDEX(Course!$N$2:$N$19,MATCH($B1278,Course!$A$2:$A$19,0)))</f>
        <v/>
      </c>
      <c r="Q1278" s="17" t="str">
        <f aca="false">IF($B1278="","",INDEX(Course!$P$2:$P$19,MATCH($B1278,Course!$A$2:$A$19,0)))</f>
        <v/>
      </c>
      <c r="R1278" s="17" t="str">
        <f aca="false">IF($C1278="","",IF(OR($C1278="G",$C1278="H"),0,IF($C1278="T",1,MIN(1,MAX(0,($N1278-Inputs!$B$8)/MAX($P1278-Inputs!$B$8,0.01))))))</f>
        <v/>
      </c>
      <c r="S1278" s="17" t="str">
        <f aca="false">IF($C1278="","",IF(OR($E1278="G",$E1278="H"),0,IF($E1278="T",1,MIN(1,MAX(0,($O1278-Inputs!$B$8)/MAX($P1278-Inputs!$B$8,0.01))))))</f>
        <v/>
      </c>
    </row>
    <row r="1279" customFormat="false" ht="15" hidden="false" customHeight="false" outlineLevel="0" collapsed="false">
      <c r="I1279" s="7" t="str">
        <f aca="false">IF($C1279="","",IF($C1279="G","PUTT",IF(AND($C1279="T",$M1279&gt;3),"OTT",IF($D1279&lt;=30,"ARG","APP"))))</f>
        <v/>
      </c>
      <c r="J1279" s="17" t="str">
        <f aca="false">IF($C1279="","",$N1279+$Q1279*$R1279)</f>
        <v/>
      </c>
      <c r="K1279" s="17" t="str">
        <f aca="false">IF($C1279="","",$O1279+$Q1279*$S1279)</f>
        <v/>
      </c>
      <c r="L1279" s="17" t="str">
        <f aca="false">IF($C1279="","",$J1279-$K1279-1-N($G1279))</f>
        <v/>
      </c>
      <c r="M1279" s="7" t="str">
        <f aca="false">IF($B1279="","",INDEX(Course!$B$2:$B$19,MATCH($B1279,Course!$A$2:$A$19,0)))</f>
        <v/>
      </c>
      <c r="N1279" s="17" t="str">
        <f aca="false">IF($C1279="","",IF($C1279="H",0,IF($C1279="G",INDEX(Baseline!$I$3:$I$102,MIN(MAX(ROUND($D1279,0),1),100)),IF($C1279="T",IF($M1279=3,INDEX(Baseline!$B$3:$B$122,MATCH(MIN(MAX(ROUND(($D1279)/5,0)*5,5),600),Baseline!$A$3:$A$122,0))-Inputs!$B$9,INDEX(Course!$N$2:$N$19,MATCH($B1279,Course!$A$2:$A$19,0))),INDEX(Baseline!$B$3:$E$122,MATCH(MIN(MAX(ROUND(($D1279)/5,0)*5,5),600),Baseline!$A$3:$A$122,0),MATCH($C1279,Baseline!$B$2:$E$2,0))))))</f>
        <v/>
      </c>
      <c r="O1279" s="17" t="str">
        <f aca="false">IF($C1279="","",IF($E1279="H",0,IF($E1279="G",INDEX(Baseline!$I$3:$I$102,MIN(MAX(ROUND($F1279,0),1),100)),IF($E1279="T",IF($M1279=3,INDEX(Baseline!$B$3:$B$122,MATCH(MIN(MAX(ROUND(($F1279)/5,0)*5,5),600),Baseline!$A$3:$A$122,0))-Inputs!$B$9,INDEX(Course!$N$2:$N$19,MATCH($B1279,Course!$A$2:$A$19,0))),INDEX(Baseline!$B$3:$E$122,MATCH(MIN(MAX(ROUND(($F1279)/5,0)*5,5),600),Baseline!$A$3:$A$122,0),MATCH($E1279,Baseline!$B$2:$E$2,0))))))</f>
        <v/>
      </c>
      <c r="P1279" s="17" t="str">
        <f aca="false">IF($B1279="","",INDEX(Course!$N$2:$N$19,MATCH($B1279,Course!$A$2:$A$19,0)))</f>
        <v/>
      </c>
      <c r="Q1279" s="17" t="str">
        <f aca="false">IF($B1279="","",INDEX(Course!$P$2:$P$19,MATCH($B1279,Course!$A$2:$A$19,0)))</f>
        <v/>
      </c>
      <c r="R1279" s="17" t="str">
        <f aca="false">IF($C1279="","",IF(OR($C1279="G",$C1279="H"),0,IF($C1279="T",1,MIN(1,MAX(0,($N1279-Inputs!$B$8)/MAX($P1279-Inputs!$B$8,0.01))))))</f>
        <v/>
      </c>
      <c r="S1279" s="17" t="str">
        <f aca="false">IF($C1279="","",IF(OR($E1279="G",$E1279="H"),0,IF($E1279="T",1,MIN(1,MAX(0,($O1279-Inputs!$B$8)/MAX($P1279-Inputs!$B$8,0.01))))))</f>
        <v/>
      </c>
    </row>
    <row r="1280" customFormat="false" ht="15" hidden="false" customHeight="false" outlineLevel="0" collapsed="false">
      <c r="I1280" s="7" t="str">
        <f aca="false">IF($C1280="","",IF($C1280="G","PUTT",IF(AND($C1280="T",$M1280&gt;3),"OTT",IF($D1280&lt;=30,"ARG","APP"))))</f>
        <v/>
      </c>
      <c r="J1280" s="17" t="str">
        <f aca="false">IF($C1280="","",$N1280+$Q1280*$R1280)</f>
        <v/>
      </c>
      <c r="K1280" s="17" t="str">
        <f aca="false">IF($C1280="","",$O1280+$Q1280*$S1280)</f>
        <v/>
      </c>
      <c r="L1280" s="17" t="str">
        <f aca="false">IF($C1280="","",$J1280-$K1280-1-N($G1280))</f>
        <v/>
      </c>
      <c r="M1280" s="7" t="str">
        <f aca="false">IF($B1280="","",INDEX(Course!$B$2:$B$19,MATCH($B1280,Course!$A$2:$A$19,0)))</f>
        <v/>
      </c>
      <c r="N1280" s="17" t="str">
        <f aca="false">IF($C1280="","",IF($C1280="H",0,IF($C1280="G",INDEX(Baseline!$I$3:$I$102,MIN(MAX(ROUND($D1280,0),1),100)),IF($C1280="T",IF($M1280=3,INDEX(Baseline!$B$3:$B$122,MATCH(MIN(MAX(ROUND(($D1280)/5,0)*5,5),600),Baseline!$A$3:$A$122,0))-Inputs!$B$9,INDEX(Course!$N$2:$N$19,MATCH($B1280,Course!$A$2:$A$19,0))),INDEX(Baseline!$B$3:$E$122,MATCH(MIN(MAX(ROUND(($D1280)/5,0)*5,5),600),Baseline!$A$3:$A$122,0),MATCH($C1280,Baseline!$B$2:$E$2,0))))))</f>
        <v/>
      </c>
      <c r="O1280" s="17" t="str">
        <f aca="false">IF($C1280="","",IF($E1280="H",0,IF($E1280="G",INDEX(Baseline!$I$3:$I$102,MIN(MAX(ROUND($F1280,0),1),100)),IF($E1280="T",IF($M1280=3,INDEX(Baseline!$B$3:$B$122,MATCH(MIN(MAX(ROUND(($F1280)/5,0)*5,5),600),Baseline!$A$3:$A$122,0))-Inputs!$B$9,INDEX(Course!$N$2:$N$19,MATCH($B1280,Course!$A$2:$A$19,0))),INDEX(Baseline!$B$3:$E$122,MATCH(MIN(MAX(ROUND(($F1280)/5,0)*5,5),600),Baseline!$A$3:$A$122,0),MATCH($E1280,Baseline!$B$2:$E$2,0))))))</f>
        <v/>
      </c>
      <c r="P1280" s="17" t="str">
        <f aca="false">IF($B1280="","",INDEX(Course!$N$2:$N$19,MATCH($B1280,Course!$A$2:$A$19,0)))</f>
        <v/>
      </c>
      <c r="Q1280" s="17" t="str">
        <f aca="false">IF($B1280="","",INDEX(Course!$P$2:$P$19,MATCH($B1280,Course!$A$2:$A$19,0)))</f>
        <v/>
      </c>
      <c r="R1280" s="17" t="str">
        <f aca="false">IF($C1280="","",IF(OR($C1280="G",$C1280="H"),0,IF($C1280="T",1,MIN(1,MAX(0,($N1280-Inputs!$B$8)/MAX($P1280-Inputs!$B$8,0.01))))))</f>
        <v/>
      </c>
      <c r="S1280" s="17" t="str">
        <f aca="false">IF($C1280="","",IF(OR($E1280="G",$E1280="H"),0,IF($E1280="T",1,MIN(1,MAX(0,($O1280-Inputs!$B$8)/MAX($P1280-Inputs!$B$8,0.01))))))</f>
        <v/>
      </c>
    </row>
    <row r="1281" customFormat="false" ht="15" hidden="false" customHeight="false" outlineLevel="0" collapsed="false">
      <c r="I1281" s="7" t="str">
        <f aca="false">IF($C1281="","",IF($C1281="G","PUTT",IF(AND($C1281="T",$M1281&gt;3),"OTT",IF($D1281&lt;=30,"ARG","APP"))))</f>
        <v/>
      </c>
      <c r="J1281" s="17" t="str">
        <f aca="false">IF($C1281="","",$N1281+$Q1281*$R1281)</f>
        <v/>
      </c>
      <c r="K1281" s="17" t="str">
        <f aca="false">IF($C1281="","",$O1281+$Q1281*$S1281)</f>
        <v/>
      </c>
      <c r="L1281" s="17" t="str">
        <f aca="false">IF($C1281="","",$J1281-$K1281-1-N($G1281))</f>
        <v/>
      </c>
      <c r="M1281" s="7" t="str">
        <f aca="false">IF($B1281="","",INDEX(Course!$B$2:$B$19,MATCH($B1281,Course!$A$2:$A$19,0)))</f>
        <v/>
      </c>
      <c r="N1281" s="17" t="str">
        <f aca="false">IF($C1281="","",IF($C1281="H",0,IF($C1281="G",INDEX(Baseline!$I$3:$I$102,MIN(MAX(ROUND($D1281,0),1),100)),IF($C1281="T",IF($M1281=3,INDEX(Baseline!$B$3:$B$122,MATCH(MIN(MAX(ROUND(($D1281)/5,0)*5,5),600),Baseline!$A$3:$A$122,0))-Inputs!$B$9,INDEX(Course!$N$2:$N$19,MATCH($B1281,Course!$A$2:$A$19,0))),INDEX(Baseline!$B$3:$E$122,MATCH(MIN(MAX(ROUND(($D1281)/5,0)*5,5),600),Baseline!$A$3:$A$122,0),MATCH($C1281,Baseline!$B$2:$E$2,0))))))</f>
        <v/>
      </c>
      <c r="O1281" s="17" t="str">
        <f aca="false">IF($C1281="","",IF($E1281="H",0,IF($E1281="G",INDEX(Baseline!$I$3:$I$102,MIN(MAX(ROUND($F1281,0),1),100)),IF($E1281="T",IF($M1281=3,INDEX(Baseline!$B$3:$B$122,MATCH(MIN(MAX(ROUND(($F1281)/5,0)*5,5),600),Baseline!$A$3:$A$122,0))-Inputs!$B$9,INDEX(Course!$N$2:$N$19,MATCH($B1281,Course!$A$2:$A$19,0))),INDEX(Baseline!$B$3:$E$122,MATCH(MIN(MAX(ROUND(($F1281)/5,0)*5,5),600),Baseline!$A$3:$A$122,0),MATCH($E1281,Baseline!$B$2:$E$2,0))))))</f>
        <v/>
      </c>
      <c r="P1281" s="17" t="str">
        <f aca="false">IF($B1281="","",INDEX(Course!$N$2:$N$19,MATCH($B1281,Course!$A$2:$A$19,0)))</f>
        <v/>
      </c>
      <c r="Q1281" s="17" t="str">
        <f aca="false">IF($B1281="","",INDEX(Course!$P$2:$P$19,MATCH($B1281,Course!$A$2:$A$19,0)))</f>
        <v/>
      </c>
      <c r="R1281" s="17" t="str">
        <f aca="false">IF($C1281="","",IF(OR($C1281="G",$C1281="H"),0,IF($C1281="T",1,MIN(1,MAX(0,($N1281-Inputs!$B$8)/MAX($P1281-Inputs!$B$8,0.01))))))</f>
        <v/>
      </c>
      <c r="S1281" s="17" t="str">
        <f aca="false">IF($C1281="","",IF(OR($E1281="G",$E1281="H"),0,IF($E1281="T",1,MIN(1,MAX(0,($O1281-Inputs!$B$8)/MAX($P1281-Inputs!$B$8,0.01))))))</f>
        <v/>
      </c>
    </row>
    <row r="1282" customFormat="false" ht="15" hidden="false" customHeight="false" outlineLevel="0" collapsed="false">
      <c r="I1282" s="7" t="str">
        <f aca="false">IF($C1282="","",IF($C1282="G","PUTT",IF(AND($C1282="T",$M1282&gt;3),"OTT",IF($D1282&lt;=30,"ARG","APP"))))</f>
        <v/>
      </c>
      <c r="J1282" s="17" t="str">
        <f aca="false">IF($C1282="","",$N1282+$Q1282*$R1282)</f>
        <v/>
      </c>
      <c r="K1282" s="17" t="str">
        <f aca="false">IF($C1282="","",$O1282+$Q1282*$S1282)</f>
        <v/>
      </c>
      <c r="L1282" s="17" t="str">
        <f aca="false">IF($C1282="","",$J1282-$K1282-1-N($G1282))</f>
        <v/>
      </c>
      <c r="M1282" s="7" t="str">
        <f aca="false">IF($B1282="","",INDEX(Course!$B$2:$B$19,MATCH($B1282,Course!$A$2:$A$19,0)))</f>
        <v/>
      </c>
      <c r="N1282" s="17" t="str">
        <f aca="false">IF($C1282="","",IF($C1282="H",0,IF($C1282="G",INDEX(Baseline!$I$3:$I$102,MIN(MAX(ROUND($D1282,0),1),100)),IF($C1282="T",IF($M1282=3,INDEX(Baseline!$B$3:$B$122,MATCH(MIN(MAX(ROUND(($D1282)/5,0)*5,5),600),Baseline!$A$3:$A$122,0))-Inputs!$B$9,INDEX(Course!$N$2:$N$19,MATCH($B1282,Course!$A$2:$A$19,0))),INDEX(Baseline!$B$3:$E$122,MATCH(MIN(MAX(ROUND(($D1282)/5,0)*5,5),600),Baseline!$A$3:$A$122,0),MATCH($C1282,Baseline!$B$2:$E$2,0))))))</f>
        <v/>
      </c>
      <c r="O1282" s="17" t="str">
        <f aca="false">IF($C1282="","",IF($E1282="H",0,IF($E1282="G",INDEX(Baseline!$I$3:$I$102,MIN(MAX(ROUND($F1282,0),1),100)),IF($E1282="T",IF($M1282=3,INDEX(Baseline!$B$3:$B$122,MATCH(MIN(MAX(ROUND(($F1282)/5,0)*5,5),600),Baseline!$A$3:$A$122,0))-Inputs!$B$9,INDEX(Course!$N$2:$N$19,MATCH($B1282,Course!$A$2:$A$19,0))),INDEX(Baseline!$B$3:$E$122,MATCH(MIN(MAX(ROUND(($F1282)/5,0)*5,5),600),Baseline!$A$3:$A$122,0),MATCH($E1282,Baseline!$B$2:$E$2,0))))))</f>
        <v/>
      </c>
      <c r="P1282" s="17" t="str">
        <f aca="false">IF($B1282="","",INDEX(Course!$N$2:$N$19,MATCH($B1282,Course!$A$2:$A$19,0)))</f>
        <v/>
      </c>
      <c r="Q1282" s="17" t="str">
        <f aca="false">IF($B1282="","",INDEX(Course!$P$2:$P$19,MATCH($B1282,Course!$A$2:$A$19,0)))</f>
        <v/>
      </c>
      <c r="R1282" s="17" t="str">
        <f aca="false">IF($C1282="","",IF(OR($C1282="G",$C1282="H"),0,IF($C1282="T",1,MIN(1,MAX(0,($N1282-Inputs!$B$8)/MAX($P1282-Inputs!$B$8,0.01))))))</f>
        <v/>
      </c>
      <c r="S1282" s="17" t="str">
        <f aca="false">IF($C1282="","",IF(OR($E1282="G",$E1282="H"),0,IF($E1282="T",1,MIN(1,MAX(0,($O1282-Inputs!$B$8)/MAX($P1282-Inputs!$B$8,0.01))))))</f>
        <v/>
      </c>
    </row>
    <row r="1283" customFormat="false" ht="15" hidden="false" customHeight="false" outlineLevel="0" collapsed="false">
      <c r="I1283" s="7" t="str">
        <f aca="false">IF($C1283="","",IF($C1283="G","PUTT",IF(AND($C1283="T",$M1283&gt;3),"OTT",IF($D1283&lt;=30,"ARG","APP"))))</f>
        <v/>
      </c>
      <c r="J1283" s="17" t="str">
        <f aca="false">IF($C1283="","",$N1283+$Q1283*$R1283)</f>
        <v/>
      </c>
      <c r="K1283" s="17" t="str">
        <f aca="false">IF($C1283="","",$O1283+$Q1283*$S1283)</f>
        <v/>
      </c>
      <c r="L1283" s="17" t="str">
        <f aca="false">IF($C1283="","",$J1283-$K1283-1-N($G1283))</f>
        <v/>
      </c>
      <c r="M1283" s="7" t="str">
        <f aca="false">IF($B1283="","",INDEX(Course!$B$2:$B$19,MATCH($B1283,Course!$A$2:$A$19,0)))</f>
        <v/>
      </c>
      <c r="N1283" s="17" t="str">
        <f aca="false">IF($C1283="","",IF($C1283="H",0,IF($C1283="G",INDEX(Baseline!$I$3:$I$102,MIN(MAX(ROUND($D1283,0),1),100)),IF($C1283="T",IF($M1283=3,INDEX(Baseline!$B$3:$B$122,MATCH(MIN(MAX(ROUND(($D1283)/5,0)*5,5),600),Baseline!$A$3:$A$122,0))-Inputs!$B$9,INDEX(Course!$N$2:$N$19,MATCH($B1283,Course!$A$2:$A$19,0))),INDEX(Baseline!$B$3:$E$122,MATCH(MIN(MAX(ROUND(($D1283)/5,0)*5,5),600),Baseline!$A$3:$A$122,0),MATCH($C1283,Baseline!$B$2:$E$2,0))))))</f>
        <v/>
      </c>
      <c r="O1283" s="17" t="str">
        <f aca="false">IF($C1283="","",IF($E1283="H",0,IF($E1283="G",INDEX(Baseline!$I$3:$I$102,MIN(MAX(ROUND($F1283,0),1),100)),IF($E1283="T",IF($M1283=3,INDEX(Baseline!$B$3:$B$122,MATCH(MIN(MAX(ROUND(($F1283)/5,0)*5,5),600),Baseline!$A$3:$A$122,0))-Inputs!$B$9,INDEX(Course!$N$2:$N$19,MATCH($B1283,Course!$A$2:$A$19,0))),INDEX(Baseline!$B$3:$E$122,MATCH(MIN(MAX(ROUND(($F1283)/5,0)*5,5),600),Baseline!$A$3:$A$122,0),MATCH($E1283,Baseline!$B$2:$E$2,0))))))</f>
        <v/>
      </c>
      <c r="P1283" s="17" t="str">
        <f aca="false">IF($B1283="","",INDEX(Course!$N$2:$N$19,MATCH($B1283,Course!$A$2:$A$19,0)))</f>
        <v/>
      </c>
      <c r="Q1283" s="17" t="str">
        <f aca="false">IF($B1283="","",INDEX(Course!$P$2:$P$19,MATCH($B1283,Course!$A$2:$A$19,0)))</f>
        <v/>
      </c>
      <c r="R1283" s="17" t="str">
        <f aca="false">IF($C1283="","",IF(OR($C1283="G",$C1283="H"),0,IF($C1283="T",1,MIN(1,MAX(0,($N1283-Inputs!$B$8)/MAX($P1283-Inputs!$B$8,0.01))))))</f>
        <v/>
      </c>
      <c r="S1283" s="17" t="str">
        <f aca="false">IF($C1283="","",IF(OR($E1283="G",$E1283="H"),0,IF($E1283="T",1,MIN(1,MAX(0,($O1283-Inputs!$B$8)/MAX($P1283-Inputs!$B$8,0.01))))))</f>
        <v/>
      </c>
    </row>
    <row r="1284" customFormat="false" ht="15" hidden="false" customHeight="false" outlineLevel="0" collapsed="false">
      <c r="I1284" s="7" t="str">
        <f aca="false">IF($C1284="","",IF($C1284="G","PUTT",IF(AND($C1284="T",$M1284&gt;3),"OTT",IF($D1284&lt;=30,"ARG","APP"))))</f>
        <v/>
      </c>
      <c r="J1284" s="17" t="str">
        <f aca="false">IF($C1284="","",$N1284+$Q1284*$R1284)</f>
        <v/>
      </c>
      <c r="K1284" s="17" t="str">
        <f aca="false">IF($C1284="","",$O1284+$Q1284*$S1284)</f>
        <v/>
      </c>
      <c r="L1284" s="17" t="str">
        <f aca="false">IF($C1284="","",$J1284-$K1284-1-N($G1284))</f>
        <v/>
      </c>
      <c r="M1284" s="7" t="str">
        <f aca="false">IF($B1284="","",INDEX(Course!$B$2:$B$19,MATCH($B1284,Course!$A$2:$A$19,0)))</f>
        <v/>
      </c>
      <c r="N1284" s="17" t="str">
        <f aca="false">IF($C1284="","",IF($C1284="H",0,IF($C1284="G",INDEX(Baseline!$I$3:$I$102,MIN(MAX(ROUND($D1284,0),1),100)),IF($C1284="T",IF($M1284=3,INDEX(Baseline!$B$3:$B$122,MATCH(MIN(MAX(ROUND(($D1284)/5,0)*5,5),600),Baseline!$A$3:$A$122,0))-Inputs!$B$9,INDEX(Course!$N$2:$N$19,MATCH($B1284,Course!$A$2:$A$19,0))),INDEX(Baseline!$B$3:$E$122,MATCH(MIN(MAX(ROUND(($D1284)/5,0)*5,5),600),Baseline!$A$3:$A$122,0),MATCH($C1284,Baseline!$B$2:$E$2,0))))))</f>
        <v/>
      </c>
      <c r="O1284" s="17" t="str">
        <f aca="false">IF($C1284="","",IF($E1284="H",0,IF($E1284="G",INDEX(Baseline!$I$3:$I$102,MIN(MAX(ROUND($F1284,0),1),100)),IF($E1284="T",IF($M1284=3,INDEX(Baseline!$B$3:$B$122,MATCH(MIN(MAX(ROUND(($F1284)/5,0)*5,5),600),Baseline!$A$3:$A$122,0))-Inputs!$B$9,INDEX(Course!$N$2:$N$19,MATCH($B1284,Course!$A$2:$A$19,0))),INDEX(Baseline!$B$3:$E$122,MATCH(MIN(MAX(ROUND(($F1284)/5,0)*5,5),600),Baseline!$A$3:$A$122,0),MATCH($E1284,Baseline!$B$2:$E$2,0))))))</f>
        <v/>
      </c>
      <c r="P1284" s="17" t="str">
        <f aca="false">IF($B1284="","",INDEX(Course!$N$2:$N$19,MATCH($B1284,Course!$A$2:$A$19,0)))</f>
        <v/>
      </c>
      <c r="Q1284" s="17" t="str">
        <f aca="false">IF($B1284="","",INDEX(Course!$P$2:$P$19,MATCH($B1284,Course!$A$2:$A$19,0)))</f>
        <v/>
      </c>
      <c r="R1284" s="17" t="str">
        <f aca="false">IF($C1284="","",IF(OR($C1284="G",$C1284="H"),0,IF($C1284="T",1,MIN(1,MAX(0,($N1284-Inputs!$B$8)/MAX($P1284-Inputs!$B$8,0.01))))))</f>
        <v/>
      </c>
      <c r="S1284" s="17" t="str">
        <f aca="false">IF($C1284="","",IF(OR($E1284="G",$E1284="H"),0,IF($E1284="T",1,MIN(1,MAX(0,($O1284-Inputs!$B$8)/MAX($P1284-Inputs!$B$8,0.01))))))</f>
        <v/>
      </c>
    </row>
    <row r="1285" customFormat="false" ht="15" hidden="false" customHeight="false" outlineLevel="0" collapsed="false">
      <c r="I1285" s="7" t="str">
        <f aca="false">IF($C1285="","",IF($C1285="G","PUTT",IF(AND($C1285="T",$M1285&gt;3),"OTT",IF($D1285&lt;=30,"ARG","APP"))))</f>
        <v/>
      </c>
      <c r="J1285" s="17" t="str">
        <f aca="false">IF($C1285="","",$N1285+$Q1285*$R1285)</f>
        <v/>
      </c>
      <c r="K1285" s="17" t="str">
        <f aca="false">IF($C1285="","",$O1285+$Q1285*$S1285)</f>
        <v/>
      </c>
      <c r="L1285" s="17" t="str">
        <f aca="false">IF($C1285="","",$J1285-$K1285-1-N($G1285))</f>
        <v/>
      </c>
      <c r="M1285" s="7" t="str">
        <f aca="false">IF($B1285="","",INDEX(Course!$B$2:$B$19,MATCH($B1285,Course!$A$2:$A$19,0)))</f>
        <v/>
      </c>
      <c r="N1285" s="17" t="str">
        <f aca="false">IF($C1285="","",IF($C1285="H",0,IF($C1285="G",INDEX(Baseline!$I$3:$I$102,MIN(MAX(ROUND($D1285,0),1),100)),IF($C1285="T",IF($M1285=3,INDEX(Baseline!$B$3:$B$122,MATCH(MIN(MAX(ROUND(($D1285)/5,0)*5,5),600),Baseline!$A$3:$A$122,0))-Inputs!$B$9,INDEX(Course!$N$2:$N$19,MATCH($B1285,Course!$A$2:$A$19,0))),INDEX(Baseline!$B$3:$E$122,MATCH(MIN(MAX(ROUND(($D1285)/5,0)*5,5),600),Baseline!$A$3:$A$122,0),MATCH($C1285,Baseline!$B$2:$E$2,0))))))</f>
        <v/>
      </c>
      <c r="O1285" s="17" t="str">
        <f aca="false">IF($C1285="","",IF($E1285="H",0,IF($E1285="G",INDEX(Baseline!$I$3:$I$102,MIN(MAX(ROUND($F1285,0),1),100)),IF($E1285="T",IF($M1285=3,INDEX(Baseline!$B$3:$B$122,MATCH(MIN(MAX(ROUND(($F1285)/5,0)*5,5),600),Baseline!$A$3:$A$122,0))-Inputs!$B$9,INDEX(Course!$N$2:$N$19,MATCH($B1285,Course!$A$2:$A$19,0))),INDEX(Baseline!$B$3:$E$122,MATCH(MIN(MAX(ROUND(($F1285)/5,0)*5,5),600),Baseline!$A$3:$A$122,0),MATCH($E1285,Baseline!$B$2:$E$2,0))))))</f>
        <v/>
      </c>
      <c r="P1285" s="17" t="str">
        <f aca="false">IF($B1285="","",INDEX(Course!$N$2:$N$19,MATCH($B1285,Course!$A$2:$A$19,0)))</f>
        <v/>
      </c>
      <c r="Q1285" s="17" t="str">
        <f aca="false">IF($B1285="","",INDEX(Course!$P$2:$P$19,MATCH($B1285,Course!$A$2:$A$19,0)))</f>
        <v/>
      </c>
      <c r="R1285" s="17" t="str">
        <f aca="false">IF($C1285="","",IF(OR($C1285="G",$C1285="H"),0,IF($C1285="T",1,MIN(1,MAX(0,($N1285-Inputs!$B$8)/MAX($P1285-Inputs!$B$8,0.01))))))</f>
        <v/>
      </c>
      <c r="S1285" s="17" t="str">
        <f aca="false">IF($C1285="","",IF(OR($E1285="G",$E1285="H"),0,IF($E1285="T",1,MIN(1,MAX(0,($O1285-Inputs!$B$8)/MAX($P1285-Inputs!$B$8,0.01))))))</f>
        <v/>
      </c>
    </row>
    <row r="1286" customFormat="false" ht="15" hidden="false" customHeight="false" outlineLevel="0" collapsed="false">
      <c r="I1286" s="7" t="str">
        <f aca="false">IF($C1286="","",IF($C1286="G","PUTT",IF(AND($C1286="T",$M1286&gt;3),"OTT",IF($D1286&lt;=30,"ARG","APP"))))</f>
        <v/>
      </c>
      <c r="J1286" s="17" t="str">
        <f aca="false">IF($C1286="","",$N1286+$Q1286*$R1286)</f>
        <v/>
      </c>
      <c r="K1286" s="17" t="str">
        <f aca="false">IF($C1286="","",$O1286+$Q1286*$S1286)</f>
        <v/>
      </c>
      <c r="L1286" s="17" t="str">
        <f aca="false">IF($C1286="","",$J1286-$K1286-1-N($G1286))</f>
        <v/>
      </c>
      <c r="M1286" s="7" t="str">
        <f aca="false">IF($B1286="","",INDEX(Course!$B$2:$B$19,MATCH($B1286,Course!$A$2:$A$19,0)))</f>
        <v/>
      </c>
      <c r="N1286" s="17" t="str">
        <f aca="false">IF($C1286="","",IF($C1286="H",0,IF($C1286="G",INDEX(Baseline!$I$3:$I$102,MIN(MAX(ROUND($D1286,0),1),100)),IF($C1286="T",IF($M1286=3,INDEX(Baseline!$B$3:$B$122,MATCH(MIN(MAX(ROUND(($D1286)/5,0)*5,5),600),Baseline!$A$3:$A$122,0))-Inputs!$B$9,INDEX(Course!$N$2:$N$19,MATCH($B1286,Course!$A$2:$A$19,0))),INDEX(Baseline!$B$3:$E$122,MATCH(MIN(MAX(ROUND(($D1286)/5,0)*5,5),600),Baseline!$A$3:$A$122,0),MATCH($C1286,Baseline!$B$2:$E$2,0))))))</f>
        <v/>
      </c>
      <c r="O1286" s="17" t="str">
        <f aca="false">IF($C1286="","",IF($E1286="H",0,IF($E1286="G",INDEX(Baseline!$I$3:$I$102,MIN(MAX(ROUND($F1286,0),1),100)),IF($E1286="T",IF($M1286=3,INDEX(Baseline!$B$3:$B$122,MATCH(MIN(MAX(ROUND(($F1286)/5,0)*5,5),600),Baseline!$A$3:$A$122,0))-Inputs!$B$9,INDEX(Course!$N$2:$N$19,MATCH($B1286,Course!$A$2:$A$19,0))),INDEX(Baseline!$B$3:$E$122,MATCH(MIN(MAX(ROUND(($F1286)/5,0)*5,5),600),Baseline!$A$3:$A$122,0),MATCH($E1286,Baseline!$B$2:$E$2,0))))))</f>
        <v/>
      </c>
      <c r="P1286" s="17" t="str">
        <f aca="false">IF($B1286="","",INDEX(Course!$N$2:$N$19,MATCH($B1286,Course!$A$2:$A$19,0)))</f>
        <v/>
      </c>
      <c r="Q1286" s="17" t="str">
        <f aca="false">IF($B1286="","",INDEX(Course!$P$2:$P$19,MATCH($B1286,Course!$A$2:$A$19,0)))</f>
        <v/>
      </c>
      <c r="R1286" s="17" t="str">
        <f aca="false">IF($C1286="","",IF(OR($C1286="G",$C1286="H"),0,IF($C1286="T",1,MIN(1,MAX(0,($N1286-Inputs!$B$8)/MAX($P1286-Inputs!$B$8,0.01))))))</f>
        <v/>
      </c>
      <c r="S1286" s="17" t="str">
        <f aca="false">IF($C1286="","",IF(OR($E1286="G",$E1286="H"),0,IF($E1286="T",1,MIN(1,MAX(0,($O1286-Inputs!$B$8)/MAX($P1286-Inputs!$B$8,0.01))))))</f>
        <v/>
      </c>
    </row>
    <row r="1287" customFormat="false" ht="15" hidden="false" customHeight="false" outlineLevel="0" collapsed="false">
      <c r="I1287" s="7" t="str">
        <f aca="false">IF($C1287="","",IF($C1287="G","PUTT",IF(AND($C1287="T",$M1287&gt;3),"OTT",IF($D1287&lt;=30,"ARG","APP"))))</f>
        <v/>
      </c>
      <c r="J1287" s="17" t="str">
        <f aca="false">IF($C1287="","",$N1287+$Q1287*$R1287)</f>
        <v/>
      </c>
      <c r="K1287" s="17" t="str">
        <f aca="false">IF($C1287="","",$O1287+$Q1287*$S1287)</f>
        <v/>
      </c>
      <c r="L1287" s="17" t="str">
        <f aca="false">IF($C1287="","",$J1287-$K1287-1-N($G1287))</f>
        <v/>
      </c>
      <c r="M1287" s="7" t="str">
        <f aca="false">IF($B1287="","",INDEX(Course!$B$2:$B$19,MATCH($B1287,Course!$A$2:$A$19,0)))</f>
        <v/>
      </c>
      <c r="N1287" s="17" t="str">
        <f aca="false">IF($C1287="","",IF($C1287="H",0,IF($C1287="G",INDEX(Baseline!$I$3:$I$102,MIN(MAX(ROUND($D1287,0),1),100)),IF($C1287="T",IF($M1287=3,INDEX(Baseline!$B$3:$B$122,MATCH(MIN(MAX(ROUND(($D1287)/5,0)*5,5),600),Baseline!$A$3:$A$122,0))-Inputs!$B$9,INDEX(Course!$N$2:$N$19,MATCH($B1287,Course!$A$2:$A$19,0))),INDEX(Baseline!$B$3:$E$122,MATCH(MIN(MAX(ROUND(($D1287)/5,0)*5,5),600),Baseline!$A$3:$A$122,0),MATCH($C1287,Baseline!$B$2:$E$2,0))))))</f>
        <v/>
      </c>
      <c r="O1287" s="17" t="str">
        <f aca="false">IF($C1287="","",IF($E1287="H",0,IF($E1287="G",INDEX(Baseline!$I$3:$I$102,MIN(MAX(ROUND($F1287,0),1),100)),IF($E1287="T",IF($M1287=3,INDEX(Baseline!$B$3:$B$122,MATCH(MIN(MAX(ROUND(($F1287)/5,0)*5,5),600),Baseline!$A$3:$A$122,0))-Inputs!$B$9,INDEX(Course!$N$2:$N$19,MATCH($B1287,Course!$A$2:$A$19,0))),INDEX(Baseline!$B$3:$E$122,MATCH(MIN(MAX(ROUND(($F1287)/5,0)*5,5),600),Baseline!$A$3:$A$122,0),MATCH($E1287,Baseline!$B$2:$E$2,0))))))</f>
        <v/>
      </c>
      <c r="P1287" s="17" t="str">
        <f aca="false">IF($B1287="","",INDEX(Course!$N$2:$N$19,MATCH($B1287,Course!$A$2:$A$19,0)))</f>
        <v/>
      </c>
      <c r="Q1287" s="17" t="str">
        <f aca="false">IF($B1287="","",INDEX(Course!$P$2:$P$19,MATCH($B1287,Course!$A$2:$A$19,0)))</f>
        <v/>
      </c>
      <c r="R1287" s="17" t="str">
        <f aca="false">IF($C1287="","",IF(OR($C1287="G",$C1287="H"),0,IF($C1287="T",1,MIN(1,MAX(0,($N1287-Inputs!$B$8)/MAX($P1287-Inputs!$B$8,0.01))))))</f>
        <v/>
      </c>
      <c r="S1287" s="17" t="str">
        <f aca="false">IF($C1287="","",IF(OR($E1287="G",$E1287="H"),0,IF($E1287="T",1,MIN(1,MAX(0,($O1287-Inputs!$B$8)/MAX($P1287-Inputs!$B$8,0.01))))))</f>
        <v/>
      </c>
    </row>
    <row r="1288" customFormat="false" ht="15" hidden="false" customHeight="false" outlineLevel="0" collapsed="false">
      <c r="I1288" s="7" t="str">
        <f aca="false">IF($C1288="","",IF($C1288="G","PUTT",IF(AND($C1288="T",$M1288&gt;3),"OTT",IF($D1288&lt;=30,"ARG","APP"))))</f>
        <v/>
      </c>
      <c r="J1288" s="17" t="str">
        <f aca="false">IF($C1288="","",$N1288+$Q1288*$R1288)</f>
        <v/>
      </c>
      <c r="K1288" s="17" t="str">
        <f aca="false">IF($C1288="","",$O1288+$Q1288*$S1288)</f>
        <v/>
      </c>
      <c r="L1288" s="17" t="str">
        <f aca="false">IF($C1288="","",$J1288-$K1288-1-N($G1288))</f>
        <v/>
      </c>
      <c r="M1288" s="7" t="str">
        <f aca="false">IF($B1288="","",INDEX(Course!$B$2:$B$19,MATCH($B1288,Course!$A$2:$A$19,0)))</f>
        <v/>
      </c>
      <c r="N1288" s="17" t="str">
        <f aca="false">IF($C1288="","",IF($C1288="H",0,IF($C1288="G",INDEX(Baseline!$I$3:$I$102,MIN(MAX(ROUND($D1288,0),1),100)),IF($C1288="T",IF($M1288=3,INDEX(Baseline!$B$3:$B$122,MATCH(MIN(MAX(ROUND(($D1288)/5,0)*5,5),600),Baseline!$A$3:$A$122,0))-Inputs!$B$9,INDEX(Course!$N$2:$N$19,MATCH($B1288,Course!$A$2:$A$19,0))),INDEX(Baseline!$B$3:$E$122,MATCH(MIN(MAX(ROUND(($D1288)/5,0)*5,5),600),Baseline!$A$3:$A$122,0),MATCH($C1288,Baseline!$B$2:$E$2,0))))))</f>
        <v/>
      </c>
      <c r="O1288" s="17" t="str">
        <f aca="false">IF($C1288="","",IF($E1288="H",0,IF($E1288="G",INDEX(Baseline!$I$3:$I$102,MIN(MAX(ROUND($F1288,0),1),100)),IF($E1288="T",IF($M1288=3,INDEX(Baseline!$B$3:$B$122,MATCH(MIN(MAX(ROUND(($F1288)/5,0)*5,5),600),Baseline!$A$3:$A$122,0))-Inputs!$B$9,INDEX(Course!$N$2:$N$19,MATCH($B1288,Course!$A$2:$A$19,0))),INDEX(Baseline!$B$3:$E$122,MATCH(MIN(MAX(ROUND(($F1288)/5,0)*5,5),600),Baseline!$A$3:$A$122,0),MATCH($E1288,Baseline!$B$2:$E$2,0))))))</f>
        <v/>
      </c>
      <c r="P1288" s="17" t="str">
        <f aca="false">IF($B1288="","",INDEX(Course!$N$2:$N$19,MATCH($B1288,Course!$A$2:$A$19,0)))</f>
        <v/>
      </c>
      <c r="Q1288" s="17" t="str">
        <f aca="false">IF($B1288="","",INDEX(Course!$P$2:$P$19,MATCH($B1288,Course!$A$2:$A$19,0)))</f>
        <v/>
      </c>
      <c r="R1288" s="17" t="str">
        <f aca="false">IF($C1288="","",IF(OR($C1288="G",$C1288="H"),0,IF($C1288="T",1,MIN(1,MAX(0,($N1288-Inputs!$B$8)/MAX($P1288-Inputs!$B$8,0.01))))))</f>
        <v/>
      </c>
      <c r="S1288" s="17" t="str">
        <f aca="false">IF($C1288="","",IF(OR($E1288="G",$E1288="H"),0,IF($E1288="T",1,MIN(1,MAX(0,($O1288-Inputs!$B$8)/MAX($P1288-Inputs!$B$8,0.01))))))</f>
        <v/>
      </c>
    </row>
    <row r="1289" customFormat="false" ht="15" hidden="false" customHeight="false" outlineLevel="0" collapsed="false">
      <c r="I1289" s="7" t="str">
        <f aca="false">IF($C1289="","",IF($C1289="G","PUTT",IF(AND($C1289="T",$M1289&gt;3),"OTT",IF($D1289&lt;=30,"ARG","APP"))))</f>
        <v/>
      </c>
      <c r="J1289" s="17" t="str">
        <f aca="false">IF($C1289="","",$N1289+$Q1289*$R1289)</f>
        <v/>
      </c>
      <c r="K1289" s="17" t="str">
        <f aca="false">IF($C1289="","",$O1289+$Q1289*$S1289)</f>
        <v/>
      </c>
      <c r="L1289" s="17" t="str">
        <f aca="false">IF($C1289="","",$J1289-$K1289-1-N($G1289))</f>
        <v/>
      </c>
      <c r="M1289" s="7" t="str">
        <f aca="false">IF($B1289="","",INDEX(Course!$B$2:$B$19,MATCH($B1289,Course!$A$2:$A$19,0)))</f>
        <v/>
      </c>
      <c r="N1289" s="17" t="str">
        <f aca="false">IF($C1289="","",IF($C1289="H",0,IF($C1289="G",INDEX(Baseline!$I$3:$I$102,MIN(MAX(ROUND($D1289,0),1),100)),IF($C1289="T",IF($M1289=3,INDEX(Baseline!$B$3:$B$122,MATCH(MIN(MAX(ROUND(($D1289)/5,0)*5,5),600),Baseline!$A$3:$A$122,0))-Inputs!$B$9,INDEX(Course!$N$2:$N$19,MATCH($B1289,Course!$A$2:$A$19,0))),INDEX(Baseline!$B$3:$E$122,MATCH(MIN(MAX(ROUND(($D1289)/5,0)*5,5),600),Baseline!$A$3:$A$122,0),MATCH($C1289,Baseline!$B$2:$E$2,0))))))</f>
        <v/>
      </c>
      <c r="O1289" s="17" t="str">
        <f aca="false">IF($C1289="","",IF($E1289="H",0,IF($E1289="G",INDEX(Baseline!$I$3:$I$102,MIN(MAX(ROUND($F1289,0),1),100)),IF($E1289="T",IF($M1289=3,INDEX(Baseline!$B$3:$B$122,MATCH(MIN(MAX(ROUND(($F1289)/5,0)*5,5),600),Baseline!$A$3:$A$122,0))-Inputs!$B$9,INDEX(Course!$N$2:$N$19,MATCH($B1289,Course!$A$2:$A$19,0))),INDEX(Baseline!$B$3:$E$122,MATCH(MIN(MAX(ROUND(($F1289)/5,0)*5,5),600),Baseline!$A$3:$A$122,0),MATCH($E1289,Baseline!$B$2:$E$2,0))))))</f>
        <v/>
      </c>
      <c r="P1289" s="17" t="str">
        <f aca="false">IF($B1289="","",INDEX(Course!$N$2:$N$19,MATCH($B1289,Course!$A$2:$A$19,0)))</f>
        <v/>
      </c>
      <c r="Q1289" s="17" t="str">
        <f aca="false">IF($B1289="","",INDEX(Course!$P$2:$P$19,MATCH($B1289,Course!$A$2:$A$19,0)))</f>
        <v/>
      </c>
      <c r="R1289" s="17" t="str">
        <f aca="false">IF($C1289="","",IF(OR($C1289="G",$C1289="H"),0,IF($C1289="T",1,MIN(1,MAX(0,($N1289-Inputs!$B$8)/MAX($P1289-Inputs!$B$8,0.01))))))</f>
        <v/>
      </c>
      <c r="S1289" s="17" t="str">
        <f aca="false">IF($C1289="","",IF(OR($E1289="G",$E1289="H"),0,IF($E1289="T",1,MIN(1,MAX(0,($O1289-Inputs!$B$8)/MAX($P1289-Inputs!$B$8,0.01))))))</f>
        <v/>
      </c>
    </row>
    <row r="1290" customFormat="false" ht="15" hidden="false" customHeight="false" outlineLevel="0" collapsed="false">
      <c r="I1290" s="7" t="str">
        <f aca="false">IF($C1290="","",IF($C1290="G","PUTT",IF(AND($C1290="T",$M1290&gt;3),"OTT",IF($D1290&lt;=30,"ARG","APP"))))</f>
        <v/>
      </c>
      <c r="J1290" s="17" t="str">
        <f aca="false">IF($C1290="","",$N1290+$Q1290*$R1290)</f>
        <v/>
      </c>
      <c r="K1290" s="17" t="str">
        <f aca="false">IF($C1290="","",$O1290+$Q1290*$S1290)</f>
        <v/>
      </c>
      <c r="L1290" s="17" t="str">
        <f aca="false">IF($C1290="","",$J1290-$K1290-1-N($G1290))</f>
        <v/>
      </c>
      <c r="M1290" s="7" t="str">
        <f aca="false">IF($B1290="","",INDEX(Course!$B$2:$B$19,MATCH($B1290,Course!$A$2:$A$19,0)))</f>
        <v/>
      </c>
      <c r="N1290" s="17" t="str">
        <f aca="false">IF($C1290="","",IF($C1290="H",0,IF($C1290="G",INDEX(Baseline!$I$3:$I$102,MIN(MAX(ROUND($D1290,0),1),100)),IF($C1290="T",IF($M1290=3,INDEX(Baseline!$B$3:$B$122,MATCH(MIN(MAX(ROUND(($D1290)/5,0)*5,5),600),Baseline!$A$3:$A$122,0))-Inputs!$B$9,INDEX(Course!$N$2:$N$19,MATCH($B1290,Course!$A$2:$A$19,0))),INDEX(Baseline!$B$3:$E$122,MATCH(MIN(MAX(ROUND(($D1290)/5,0)*5,5),600),Baseline!$A$3:$A$122,0),MATCH($C1290,Baseline!$B$2:$E$2,0))))))</f>
        <v/>
      </c>
      <c r="O1290" s="17" t="str">
        <f aca="false">IF($C1290="","",IF($E1290="H",0,IF($E1290="G",INDEX(Baseline!$I$3:$I$102,MIN(MAX(ROUND($F1290,0),1),100)),IF($E1290="T",IF($M1290=3,INDEX(Baseline!$B$3:$B$122,MATCH(MIN(MAX(ROUND(($F1290)/5,0)*5,5),600),Baseline!$A$3:$A$122,0))-Inputs!$B$9,INDEX(Course!$N$2:$N$19,MATCH($B1290,Course!$A$2:$A$19,0))),INDEX(Baseline!$B$3:$E$122,MATCH(MIN(MAX(ROUND(($F1290)/5,0)*5,5),600),Baseline!$A$3:$A$122,0),MATCH($E1290,Baseline!$B$2:$E$2,0))))))</f>
        <v/>
      </c>
      <c r="P1290" s="17" t="str">
        <f aca="false">IF($B1290="","",INDEX(Course!$N$2:$N$19,MATCH($B1290,Course!$A$2:$A$19,0)))</f>
        <v/>
      </c>
      <c r="Q1290" s="17" t="str">
        <f aca="false">IF($B1290="","",INDEX(Course!$P$2:$P$19,MATCH($B1290,Course!$A$2:$A$19,0)))</f>
        <v/>
      </c>
      <c r="R1290" s="17" t="str">
        <f aca="false">IF($C1290="","",IF(OR($C1290="G",$C1290="H"),0,IF($C1290="T",1,MIN(1,MAX(0,($N1290-Inputs!$B$8)/MAX($P1290-Inputs!$B$8,0.01))))))</f>
        <v/>
      </c>
      <c r="S1290" s="17" t="str">
        <f aca="false">IF($C1290="","",IF(OR($E1290="G",$E1290="H"),0,IF($E1290="T",1,MIN(1,MAX(0,($O1290-Inputs!$B$8)/MAX($P1290-Inputs!$B$8,0.01))))))</f>
        <v/>
      </c>
    </row>
    <row r="1291" customFormat="false" ht="15" hidden="false" customHeight="false" outlineLevel="0" collapsed="false">
      <c r="I1291" s="7" t="str">
        <f aca="false">IF($C1291="","",IF($C1291="G","PUTT",IF(AND($C1291="T",$M1291&gt;3),"OTT",IF($D1291&lt;=30,"ARG","APP"))))</f>
        <v/>
      </c>
      <c r="J1291" s="17" t="str">
        <f aca="false">IF($C1291="","",$N1291+$Q1291*$R1291)</f>
        <v/>
      </c>
      <c r="K1291" s="17" t="str">
        <f aca="false">IF($C1291="","",$O1291+$Q1291*$S1291)</f>
        <v/>
      </c>
      <c r="L1291" s="17" t="str">
        <f aca="false">IF($C1291="","",$J1291-$K1291-1-N($G1291))</f>
        <v/>
      </c>
      <c r="M1291" s="7" t="str">
        <f aca="false">IF($B1291="","",INDEX(Course!$B$2:$B$19,MATCH($B1291,Course!$A$2:$A$19,0)))</f>
        <v/>
      </c>
      <c r="N1291" s="17" t="str">
        <f aca="false">IF($C1291="","",IF($C1291="H",0,IF($C1291="G",INDEX(Baseline!$I$3:$I$102,MIN(MAX(ROUND($D1291,0),1),100)),IF($C1291="T",IF($M1291=3,INDEX(Baseline!$B$3:$B$122,MATCH(MIN(MAX(ROUND(($D1291)/5,0)*5,5),600),Baseline!$A$3:$A$122,0))-Inputs!$B$9,INDEX(Course!$N$2:$N$19,MATCH($B1291,Course!$A$2:$A$19,0))),INDEX(Baseline!$B$3:$E$122,MATCH(MIN(MAX(ROUND(($D1291)/5,0)*5,5),600),Baseline!$A$3:$A$122,0),MATCH($C1291,Baseline!$B$2:$E$2,0))))))</f>
        <v/>
      </c>
      <c r="O1291" s="17" t="str">
        <f aca="false">IF($C1291="","",IF($E1291="H",0,IF($E1291="G",INDEX(Baseline!$I$3:$I$102,MIN(MAX(ROUND($F1291,0),1),100)),IF($E1291="T",IF($M1291=3,INDEX(Baseline!$B$3:$B$122,MATCH(MIN(MAX(ROUND(($F1291)/5,0)*5,5),600),Baseline!$A$3:$A$122,0))-Inputs!$B$9,INDEX(Course!$N$2:$N$19,MATCH($B1291,Course!$A$2:$A$19,0))),INDEX(Baseline!$B$3:$E$122,MATCH(MIN(MAX(ROUND(($F1291)/5,0)*5,5),600),Baseline!$A$3:$A$122,0),MATCH($E1291,Baseline!$B$2:$E$2,0))))))</f>
        <v/>
      </c>
      <c r="P1291" s="17" t="str">
        <f aca="false">IF($B1291="","",INDEX(Course!$N$2:$N$19,MATCH($B1291,Course!$A$2:$A$19,0)))</f>
        <v/>
      </c>
      <c r="Q1291" s="17" t="str">
        <f aca="false">IF($B1291="","",INDEX(Course!$P$2:$P$19,MATCH($B1291,Course!$A$2:$A$19,0)))</f>
        <v/>
      </c>
      <c r="R1291" s="17" t="str">
        <f aca="false">IF($C1291="","",IF(OR($C1291="G",$C1291="H"),0,IF($C1291="T",1,MIN(1,MAX(0,($N1291-Inputs!$B$8)/MAX($P1291-Inputs!$B$8,0.01))))))</f>
        <v/>
      </c>
      <c r="S1291" s="17" t="str">
        <f aca="false">IF($C1291="","",IF(OR($E1291="G",$E1291="H"),0,IF($E1291="T",1,MIN(1,MAX(0,($O1291-Inputs!$B$8)/MAX($P1291-Inputs!$B$8,0.01))))))</f>
        <v/>
      </c>
    </row>
    <row r="1292" customFormat="false" ht="15" hidden="false" customHeight="false" outlineLevel="0" collapsed="false">
      <c r="I1292" s="7" t="str">
        <f aca="false">IF($C1292="","",IF($C1292="G","PUTT",IF(AND($C1292="T",$M1292&gt;3),"OTT",IF($D1292&lt;=30,"ARG","APP"))))</f>
        <v/>
      </c>
      <c r="J1292" s="17" t="str">
        <f aca="false">IF($C1292="","",$N1292+$Q1292*$R1292)</f>
        <v/>
      </c>
      <c r="K1292" s="17" t="str">
        <f aca="false">IF($C1292="","",$O1292+$Q1292*$S1292)</f>
        <v/>
      </c>
      <c r="L1292" s="17" t="str">
        <f aca="false">IF($C1292="","",$J1292-$K1292-1-N($G1292))</f>
        <v/>
      </c>
      <c r="M1292" s="7" t="str">
        <f aca="false">IF($B1292="","",INDEX(Course!$B$2:$B$19,MATCH($B1292,Course!$A$2:$A$19,0)))</f>
        <v/>
      </c>
      <c r="N1292" s="17" t="str">
        <f aca="false">IF($C1292="","",IF($C1292="H",0,IF($C1292="G",INDEX(Baseline!$I$3:$I$102,MIN(MAX(ROUND($D1292,0),1),100)),IF($C1292="T",IF($M1292=3,INDEX(Baseline!$B$3:$B$122,MATCH(MIN(MAX(ROUND(($D1292)/5,0)*5,5),600),Baseline!$A$3:$A$122,0))-Inputs!$B$9,INDEX(Course!$N$2:$N$19,MATCH($B1292,Course!$A$2:$A$19,0))),INDEX(Baseline!$B$3:$E$122,MATCH(MIN(MAX(ROUND(($D1292)/5,0)*5,5),600),Baseline!$A$3:$A$122,0),MATCH($C1292,Baseline!$B$2:$E$2,0))))))</f>
        <v/>
      </c>
      <c r="O1292" s="17" t="str">
        <f aca="false">IF($C1292="","",IF($E1292="H",0,IF($E1292="G",INDEX(Baseline!$I$3:$I$102,MIN(MAX(ROUND($F1292,0),1),100)),IF($E1292="T",IF($M1292=3,INDEX(Baseline!$B$3:$B$122,MATCH(MIN(MAX(ROUND(($F1292)/5,0)*5,5),600),Baseline!$A$3:$A$122,0))-Inputs!$B$9,INDEX(Course!$N$2:$N$19,MATCH($B1292,Course!$A$2:$A$19,0))),INDEX(Baseline!$B$3:$E$122,MATCH(MIN(MAX(ROUND(($F1292)/5,0)*5,5),600),Baseline!$A$3:$A$122,0),MATCH($E1292,Baseline!$B$2:$E$2,0))))))</f>
        <v/>
      </c>
      <c r="P1292" s="17" t="str">
        <f aca="false">IF($B1292="","",INDEX(Course!$N$2:$N$19,MATCH($B1292,Course!$A$2:$A$19,0)))</f>
        <v/>
      </c>
      <c r="Q1292" s="17" t="str">
        <f aca="false">IF($B1292="","",INDEX(Course!$P$2:$P$19,MATCH($B1292,Course!$A$2:$A$19,0)))</f>
        <v/>
      </c>
      <c r="R1292" s="17" t="str">
        <f aca="false">IF($C1292="","",IF(OR($C1292="G",$C1292="H"),0,IF($C1292="T",1,MIN(1,MAX(0,($N1292-Inputs!$B$8)/MAX($P1292-Inputs!$B$8,0.01))))))</f>
        <v/>
      </c>
      <c r="S1292" s="17" t="str">
        <f aca="false">IF($C1292="","",IF(OR($E1292="G",$E1292="H"),0,IF($E1292="T",1,MIN(1,MAX(0,($O1292-Inputs!$B$8)/MAX($P1292-Inputs!$B$8,0.01))))))</f>
        <v/>
      </c>
    </row>
    <row r="1293" customFormat="false" ht="15" hidden="false" customHeight="false" outlineLevel="0" collapsed="false">
      <c r="I1293" s="7" t="str">
        <f aca="false">IF($C1293="","",IF($C1293="G","PUTT",IF(AND($C1293="T",$M1293&gt;3),"OTT",IF($D1293&lt;=30,"ARG","APP"))))</f>
        <v/>
      </c>
      <c r="J1293" s="17" t="str">
        <f aca="false">IF($C1293="","",$N1293+$Q1293*$R1293)</f>
        <v/>
      </c>
      <c r="K1293" s="17" t="str">
        <f aca="false">IF($C1293="","",$O1293+$Q1293*$S1293)</f>
        <v/>
      </c>
      <c r="L1293" s="17" t="str">
        <f aca="false">IF($C1293="","",$J1293-$K1293-1-N($G1293))</f>
        <v/>
      </c>
      <c r="M1293" s="7" t="str">
        <f aca="false">IF($B1293="","",INDEX(Course!$B$2:$B$19,MATCH($B1293,Course!$A$2:$A$19,0)))</f>
        <v/>
      </c>
      <c r="N1293" s="17" t="str">
        <f aca="false">IF($C1293="","",IF($C1293="H",0,IF($C1293="G",INDEX(Baseline!$I$3:$I$102,MIN(MAX(ROUND($D1293,0),1),100)),IF($C1293="T",IF($M1293=3,INDEX(Baseline!$B$3:$B$122,MATCH(MIN(MAX(ROUND(($D1293)/5,0)*5,5),600),Baseline!$A$3:$A$122,0))-Inputs!$B$9,INDEX(Course!$N$2:$N$19,MATCH($B1293,Course!$A$2:$A$19,0))),INDEX(Baseline!$B$3:$E$122,MATCH(MIN(MAX(ROUND(($D1293)/5,0)*5,5),600),Baseline!$A$3:$A$122,0),MATCH($C1293,Baseline!$B$2:$E$2,0))))))</f>
        <v/>
      </c>
      <c r="O1293" s="17" t="str">
        <f aca="false">IF($C1293="","",IF($E1293="H",0,IF($E1293="G",INDEX(Baseline!$I$3:$I$102,MIN(MAX(ROUND($F1293,0),1),100)),IF($E1293="T",IF($M1293=3,INDEX(Baseline!$B$3:$B$122,MATCH(MIN(MAX(ROUND(($F1293)/5,0)*5,5),600),Baseline!$A$3:$A$122,0))-Inputs!$B$9,INDEX(Course!$N$2:$N$19,MATCH($B1293,Course!$A$2:$A$19,0))),INDEX(Baseline!$B$3:$E$122,MATCH(MIN(MAX(ROUND(($F1293)/5,0)*5,5),600),Baseline!$A$3:$A$122,0),MATCH($E1293,Baseline!$B$2:$E$2,0))))))</f>
        <v/>
      </c>
      <c r="P1293" s="17" t="str">
        <f aca="false">IF($B1293="","",INDEX(Course!$N$2:$N$19,MATCH($B1293,Course!$A$2:$A$19,0)))</f>
        <v/>
      </c>
      <c r="Q1293" s="17" t="str">
        <f aca="false">IF($B1293="","",INDEX(Course!$P$2:$P$19,MATCH($B1293,Course!$A$2:$A$19,0)))</f>
        <v/>
      </c>
      <c r="R1293" s="17" t="str">
        <f aca="false">IF($C1293="","",IF(OR($C1293="G",$C1293="H"),0,IF($C1293="T",1,MIN(1,MAX(0,($N1293-Inputs!$B$8)/MAX($P1293-Inputs!$B$8,0.01))))))</f>
        <v/>
      </c>
      <c r="S1293" s="17" t="str">
        <f aca="false">IF($C1293="","",IF(OR($E1293="G",$E1293="H"),0,IF($E1293="T",1,MIN(1,MAX(0,($O1293-Inputs!$B$8)/MAX($P1293-Inputs!$B$8,0.01))))))</f>
        <v/>
      </c>
    </row>
    <row r="1294" customFormat="false" ht="15" hidden="false" customHeight="false" outlineLevel="0" collapsed="false">
      <c r="I1294" s="7" t="str">
        <f aca="false">IF($C1294="","",IF($C1294="G","PUTT",IF(AND($C1294="T",$M1294&gt;3),"OTT",IF($D1294&lt;=30,"ARG","APP"))))</f>
        <v/>
      </c>
      <c r="J1294" s="17" t="str">
        <f aca="false">IF($C1294="","",$N1294+$Q1294*$R1294)</f>
        <v/>
      </c>
      <c r="K1294" s="17" t="str">
        <f aca="false">IF($C1294="","",$O1294+$Q1294*$S1294)</f>
        <v/>
      </c>
      <c r="L1294" s="17" t="str">
        <f aca="false">IF($C1294="","",$J1294-$K1294-1-N($G1294))</f>
        <v/>
      </c>
      <c r="M1294" s="7" t="str">
        <f aca="false">IF($B1294="","",INDEX(Course!$B$2:$B$19,MATCH($B1294,Course!$A$2:$A$19,0)))</f>
        <v/>
      </c>
      <c r="N1294" s="17" t="str">
        <f aca="false">IF($C1294="","",IF($C1294="H",0,IF($C1294="G",INDEX(Baseline!$I$3:$I$102,MIN(MAX(ROUND($D1294,0),1),100)),IF($C1294="T",IF($M1294=3,INDEX(Baseline!$B$3:$B$122,MATCH(MIN(MAX(ROUND(($D1294)/5,0)*5,5),600),Baseline!$A$3:$A$122,0))-Inputs!$B$9,INDEX(Course!$N$2:$N$19,MATCH($B1294,Course!$A$2:$A$19,0))),INDEX(Baseline!$B$3:$E$122,MATCH(MIN(MAX(ROUND(($D1294)/5,0)*5,5),600),Baseline!$A$3:$A$122,0),MATCH($C1294,Baseline!$B$2:$E$2,0))))))</f>
        <v/>
      </c>
      <c r="O1294" s="17" t="str">
        <f aca="false">IF($C1294="","",IF($E1294="H",0,IF($E1294="G",INDEX(Baseline!$I$3:$I$102,MIN(MAX(ROUND($F1294,0),1),100)),IF($E1294="T",IF($M1294=3,INDEX(Baseline!$B$3:$B$122,MATCH(MIN(MAX(ROUND(($F1294)/5,0)*5,5),600),Baseline!$A$3:$A$122,0))-Inputs!$B$9,INDEX(Course!$N$2:$N$19,MATCH($B1294,Course!$A$2:$A$19,0))),INDEX(Baseline!$B$3:$E$122,MATCH(MIN(MAX(ROUND(($F1294)/5,0)*5,5),600),Baseline!$A$3:$A$122,0),MATCH($E1294,Baseline!$B$2:$E$2,0))))))</f>
        <v/>
      </c>
      <c r="P1294" s="17" t="str">
        <f aca="false">IF($B1294="","",INDEX(Course!$N$2:$N$19,MATCH($B1294,Course!$A$2:$A$19,0)))</f>
        <v/>
      </c>
      <c r="Q1294" s="17" t="str">
        <f aca="false">IF($B1294="","",INDEX(Course!$P$2:$P$19,MATCH($B1294,Course!$A$2:$A$19,0)))</f>
        <v/>
      </c>
      <c r="R1294" s="17" t="str">
        <f aca="false">IF($C1294="","",IF(OR($C1294="G",$C1294="H"),0,IF($C1294="T",1,MIN(1,MAX(0,($N1294-Inputs!$B$8)/MAX($P1294-Inputs!$B$8,0.01))))))</f>
        <v/>
      </c>
      <c r="S1294" s="17" t="str">
        <f aca="false">IF($C1294="","",IF(OR($E1294="G",$E1294="H"),0,IF($E1294="T",1,MIN(1,MAX(0,($O1294-Inputs!$B$8)/MAX($P1294-Inputs!$B$8,0.01))))))</f>
        <v/>
      </c>
    </row>
    <row r="1295" customFormat="false" ht="15" hidden="false" customHeight="false" outlineLevel="0" collapsed="false">
      <c r="I1295" s="7" t="str">
        <f aca="false">IF($C1295="","",IF($C1295="G","PUTT",IF(AND($C1295="T",$M1295&gt;3),"OTT",IF($D1295&lt;=30,"ARG","APP"))))</f>
        <v/>
      </c>
      <c r="J1295" s="17" t="str">
        <f aca="false">IF($C1295="","",$N1295+$Q1295*$R1295)</f>
        <v/>
      </c>
      <c r="K1295" s="17" t="str">
        <f aca="false">IF($C1295="","",$O1295+$Q1295*$S1295)</f>
        <v/>
      </c>
      <c r="L1295" s="17" t="str">
        <f aca="false">IF($C1295="","",$J1295-$K1295-1-N($G1295))</f>
        <v/>
      </c>
      <c r="M1295" s="7" t="str">
        <f aca="false">IF($B1295="","",INDEX(Course!$B$2:$B$19,MATCH($B1295,Course!$A$2:$A$19,0)))</f>
        <v/>
      </c>
      <c r="N1295" s="17" t="str">
        <f aca="false">IF($C1295="","",IF($C1295="H",0,IF($C1295="G",INDEX(Baseline!$I$3:$I$102,MIN(MAX(ROUND($D1295,0),1),100)),IF($C1295="T",IF($M1295=3,INDEX(Baseline!$B$3:$B$122,MATCH(MIN(MAX(ROUND(($D1295)/5,0)*5,5),600),Baseline!$A$3:$A$122,0))-Inputs!$B$9,INDEX(Course!$N$2:$N$19,MATCH($B1295,Course!$A$2:$A$19,0))),INDEX(Baseline!$B$3:$E$122,MATCH(MIN(MAX(ROUND(($D1295)/5,0)*5,5),600),Baseline!$A$3:$A$122,0),MATCH($C1295,Baseline!$B$2:$E$2,0))))))</f>
        <v/>
      </c>
      <c r="O1295" s="17" t="str">
        <f aca="false">IF($C1295="","",IF($E1295="H",0,IF($E1295="G",INDEX(Baseline!$I$3:$I$102,MIN(MAX(ROUND($F1295,0),1),100)),IF($E1295="T",IF($M1295=3,INDEX(Baseline!$B$3:$B$122,MATCH(MIN(MAX(ROUND(($F1295)/5,0)*5,5),600),Baseline!$A$3:$A$122,0))-Inputs!$B$9,INDEX(Course!$N$2:$N$19,MATCH($B1295,Course!$A$2:$A$19,0))),INDEX(Baseline!$B$3:$E$122,MATCH(MIN(MAX(ROUND(($F1295)/5,0)*5,5),600),Baseline!$A$3:$A$122,0),MATCH($E1295,Baseline!$B$2:$E$2,0))))))</f>
        <v/>
      </c>
      <c r="P1295" s="17" t="str">
        <f aca="false">IF($B1295="","",INDEX(Course!$N$2:$N$19,MATCH($B1295,Course!$A$2:$A$19,0)))</f>
        <v/>
      </c>
      <c r="Q1295" s="17" t="str">
        <f aca="false">IF($B1295="","",INDEX(Course!$P$2:$P$19,MATCH($B1295,Course!$A$2:$A$19,0)))</f>
        <v/>
      </c>
      <c r="R1295" s="17" t="str">
        <f aca="false">IF($C1295="","",IF(OR($C1295="G",$C1295="H"),0,IF($C1295="T",1,MIN(1,MAX(0,($N1295-Inputs!$B$8)/MAX($P1295-Inputs!$B$8,0.01))))))</f>
        <v/>
      </c>
      <c r="S1295" s="17" t="str">
        <f aca="false">IF($C1295="","",IF(OR($E1295="G",$E1295="H"),0,IF($E1295="T",1,MIN(1,MAX(0,($O1295-Inputs!$B$8)/MAX($P1295-Inputs!$B$8,0.01))))))</f>
        <v/>
      </c>
    </row>
    <row r="1296" customFormat="false" ht="15" hidden="false" customHeight="false" outlineLevel="0" collapsed="false">
      <c r="I1296" s="7" t="str">
        <f aca="false">IF($C1296="","",IF($C1296="G","PUTT",IF(AND($C1296="T",$M1296&gt;3),"OTT",IF($D1296&lt;=30,"ARG","APP"))))</f>
        <v/>
      </c>
      <c r="J1296" s="17" t="str">
        <f aca="false">IF($C1296="","",$N1296+$Q1296*$R1296)</f>
        <v/>
      </c>
      <c r="K1296" s="17" t="str">
        <f aca="false">IF($C1296="","",$O1296+$Q1296*$S1296)</f>
        <v/>
      </c>
      <c r="L1296" s="17" t="str">
        <f aca="false">IF($C1296="","",$J1296-$K1296-1-N($G1296))</f>
        <v/>
      </c>
      <c r="M1296" s="7" t="str">
        <f aca="false">IF($B1296="","",INDEX(Course!$B$2:$B$19,MATCH($B1296,Course!$A$2:$A$19,0)))</f>
        <v/>
      </c>
      <c r="N1296" s="17" t="str">
        <f aca="false">IF($C1296="","",IF($C1296="H",0,IF($C1296="G",INDEX(Baseline!$I$3:$I$102,MIN(MAX(ROUND($D1296,0),1),100)),IF($C1296="T",IF($M1296=3,INDEX(Baseline!$B$3:$B$122,MATCH(MIN(MAX(ROUND(($D1296)/5,0)*5,5),600),Baseline!$A$3:$A$122,0))-Inputs!$B$9,INDEX(Course!$N$2:$N$19,MATCH($B1296,Course!$A$2:$A$19,0))),INDEX(Baseline!$B$3:$E$122,MATCH(MIN(MAX(ROUND(($D1296)/5,0)*5,5),600),Baseline!$A$3:$A$122,0),MATCH($C1296,Baseline!$B$2:$E$2,0))))))</f>
        <v/>
      </c>
      <c r="O1296" s="17" t="str">
        <f aca="false">IF($C1296="","",IF($E1296="H",0,IF($E1296="G",INDEX(Baseline!$I$3:$I$102,MIN(MAX(ROUND($F1296,0),1),100)),IF($E1296="T",IF($M1296=3,INDEX(Baseline!$B$3:$B$122,MATCH(MIN(MAX(ROUND(($F1296)/5,0)*5,5),600),Baseline!$A$3:$A$122,0))-Inputs!$B$9,INDEX(Course!$N$2:$N$19,MATCH($B1296,Course!$A$2:$A$19,0))),INDEX(Baseline!$B$3:$E$122,MATCH(MIN(MAX(ROUND(($F1296)/5,0)*5,5),600),Baseline!$A$3:$A$122,0),MATCH($E1296,Baseline!$B$2:$E$2,0))))))</f>
        <v/>
      </c>
      <c r="P1296" s="17" t="str">
        <f aca="false">IF($B1296="","",INDEX(Course!$N$2:$N$19,MATCH($B1296,Course!$A$2:$A$19,0)))</f>
        <v/>
      </c>
      <c r="Q1296" s="17" t="str">
        <f aca="false">IF($B1296="","",INDEX(Course!$P$2:$P$19,MATCH($B1296,Course!$A$2:$A$19,0)))</f>
        <v/>
      </c>
      <c r="R1296" s="17" t="str">
        <f aca="false">IF($C1296="","",IF(OR($C1296="G",$C1296="H"),0,IF($C1296="T",1,MIN(1,MAX(0,($N1296-Inputs!$B$8)/MAX($P1296-Inputs!$B$8,0.01))))))</f>
        <v/>
      </c>
      <c r="S1296" s="17" t="str">
        <f aca="false">IF($C1296="","",IF(OR($E1296="G",$E1296="H"),0,IF($E1296="T",1,MIN(1,MAX(0,($O1296-Inputs!$B$8)/MAX($P1296-Inputs!$B$8,0.01))))))</f>
        <v/>
      </c>
    </row>
    <row r="1297" customFormat="false" ht="15" hidden="false" customHeight="false" outlineLevel="0" collapsed="false">
      <c r="I1297" s="7" t="str">
        <f aca="false">IF($C1297="","",IF($C1297="G","PUTT",IF(AND($C1297="T",$M1297&gt;3),"OTT",IF($D1297&lt;=30,"ARG","APP"))))</f>
        <v/>
      </c>
      <c r="J1297" s="17" t="str">
        <f aca="false">IF($C1297="","",$N1297+$Q1297*$R1297)</f>
        <v/>
      </c>
      <c r="K1297" s="17" t="str">
        <f aca="false">IF($C1297="","",$O1297+$Q1297*$S1297)</f>
        <v/>
      </c>
      <c r="L1297" s="17" t="str">
        <f aca="false">IF($C1297="","",$J1297-$K1297-1-N($G1297))</f>
        <v/>
      </c>
      <c r="M1297" s="7" t="str">
        <f aca="false">IF($B1297="","",INDEX(Course!$B$2:$B$19,MATCH($B1297,Course!$A$2:$A$19,0)))</f>
        <v/>
      </c>
      <c r="N1297" s="17" t="str">
        <f aca="false">IF($C1297="","",IF($C1297="H",0,IF($C1297="G",INDEX(Baseline!$I$3:$I$102,MIN(MAX(ROUND($D1297,0),1),100)),IF($C1297="T",IF($M1297=3,INDEX(Baseline!$B$3:$B$122,MATCH(MIN(MAX(ROUND(($D1297)/5,0)*5,5),600),Baseline!$A$3:$A$122,0))-Inputs!$B$9,INDEX(Course!$N$2:$N$19,MATCH($B1297,Course!$A$2:$A$19,0))),INDEX(Baseline!$B$3:$E$122,MATCH(MIN(MAX(ROUND(($D1297)/5,0)*5,5),600),Baseline!$A$3:$A$122,0),MATCH($C1297,Baseline!$B$2:$E$2,0))))))</f>
        <v/>
      </c>
      <c r="O1297" s="17" t="str">
        <f aca="false">IF($C1297="","",IF($E1297="H",0,IF($E1297="G",INDEX(Baseline!$I$3:$I$102,MIN(MAX(ROUND($F1297,0),1),100)),IF($E1297="T",IF($M1297=3,INDEX(Baseline!$B$3:$B$122,MATCH(MIN(MAX(ROUND(($F1297)/5,0)*5,5),600),Baseline!$A$3:$A$122,0))-Inputs!$B$9,INDEX(Course!$N$2:$N$19,MATCH($B1297,Course!$A$2:$A$19,0))),INDEX(Baseline!$B$3:$E$122,MATCH(MIN(MAX(ROUND(($F1297)/5,0)*5,5),600),Baseline!$A$3:$A$122,0),MATCH($E1297,Baseline!$B$2:$E$2,0))))))</f>
        <v/>
      </c>
      <c r="P1297" s="17" t="str">
        <f aca="false">IF($B1297="","",INDEX(Course!$N$2:$N$19,MATCH($B1297,Course!$A$2:$A$19,0)))</f>
        <v/>
      </c>
      <c r="Q1297" s="17" t="str">
        <f aca="false">IF($B1297="","",INDEX(Course!$P$2:$P$19,MATCH($B1297,Course!$A$2:$A$19,0)))</f>
        <v/>
      </c>
      <c r="R1297" s="17" t="str">
        <f aca="false">IF($C1297="","",IF(OR($C1297="G",$C1297="H"),0,IF($C1297="T",1,MIN(1,MAX(0,($N1297-Inputs!$B$8)/MAX($P1297-Inputs!$B$8,0.01))))))</f>
        <v/>
      </c>
      <c r="S1297" s="17" t="str">
        <f aca="false">IF($C1297="","",IF(OR($E1297="G",$E1297="H"),0,IF($E1297="T",1,MIN(1,MAX(0,($O1297-Inputs!$B$8)/MAX($P1297-Inputs!$B$8,0.01))))))</f>
        <v/>
      </c>
    </row>
    <row r="1298" customFormat="false" ht="15" hidden="false" customHeight="false" outlineLevel="0" collapsed="false">
      <c r="I1298" s="7" t="str">
        <f aca="false">IF($C1298="","",IF($C1298="G","PUTT",IF(AND($C1298="T",$M1298&gt;3),"OTT",IF($D1298&lt;=30,"ARG","APP"))))</f>
        <v/>
      </c>
      <c r="J1298" s="17" t="str">
        <f aca="false">IF($C1298="","",$N1298+$Q1298*$R1298)</f>
        <v/>
      </c>
      <c r="K1298" s="17" t="str">
        <f aca="false">IF($C1298="","",$O1298+$Q1298*$S1298)</f>
        <v/>
      </c>
      <c r="L1298" s="17" t="str">
        <f aca="false">IF($C1298="","",$J1298-$K1298-1-N($G1298))</f>
        <v/>
      </c>
      <c r="M1298" s="7" t="str">
        <f aca="false">IF($B1298="","",INDEX(Course!$B$2:$B$19,MATCH($B1298,Course!$A$2:$A$19,0)))</f>
        <v/>
      </c>
      <c r="N1298" s="17" t="str">
        <f aca="false">IF($C1298="","",IF($C1298="H",0,IF($C1298="G",INDEX(Baseline!$I$3:$I$102,MIN(MAX(ROUND($D1298,0),1),100)),IF($C1298="T",IF($M1298=3,INDEX(Baseline!$B$3:$B$122,MATCH(MIN(MAX(ROUND(($D1298)/5,0)*5,5),600),Baseline!$A$3:$A$122,0))-Inputs!$B$9,INDEX(Course!$N$2:$N$19,MATCH($B1298,Course!$A$2:$A$19,0))),INDEX(Baseline!$B$3:$E$122,MATCH(MIN(MAX(ROUND(($D1298)/5,0)*5,5),600),Baseline!$A$3:$A$122,0),MATCH($C1298,Baseline!$B$2:$E$2,0))))))</f>
        <v/>
      </c>
      <c r="O1298" s="17" t="str">
        <f aca="false">IF($C1298="","",IF($E1298="H",0,IF($E1298="G",INDEX(Baseline!$I$3:$I$102,MIN(MAX(ROUND($F1298,0),1),100)),IF($E1298="T",IF($M1298=3,INDEX(Baseline!$B$3:$B$122,MATCH(MIN(MAX(ROUND(($F1298)/5,0)*5,5),600),Baseline!$A$3:$A$122,0))-Inputs!$B$9,INDEX(Course!$N$2:$N$19,MATCH($B1298,Course!$A$2:$A$19,0))),INDEX(Baseline!$B$3:$E$122,MATCH(MIN(MAX(ROUND(($F1298)/5,0)*5,5),600),Baseline!$A$3:$A$122,0),MATCH($E1298,Baseline!$B$2:$E$2,0))))))</f>
        <v/>
      </c>
      <c r="P1298" s="17" t="str">
        <f aca="false">IF($B1298="","",INDEX(Course!$N$2:$N$19,MATCH($B1298,Course!$A$2:$A$19,0)))</f>
        <v/>
      </c>
      <c r="Q1298" s="17" t="str">
        <f aca="false">IF($B1298="","",INDEX(Course!$P$2:$P$19,MATCH($B1298,Course!$A$2:$A$19,0)))</f>
        <v/>
      </c>
      <c r="R1298" s="17" t="str">
        <f aca="false">IF($C1298="","",IF(OR($C1298="G",$C1298="H"),0,IF($C1298="T",1,MIN(1,MAX(0,($N1298-Inputs!$B$8)/MAX($P1298-Inputs!$B$8,0.01))))))</f>
        <v/>
      </c>
      <c r="S1298" s="17" t="str">
        <f aca="false">IF($C1298="","",IF(OR($E1298="G",$E1298="H"),0,IF($E1298="T",1,MIN(1,MAX(0,($O1298-Inputs!$B$8)/MAX($P1298-Inputs!$B$8,0.01))))))</f>
        <v/>
      </c>
    </row>
    <row r="1299" customFormat="false" ht="15" hidden="false" customHeight="false" outlineLevel="0" collapsed="false">
      <c r="I1299" s="7" t="str">
        <f aca="false">IF($C1299="","",IF($C1299="G","PUTT",IF(AND($C1299="T",$M1299&gt;3),"OTT",IF($D1299&lt;=30,"ARG","APP"))))</f>
        <v/>
      </c>
      <c r="J1299" s="17" t="str">
        <f aca="false">IF($C1299="","",$N1299+$Q1299*$R1299)</f>
        <v/>
      </c>
      <c r="K1299" s="17" t="str">
        <f aca="false">IF($C1299="","",$O1299+$Q1299*$S1299)</f>
        <v/>
      </c>
      <c r="L1299" s="17" t="str">
        <f aca="false">IF($C1299="","",$J1299-$K1299-1-N($G1299))</f>
        <v/>
      </c>
      <c r="M1299" s="7" t="str">
        <f aca="false">IF($B1299="","",INDEX(Course!$B$2:$B$19,MATCH($B1299,Course!$A$2:$A$19,0)))</f>
        <v/>
      </c>
      <c r="N1299" s="17" t="str">
        <f aca="false">IF($C1299="","",IF($C1299="H",0,IF($C1299="G",INDEX(Baseline!$I$3:$I$102,MIN(MAX(ROUND($D1299,0),1),100)),IF($C1299="T",IF($M1299=3,INDEX(Baseline!$B$3:$B$122,MATCH(MIN(MAX(ROUND(($D1299)/5,0)*5,5),600),Baseline!$A$3:$A$122,0))-Inputs!$B$9,INDEX(Course!$N$2:$N$19,MATCH($B1299,Course!$A$2:$A$19,0))),INDEX(Baseline!$B$3:$E$122,MATCH(MIN(MAX(ROUND(($D1299)/5,0)*5,5),600),Baseline!$A$3:$A$122,0),MATCH($C1299,Baseline!$B$2:$E$2,0))))))</f>
        <v/>
      </c>
      <c r="O1299" s="17" t="str">
        <f aca="false">IF($C1299="","",IF($E1299="H",0,IF($E1299="G",INDEX(Baseline!$I$3:$I$102,MIN(MAX(ROUND($F1299,0),1),100)),IF($E1299="T",IF($M1299=3,INDEX(Baseline!$B$3:$B$122,MATCH(MIN(MAX(ROUND(($F1299)/5,0)*5,5),600),Baseline!$A$3:$A$122,0))-Inputs!$B$9,INDEX(Course!$N$2:$N$19,MATCH($B1299,Course!$A$2:$A$19,0))),INDEX(Baseline!$B$3:$E$122,MATCH(MIN(MAX(ROUND(($F1299)/5,0)*5,5),600),Baseline!$A$3:$A$122,0),MATCH($E1299,Baseline!$B$2:$E$2,0))))))</f>
        <v/>
      </c>
      <c r="P1299" s="17" t="str">
        <f aca="false">IF($B1299="","",INDEX(Course!$N$2:$N$19,MATCH($B1299,Course!$A$2:$A$19,0)))</f>
        <v/>
      </c>
      <c r="Q1299" s="17" t="str">
        <f aca="false">IF($B1299="","",INDEX(Course!$P$2:$P$19,MATCH($B1299,Course!$A$2:$A$19,0)))</f>
        <v/>
      </c>
      <c r="R1299" s="17" t="str">
        <f aca="false">IF($C1299="","",IF(OR($C1299="G",$C1299="H"),0,IF($C1299="T",1,MIN(1,MAX(0,($N1299-Inputs!$B$8)/MAX($P1299-Inputs!$B$8,0.01))))))</f>
        <v/>
      </c>
      <c r="S1299" s="17" t="str">
        <f aca="false">IF($C1299="","",IF(OR($E1299="G",$E1299="H"),0,IF($E1299="T",1,MIN(1,MAX(0,($O1299-Inputs!$B$8)/MAX($P1299-Inputs!$B$8,0.01))))))</f>
        <v/>
      </c>
    </row>
    <row r="1300" customFormat="false" ht="15" hidden="false" customHeight="false" outlineLevel="0" collapsed="false">
      <c r="I1300" s="7" t="str">
        <f aca="false">IF($C1300="","",IF($C1300="G","PUTT",IF(AND($C1300="T",$M1300&gt;3),"OTT",IF($D1300&lt;=30,"ARG","APP"))))</f>
        <v/>
      </c>
      <c r="J1300" s="17" t="str">
        <f aca="false">IF($C1300="","",$N1300+$Q1300*$R1300)</f>
        <v/>
      </c>
      <c r="K1300" s="17" t="str">
        <f aca="false">IF($C1300="","",$O1300+$Q1300*$S1300)</f>
        <v/>
      </c>
      <c r="L1300" s="17" t="str">
        <f aca="false">IF($C1300="","",$J1300-$K1300-1-N($G1300))</f>
        <v/>
      </c>
      <c r="M1300" s="7" t="str">
        <f aca="false">IF($B1300="","",INDEX(Course!$B$2:$B$19,MATCH($B1300,Course!$A$2:$A$19,0)))</f>
        <v/>
      </c>
      <c r="N1300" s="17" t="str">
        <f aca="false">IF($C1300="","",IF($C1300="H",0,IF($C1300="G",INDEX(Baseline!$I$3:$I$102,MIN(MAX(ROUND($D1300,0),1),100)),IF($C1300="T",IF($M1300=3,INDEX(Baseline!$B$3:$B$122,MATCH(MIN(MAX(ROUND(($D1300)/5,0)*5,5),600),Baseline!$A$3:$A$122,0))-Inputs!$B$9,INDEX(Course!$N$2:$N$19,MATCH($B1300,Course!$A$2:$A$19,0))),INDEX(Baseline!$B$3:$E$122,MATCH(MIN(MAX(ROUND(($D1300)/5,0)*5,5),600),Baseline!$A$3:$A$122,0),MATCH($C1300,Baseline!$B$2:$E$2,0))))))</f>
        <v/>
      </c>
      <c r="O1300" s="17" t="str">
        <f aca="false">IF($C1300="","",IF($E1300="H",0,IF($E1300="G",INDEX(Baseline!$I$3:$I$102,MIN(MAX(ROUND($F1300,0),1),100)),IF($E1300="T",IF($M1300=3,INDEX(Baseline!$B$3:$B$122,MATCH(MIN(MAX(ROUND(($F1300)/5,0)*5,5),600),Baseline!$A$3:$A$122,0))-Inputs!$B$9,INDEX(Course!$N$2:$N$19,MATCH($B1300,Course!$A$2:$A$19,0))),INDEX(Baseline!$B$3:$E$122,MATCH(MIN(MAX(ROUND(($F1300)/5,0)*5,5),600),Baseline!$A$3:$A$122,0),MATCH($E1300,Baseline!$B$2:$E$2,0))))))</f>
        <v/>
      </c>
      <c r="P1300" s="17" t="str">
        <f aca="false">IF($B1300="","",INDEX(Course!$N$2:$N$19,MATCH($B1300,Course!$A$2:$A$19,0)))</f>
        <v/>
      </c>
      <c r="Q1300" s="17" t="str">
        <f aca="false">IF($B1300="","",INDEX(Course!$P$2:$P$19,MATCH($B1300,Course!$A$2:$A$19,0)))</f>
        <v/>
      </c>
      <c r="R1300" s="17" t="str">
        <f aca="false">IF($C1300="","",IF(OR($C1300="G",$C1300="H"),0,IF($C1300="T",1,MIN(1,MAX(0,($N1300-Inputs!$B$8)/MAX($P1300-Inputs!$B$8,0.01))))))</f>
        <v/>
      </c>
      <c r="S1300" s="17" t="str">
        <f aca="false">IF($C1300="","",IF(OR($E1300="G",$E1300="H"),0,IF($E1300="T",1,MIN(1,MAX(0,($O1300-Inputs!$B$8)/MAX($P1300-Inputs!$B$8,0.01))))))</f>
        <v/>
      </c>
    </row>
    <row r="1301" customFormat="false" ht="15" hidden="false" customHeight="false" outlineLevel="0" collapsed="false">
      <c r="I1301" s="7" t="str">
        <f aca="false">IF($C1301="","",IF($C1301="G","PUTT",IF(AND($C1301="T",$M1301&gt;3),"OTT",IF($D1301&lt;=30,"ARG","APP"))))</f>
        <v/>
      </c>
      <c r="J1301" s="17" t="str">
        <f aca="false">IF($C1301="","",$N1301+$Q1301*$R1301)</f>
        <v/>
      </c>
      <c r="K1301" s="17" t="str">
        <f aca="false">IF($C1301="","",$O1301+$Q1301*$S1301)</f>
        <v/>
      </c>
      <c r="L1301" s="17" t="str">
        <f aca="false">IF($C1301="","",$J1301-$K1301-1-N($G1301))</f>
        <v/>
      </c>
      <c r="M1301" s="7" t="str">
        <f aca="false">IF($B1301="","",INDEX(Course!$B$2:$B$19,MATCH($B1301,Course!$A$2:$A$19,0)))</f>
        <v/>
      </c>
      <c r="N1301" s="17" t="str">
        <f aca="false">IF($C1301="","",IF($C1301="H",0,IF($C1301="G",INDEX(Baseline!$I$3:$I$102,MIN(MAX(ROUND($D1301,0),1),100)),IF($C1301="T",IF($M1301=3,INDEX(Baseline!$B$3:$B$122,MATCH(MIN(MAX(ROUND(($D1301)/5,0)*5,5),600),Baseline!$A$3:$A$122,0))-Inputs!$B$9,INDEX(Course!$N$2:$N$19,MATCH($B1301,Course!$A$2:$A$19,0))),INDEX(Baseline!$B$3:$E$122,MATCH(MIN(MAX(ROUND(($D1301)/5,0)*5,5),600),Baseline!$A$3:$A$122,0),MATCH($C1301,Baseline!$B$2:$E$2,0))))))</f>
        <v/>
      </c>
      <c r="O1301" s="17" t="str">
        <f aca="false">IF($C1301="","",IF($E1301="H",0,IF($E1301="G",INDEX(Baseline!$I$3:$I$102,MIN(MAX(ROUND($F1301,0),1),100)),IF($E1301="T",IF($M1301=3,INDEX(Baseline!$B$3:$B$122,MATCH(MIN(MAX(ROUND(($F1301)/5,0)*5,5),600),Baseline!$A$3:$A$122,0))-Inputs!$B$9,INDEX(Course!$N$2:$N$19,MATCH($B1301,Course!$A$2:$A$19,0))),INDEX(Baseline!$B$3:$E$122,MATCH(MIN(MAX(ROUND(($F1301)/5,0)*5,5),600),Baseline!$A$3:$A$122,0),MATCH($E1301,Baseline!$B$2:$E$2,0))))))</f>
        <v/>
      </c>
      <c r="P1301" s="17" t="str">
        <f aca="false">IF($B1301="","",INDEX(Course!$N$2:$N$19,MATCH($B1301,Course!$A$2:$A$19,0)))</f>
        <v/>
      </c>
      <c r="Q1301" s="17" t="str">
        <f aca="false">IF($B1301="","",INDEX(Course!$P$2:$P$19,MATCH($B1301,Course!$A$2:$A$19,0)))</f>
        <v/>
      </c>
      <c r="R1301" s="17" t="str">
        <f aca="false">IF($C1301="","",IF(OR($C1301="G",$C1301="H"),0,IF($C1301="T",1,MIN(1,MAX(0,($N1301-Inputs!$B$8)/MAX($P1301-Inputs!$B$8,0.01))))))</f>
        <v/>
      </c>
      <c r="S1301" s="17" t="str">
        <f aca="false">IF($C1301="","",IF(OR($E1301="G",$E1301="H"),0,IF($E1301="T",1,MIN(1,MAX(0,($O1301-Inputs!$B$8)/MAX($P1301-Inputs!$B$8,0.01))))))</f>
        <v/>
      </c>
    </row>
    <row r="1302" customFormat="false" ht="15" hidden="false" customHeight="false" outlineLevel="0" collapsed="false">
      <c r="I1302" s="7" t="str">
        <f aca="false">IF($C1302="","",IF($C1302="G","PUTT",IF(AND($C1302="T",$M1302&gt;3),"OTT",IF($D1302&lt;=30,"ARG","APP"))))</f>
        <v/>
      </c>
      <c r="J1302" s="17" t="str">
        <f aca="false">IF($C1302="","",$N1302+$Q1302*$R1302)</f>
        <v/>
      </c>
      <c r="K1302" s="17" t="str">
        <f aca="false">IF($C1302="","",$O1302+$Q1302*$S1302)</f>
        <v/>
      </c>
      <c r="L1302" s="17" t="str">
        <f aca="false">IF($C1302="","",$J1302-$K1302-1-N($G1302))</f>
        <v/>
      </c>
      <c r="M1302" s="7" t="str">
        <f aca="false">IF($B1302="","",INDEX(Course!$B$2:$B$19,MATCH($B1302,Course!$A$2:$A$19,0)))</f>
        <v/>
      </c>
      <c r="N1302" s="17" t="str">
        <f aca="false">IF($C1302="","",IF($C1302="H",0,IF($C1302="G",INDEX(Baseline!$I$3:$I$102,MIN(MAX(ROUND($D1302,0),1),100)),IF($C1302="T",IF($M1302=3,INDEX(Baseline!$B$3:$B$122,MATCH(MIN(MAX(ROUND(($D1302)/5,0)*5,5),600),Baseline!$A$3:$A$122,0))-Inputs!$B$9,INDEX(Course!$N$2:$N$19,MATCH($B1302,Course!$A$2:$A$19,0))),INDEX(Baseline!$B$3:$E$122,MATCH(MIN(MAX(ROUND(($D1302)/5,0)*5,5),600),Baseline!$A$3:$A$122,0),MATCH($C1302,Baseline!$B$2:$E$2,0))))))</f>
        <v/>
      </c>
      <c r="O1302" s="17" t="str">
        <f aca="false">IF($C1302="","",IF($E1302="H",0,IF($E1302="G",INDEX(Baseline!$I$3:$I$102,MIN(MAX(ROUND($F1302,0),1),100)),IF($E1302="T",IF($M1302=3,INDEX(Baseline!$B$3:$B$122,MATCH(MIN(MAX(ROUND(($F1302)/5,0)*5,5),600),Baseline!$A$3:$A$122,0))-Inputs!$B$9,INDEX(Course!$N$2:$N$19,MATCH($B1302,Course!$A$2:$A$19,0))),INDEX(Baseline!$B$3:$E$122,MATCH(MIN(MAX(ROUND(($F1302)/5,0)*5,5),600),Baseline!$A$3:$A$122,0),MATCH($E1302,Baseline!$B$2:$E$2,0))))))</f>
        <v/>
      </c>
      <c r="P1302" s="17" t="str">
        <f aca="false">IF($B1302="","",INDEX(Course!$N$2:$N$19,MATCH($B1302,Course!$A$2:$A$19,0)))</f>
        <v/>
      </c>
      <c r="Q1302" s="17" t="str">
        <f aca="false">IF($B1302="","",INDEX(Course!$P$2:$P$19,MATCH($B1302,Course!$A$2:$A$19,0)))</f>
        <v/>
      </c>
      <c r="R1302" s="17" t="str">
        <f aca="false">IF($C1302="","",IF(OR($C1302="G",$C1302="H"),0,IF($C1302="T",1,MIN(1,MAX(0,($N1302-Inputs!$B$8)/MAX($P1302-Inputs!$B$8,0.01))))))</f>
        <v/>
      </c>
      <c r="S1302" s="17" t="str">
        <f aca="false">IF($C1302="","",IF(OR($E1302="G",$E1302="H"),0,IF($E1302="T",1,MIN(1,MAX(0,($O1302-Inputs!$B$8)/MAX($P1302-Inputs!$B$8,0.01))))))</f>
        <v/>
      </c>
    </row>
    <row r="1303" customFormat="false" ht="15" hidden="false" customHeight="false" outlineLevel="0" collapsed="false">
      <c r="I1303" s="7" t="str">
        <f aca="false">IF($C1303="","",IF($C1303="G","PUTT",IF(AND($C1303="T",$M1303&gt;3),"OTT",IF($D1303&lt;=30,"ARG","APP"))))</f>
        <v/>
      </c>
      <c r="J1303" s="17" t="str">
        <f aca="false">IF($C1303="","",$N1303+$Q1303*$R1303)</f>
        <v/>
      </c>
      <c r="K1303" s="17" t="str">
        <f aca="false">IF($C1303="","",$O1303+$Q1303*$S1303)</f>
        <v/>
      </c>
      <c r="L1303" s="17" t="str">
        <f aca="false">IF($C1303="","",$J1303-$K1303-1-N($G1303))</f>
        <v/>
      </c>
      <c r="M1303" s="7" t="str">
        <f aca="false">IF($B1303="","",INDEX(Course!$B$2:$B$19,MATCH($B1303,Course!$A$2:$A$19,0)))</f>
        <v/>
      </c>
      <c r="N1303" s="17" t="str">
        <f aca="false">IF($C1303="","",IF($C1303="H",0,IF($C1303="G",INDEX(Baseline!$I$3:$I$102,MIN(MAX(ROUND($D1303,0),1),100)),IF($C1303="T",IF($M1303=3,INDEX(Baseline!$B$3:$B$122,MATCH(MIN(MAX(ROUND(($D1303)/5,0)*5,5),600),Baseline!$A$3:$A$122,0))-Inputs!$B$9,INDEX(Course!$N$2:$N$19,MATCH($B1303,Course!$A$2:$A$19,0))),INDEX(Baseline!$B$3:$E$122,MATCH(MIN(MAX(ROUND(($D1303)/5,0)*5,5),600),Baseline!$A$3:$A$122,0),MATCH($C1303,Baseline!$B$2:$E$2,0))))))</f>
        <v/>
      </c>
      <c r="O1303" s="17" t="str">
        <f aca="false">IF($C1303="","",IF($E1303="H",0,IF($E1303="G",INDEX(Baseline!$I$3:$I$102,MIN(MAX(ROUND($F1303,0),1),100)),IF($E1303="T",IF($M1303=3,INDEX(Baseline!$B$3:$B$122,MATCH(MIN(MAX(ROUND(($F1303)/5,0)*5,5),600),Baseline!$A$3:$A$122,0))-Inputs!$B$9,INDEX(Course!$N$2:$N$19,MATCH($B1303,Course!$A$2:$A$19,0))),INDEX(Baseline!$B$3:$E$122,MATCH(MIN(MAX(ROUND(($F1303)/5,0)*5,5),600),Baseline!$A$3:$A$122,0),MATCH($E1303,Baseline!$B$2:$E$2,0))))))</f>
        <v/>
      </c>
      <c r="P1303" s="17" t="str">
        <f aca="false">IF($B1303="","",INDEX(Course!$N$2:$N$19,MATCH($B1303,Course!$A$2:$A$19,0)))</f>
        <v/>
      </c>
      <c r="Q1303" s="17" t="str">
        <f aca="false">IF($B1303="","",INDEX(Course!$P$2:$P$19,MATCH($B1303,Course!$A$2:$A$19,0)))</f>
        <v/>
      </c>
      <c r="R1303" s="17" t="str">
        <f aca="false">IF($C1303="","",IF(OR($C1303="G",$C1303="H"),0,IF($C1303="T",1,MIN(1,MAX(0,($N1303-Inputs!$B$8)/MAX($P1303-Inputs!$B$8,0.01))))))</f>
        <v/>
      </c>
      <c r="S1303" s="17" t="str">
        <f aca="false">IF($C1303="","",IF(OR($E1303="G",$E1303="H"),0,IF($E1303="T",1,MIN(1,MAX(0,($O1303-Inputs!$B$8)/MAX($P1303-Inputs!$B$8,0.01))))))</f>
        <v/>
      </c>
    </row>
    <row r="1304" customFormat="false" ht="15" hidden="false" customHeight="false" outlineLevel="0" collapsed="false">
      <c r="I1304" s="7" t="str">
        <f aca="false">IF($C1304="","",IF($C1304="G","PUTT",IF(AND($C1304="T",$M1304&gt;3),"OTT",IF($D1304&lt;=30,"ARG","APP"))))</f>
        <v/>
      </c>
      <c r="J1304" s="17" t="str">
        <f aca="false">IF($C1304="","",$N1304+$Q1304*$R1304)</f>
        <v/>
      </c>
      <c r="K1304" s="17" t="str">
        <f aca="false">IF($C1304="","",$O1304+$Q1304*$S1304)</f>
        <v/>
      </c>
      <c r="L1304" s="17" t="str">
        <f aca="false">IF($C1304="","",$J1304-$K1304-1-N($G1304))</f>
        <v/>
      </c>
      <c r="M1304" s="7" t="str">
        <f aca="false">IF($B1304="","",INDEX(Course!$B$2:$B$19,MATCH($B1304,Course!$A$2:$A$19,0)))</f>
        <v/>
      </c>
      <c r="N1304" s="17" t="str">
        <f aca="false">IF($C1304="","",IF($C1304="H",0,IF($C1304="G",INDEX(Baseline!$I$3:$I$102,MIN(MAX(ROUND($D1304,0),1),100)),IF($C1304="T",IF($M1304=3,INDEX(Baseline!$B$3:$B$122,MATCH(MIN(MAX(ROUND(($D1304)/5,0)*5,5),600),Baseline!$A$3:$A$122,0))-Inputs!$B$9,INDEX(Course!$N$2:$N$19,MATCH($B1304,Course!$A$2:$A$19,0))),INDEX(Baseline!$B$3:$E$122,MATCH(MIN(MAX(ROUND(($D1304)/5,0)*5,5),600),Baseline!$A$3:$A$122,0),MATCH($C1304,Baseline!$B$2:$E$2,0))))))</f>
        <v/>
      </c>
      <c r="O1304" s="17" t="str">
        <f aca="false">IF($C1304="","",IF($E1304="H",0,IF($E1304="G",INDEX(Baseline!$I$3:$I$102,MIN(MAX(ROUND($F1304,0),1),100)),IF($E1304="T",IF($M1304=3,INDEX(Baseline!$B$3:$B$122,MATCH(MIN(MAX(ROUND(($F1304)/5,0)*5,5),600),Baseline!$A$3:$A$122,0))-Inputs!$B$9,INDEX(Course!$N$2:$N$19,MATCH($B1304,Course!$A$2:$A$19,0))),INDEX(Baseline!$B$3:$E$122,MATCH(MIN(MAX(ROUND(($F1304)/5,0)*5,5),600),Baseline!$A$3:$A$122,0),MATCH($E1304,Baseline!$B$2:$E$2,0))))))</f>
        <v/>
      </c>
      <c r="P1304" s="17" t="str">
        <f aca="false">IF($B1304="","",INDEX(Course!$N$2:$N$19,MATCH($B1304,Course!$A$2:$A$19,0)))</f>
        <v/>
      </c>
      <c r="Q1304" s="17" t="str">
        <f aca="false">IF($B1304="","",INDEX(Course!$P$2:$P$19,MATCH($B1304,Course!$A$2:$A$19,0)))</f>
        <v/>
      </c>
      <c r="R1304" s="17" t="str">
        <f aca="false">IF($C1304="","",IF(OR($C1304="G",$C1304="H"),0,IF($C1304="T",1,MIN(1,MAX(0,($N1304-Inputs!$B$8)/MAX($P1304-Inputs!$B$8,0.01))))))</f>
        <v/>
      </c>
      <c r="S1304" s="17" t="str">
        <f aca="false">IF($C1304="","",IF(OR($E1304="G",$E1304="H"),0,IF($E1304="T",1,MIN(1,MAX(0,($O1304-Inputs!$B$8)/MAX($P1304-Inputs!$B$8,0.01))))))</f>
        <v/>
      </c>
    </row>
    <row r="1305" customFormat="false" ht="15" hidden="false" customHeight="false" outlineLevel="0" collapsed="false">
      <c r="I1305" s="7" t="str">
        <f aca="false">IF($C1305="","",IF($C1305="G","PUTT",IF(AND($C1305="T",$M1305&gt;3),"OTT",IF($D1305&lt;=30,"ARG","APP"))))</f>
        <v/>
      </c>
      <c r="J1305" s="17" t="str">
        <f aca="false">IF($C1305="","",$N1305+$Q1305*$R1305)</f>
        <v/>
      </c>
      <c r="K1305" s="17" t="str">
        <f aca="false">IF($C1305="","",$O1305+$Q1305*$S1305)</f>
        <v/>
      </c>
      <c r="L1305" s="17" t="str">
        <f aca="false">IF($C1305="","",$J1305-$K1305-1-N($G1305))</f>
        <v/>
      </c>
      <c r="M1305" s="7" t="str">
        <f aca="false">IF($B1305="","",INDEX(Course!$B$2:$B$19,MATCH($B1305,Course!$A$2:$A$19,0)))</f>
        <v/>
      </c>
      <c r="N1305" s="17" t="str">
        <f aca="false">IF($C1305="","",IF($C1305="H",0,IF($C1305="G",INDEX(Baseline!$I$3:$I$102,MIN(MAX(ROUND($D1305,0),1),100)),IF($C1305="T",IF($M1305=3,INDEX(Baseline!$B$3:$B$122,MATCH(MIN(MAX(ROUND(($D1305)/5,0)*5,5),600),Baseline!$A$3:$A$122,0))-Inputs!$B$9,INDEX(Course!$N$2:$N$19,MATCH($B1305,Course!$A$2:$A$19,0))),INDEX(Baseline!$B$3:$E$122,MATCH(MIN(MAX(ROUND(($D1305)/5,0)*5,5),600),Baseline!$A$3:$A$122,0),MATCH($C1305,Baseline!$B$2:$E$2,0))))))</f>
        <v/>
      </c>
      <c r="O1305" s="17" t="str">
        <f aca="false">IF($C1305="","",IF($E1305="H",0,IF($E1305="G",INDEX(Baseline!$I$3:$I$102,MIN(MAX(ROUND($F1305,0),1),100)),IF($E1305="T",IF($M1305=3,INDEX(Baseline!$B$3:$B$122,MATCH(MIN(MAX(ROUND(($F1305)/5,0)*5,5),600),Baseline!$A$3:$A$122,0))-Inputs!$B$9,INDEX(Course!$N$2:$N$19,MATCH($B1305,Course!$A$2:$A$19,0))),INDEX(Baseline!$B$3:$E$122,MATCH(MIN(MAX(ROUND(($F1305)/5,0)*5,5),600),Baseline!$A$3:$A$122,0),MATCH($E1305,Baseline!$B$2:$E$2,0))))))</f>
        <v/>
      </c>
      <c r="P1305" s="17" t="str">
        <f aca="false">IF($B1305="","",INDEX(Course!$N$2:$N$19,MATCH($B1305,Course!$A$2:$A$19,0)))</f>
        <v/>
      </c>
      <c r="Q1305" s="17" t="str">
        <f aca="false">IF($B1305="","",INDEX(Course!$P$2:$P$19,MATCH($B1305,Course!$A$2:$A$19,0)))</f>
        <v/>
      </c>
      <c r="R1305" s="17" t="str">
        <f aca="false">IF($C1305="","",IF(OR($C1305="G",$C1305="H"),0,IF($C1305="T",1,MIN(1,MAX(0,($N1305-Inputs!$B$8)/MAX($P1305-Inputs!$B$8,0.01))))))</f>
        <v/>
      </c>
      <c r="S1305" s="17" t="str">
        <f aca="false">IF($C1305="","",IF(OR($E1305="G",$E1305="H"),0,IF($E1305="T",1,MIN(1,MAX(0,($O1305-Inputs!$B$8)/MAX($P1305-Inputs!$B$8,0.01))))))</f>
        <v/>
      </c>
    </row>
    <row r="1306" customFormat="false" ht="15" hidden="false" customHeight="false" outlineLevel="0" collapsed="false">
      <c r="I1306" s="7" t="str">
        <f aca="false">IF($C1306="","",IF($C1306="G","PUTT",IF(AND($C1306="T",$M1306&gt;3),"OTT",IF($D1306&lt;=30,"ARG","APP"))))</f>
        <v/>
      </c>
      <c r="J1306" s="17" t="str">
        <f aca="false">IF($C1306="","",$N1306+$Q1306*$R1306)</f>
        <v/>
      </c>
      <c r="K1306" s="17" t="str">
        <f aca="false">IF($C1306="","",$O1306+$Q1306*$S1306)</f>
        <v/>
      </c>
      <c r="L1306" s="17" t="str">
        <f aca="false">IF($C1306="","",$J1306-$K1306-1-N($G1306))</f>
        <v/>
      </c>
      <c r="M1306" s="7" t="str">
        <f aca="false">IF($B1306="","",INDEX(Course!$B$2:$B$19,MATCH($B1306,Course!$A$2:$A$19,0)))</f>
        <v/>
      </c>
      <c r="N1306" s="17" t="str">
        <f aca="false">IF($C1306="","",IF($C1306="H",0,IF($C1306="G",INDEX(Baseline!$I$3:$I$102,MIN(MAX(ROUND($D1306,0),1),100)),IF($C1306="T",IF($M1306=3,INDEX(Baseline!$B$3:$B$122,MATCH(MIN(MAX(ROUND(($D1306)/5,0)*5,5),600),Baseline!$A$3:$A$122,0))-Inputs!$B$9,INDEX(Course!$N$2:$N$19,MATCH($B1306,Course!$A$2:$A$19,0))),INDEX(Baseline!$B$3:$E$122,MATCH(MIN(MAX(ROUND(($D1306)/5,0)*5,5),600),Baseline!$A$3:$A$122,0),MATCH($C1306,Baseline!$B$2:$E$2,0))))))</f>
        <v/>
      </c>
      <c r="O1306" s="17" t="str">
        <f aca="false">IF($C1306="","",IF($E1306="H",0,IF($E1306="G",INDEX(Baseline!$I$3:$I$102,MIN(MAX(ROUND($F1306,0),1),100)),IF($E1306="T",IF($M1306=3,INDEX(Baseline!$B$3:$B$122,MATCH(MIN(MAX(ROUND(($F1306)/5,0)*5,5),600),Baseline!$A$3:$A$122,0))-Inputs!$B$9,INDEX(Course!$N$2:$N$19,MATCH($B1306,Course!$A$2:$A$19,0))),INDEX(Baseline!$B$3:$E$122,MATCH(MIN(MAX(ROUND(($F1306)/5,0)*5,5),600),Baseline!$A$3:$A$122,0),MATCH($E1306,Baseline!$B$2:$E$2,0))))))</f>
        <v/>
      </c>
      <c r="P1306" s="17" t="str">
        <f aca="false">IF($B1306="","",INDEX(Course!$N$2:$N$19,MATCH($B1306,Course!$A$2:$A$19,0)))</f>
        <v/>
      </c>
      <c r="Q1306" s="17" t="str">
        <f aca="false">IF($B1306="","",INDEX(Course!$P$2:$P$19,MATCH($B1306,Course!$A$2:$A$19,0)))</f>
        <v/>
      </c>
      <c r="R1306" s="17" t="str">
        <f aca="false">IF($C1306="","",IF(OR($C1306="G",$C1306="H"),0,IF($C1306="T",1,MIN(1,MAX(0,($N1306-Inputs!$B$8)/MAX($P1306-Inputs!$B$8,0.01))))))</f>
        <v/>
      </c>
      <c r="S1306" s="17" t="str">
        <f aca="false">IF($C1306="","",IF(OR($E1306="G",$E1306="H"),0,IF($E1306="T",1,MIN(1,MAX(0,($O1306-Inputs!$B$8)/MAX($P1306-Inputs!$B$8,0.01))))))</f>
        <v/>
      </c>
    </row>
    <row r="1307" customFormat="false" ht="15" hidden="false" customHeight="false" outlineLevel="0" collapsed="false">
      <c r="I1307" s="7" t="str">
        <f aca="false">IF($C1307="","",IF($C1307="G","PUTT",IF(AND($C1307="T",$M1307&gt;3),"OTT",IF($D1307&lt;=30,"ARG","APP"))))</f>
        <v/>
      </c>
      <c r="J1307" s="17" t="str">
        <f aca="false">IF($C1307="","",$N1307+$Q1307*$R1307)</f>
        <v/>
      </c>
      <c r="K1307" s="17" t="str">
        <f aca="false">IF($C1307="","",$O1307+$Q1307*$S1307)</f>
        <v/>
      </c>
      <c r="L1307" s="17" t="str">
        <f aca="false">IF($C1307="","",$J1307-$K1307-1-N($G1307))</f>
        <v/>
      </c>
      <c r="M1307" s="7" t="str">
        <f aca="false">IF($B1307="","",INDEX(Course!$B$2:$B$19,MATCH($B1307,Course!$A$2:$A$19,0)))</f>
        <v/>
      </c>
      <c r="N1307" s="17" t="str">
        <f aca="false">IF($C1307="","",IF($C1307="H",0,IF($C1307="G",INDEX(Baseline!$I$3:$I$102,MIN(MAX(ROUND($D1307,0),1),100)),IF($C1307="T",IF($M1307=3,INDEX(Baseline!$B$3:$B$122,MATCH(MIN(MAX(ROUND(($D1307)/5,0)*5,5),600),Baseline!$A$3:$A$122,0))-Inputs!$B$9,INDEX(Course!$N$2:$N$19,MATCH($B1307,Course!$A$2:$A$19,0))),INDEX(Baseline!$B$3:$E$122,MATCH(MIN(MAX(ROUND(($D1307)/5,0)*5,5),600),Baseline!$A$3:$A$122,0),MATCH($C1307,Baseline!$B$2:$E$2,0))))))</f>
        <v/>
      </c>
      <c r="O1307" s="17" t="str">
        <f aca="false">IF($C1307="","",IF($E1307="H",0,IF($E1307="G",INDEX(Baseline!$I$3:$I$102,MIN(MAX(ROUND($F1307,0),1),100)),IF($E1307="T",IF($M1307=3,INDEX(Baseline!$B$3:$B$122,MATCH(MIN(MAX(ROUND(($F1307)/5,0)*5,5),600),Baseline!$A$3:$A$122,0))-Inputs!$B$9,INDEX(Course!$N$2:$N$19,MATCH($B1307,Course!$A$2:$A$19,0))),INDEX(Baseline!$B$3:$E$122,MATCH(MIN(MAX(ROUND(($F1307)/5,0)*5,5),600),Baseline!$A$3:$A$122,0),MATCH($E1307,Baseline!$B$2:$E$2,0))))))</f>
        <v/>
      </c>
      <c r="P1307" s="17" t="str">
        <f aca="false">IF($B1307="","",INDEX(Course!$N$2:$N$19,MATCH($B1307,Course!$A$2:$A$19,0)))</f>
        <v/>
      </c>
      <c r="Q1307" s="17" t="str">
        <f aca="false">IF($B1307="","",INDEX(Course!$P$2:$P$19,MATCH($B1307,Course!$A$2:$A$19,0)))</f>
        <v/>
      </c>
      <c r="R1307" s="17" t="str">
        <f aca="false">IF($C1307="","",IF(OR($C1307="G",$C1307="H"),0,IF($C1307="T",1,MIN(1,MAX(0,($N1307-Inputs!$B$8)/MAX($P1307-Inputs!$B$8,0.01))))))</f>
        <v/>
      </c>
      <c r="S1307" s="17" t="str">
        <f aca="false">IF($C1307="","",IF(OR($E1307="G",$E1307="H"),0,IF($E1307="T",1,MIN(1,MAX(0,($O1307-Inputs!$B$8)/MAX($P1307-Inputs!$B$8,0.01))))))</f>
        <v/>
      </c>
    </row>
    <row r="1308" customFormat="false" ht="15" hidden="false" customHeight="false" outlineLevel="0" collapsed="false">
      <c r="I1308" s="7" t="str">
        <f aca="false">IF($C1308="","",IF($C1308="G","PUTT",IF(AND($C1308="T",$M1308&gt;3),"OTT",IF($D1308&lt;=30,"ARG","APP"))))</f>
        <v/>
      </c>
      <c r="J1308" s="17" t="str">
        <f aca="false">IF($C1308="","",$N1308+$Q1308*$R1308)</f>
        <v/>
      </c>
      <c r="K1308" s="17" t="str">
        <f aca="false">IF($C1308="","",$O1308+$Q1308*$S1308)</f>
        <v/>
      </c>
      <c r="L1308" s="17" t="str">
        <f aca="false">IF($C1308="","",$J1308-$K1308-1-N($G1308))</f>
        <v/>
      </c>
      <c r="M1308" s="7" t="str">
        <f aca="false">IF($B1308="","",INDEX(Course!$B$2:$B$19,MATCH($B1308,Course!$A$2:$A$19,0)))</f>
        <v/>
      </c>
      <c r="N1308" s="17" t="str">
        <f aca="false">IF($C1308="","",IF($C1308="H",0,IF($C1308="G",INDEX(Baseline!$I$3:$I$102,MIN(MAX(ROUND($D1308,0),1),100)),IF($C1308="T",IF($M1308=3,INDEX(Baseline!$B$3:$B$122,MATCH(MIN(MAX(ROUND(($D1308)/5,0)*5,5),600),Baseline!$A$3:$A$122,0))-Inputs!$B$9,INDEX(Course!$N$2:$N$19,MATCH($B1308,Course!$A$2:$A$19,0))),INDEX(Baseline!$B$3:$E$122,MATCH(MIN(MAX(ROUND(($D1308)/5,0)*5,5),600),Baseline!$A$3:$A$122,0),MATCH($C1308,Baseline!$B$2:$E$2,0))))))</f>
        <v/>
      </c>
      <c r="O1308" s="17" t="str">
        <f aca="false">IF($C1308="","",IF($E1308="H",0,IF($E1308="G",INDEX(Baseline!$I$3:$I$102,MIN(MAX(ROUND($F1308,0),1),100)),IF($E1308="T",IF($M1308=3,INDEX(Baseline!$B$3:$B$122,MATCH(MIN(MAX(ROUND(($F1308)/5,0)*5,5),600),Baseline!$A$3:$A$122,0))-Inputs!$B$9,INDEX(Course!$N$2:$N$19,MATCH($B1308,Course!$A$2:$A$19,0))),INDEX(Baseline!$B$3:$E$122,MATCH(MIN(MAX(ROUND(($F1308)/5,0)*5,5),600),Baseline!$A$3:$A$122,0),MATCH($E1308,Baseline!$B$2:$E$2,0))))))</f>
        <v/>
      </c>
      <c r="P1308" s="17" t="str">
        <f aca="false">IF($B1308="","",INDEX(Course!$N$2:$N$19,MATCH($B1308,Course!$A$2:$A$19,0)))</f>
        <v/>
      </c>
      <c r="Q1308" s="17" t="str">
        <f aca="false">IF($B1308="","",INDEX(Course!$P$2:$P$19,MATCH($B1308,Course!$A$2:$A$19,0)))</f>
        <v/>
      </c>
      <c r="R1308" s="17" t="str">
        <f aca="false">IF($C1308="","",IF(OR($C1308="G",$C1308="H"),0,IF($C1308="T",1,MIN(1,MAX(0,($N1308-Inputs!$B$8)/MAX($P1308-Inputs!$B$8,0.01))))))</f>
        <v/>
      </c>
      <c r="S1308" s="17" t="str">
        <f aca="false">IF($C1308="","",IF(OR($E1308="G",$E1308="H"),0,IF($E1308="T",1,MIN(1,MAX(0,($O1308-Inputs!$B$8)/MAX($P1308-Inputs!$B$8,0.01))))))</f>
        <v/>
      </c>
    </row>
    <row r="1309" customFormat="false" ht="15" hidden="false" customHeight="false" outlineLevel="0" collapsed="false">
      <c r="I1309" s="7" t="str">
        <f aca="false">IF($C1309="","",IF($C1309="G","PUTT",IF(AND($C1309="T",$M1309&gt;3),"OTT",IF($D1309&lt;=30,"ARG","APP"))))</f>
        <v/>
      </c>
      <c r="J1309" s="17" t="str">
        <f aca="false">IF($C1309="","",$N1309+$Q1309*$R1309)</f>
        <v/>
      </c>
      <c r="K1309" s="17" t="str">
        <f aca="false">IF($C1309="","",$O1309+$Q1309*$S1309)</f>
        <v/>
      </c>
      <c r="L1309" s="17" t="str">
        <f aca="false">IF($C1309="","",$J1309-$K1309-1-N($G1309))</f>
        <v/>
      </c>
      <c r="M1309" s="7" t="str">
        <f aca="false">IF($B1309="","",INDEX(Course!$B$2:$B$19,MATCH($B1309,Course!$A$2:$A$19,0)))</f>
        <v/>
      </c>
      <c r="N1309" s="17" t="str">
        <f aca="false">IF($C1309="","",IF($C1309="H",0,IF($C1309="G",INDEX(Baseline!$I$3:$I$102,MIN(MAX(ROUND($D1309,0),1),100)),IF($C1309="T",IF($M1309=3,INDEX(Baseline!$B$3:$B$122,MATCH(MIN(MAX(ROUND(($D1309)/5,0)*5,5),600),Baseline!$A$3:$A$122,0))-Inputs!$B$9,INDEX(Course!$N$2:$N$19,MATCH($B1309,Course!$A$2:$A$19,0))),INDEX(Baseline!$B$3:$E$122,MATCH(MIN(MAX(ROUND(($D1309)/5,0)*5,5),600),Baseline!$A$3:$A$122,0),MATCH($C1309,Baseline!$B$2:$E$2,0))))))</f>
        <v/>
      </c>
      <c r="O1309" s="17" t="str">
        <f aca="false">IF($C1309="","",IF($E1309="H",0,IF($E1309="G",INDEX(Baseline!$I$3:$I$102,MIN(MAX(ROUND($F1309,0),1),100)),IF($E1309="T",IF($M1309=3,INDEX(Baseline!$B$3:$B$122,MATCH(MIN(MAX(ROUND(($F1309)/5,0)*5,5),600),Baseline!$A$3:$A$122,0))-Inputs!$B$9,INDEX(Course!$N$2:$N$19,MATCH($B1309,Course!$A$2:$A$19,0))),INDEX(Baseline!$B$3:$E$122,MATCH(MIN(MAX(ROUND(($F1309)/5,0)*5,5),600),Baseline!$A$3:$A$122,0),MATCH($E1309,Baseline!$B$2:$E$2,0))))))</f>
        <v/>
      </c>
      <c r="P1309" s="17" t="str">
        <f aca="false">IF($B1309="","",INDEX(Course!$N$2:$N$19,MATCH($B1309,Course!$A$2:$A$19,0)))</f>
        <v/>
      </c>
      <c r="Q1309" s="17" t="str">
        <f aca="false">IF($B1309="","",INDEX(Course!$P$2:$P$19,MATCH($B1309,Course!$A$2:$A$19,0)))</f>
        <v/>
      </c>
      <c r="R1309" s="17" t="str">
        <f aca="false">IF($C1309="","",IF(OR($C1309="G",$C1309="H"),0,IF($C1309="T",1,MIN(1,MAX(0,($N1309-Inputs!$B$8)/MAX($P1309-Inputs!$B$8,0.01))))))</f>
        <v/>
      </c>
      <c r="S1309" s="17" t="str">
        <f aca="false">IF($C1309="","",IF(OR($E1309="G",$E1309="H"),0,IF($E1309="T",1,MIN(1,MAX(0,($O1309-Inputs!$B$8)/MAX($P1309-Inputs!$B$8,0.01))))))</f>
        <v/>
      </c>
    </row>
    <row r="1310" customFormat="false" ht="15" hidden="false" customHeight="false" outlineLevel="0" collapsed="false">
      <c r="I1310" s="7" t="str">
        <f aca="false">IF($C1310="","",IF($C1310="G","PUTT",IF(AND($C1310="T",$M1310&gt;3),"OTT",IF($D1310&lt;=30,"ARG","APP"))))</f>
        <v/>
      </c>
      <c r="J1310" s="17" t="str">
        <f aca="false">IF($C1310="","",$N1310+$Q1310*$R1310)</f>
        <v/>
      </c>
      <c r="K1310" s="17" t="str">
        <f aca="false">IF($C1310="","",$O1310+$Q1310*$S1310)</f>
        <v/>
      </c>
      <c r="L1310" s="17" t="str">
        <f aca="false">IF($C1310="","",$J1310-$K1310-1-N($G1310))</f>
        <v/>
      </c>
      <c r="M1310" s="7" t="str">
        <f aca="false">IF($B1310="","",INDEX(Course!$B$2:$B$19,MATCH($B1310,Course!$A$2:$A$19,0)))</f>
        <v/>
      </c>
      <c r="N1310" s="17" t="str">
        <f aca="false">IF($C1310="","",IF($C1310="H",0,IF($C1310="G",INDEX(Baseline!$I$3:$I$102,MIN(MAX(ROUND($D1310,0),1),100)),IF($C1310="T",IF($M1310=3,INDEX(Baseline!$B$3:$B$122,MATCH(MIN(MAX(ROUND(($D1310)/5,0)*5,5),600),Baseline!$A$3:$A$122,0))-Inputs!$B$9,INDEX(Course!$N$2:$N$19,MATCH($B1310,Course!$A$2:$A$19,0))),INDEX(Baseline!$B$3:$E$122,MATCH(MIN(MAX(ROUND(($D1310)/5,0)*5,5),600),Baseline!$A$3:$A$122,0),MATCH($C1310,Baseline!$B$2:$E$2,0))))))</f>
        <v/>
      </c>
      <c r="O1310" s="17" t="str">
        <f aca="false">IF($C1310="","",IF($E1310="H",0,IF($E1310="G",INDEX(Baseline!$I$3:$I$102,MIN(MAX(ROUND($F1310,0),1),100)),IF($E1310="T",IF($M1310=3,INDEX(Baseline!$B$3:$B$122,MATCH(MIN(MAX(ROUND(($F1310)/5,0)*5,5),600),Baseline!$A$3:$A$122,0))-Inputs!$B$9,INDEX(Course!$N$2:$N$19,MATCH($B1310,Course!$A$2:$A$19,0))),INDEX(Baseline!$B$3:$E$122,MATCH(MIN(MAX(ROUND(($F1310)/5,0)*5,5),600),Baseline!$A$3:$A$122,0),MATCH($E1310,Baseline!$B$2:$E$2,0))))))</f>
        <v/>
      </c>
      <c r="P1310" s="17" t="str">
        <f aca="false">IF($B1310="","",INDEX(Course!$N$2:$N$19,MATCH($B1310,Course!$A$2:$A$19,0)))</f>
        <v/>
      </c>
      <c r="Q1310" s="17" t="str">
        <f aca="false">IF($B1310="","",INDEX(Course!$P$2:$P$19,MATCH($B1310,Course!$A$2:$A$19,0)))</f>
        <v/>
      </c>
      <c r="R1310" s="17" t="str">
        <f aca="false">IF($C1310="","",IF(OR($C1310="G",$C1310="H"),0,IF($C1310="T",1,MIN(1,MAX(0,($N1310-Inputs!$B$8)/MAX($P1310-Inputs!$B$8,0.01))))))</f>
        <v/>
      </c>
      <c r="S1310" s="17" t="str">
        <f aca="false">IF($C1310="","",IF(OR($E1310="G",$E1310="H"),0,IF($E1310="T",1,MIN(1,MAX(0,($O1310-Inputs!$B$8)/MAX($P1310-Inputs!$B$8,0.01))))))</f>
        <v/>
      </c>
    </row>
    <row r="1311" customFormat="false" ht="15" hidden="false" customHeight="false" outlineLevel="0" collapsed="false">
      <c r="I1311" s="7" t="str">
        <f aca="false">IF($C1311="","",IF($C1311="G","PUTT",IF(AND($C1311="T",$M1311&gt;3),"OTT",IF($D1311&lt;=30,"ARG","APP"))))</f>
        <v/>
      </c>
      <c r="J1311" s="17" t="str">
        <f aca="false">IF($C1311="","",$N1311+$Q1311*$R1311)</f>
        <v/>
      </c>
      <c r="K1311" s="17" t="str">
        <f aca="false">IF($C1311="","",$O1311+$Q1311*$S1311)</f>
        <v/>
      </c>
      <c r="L1311" s="17" t="str">
        <f aca="false">IF($C1311="","",$J1311-$K1311-1-N($G1311))</f>
        <v/>
      </c>
      <c r="M1311" s="7" t="str">
        <f aca="false">IF($B1311="","",INDEX(Course!$B$2:$B$19,MATCH($B1311,Course!$A$2:$A$19,0)))</f>
        <v/>
      </c>
      <c r="N1311" s="17" t="str">
        <f aca="false">IF($C1311="","",IF($C1311="H",0,IF($C1311="G",INDEX(Baseline!$I$3:$I$102,MIN(MAX(ROUND($D1311,0),1),100)),IF($C1311="T",IF($M1311=3,INDEX(Baseline!$B$3:$B$122,MATCH(MIN(MAX(ROUND(($D1311)/5,0)*5,5),600),Baseline!$A$3:$A$122,0))-Inputs!$B$9,INDEX(Course!$N$2:$N$19,MATCH($B1311,Course!$A$2:$A$19,0))),INDEX(Baseline!$B$3:$E$122,MATCH(MIN(MAX(ROUND(($D1311)/5,0)*5,5),600),Baseline!$A$3:$A$122,0),MATCH($C1311,Baseline!$B$2:$E$2,0))))))</f>
        <v/>
      </c>
      <c r="O1311" s="17" t="str">
        <f aca="false">IF($C1311="","",IF($E1311="H",0,IF($E1311="G",INDEX(Baseline!$I$3:$I$102,MIN(MAX(ROUND($F1311,0),1),100)),IF($E1311="T",IF($M1311=3,INDEX(Baseline!$B$3:$B$122,MATCH(MIN(MAX(ROUND(($F1311)/5,0)*5,5),600),Baseline!$A$3:$A$122,0))-Inputs!$B$9,INDEX(Course!$N$2:$N$19,MATCH($B1311,Course!$A$2:$A$19,0))),INDEX(Baseline!$B$3:$E$122,MATCH(MIN(MAX(ROUND(($F1311)/5,0)*5,5),600),Baseline!$A$3:$A$122,0),MATCH($E1311,Baseline!$B$2:$E$2,0))))))</f>
        <v/>
      </c>
      <c r="P1311" s="17" t="str">
        <f aca="false">IF($B1311="","",INDEX(Course!$N$2:$N$19,MATCH($B1311,Course!$A$2:$A$19,0)))</f>
        <v/>
      </c>
      <c r="Q1311" s="17" t="str">
        <f aca="false">IF($B1311="","",INDEX(Course!$P$2:$P$19,MATCH($B1311,Course!$A$2:$A$19,0)))</f>
        <v/>
      </c>
      <c r="R1311" s="17" t="str">
        <f aca="false">IF($C1311="","",IF(OR($C1311="G",$C1311="H"),0,IF($C1311="T",1,MIN(1,MAX(0,($N1311-Inputs!$B$8)/MAX($P1311-Inputs!$B$8,0.01))))))</f>
        <v/>
      </c>
      <c r="S1311" s="17" t="str">
        <f aca="false">IF($C1311="","",IF(OR($E1311="G",$E1311="H"),0,IF($E1311="T",1,MIN(1,MAX(0,($O1311-Inputs!$B$8)/MAX($P1311-Inputs!$B$8,0.01))))))</f>
        <v/>
      </c>
    </row>
    <row r="1312" customFormat="false" ht="15" hidden="false" customHeight="false" outlineLevel="0" collapsed="false">
      <c r="I1312" s="7" t="str">
        <f aca="false">IF($C1312="","",IF($C1312="G","PUTT",IF(AND($C1312="T",$M1312&gt;3),"OTT",IF($D1312&lt;=30,"ARG","APP"))))</f>
        <v/>
      </c>
      <c r="J1312" s="17" t="str">
        <f aca="false">IF($C1312="","",$N1312+$Q1312*$R1312)</f>
        <v/>
      </c>
      <c r="K1312" s="17" t="str">
        <f aca="false">IF($C1312="","",$O1312+$Q1312*$S1312)</f>
        <v/>
      </c>
      <c r="L1312" s="17" t="str">
        <f aca="false">IF($C1312="","",$J1312-$K1312-1-N($G1312))</f>
        <v/>
      </c>
      <c r="M1312" s="7" t="str">
        <f aca="false">IF($B1312="","",INDEX(Course!$B$2:$B$19,MATCH($B1312,Course!$A$2:$A$19,0)))</f>
        <v/>
      </c>
      <c r="N1312" s="17" t="str">
        <f aca="false">IF($C1312="","",IF($C1312="H",0,IF($C1312="G",INDEX(Baseline!$I$3:$I$102,MIN(MAX(ROUND($D1312,0),1),100)),IF($C1312="T",IF($M1312=3,INDEX(Baseline!$B$3:$B$122,MATCH(MIN(MAX(ROUND(($D1312)/5,0)*5,5),600),Baseline!$A$3:$A$122,0))-Inputs!$B$9,INDEX(Course!$N$2:$N$19,MATCH($B1312,Course!$A$2:$A$19,0))),INDEX(Baseline!$B$3:$E$122,MATCH(MIN(MAX(ROUND(($D1312)/5,0)*5,5),600),Baseline!$A$3:$A$122,0),MATCH($C1312,Baseline!$B$2:$E$2,0))))))</f>
        <v/>
      </c>
      <c r="O1312" s="17" t="str">
        <f aca="false">IF($C1312="","",IF($E1312="H",0,IF($E1312="G",INDEX(Baseline!$I$3:$I$102,MIN(MAX(ROUND($F1312,0),1),100)),IF($E1312="T",IF($M1312=3,INDEX(Baseline!$B$3:$B$122,MATCH(MIN(MAX(ROUND(($F1312)/5,0)*5,5),600),Baseline!$A$3:$A$122,0))-Inputs!$B$9,INDEX(Course!$N$2:$N$19,MATCH($B1312,Course!$A$2:$A$19,0))),INDEX(Baseline!$B$3:$E$122,MATCH(MIN(MAX(ROUND(($F1312)/5,0)*5,5),600),Baseline!$A$3:$A$122,0),MATCH($E1312,Baseline!$B$2:$E$2,0))))))</f>
        <v/>
      </c>
      <c r="P1312" s="17" t="str">
        <f aca="false">IF($B1312="","",INDEX(Course!$N$2:$N$19,MATCH($B1312,Course!$A$2:$A$19,0)))</f>
        <v/>
      </c>
      <c r="Q1312" s="17" t="str">
        <f aca="false">IF($B1312="","",INDEX(Course!$P$2:$P$19,MATCH($B1312,Course!$A$2:$A$19,0)))</f>
        <v/>
      </c>
      <c r="R1312" s="17" t="str">
        <f aca="false">IF($C1312="","",IF(OR($C1312="G",$C1312="H"),0,IF($C1312="T",1,MIN(1,MAX(0,($N1312-Inputs!$B$8)/MAX($P1312-Inputs!$B$8,0.01))))))</f>
        <v/>
      </c>
      <c r="S1312" s="17" t="str">
        <f aca="false">IF($C1312="","",IF(OR($E1312="G",$E1312="H"),0,IF($E1312="T",1,MIN(1,MAX(0,($O1312-Inputs!$B$8)/MAX($P1312-Inputs!$B$8,0.01))))))</f>
        <v/>
      </c>
    </row>
    <row r="1313" customFormat="false" ht="15" hidden="false" customHeight="false" outlineLevel="0" collapsed="false">
      <c r="I1313" s="7" t="str">
        <f aca="false">IF($C1313="","",IF($C1313="G","PUTT",IF(AND($C1313="T",$M1313&gt;3),"OTT",IF($D1313&lt;=30,"ARG","APP"))))</f>
        <v/>
      </c>
      <c r="J1313" s="17" t="str">
        <f aca="false">IF($C1313="","",$N1313+$Q1313*$R1313)</f>
        <v/>
      </c>
      <c r="K1313" s="17" t="str">
        <f aca="false">IF($C1313="","",$O1313+$Q1313*$S1313)</f>
        <v/>
      </c>
      <c r="L1313" s="17" t="str">
        <f aca="false">IF($C1313="","",$J1313-$K1313-1-N($G1313))</f>
        <v/>
      </c>
      <c r="M1313" s="7" t="str">
        <f aca="false">IF($B1313="","",INDEX(Course!$B$2:$B$19,MATCH($B1313,Course!$A$2:$A$19,0)))</f>
        <v/>
      </c>
      <c r="N1313" s="17" t="str">
        <f aca="false">IF($C1313="","",IF($C1313="H",0,IF($C1313="G",INDEX(Baseline!$I$3:$I$102,MIN(MAX(ROUND($D1313,0),1),100)),IF($C1313="T",IF($M1313=3,INDEX(Baseline!$B$3:$B$122,MATCH(MIN(MAX(ROUND(($D1313)/5,0)*5,5),600),Baseline!$A$3:$A$122,0))-Inputs!$B$9,INDEX(Course!$N$2:$N$19,MATCH($B1313,Course!$A$2:$A$19,0))),INDEX(Baseline!$B$3:$E$122,MATCH(MIN(MAX(ROUND(($D1313)/5,0)*5,5),600),Baseline!$A$3:$A$122,0),MATCH($C1313,Baseline!$B$2:$E$2,0))))))</f>
        <v/>
      </c>
      <c r="O1313" s="17" t="str">
        <f aca="false">IF($C1313="","",IF($E1313="H",0,IF($E1313="G",INDEX(Baseline!$I$3:$I$102,MIN(MAX(ROUND($F1313,0),1),100)),IF($E1313="T",IF($M1313=3,INDEX(Baseline!$B$3:$B$122,MATCH(MIN(MAX(ROUND(($F1313)/5,0)*5,5),600),Baseline!$A$3:$A$122,0))-Inputs!$B$9,INDEX(Course!$N$2:$N$19,MATCH($B1313,Course!$A$2:$A$19,0))),INDEX(Baseline!$B$3:$E$122,MATCH(MIN(MAX(ROUND(($F1313)/5,0)*5,5),600),Baseline!$A$3:$A$122,0),MATCH($E1313,Baseline!$B$2:$E$2,0))))))</f>
        <v/>
      </c>
      <c r="P1313" s="17" t="str">
        <f aca="false">IF($B1313="","",INDEX(Course!$N$2:$N$19,MATCH($B1313,Course!$A$2:$A$19,0)))</f>
        <v/>
      </c>
      <c r="Q1313" s="17" t="str">
        <f aca="false">IF($B1313="","",INDEX(Course!$P$2:$P$19,MATCH($B1313,Course!$A$2:$A$19,0)))</f>
        <v/>
      </c>
      <c r="R1313" s="17" t="str">
        <f aca="false">IF($C1313="","",IF(OR($C1313="G",$C1313="H"),0,IF($C1313="T",1,MIN(1,MAX(0,($N1313-Inputs!$B$8)/MAX($P1313-Inputs!$B$8,0.01))))))</f>
        <v/>
      </c>
      <c r="S1313" s="17" t="str">
        <f aca="false">IF($C1313="","",IF(OR($E1313="G",$E1313="H"),0,IF($E1313="T",1,MIN(1,MAX(0,($O1313-Inputs!$B$8)/MAX($P1313-Inputs!$B$8,0.01))))))</f>
        <v/>
      </c>
    </row>
    <row r="1314" customFormat="false" ht="15" hidden="false" customHeight="false" outlineLevel="0" collapsed="false">
      <c r="I1314" s="7" t="str">
        <f aca="false">IF($C1314="","",IF($C1314="G","PUTT",IF(AND($C1314="T",$M1314&gt;3),"OTT",IF($D1314&lt;=30,"ARG","APP"))))</f>
        <v/>
      </c>
      <c r="J1314" s="17" t="str">
        <f aca="false">IF($C1314="","",$N1314+$Q1314*$R1314)</f>
        <v/>
      </c>
      <c r="K1314" s="17" t="str">
        <f aca="false">IF($C1314="","",$O1314+$Q1314*$S1314)</f>
        <v/>
      </c>
      <c r="L1314" s="17" t="str">
        <f aca="false">IF($C1314="","",$J1314-$K1314-1-N($G1314))</f>
        <v/>
      </c>
      <c r="M1314" s="7" t="str">
        <f aca="false">IF($B1314="","",INDEX(Course!$B$2:$B$19,MATCH($B1314,Course!$A$2:$A$19,0)))</f>
        <v/>
      </c>
      <c r="N1314" s="17" t="str">
        <f aca="false">IF($C1314="","",IF($C1314="H",0,IF($C1314="G",INDEX(Baseline!$I$3:$I$102,MIN(MAX(ROUND($D1314,0),1),100)),IF($C1314="T",IF($M1314=3,INDEX(Baseline!$B$3:$B$122,MATCH(MIN(MAX(ROUND(($D1314)/5,0)*5,5),600),Baseline!$A$3:$A$122,0))-Inputs!$B$9,INDEX(Course!$N$2:$N$19,MATCH($B1314,Course!$A$2:$A$19,0))),INDEX(Baseline!$B$3:$E$122,MATCH(MIN(MAX(ROUND(($D1314)/5,0)*5,5),600),Baseline!$A$3:$A$122,0),MATCH($C1314,Baseline!$B$2:$E$2,0))))))</f>
        <v/>
      </c>
      <c r="O1314" s="17" t="str">
        <f aca="false">IF($C1314="","",IF($E1314="H",0,IF($E1314="G",INDEX(Baseline!$I$3:$I$102,MIN(MAX(ROUND($F1314,0),1),100)),IF($E1314="T",IF($M1314=3,INDEX(Baseline!$B$3:$B$122,MATCH(MIN(MAX(ROUND(($F1314)/5,0)*5,5),600),Baseline!$A$3:$A$122,0))-Inputs!$B$9,INDEX(Course!$N$2:$N$19,MATCH($B1314,Course!$A$2:$A$19,0))),INDEX(Baseline!$B$3:$E$122,MATCH(MIN(MAX(ROUND(($F1314)/5,0)*5,5),600),Baseline!$A$3:$A$122,0),MATCH($E1314,Baseline!$B$2:$E$2,0))))))</f>
        <v/>
      </c>
      <c r="P1314" s="17" t="str">
        <f aca="false">IF($B1314="","",INDEX(Course!$N$2:$N$19,MATCH($B1314,Course!$A$2:$A$19,0)))</f>
        <v/>
      </c>
      <c r="Q1314" s="17" t="str">
        <f aca="false">IF($B1314="","",INDEX(Course!$P$2:$P$19,MATCH($B1314,Course!$A$2:$A$19,0)))</f>
        <v/>
      </c>
      <c r="R1314" s="17" t="str">
        <f aca="false">IF($C1314="","",IF(OR($C1314="G",$C1314="H"),0,IF($C1314="T",1,MIN(1,MAX(0,($N1314-Inputs!$B$8)/MAX($P1314-Inputs!$B$8,0.01))))))</f>
        <v/>
      </c>
      <c r="S1314" s="17" t="str">
        <f aca="false">IF($C1314="","",IF(OR($E1314="G",$E1314="H"),0,IF($E1314="T",1,MIN(1,MAX(0,($O1314-Inputs!$B$8)/MAX($P1314-Inputs!$B$8,0.01))))))</f>
        <v/>
      </c>
    </row>
    <row r="1315" customFormat="false" ht="15" hidden="false" customHeight="false" outlineLevel="0" collapsed="false">
      <c r="I1315" s="7" t="str">
        <f aca="false">IF($C1315="","",IF($C1315="G","PUTT",IF(AND($C1315="T",$M1315&gt;3),"OTT",IF($D1315&lt;=30,"ARG","APP"))))</f>
        <v/>
      </c>
      <c r="J1315" s="17" t="str">
        <f aca="false">IF($C1315="","",$N1315+$Q1315*$R1315)</f>
        <v/>
      </c>
      <c r="K1315" s="17" t="str">
        <f aca="false">IF($C1315="","",$O1315+$Q1315*$S1315)</f>
        <v/>
      </c>
      <c r="L1315" s="17" t="str">
        <f aca="false">IF($C1315="","",$J1315-$K1315-1-N($G1315))</f>
        <v/>
      </c>
      <c r="M1315" s="7" t="str">
        <f aca="false">IF($B1315="","",INDEX(Course!$B$2:$B$19,MATCH($B1315,Course!$A$2:$A$19,0)))</f>
        <v/>
      </c>
      <c r="N1315" s="17" t="str">
        <f aca="false">IF($C1315="","",IF($C1315="H",0,IF($C1315="G",INDEX(Baseline!$I$3:$I$102,MIN(MAX(ROUND($D1315,0),1),100)),IF($C1315="T",IF($M1315=3,INDEX(Baseline!$B$3:$B$122,MATCH(MIN(MAX(ROUND(($D1315)/5,0)*5,5),600),Baseline!$A$3:$A$122,0))-Inputs!$B$9,INDEX(Course!$N$2:$N$19,MATCH($B1315,Course!$A$2:$A$19,0))),INDEX(Baseline!$B$3:$E$122,MATCH(MIN(MAX(ROUND(($D1315)/5,0)*5,5),600),Baseline!$A$3:$A$122,0),MATCH($C1315,Baseline!$B$2:$E$2,0))))))</f>
        <v/>
      </c>
      <c r="O1315" s="17" t="str">
        <f aca="false">IF($C1315="","",IF($E1315="H",0,IF($E1315="G",INDEX(Baseline!$I$3:$I$102,MIN(MAX(ROUND($F1315,0),1),100)),IF($E1315="T",IF($M1315=3,INDEX(Baseline!$B$3:$B$122,MATCH(MIN(MAX(ROUND(($F1315)/5,0)*5,5),600),Baseline!$A$3:$A$122,0))-Inputs!$B$9,INDEX(Course!$N$2:$N$19,MATCH($B1315,Course!$A$2:$A$19,0))),INDEX(Baseline!$B$3:$E$122,MATCH(MIN(MAX(ROUND(($F1315)/5,0)*5,5),600),Baseline!$A$3:$A$122,0),MATCH($E1315,Baseline!$B$2:$E$2,0))))))</f>
        <v/>
      </c>
      <c r="P1315" s="17" t="str">
        <f aca="false">IF($B1315="","",INDEX(Course!$N$2:$N$19,MATCH($B1315,Course!$A$2:$A$19,0)))</f>
        <v/>
      </c>
      <c r="Q1315" s="17" t="str">
        <f aca="false">IF($B1315="","",INDEX(Course!$P$2:$P$19,MATCH($B1315,Course!$A$2:$A$19,0)))</f>
        <v/>
      </c>
      <c r="R1315" s="17" t="str">
        <f aca="false">IF($C1315="","",IF(OR($C1315="G",$C1315="H"),0,IF($C1315="T",1,MIN(1,MAX(0,($N1315-Inputs!$B$8)/MAX($P1315-Inputs!$B$8,0.01))))))</f>
        <v/>
      </c>
      <c r="S1315" s="17" t="str">
        <f aca="false">IF($C1315="","",IF(OR($E1315="G",$E1315="H"),0,IF($E1315="T",1,MIN(1,MAX(0,($O1315-Inputs!$B$8)/MAX($P1315-Inputs!$B$8,0.01))))))</f>
        <v/>
      </c>
    </row>
    <row r="1316" customFormat="false" ht="15" hidden="false" customHeight="false" outlineLevel="0" collapsed="false">
      <c r="I1316" s="7" t="str">
        <f aca="false">IF($C1316="","",IF($C1316="G","PUTT",IF(AND($C1316="T",$M1316&gt;3),"OTT",IF($D1316&lt;=30,"ARG","APP"))))</f>
        <v/>
      </c>
      <c r="J1316" s="17" t="str">
        <f aca="false">IF($C1316="","",$N1316+$Q1316*$R1316)</f>
        <v/>
      </c>
      <c r="K1316" s="17" t="str">
        <f aca="false">IF($C1316="","",$O1316+$Q1316*$S1316)</f>
        <v/>
      </c>
      <c r="L1316" s="17" t="str">
        <f aca="false">IF($C1316="","",$J1316-$K1316-1-N($G1316))</f>
        <v/>
      </c>
      <c r="M1316" s="7" t="str">
        <f aca="false">IF($B1316="","",INDEX(Course!$B$2:$B$19,MATCH($B1316,Course!$A$2:$A$19,0)))</f>
        <v/>
      </c>
      <c r="N1316" s="17" t="str">
        <f aca="false">IF($C1316="","",IF($C1316="H",0,IF($C1316="G",INDEX(Baseline!$I$3:$I$102,MIN(MAX(ROUND($D1316,0),1),100)),IF($C1316="T",IF($M1316=3,INDEX(Baseline!$B$3:$B$122,MATCH(MIN(MAX(ROUND(($D1316)/5,0)*5,5),600),Baseline!$A$3:$A$122,0))-Inputs!$B$9,INDEX(Course!$N$2:$N$19,MATCH($B1316,Course!$A$2:$A$19,0))),INDEX(Baseline!$B$3:$E$122,MATCH(MIN(MAX(ROUND(($D1316)/5,0)*5,5),600),Baseline!$A$3:$A$122,0),MATCH($C1316,Baseline!$B$2:$E$2,0))))))</f>
        <v/>
      </c>
      <c r="O1316" s="17" t="str">
        <f aca="false">IF($C1316="","",IF($E1316="H",0,IF($E1316="G",INDEX(Baseline!$I$3:$I$102,MIN(MAX(ROUND($F1316,0),1),100)),IF($E1316="T",IF($M1316=3,INDEX(Baseline!$B$3:$B$122,MATCH(MIN(MAX(ROUND(($F1316)/5,0)*5,5),600),Baseline!$A$3:$A$122,0))-Inputs!$B$9,INDEX(Course!$N$2:$N$19,MATCH($B1316,Course!$A$2:$A$19,0))),INDEX(Baseline!$B$3:$E$122,MATCH(MIN(MAX(ROUND(($F1316)/5,0)*5,5),600),Baseline!$A$3:$A$122,0),MATCH($E1316,Baseline!$B$2:$E$2,0))))))</f>
        <v/>
      </c>
      <c r="P1316" s="17" t="str">
        <f aca="false">IF($B1316="","",INDEX(Course!$N$2:$N$19,MATCH($B1316,Course!$A$2:$A$19,0)))</f>
        <v/>
      </c>
      <c r="Q1316" s="17" t="str">
        <f aca="false">IF($B1316="","",INDEX(Course!$P$2:$P$19,MATCH($B1316,Course!$A$2:$A$19,0)))</f>
        <v/>
      </c>
      <c r="R1316" s="17" t="str">
        <f aca="false">IF($C1316="","",IF(OR($C1316="G",$C1316="H"),0,IF($C1316="T",1,MIN(1,MAX(0,($N1316-Inputs!$B$8)/MAX($P1316-Inputs!$B$8,0.01))))))</f>
        <v/>
      </c>
      <c r="S1316" s="17" t="str">
        <f aca="false">IF($C1316="","",IF(OR($E1316="G",$E1316="H"),0,IF($E1316="T",1,MIN(1,MAX(0,($O1316-Inputs!$B$8)/MAX($P1316-Inputs!$B$8,0.01))))))</f>
        <v/>
      </c>
    </row>
    <row r="1317" customFormat="false" ht="15" hidden="false" customHeight="false" outlineLevel="0" collapsed="false">
      <c r="I1317" s="7" t="str">
        <f aca="false">IF($C1317="","",IF($C1317="G","PUTT",IF(AND($C1317="T",$M1317&gt;3),"OTT",IF($D1317&lt;=30,"ARG","APP"))))</f>
        <v/>
      </c>
      <c r="J1317" s="17" t="str">
        <f aca="false">IF($C1317="","",$N1317+$Q1317*$R1317)</f>
        <v/>
      </c>
      <c r="K1317" s="17" t="str">
        <f aca="false">IF($C1317="","",$O1317+$Q1317*$S1317)</f>
        <v/>
      </c>
      <c r="L1317" s="17" t="str">
        <f aca="false">IF($C1317="","",$J1317-$K1317-1-N($G1317))</f>
        <v/>
      </c>
      <c r="M1317" s="7" t="str">
        <f aca="false">IF($B1317="","",INDEX(Course!$B$2:$B$19,MATCH($B1317,Course!$A$2:$A$19,0)))</f>
        <v/>
      </c>
      <c r="N1317" s="17" t="str">
        <f aca="false">IF($C1317="","",IF($C1317="H",0,IF($C1317="G",INDEX(Baseline!$I$3:$I$102,MIN(MAX(ROUND($D1317,0),1),100)),IF($C1317="T",IF($M1317=3,INDEX(Baseline!$B$3:$B$122,MATCH(MIN(MAX(ROUND(($D1317)/5,0)*5,5),600),Baseline!$A$3:$A$122,0))-Inputs!$B$9,INDEX(Course!$N$2:$N$19,MATCH($B1317,Course!$A$2:$A$19,0))),INDEX(Baseline!$B$3:$E$122,MATCH(MIN(MAX(ROUND(($D1317)/5,0)*5,5),600),Baseline!$A$3:$A$122,0),MATCH($C1317,Baseline!$B$2:$E$2,0))))))</f>
        <v/>
      </c>
      <c r="O1317" s="17" t="str">
        <f aca="false">IF($C1317="","",IF($E1317="H",0,IF($E1317="G",INDEX(Baseline!$I$3:$I$102,MIN(MAX(ROUND($F1317,0),1),100)),IF($E1317="T",IF($M1317=3,INDEX(Baseline!$B$3:$B$122,MATCH(MIN(MAX(ROUND(($F1317)/5,0)*5,5),600),Baseline!$A$3:$A$122,0))-Inputs!$B$9,INDEX(Course!$N$2:$N$19,MATCH($B1317,Course!$A$2:$A$19,0))),INDEX(Baseline!$B$3:$E$122,MATCH(MIN(MAX(ROUND(($F1317)/5,0)*5,5),600),Baseline!$A$3:$A$122,0),MATCH($E1317,Baseline!$B$2:$E$2,0))))))</f>
        <v/>
      </c>
      <c r="P1317" s="17" t="str">
        <f aca="false">IF($B1317="","",INDEX(Course!$N$2:$N$19,MATCH($B1317,Course!$A$2:$A$19,0)))</f>
        <v/>
      </c>
      <c r="Q1317" s="17" t="str">
        <f aca="false">IF($B1317="","",INDEX(Course!$P$2:$P$19,MATCH($B1317,Course!$A$2:$A$19,0)))</f>
        <v/>
      </c>
      <c r="R1317" s="17" t="str">
        <f aca="false">IF($C1317="","",IF(OR($C1317="G",$C1317="H"),0,IF($C1317="T",1,MIN(1,MAX(0,($N1317-Inputs!$B$8)/MAX($P1317-Inputs!$B$8,0.01))))))</f>
        <v/>
      </c>
      <c r="S1317" s="17" t="str">
        <f aca="false">IF($C1317="","",IF(OR($E1317="G",$E1317="H"),0,IF($E1317="T",1,MIN(1,MAX(0,($O1317-Inputs!$B$8)/MAX($P1317-Inputs!$B$8,0.01))))))</f>
        <v/>
      </c>
    </row>
    <row r="1318" customFormat="false" ht="15" hidden="false" customHeight="false" outlineLevel="0" collapsed="false">
      <c r="I1318" s="7" t="str">
        <f aca="false">IF($C1318="","",IF($C1318="G","PUTT",IF(AND($C1318="T",$M1318&gt;3),"OTT",IF($D1318&lt;=30,"ARG","APP"))))</f>
        <v/>
      </c>
      <c r="J1318" s="17" t="str">
        <f aca="false">IF($C1318="","",$N1318+$Q1318*$R1318)</f>
        <v/>
      </c>
      <c r="K1318" s="17" t="str">
        <f aca="false">IF($C1318="","",$O1318+$Q1318*$S1318)</f>
        <v/>
      </c>
      <c r="L1318" s="17" t="str">
        <f aca="false">IF($C1318="","",$J1318-$K1318-1-N($G1318))</f>
        <v/>
      </c>
      <c r="M1318" s="7" t="str">
        <f aca="false">IF($B1318="","",INDEX(Course!$B$2:$B$19,MATCH($B1318,Course!$A$2:$A$19,0)))</f>
        <v/>
      </c>
      <c r="N1318" s="17" t="str">
        <f aca="false">IF($C1318="","",IF($C1318="H",0,IF($C1318="G",INDEX(Baseline!$I$3:$I$102,MIN(MAX(ROUND($D1318,0),1),100)),IF($C1318="T",IF($M1318=3,INDEX(Baseline!$B$3:$B$122,MATCH(MIN(MAX(ROUND(($D1318)/5,0)*5,5),600),Baseline!$A$3:$A$122,0))-Inputs!$B$9,INDEX(Course!$N$2:$N$19,MATCH($B1318,Course!$A$2:$A$19,0))),INDEX(Baseline!$B$3:$E$122,MATCH(MIN(MAX(ROUND(($D1318)/5,0)*5,5),600),Baseline!$A$3:$A$122,0),MATCH($C1318,Baseline!$B$2:$E$2,0))))))</f>
        <v/>
      </c>
      <c r="O1318" s="17" t="str">
        <f aca="false">IF($C1318="","",IF($E1318="H",0,IF($E1318="G",INDEX(Baseline!$I$3:$I$102,MIN(MAX(ROUND($F1318,0),1),100)),IF($E1318="T",IF($M1318=3,INDEX(Baseline!$B$3:$B$122,MATCH(MIN(MAX(ROUND(($F1318)/5,0)*5,5),600),Baseline!$A$3:$A$122,0))-Inputs!$B$9,INDEX(Course!$N$2:$N$19,MATCH($B1318,Course!$A$2:$A$19,0))),INDEX(Baseline!$B$3:$E$122,MATCH(MIN(MAX(ROUND(($F1318)/5,0)*5,5),600),Baseline!$A$3:$A$122,0),MATCH($E1318,Baseline!$B$2:$E$2,0))))))</f>
        <v/>
      </c>
      <c r="P1318" s="17" t="str">
        <f aca="false">IF($B1318="","",INDEX(Course!$N$2:$N$19,MATCH($B1318,Course!$A$2:$A$19,0)))</f>
        <v/>
      </c>
      <c r="Q1318" s="17" t="str">
        <f aca="false">IF($B1318="","",INDEX(Course!$P$2:$P$19,MATCH($B1318,Course!$A$2:$A$19,0)))</f>
        <v/>
      </c>
      <c r="R1318" s="17" t="str">
        <f aca="false">IF($C1318="","",IF(OR($C1318="G",$C1318="H"),0,IF($C1318="T",1,MIN(1,MAX(0,($N1318-Inputs!$B$8)/MAX($P1318-Inputs!$B$8,0.01))))))</f>
        <v/>
      </c>
      <c r="S1318" s="17" t="str">
        <f aca="false">IF($C1318="","",IF(OR($E1318="G",$E1318="H"),0,IF($E1318="T",1,MIN(1,MAX(0,($O1318-Inputs!$B$8)/MAX($P1318-Inputs!$B$8,0.01))))))</f>
        <v/>
      </c>
    </row>
    <row r="1319" customFormat="false" ht="15" hidden="false" customHeight="false" outlineLevel="0" collapsed="false">
      <c r="I1319" s="7" t="str">
        <f aca="false">IF($C1319="","",IF($C1319="G","PUTT",IF(AND($C1319="T",$M1319&gt;3),"OTT",IF($D1319&lt;=30,"ARG","APP"))))</f>
        <v/>
      </c>
      <c r="J1319" s="17" t="str">
        <f aca="false">IF($C1319="","",$N1319+$Q1319*$R1319)</f>
        <v/>
      </c>
      <c r="K1319" s="17" t="str">
        <f aca="false">IF($C1319="","",$O1319+$Q1319*$S1319)</f>
        <v/>
      </c>
      <c r="L1319" s="17" t="str">
        <f aca="false">IF($C1319="","",$J1319-$K1319-1-N($G1319))</f>
        <v/>
      </c>
      <c r="M1319" s="7" t="str">
        <f aca="false">IF($B1319="","",INDEX(Course!$B$2:$B$19,MATCH($B1319,Course!$A$2:$A$19,0)))</f>
        <v/>
      </c>
      <c r="N1319" s="17" t="str">
        <f aca="false">IF($C1319="","",IF($C1319="H",0,IF($C1319="G",INDEX(Baseline!$I$3:$I$102,MIN(MAX(ROUND($D1319,0),1),100)),IF($C1319="T",IF($M1319=3,INDEX(Baseline!$B$3:$B$122,MATCH(MIN(MAX(ROUND(($D1319)/5,0)*5,5),600),Baseline!$A$3:$A$122,0))-Inputs!$B$9,INDEX(Course!$N$2:$N$19,MATCH($B1319,Course!$A$2:$A$19,0))),INDEX(Baseline!$B$3:$E$122,MATCH(MIN(MAX(ROUND(($D1319)/5,0)*5,5),600),Baseline!$A$3:$A$122,0),MATCH($C1319,Baseline!$B$2:$E$2,0))))))</f>
        <v/>
      </c>
      <c r="O1319" s="17" t="str">
        <f aca="false">IF($C1319="","",IF($E1319="H",0,IF($E1319="G",INDEX(Baseline!$I$3:$I$102,MIN(MAX(ROUND($F1319,0),1),100)),IF($E1319="T",IF($M1319=3,INDEX(Baseline!$B$3:$B$122,MATCH(MIN(MAX(ROUND(($F1319)/5,0)*5,5),600),Baseline!$A$3:$A$122,0))-Inputs!$B$9,INDEX(Course!$N$2:$N$19,MATCH($B1319,Course!$A$2:$A$19,0))),INDEX(Baseline!$B$3:$E$122,MATCH(MIN(MAX(ROUND(($F1319)/5,0)*5,5),600),Baseline!$A$3:$A$122,0),MATCH($E1319,Baseline!$B$2:$E$2,0))))))</f>
        <v/>
      </c>
      <c r="P1319" s="17" t="str">
        <f aca="false">IF($B1319="","",INDEX(Course!$N$2:$N$19,MATCH($B1319,Course!$A$2:$A$19,0)))</f>
        <v/>
      </c>
      <c r="Q1319" s="17" t="str">
        <f aca="false">IF($B1319="","",INDEX(Course!$P$2:$P$19,MATCH($B1319,Course!$A$2:$A$19,0)))</f>
        <v/>
      </c>
      <c r="R1319" s="17" t="str">
        <f aca="false">IF($C1319="","",IF(OR($C1319="G",$C1319="H"),0,IF($C1319="T",1,MIN(1,MAX(0,($N1319-Inputs!$B$8)/MAX($P1319-Inputs!$B$8,0.01))))))</f>
        <v/>
      </c>
      <c r="S1319" s="17" t="str">
        <f aca="false">IF($C1319="","",IF(OR($E1319="G",$E1319="H"),0,IF($E1319="T",1,MIN(1,MAX(0,($O1319-Inputs!$B$8)/MAX($P1319-Inputs!$B$8,0.01))))))</f>
        <v/>
      </c>
    </row>
    <row r="1320" customFormat="false" ht="15" hidden="false" customHeight="false" outlineLevel="0" collapsed="false">
      <c r="I1320" s="7" t="str">
        <f aca="false">IF($C1320="","",IF($C1320="G","PUTT",IF(AND($C1320="T",$M1320&gt;3),"OTT",IF($D1320&lt;=30,"ARG","APP"))))</f>
        <v/>
      </c>
      <c r="J1320" s="17" t="str">
        <f aca="false">IF($C1320="","",$N1320+$Q1320*$R1320)</f>
        <v/>
      </c>
      <c r="K1320" s="17" t="str">
        <f aca="false">IF($C1320="","",$O1320+$Q1320*$S1320)</f>
        <v/>
      </c>
      <c r="L1320" s="17" t="str">
        <f aca="false">IF($C1320="","",$J1320-$K1320-1-N($G1320))</f>
        <v/>
      </c>
      <c r="M1320" s="7" t="str">
        <f aca="false">IF($B1320="","",INDEX(Course!$B$2:$B$19,MATCH($B1320,Course!$A$2:$A$19,0)))</f>
        <v/>
      </c>
      <c r="N1320" s="17" t="str">
        <f aca="false">IF($C1320="","",IF($C1320="H",0,IF($C1320="G",INDEX(Baseline!$I$3:$I$102,MIN(MAX(ROUND($D1320,0),1),100)),IF($C1320="T",IF($M1320=3,INDEX(Baseline!$B$3:$B$122,MATCH(MIN(MAX(ROUND(($D1320)/5,0)*5,5),600),Baseline!$A$3:$A$122,0))-Inputs!$B$9,INDEX(Course!$N$2:$N$19,MATCH($B1320,Course!$A$2:$A$19,0))),INDEX(Baseline!$B$3:$E$122,MATCH(MIN(MAX(ROUND(($D1320)/5,0)*5,5),600),Baseline!$A$3:$A$122,0),MATCH($C1320,Baseline!$B$2:$E$2,0))))))</f>
        <v/>
      </c>
      <c r="O1320" s="17" t="str">
        <f aca="false">IF($C1320="","",IF($E1320="H",0,IF($E1320="G",INDEX(Baseline!$I$3:$I$102,MIN(MAX(ROUND($F1320,0),1),100)),IF($E1320="T",IF($M1320=3,INDEX(Baseline!$B$3:$B$122,MATCH(MIN(MAX(ROUND(($F1320)/5,0)*5,5),600),Baseline!$A$3:$A$122,0))-Inputs!$B$9,INDEX(Course!$N$2:$N$19,MATCH($B1320,Course!$A$2:$A$19,0))),INDEX(Baseline!$B$3:$E$122,MATCH(MIN(MAX(ROUND(($F1320)/5,0)*5,5),600),Baseline!$A$3:$A$122,0),MATCH($E1320,Baseline!$B$2:$E$2,0))))))</f>
        <v/>
      </c>
      <c r="P1320" s="17" t="str">
        <f aca="false">IF($B1320="","",INDEX(Course!$N$2:$N$19,MATCH($B1320,Course!$A$2:$A$19,0)))</f>
        <v/>
      </c>
      <c r="Q1320" s="17" t="str">
        <f aca="false">IF($B1320="","",INDEX(Course!$P$2:$P$19,MATCH($B1320,Course!$A$2:$A$19,0)))</f>
        <v/>
      </c>
      <c r="R1320" s="17" t="str">
        <f aca="false">IF($C1320="","",IF(OR($C1320="G",$C1320="H"),0,IF($C1320="T",1,MIN(1,MAX(0,($N1320-Inputs!$B$8)/MAX($P1320-Inputs!$B$8,0.01))))))</f>
        <v/>
      </c>
      <c r="S1320" s="17" t="str">
        <f aca="false">IF($C1320="","",IF(OR($E1320="G",$E1320="H"),0,IF($E1320="T",1,MIN(1,MAX(0,($O1320-Inputs!$B$8)/MAX($P1320-Inputs!$B$8,0.01))))))</f>
        <v/>
      </c>
    </row>
    <row r="1321" customFormat="false" ht="15" hidden="false" customHeight="false" outlineLevel="0" collapsed="false">
      <c r="I1321" s="7" t="str">
        <f aca="false">IF($C1321="","",IF($C1321="G","PUTT",IF(AND($C1321="T",$M1321&gt;3),"OTT",IF($D1321&lt;=30,"ARG","APP"))))</f>
        <v/>
      </c>
      <c r="J1321" s="17" t="str">
        <f aca="false">IF($C1321="","",$N1321+$Q1321*$R1321)</f>
        <v/>
      </c>
      <c r="K1321" s="17" t="str">
        <f aca="false">IF($C1321="","",$O1321+$Q1321*$S1321)</f>
        <v/>
      </c>
      <c r="L1321" s="17" t="str">
        <f aca="false">IF($C1321="","",$J1321-$K1321-1-N($G1321))</f>
        <v/>
      </c>
      <c r="M1321" s="7" t="str">
        <f aca="false">IF($B1321="","",INDEX(Course!$B$2:$B$19,MATCH($B1321,Course!$A$2:$A$19,0)))</f>
        <v/>
      </c>
      <c r="N1321" s="17" t="str">
        <f aca="false">IF($C1321="","",IF($C1321="H",0,IF($C1321="G",INDEX(Baseline!$I$3:$I$102,MIN(MAX(ROUND($D1321,0),1),100)),IF($C1321="T",IF($M1321=3,INDEX(Baseline!$B$3:$B$122,MATCH(MIN(MAX(ROUND(($D1321)/5,0)*5,5),600),Baseline!$A$3:$A$122,0))-Inputs!$B$9,INDEX(Course!$N$2:$N$19,MATCH($B1321,Course!$A$2:$A$19,0))),INDEX(Baseline!$B$3:$E$122,MATCH(MIN(MAX(ROUND(($D1321)/5,0)*5,5),600),Baseline!$A$3:$A$122,0),MATCH($C1321,Baseline!$B$2:$E$2,0))))))</f>
        <v/>
      </c>
      <c r="O1321" s="17" t="str">
        <f aca="false">IF($C1321="","",IF($E1321="H",0,IF($E1321="G",INDEX(Baseline!$I$3:$I$102,MIN(MAX(ROUND($F1321,0),1),100)),IF($E1321="T",IF($M1321=3,INDEX(Baseline!$B$3:$B$122,MATCH(MIN(MAX(ROUND(($F1321)/5,0)*5,5),600),Baseline!$A$3:$A$122,0))-Inputs!$B$9,INDEX(Course!$N$2:$N$19,MATCH($B1321,Course!$A$2:$A$19,0))),INDEX(Baseline!$B$3:$E$122,MATCH(MIN(MAX(ROUND(($F1321)/5,0)*5,5),600),Baseline!$A$3:$A$122,0),MATCH($E1321,Baseline!$B$2:$E$2,0))))))</f>
        <v/>
      </c>
      <c r="P1321" s="17" t="str">
        <f aca="false">IF($B1321="","",INDEX(Course!$N$2:$N$19,MATCH($B1321,Course!$A$2:$A$19,0)))</f>
        <v/>
      </c>
      <c r="Q1321" s="17" t="str">
        <f aca="false">IF($B1321="","",INDEX(Course!$P$2:$P$19,MATCH($B1321,Course!$A$2:$A$19,0)))</f>
        <v/>
      </c>
      <c r="R1321" s="17" t="str">
        <f aca="false">IF($C1321="","",IF(OR($C1321="G",$C1321="H"),0,IF($C1321="T",1,MIN(1,MAX(0,($N1321-Inputs!$B$8)/MAX($P1321-Inputs!$B$8,0.01))))))</f>
        <v/>
      </c>
      <c r="S1321" s="17" t="str">
        <f aca="false">IF($C1321="","",IF(OR($E1321="G",$E1321="H"),0,IF($E1321="T",1,MIN(1,MAX(0,($O1321-Inputs!$B$8)/MAX($P1321-Inputs!$B$8,0.01))))))</f>
        <v/>
      </c>
    </row>
    <row r="1322" customFormat="false" ht="15" hidden="false" customHeight="false" outlineLevel="0" collapsed="false">
      <c r="I1322" s="7" t="str">
        <f aca="false">IF($C1322="","",IF($C1322="G","PUTT",IF(AND($C1322="T",$M1322&gt;3),"OTT",IF($D1322&lt;=30,"ARG","APP"))))</f>
        <v/>
      </c>
      <c r="J1322" s="17" t="str">
        <f aca="false">IF($C1322="","",$N1322+$Q1322*$R1322)</f>
        <v/>
      </c>
      <c r="K1322" s="17" t="str">
        <f aca="false">IF($C1322="","",$O1322+$Q1322*$S1322)</f>
        <v/>
      </c>
      <c r="L1322" s="17" t="str">
        <f aca="false">IF($C1322="","",$J1322-$K1322-1-N($G1322))</f>
        <v/>
      </c>
      <c r="M1322" s="7" t="str">
        <f aca="false">IF($B1322="","",INDEX(Course!$B$2:$B$19,MATCH($B1322,Course!$A$2:$A$19,0)))</f>
        <v/>
      </c>
      <c r="N1322" s="17" t="str">
        <f aca="false">IF($C1322="","",IF($C1322="H",0,IF($C1322="G",INDEX(Baseline!$I$3:$I$102,MIN(MAX(ROUND($D1322,0),1),100)),IF($C1322="T",IF($M1322=3,INDEX(Baseline!$B$3:$B$122,MATCH(MIN(MAX(ROUND(($D1322)/5,0)*5,5),600),Baseline!$A$3:$A$122,0))-Inputs!$B$9,INDEX(Course!$N$2:$N$19,MATCH($B1322,Course!$A$2:$A$19,0))),INDEX(Baseline!$B$3:$E$122,MATCH(MIN(MAX(ROUND(($D1322)/5,0)*5,5),600),Baseline!$A$3:$A$122,0),MATCH($C1322,Baseline!$B$2:$E$2,0))))))</f>
        <v/>
      </c>
      <c r="O1322" s="17" t="str">
        <f aca="false">IF($C1322="","",IF($E1322="H",0,IF($E1322="G",INDEX(Baseline!$I$3:$I$102,MIN(MAX(ROUND($F1322,0),1),100)),IF($E1322="T",IF($M1322=3,INDEX(Baseline!$B$3:$B$122,MATCH(MIN(MAX(ROUND(($F1322)/5,0)*5,5),600),Baseline!$A$3:$A$122,0))-Inputs!$B$9,INDEX(Course!$N$2:$N$19,MATCH($B1322,Course!$A$2:$A$19,0))),INDEX(Baseline!$B$3:$E$122,MATCH(MIN(MAX(ROUND(($F1322)/5,0)*5,5),600),Baseline!$A$3:$A$122,0),MATCH($E1322,Baseline!$B$2:$E$2,0))))))</f>
        <v/>
      </c>
      <c r="P1322" s="17" t="str">
        <f aca="false">IF($B1322="","",INDEX(Course!$N$2:$N$19,MATCH($B1322,Course!$A$2:$A$19,0)))</f>
        <v/>
      </c>
      <c r="Q1322" s="17" t="str">
        <f aca="false">IF($B1322="","",INDEX(Course!$P$2:$P$19,MATCH($B1322,Course!$A$2:$A$19,0)))</f>
        <v/>
      </c>
      <c r="R1322" s="17" t="str">
        <f aca="false">IF($C1322="","",IF(OR($C1322="G",$C1322="H"),0,IF($C1322="T",1,MIN(1,MAX(0,($N1322-Inputs!$B$8)/MAX($P1322-Inputs!$B$8,0.01))))))</f>
        <v/>
      </c>
      <c r="S1322" s="17" t="str">
        <f aca="false">IF($C1322="","",IF(OR($E1322="G",$E1322="H"),0,IF($E1322="T",1,MIN(1,MAX(0,($O1322-Inputs!$B$8)/MAX($P1322-Inputs!$B$8,0.01))))))</f>
        <v/>
      </c>
    </row>
    <row r="1323" customFormat="false" ht="15" hidden="false" customHeight="false" outlineLevel="0" collapsed="false">
      <c r="I1323" s="7" t="str">
        <f aca="false">IF($C1323="","",IF($C1323="G","PUTT",IF(AND($C1323="T",$M1323&gt;3),"OTT",IF($D1323&lt;=30,"ARG","APP"))))</f>
        <v/>
      </c>
      <c r="J1323" s="17" t="str">
        <f aca="false">IF($C1323="","",$N1323+$Q1323*$R1323)</f>
        <v/>
      </c>
      <c r="K1323" s="17" t="str">
        <f aca="false">IF($C1323="","",$O1323+$Q1323*$S1323)</f>
        <v/>
      </c>
      <c r="L1323" s="17" t="str">
        <f aca="false">IF($C1323="","",$J1323-$K1323-1-N($G1323))</f>
        <v/>
      </c>
      <c r="M1323" s="7" t="str">
        <f aca="false">IF($B1323="","",INDEX(Course!$B$2:$B$19,MATCH($B1323,Course!$A$2:$A$19,0)))</f>
        <v/>
      </c>
      <c r="N1323" s="17" t="str">
        <f aca="false">IF($C1323="","",IF($C1323="H",0,IF($C1323="G",INDEX(Baseline!$I$3:$I$102,MIN(MAX(ROUND($D1323,0),1),100)),IF($C1323="T",IF($M1323=3,INDEX(Baseline!$B$3:$B$122,MATCH(MIN(MAX(ROUND(($D1323)/5,0)*5,5),600),Baseline!$A$3:$A$122,0))-Inputs!$B$9,INDEX(Course!$N$2:$N$19,MATCH($B1323,Course!$A$2:$A$19,0))),INDEX(Baseline!$B$3:$E$122,MATCH(MIN(MAX(ROUND(($D1323)/5,0)*5,5),600),Baseline!$A$3:$A$122,0),MATCH($C1323,Baseline!$B$2:$E$2,0))))))</f>
        <v/>
      </c>
      <c r="O1323" s="17" t="str">
        <f aca="false">IF($C1323="","",IF($E1323="H",0,IF($E1323="G",INDEX(Baseline!$I$3:$I$102,MIN(MAX(ROUND($F1323,0),1),100)),IF($E1323="T",IF($M1323=3,INDEX(Baseline!$B$3:$B$122,MATCH(MIN(MAX(ROUND(($F1323)/5,0)*5,5),600),Baseline!$A$3:$A$122,0))-Inputs!$B$9,INDEX(Course!$N$2:$N$19,MATCH($B1323,Course!$A$2:$A$19,0))),INDEX(Baseline!$B$3:$E$122,MATCH(MIN(MAX(ROUND(($F1323)/5,0)*5,5),600),Baseline!$A$3:$A$122,0),MATCH($E1323,Baseline!$B$2:$E$2,0))))))</f>
        <v/>
      </c>
      <c r="P1323" s="17" t="str">
        <f aca="false">IF($B1323="","",INDEX(Course!$N$2:$N$19,MATCH($B1323,Course!$A$2:$A$19,0)))</f>
        <v/>
      </c>
      <c r="Q1323" s="17" t="str">
        <f aca="false">IF($B1323="","",INDEX(Course!$P$2:$P$19,MATCH($B1323,Course!$A$2:$A$19,0)))</f>
        <v/>
      </c>
      <c r="R1323" s="17" t="str">
        <f aca="false">IF($C1323="","",IF(OR($C1323="G",$C1323="H"),0,IF($C1323="T",1,MIN(1,MAX(0,($N1323-Inputs!$B$8)/MAX($P1323-Inputs!$B$8,0.01))))))</f>
        <v/>
      </c>
      <c r="S1323" s="17" t="str">
        <f aca="false">IF($C1323="","",IF(OR($E1323="G",$E1323="H"),0,IF($E1323="T",1,MIN(1,MAX(0,($O1323-Inputs!$B$8)/MAX($P1323-Inputs!$B$8,0.01))))))</f>
        <v/>
      </c>
    </row>
    <row r="1324" customFormat="false" ht="15" hidden="false" customHeight="false" outlineLevel="0" collapsed="false">
      <c r="I1324" s="7" t="str">
        <f aca="false">IF($C1324="","",IF($C1324="G","PUTT",IF(AND($C1324="T",$M1324&gt;3),"OTT",IF($D1324&lt;=30,"ARG","APP"))))</f>
        <v/>
      </c>
      <c r="J1324" s="17" t="str">
        <f aca="false">IF($C1324="","",$N1324+$Q1324*$R1324)</f>
        <v/>
      </c>
      <c r="K1324" s="17" t="str">
        <f aca="false">IF($C1324="","",$O1324+$Q1324*$S1324)</f>
        <v/>
      </c>
      <c r="L1324" s="17" t="str">
        <f aca="false">IF($C1324="","",$J1324-$K1324-1-N($G1324))</f>
        <v/>
      </c>
      <c r="M1324" s="7" t="str">
        <f aca="false">IF($B1324="","",INDEX(Course!$B$2:$B$19,MATCH($B1324,Course!$A$2:$A$19,0)))</f>
        <v/>
      </c>
      <c r="N1324" s="17" t="str">
        <f aca="false">IF($C1324="","",IF($C1324="H",0,IF($C1324="G",INDEX(Baseline!$I$3:$I$102,MIN(MAX(ROUND($D1324,0),1),100)),IF($C1324="T",IF($M1324=3,INDEX(Baseline!$B$3:$B$122,MATCH(MIN(MAX(ROUND(($D1324)/5,0)*5,5),600),Baseline!$A$3:$A$122,0))-Inputs!$B$9,INDEX(Course!$N$2:$N$19,MATCH($B1324,Course!$A$2:$A$19,0))),INDEX(Baseline!$B$3:$E$122,MATCH(MIN(MAX(ROUND(($D1324)/5,0)*5,5),600),Baseline!$A$3:$A$122,0),MATCH($C1324,Baseline!$B$2:$E$2,0))))))</f>
        <v/>
      </c>
      <c r="O1324" s="17" t="str">
        <f aca="false">IF($C1324="","",IF($E1324="H",0,IF($E1324="G",INDEX(Baseline!$I$3:$I$102,MIN(MAX(ROUND($F1324,0),1),100)),IF($E1324="T",IF($M1324=3,INDEX(Baseline!$B$3:$B$122,MATCH(MIN(MAX(ROUND(($F1324)/5,0)*5,5),600),Baseline!$A$3:$A$122,0))-Inputs!$B$9,INDEX(Course!$N$2:$N$19,MATCH($B1324,Course!$A$2:$A$19,0))),INDEX(Baseline!$B$3:$E$122,MATCH(MIN(MAX(ROUND(($F1324)/5,0)*5,5),600),Baseline!$A$3:$A$122,0),MATCH($E1324,Baseline!$B$2:$E$2,0))))))</f>
        <v/>
      </c>
      <c r="P1324" s="17" t="str">
        <f aca="false">IF($B1324="","",INDEX(Course!$N$2:$N$19,MATCH($B1324,Course!$A$2:$A$19,0)))</f>
        <v/>
      </c>
      <c r="Q1324" s="17" t="str">
        <f aca="false">IF($B1324="","",INDEX(Course!$P$2:$P$19,MATCH($B1324,Course!$A$2:$A$19,0)))</f>
        <v/>
      </c>
      <c r="R1324" s="17" t="str">
        <f aca="false">IF($C1324="","",IF(OR($C1324="G",$C1324="H"),0,IF($C1324="T",1,MIN(1,MAX(0,($N1324-Inputs!$B$8)/MAX($P1324-Inputs!$B$8,0.01))))))</f>
        <v/>
      </c>
      <c r="S1324" s="17" t="str">
        <f aca="false">IF($C1324="","",IF(OR($E1324="G",$E1324="H"),0,IF($E1324="T",1,MIN(1,MAX(0,($O1324-Inputs!$B$8)/MAX($P1324-Inputs!$B$8,0.01))))))</f>
        <v/>
      </c>
    </row>
    <row r="1325" customFormat="false" ht="15" hidden="false" customHeight="false" outlineLevel="0" collapsed="false">
      <c r="I1325" s="7" t="str">
        <f aca="false">IF($C1325="","",IF($C1325="G","PUTT",IF(AND($C1325="T",$M1325&gt;3),"OTT",IF($D1325&lt;=30,"ARG","APP"))))</f>
        <v/>
      </c>
      <c r="J1325" s="17" t="str">
        <f aca="false">IF($C1325="","",$N1325+$Q1325*$R1325)</f>
        <v/>
      </c>
      <c r="K1325" s="17" t="str">
        <f aca="false">IF($C1325="","",$O1325+$Q1325*$S1325)</f>
        <v/>
      </c>
      <c r="L1325" s="17" t="str">
        <f aca="false">IF($C1325="","",$J1325-$K1325-1-N($G1325))</f>
        <v/>
      </c>
      <c r="M1325" s="7" t="str">
        <f aca="false">IF($B1325="","",INDEX(Course!$B$2:$B$19,MATCH($B1325,Course!$A$2:$A$19,0)))</f>
        <v/>
      </c>
      <c r="N1325" s="17" t="str">
        <f aca="false">IF($C1325="","",IF($C1325="H",0,IF($C1325="G",INDEX(Baseline!$I$3:$I$102,MIN(MAX(ROUND($D1325,0),1),100)),IF($C1325="T",IF($M1325=3,INDEX(Baseline!$B$3:$B$122,MATCH(MIN(MAX(ROUND(($D1325)/5,0)*5,5),600),Baseline!$A$3:$A$122,0))-Inputs!$B$9,INDEX(Course!$N$2:$N$19,MATCH($B1325,Course!$A$2:$A$19,0))),INDEX(Baseline!$B$3:$E$122,MATCH(MIN(MAX(ROUND(($D1325)/5,0)*5,5),600),Baseline!$A$3:$A$122,0),MATCH($C1325,Baseline!$B$2:$E$2,0))))))</f>
        <v/>
      </c>
      <c r="O1325" s="17" t="str">
        <f aca="false">IF($C1325="","",IF($E1325="H",0,IF($E1325="G",INDEX(Baseline!$I$3:$I$102,MIN(MAX(ROUND($F1325,0),1),100)),IF($E1325="T",IF($M1325=3,INDEX(Baseline!$B$3:$B$122,MATCH(MIN(MAX(ROUND(($F1325)/5,0)*5,5),600),Baseline!$A$3:$A$122,0))-Inputs!$B$9,INDEX(Course!$N$2:$N$19,MATCH($B1325,Course!$A$2:$A$19,0))),INDEX(Baseline!$B$3:$E$122,MATCH(MIN(MAX(ROUND(($F1325)/5,0)*5,5),600),Baseline!$A$3:$A$122,0),MATCH($E1325,Baseline!$B$2:$E$2,0))))))</f>
        <v/>
      </c>
      <c r="P1325" s="17" t="str">
        <f aca="false">IF($B1325="","",INDEX(Course!$N$2:$N$19,MATCH($B1325,Course!$A$2:$A$19,0)))</f>
        <v/>
      </c>
      <c r="Q1325" s="17" t="str">
        <f aca="false">IF($B1325="","",INDEX(Course!$P$2:$P$19,MATCH($B1325,Course!$A$2:$A$19,0)))</f>
        <v/>
      </c>
      <c r="R1325" s="17" t="str">
        <f aca="false">IF($C1325="","",IF(OR($C1325="G",$C1325="H"),0,IF($C1325="T",1,MIN(1,MAX(0,($N1325-Inputs!$B$8)/MAX($P1325-Inputs!$B$8,0.01))))))</f>
        <v/>
      </c>
      <c r="S1325" s="17" t="str">
        <f aca="false">IF($C1325="","",IF(OR($E1325="G",$E1325="H"),0,IF($E1325="T",1,MIN(1,MAX(0,($O1325-Inputs!$B$8)/MAX($P1325-Inputs!$B$8,0.01))))))</f>
        <v/>
      </c>
    </row>
    <row r="1326" customFormat="false" ht="15" hidden="false" customHeight="false" outlineLevel="0" collapsed="false">
      <c r="I1326" s="7" t="str">
        <f aca="false">IF($C1326="","",IF($C1326="G","PUTT",IF(AND($C1326="T",$M1326&gt;3),"OTT",IF($D1326&lt;=30,"ARG","APP"))))</f>
        <v/>
      </c>
      <c r="J1326" s="17" t="str">
        <f aca="false">IF($C1326="","",$N1326+$Q1326*$R1326)</f>
        <v/>
      </c>
      <c r="K1326" s="17" t="str">
        <f aca="false">IF($C1326="","",$O1326+$Q1326*$S1326)</f>
        <v/>
      </c>
      <c r="L1326" s="17" t="str">
        <f aca="false">IF($C1326="","",$J1326-$K1326-1-N($G1326))</f>
        <v/>
      </c>
      <c r="M1326" s="7" t="str">
        <f aca="false">IF($B1326="","",INDEX(Course!$B$2:$B$19,MATCH($B1326,Course!$A$2:$A$19,0)))</f>
        <v/>
      </c>
      <c r="N1326" s="17" t="str">
        <f aca="false">IF($C1326="","",IF($C1326="H",0,IF($C1326="G",INDEX(Baseline!$I$3:$I$102,MIN(MAX(ROUND($D1326,0),1),100)),IF($C1326="T",IF($M1326=3,INDEX(Baseline!$B$3:$B$122,MATCH(MIN(MAX(ROUND(($D1326)/5,0)*5,5),600),Baseline!$A$3:$A$122,0))-Inputs!$B$9,INDEX(Course!$N$2:$N$19,MATCH($B1326,Course!$A$2:$A$19,0))),INDEX(Baseline!$B$3:$E$122,MATCH(MIN(MAX(ROUND(($D1326)/5,0)*5,5),600),Baseline!$A$3:$A$122,0),MATCH($C1326,Baseline!$B$2:$E$2,0))))))</f>
        <v/>
      </c>
      <c r="O1326" s="17" t="str">
        <f aca="false">IF($C1326="","",IF($E1326="H",0,IF($E1326="G",INDEX(Baseline!$I$3:$I$102,MIN(MAX(ROUND($F1326,0),1),100)),IF($E1326="T",IF($M1326=3,INDEX(Baseline!$B$3:$B$122,MATCH(MIN(MAX(ROUND(($F1326)/5,0)*5,5),600),Baseline!$A$3:$A$122,0))-Inputs!$B$9,INDEX(Course!$N$2:$N$19,MATCH($B1326,Course!$A$2:$A$19,0))),INDEX(Baseline!$B$3:$E$122,MATCH(MIN(MAX(ROUND(($F1326)/5,0)*5,5),600),Baseline!$A$3:$A$122,0),MATCH($E1326,Baseline!$B$2:$E$2,0))))))</f>
        <v/>
      </c>
      <c r="P1326" s="17" t="str">
        <f aca="false">IF($B1326="","",INDEX(Course!$N$2:$N$19,MATCH($B1326,Course!$A$2:$A$19,0)))</f>
        <v/>
      </c>
      <c r="Q1326" s="17" t="str">
        <f aca="false">IF($B1326="","",INDEX(Course!$P$2:$P$19,MATCH($B1326,Course!$A$2:$A$19,0)))</f>
        <v/>
      </c>
      <c r="R1326" s="17" t="str">
        <f aca="false">IF($C1326="","",IF(OR($C1326="G",$C1326="H"),0,IF($C1326="T",1,MIN(1,MAX(0,($N1326-Inputs!$B$8)/MAX($P1326-Inputs!$B$8,0.01))))))</f>
        <v/>
      </c>
      <c r="S1326" s="17" t="str">
        <f aca="false">IF($C1326="","",IF(OR($E1326="G",$E1326="H"),0,IF($E1326="T",1,MIN(1,MAX(0,($O1326-Inputs!$B$8)/MAX($P1326-Inputs!$B$8,0.01))))))</f>
        <v/>
      </c>
    </row>
    <row r="1327" customFormat="false" ht="15" hidden="false" customHeight="false" outlineLevel="0" collapsed="false">
      <c r="I1327" s="7" t="str">
        <f aca="false">IF($C1327="","",IF($C1327="G","PUTT",IF(AND($C1327="T",$M1327&gt;3),"OTT",IF($D1327&lt;=30,"ARG","APP"))))</f>
        <v/>
      </c>
      <c r="J1327" s="17" t="str">
        <f aca="false">IF($C1327="","",$N1327+$Q1327*$R1327)</f>
        <v/>
      </c>
      <c r="K1327" s="17" t="str">
        <f aca="false">IF($C1327="","",$O1327+$Q1327*$S1327)</f>
        <v/>
      </c>
      <c r="L1327" s="17" t="str">
        <f aca="false">IF($C1327="","",$J1327-$K1327-1-N($G1327))</f>
        <v/>
      </c>
      <c r="M1327" s="7" t="str">
        <f aca="false">IF($B1327="","",INDEX(Course!$B$2:$B$19,MATCH($B1327,Course!$A$2:$A$19,0)))</f>
        <v/>
      </c>
      <c r="N1327" s="17" t="str">
        <f aca="false">IF($C1327="","",IF($C1327="H",0,IF($C1327="G",INDEX(Baseline!$I$3:$I$102,MIN(MAX(ROUND($D1327,0),1),100)),IF($C1327="T",IF($M1327=3,INDEX(Baseline!$B$3:$B$122,MATCH(MIN(MAX(ROUND(($D1327)/5,0)*5,5),600),Baseline!$A$3:$A$122,0))-Inputs!$B$9,INDEX(Course!$N$2:$N$19,MATCH($B1327,Course!$A$2:$A$19,0))),INDEX(Baseline!$B$3:$E$122,MATCH(MIN(MAX(ROUND(($D1327)/5,0)*5,5),600),Baseline!$A$3:$A$122,0),MATCH($C1327,Baseline!$B$2:$E$2,0))))))</f>
        <v/>
      </c>
      <c r="O1327" s="17" t="str">
        <f aca="false">IF($C1327="","",IF($E1327="H",0,IF($E1327="G",INDEX(Baseline!$I$3:$I$102,MIN(MAX(ROUND($F1327,0),1),100)),IF($E1327="T",IF($M1327=3,INDEX(Baseline!$B$3:$B$122,MATCH(MIN(MAX(ROUND(($F1327)/5,0)*5,5),600),Baseline!$A$3:$A$122,0))-Inputs!$B$9,INDEX(Course!$N$2:$N$19,MATCH($B1327,Course!$A$2:$A$19,0))),INDEX(Baseline!$B$3:$E$122,MATCH(MIN(MAX(ROUND(($F1327)/5,0)*5,5),600),Baseline!$A$3:$A$122,0),MATCH($E1327,Baseline!$B$2:$E$2,0))))))</f>
        <v/>
      </c>
      <c r="P1327" s="17" t="str">
        <f aca="false">IF($B1327="","",INDEX(Course!$N$2:$N$19,MATCH($B1327,Course!$A$2:$A$19,0)))</f>
        <v/>
      </c>
      <c r="Q1327" s="17" t="str">
        <f aca="false">IF($B1327="","",INDEX(Course!$P$2:$P$19,MATCH($B1327,Course!$A$2:$A$19,0)))</f>
        <v/>
      </c>
      <c r="R1327" s="17" t="str">
        <f aca="false">IF($C1327="","",IF(OR($C1327="G",$C1327="H"),0,IF($C1327="T",1,MIN(1,MAX(0,($N1327-Inputs!$B$8)/MAX($P1327-Inputs!$B$8,0.01))))))</f>
        <v/>
      </c>
      <c r="S1327" s="17" t="str">
        <f aca="false">IF($C1327="","",IF(OR($E1327="G",$E1327="H"),0,IF($E1327="T",1,MIN(1,MAX(0,($O1327-Inputs!$B$8)/MAX($P1327-Inputs!$B$8,0.01))))))</f>
        <v/>
      </c>
    </row>
    <row r="1328" customFormat="false" ht="15" hidden="false" customHeight="false" outlineLevel="0" collapsed="false">
      <c r="I1328" s="7" t="str">
        <f aca="false">IF($C1328="","",IF($C1328="G","PUTT",IF(AND($C1328="T",$M1328&gt;3),"OTT",IF($D1328&lt;=30,"ARG","APP"))))</f>
        <v/>
      </c>
      <c r="J1328" s="17" t="str">
        <f aca="false">IF($C1328="","",$N1328+$Q1328*$R1328)</f>
        <v/>
      </c>
      <c r="K1328" s="17" t="str">
        <f aca="false">IF($C1328="","",$O1328+$Q1328*$S1328)</f>
        <v/>
      </c>
      <c r="L1328" s="17" t="str">
        <f aca="false">IF($C1328="","",$J1328-$K1328-1-N($G1328))</f>
        <v/>
      </c>
      <c r="M1328" s="7" t="str">
        <f aca="false">IF($B1328="","",INDEX(Course!$B$2:$B$19,MATCH($B1328,Course!$A$2:$A$19,0)))</f>
        <v/>
      </c>
      <c r="N1328" s="17" t="str">
        <f aca="false">IF($C1328="","",IF($C1328="H",0,IF($C1328="G",INDEX(Baseline!$I$3:$I$102,MIN(MAX(ROUND($D1328,0),1),100)),IF($C1328="T",IF($M1328=3,INDEX(Baseline!$B$3:$B$122,MATCH(MIN(MAX(ROUND(($D1328)/5,0)*5,5),600),Baseline!$A$3:$A$122,0))-Inputs!$B$9,INDEX(Course!$N$2:$N$19,MATCH($B1328,Course!$A$2:$A$19,0))),INDEX(Baseline!$B$3:$E$122,MATCH(MIN(MAX(ROUND(($D1328)/5,0)*5,5),600),Baseline!$A$3:$A$122,0),MATCH($C1328,Baseline!$B$2:$E$2,0))))))</f>
        <v/>
      </c>
      <c r="O1328" s="17" t="str">
        <f aca="false">IF($C1328="","",IF($E1328="H",0,IF($E1328="G",INDEX(Baseline!$I$3:$I$102,MIN(MAX(ROUND($F1328,0),1),100)),IF($E1328="T",IF($M1328=3,INDEX(Baseline!$B$3:$B$122,MATCH(MIN(MAX(ROUND(($F1328)/5,0)*5,5),600),Baseline!$A$3:$A$122,0))-Inputs!$B$9,INDEX(Course!$N$2:$N$19,MATCH($B1328,Course!$A$2:$A$19,0))),INDEX(Baseline!$B$3:$E$122,MATCH(MIN(MAX(ROUND(($F1328)/5,0)*5,5),600),Baseline!$A$3:$A$122,0),MATCH($E1328,Baseline!$B$2:$E$2,0))))))</f>
        <v/>
      </c>
      <c r="P1328" s="17" t="str">
        <f aca="false">IF($B1328="","",INDEX(Course!$N$2:$N$19,MATCH($B1328,Course!$A$2:$A$19,0)))</f>
        <v/>
      </c>
      <c r="Q1328" s="17" t="str">
        <f aca="false">IF($B1328="","",INDEX(Course!$P$2:$P$19,MATCH($B1328,Course!$A$2:$A$19,0)))</f>
        <v/>
      </c>
      <c r="R1328" s="17" t="str">
        <f aca="false">IF($C1328="","",IF(OR($C1328="G",$C1328="H"),0,IF($C1328="T",1,MIN(1,MAX(0,($N1328-Inputs!$B$8)/MAX($P1328-Inputs!$B$8,0.01))))))</f>
        <v/>
      </c>
      <c r="S1328" s="17" t="str">
        <f aca="false">IF($C1328="","",IF(OR($E1328="G",$E1328="H"),0,IF($E1328="T",1,MIN(1,MAX(0,($O1328-Inputs!$B$8)/MAX($P1328-Inputs!$B$8,0.01))))))</f>
        <v/>
      </c>
    </row>
    <row r="1329" customFormat="false" ht="15" hidden="false" customHeight="false" outlineLevel="0" collapsed="false">
      <c r="I1329" s="7" t="str">
        <f aca="false">IF($C1329="","",IF($C1329="G","PUTT",IF(AND($C1329="T",$M1329&gt;3),"OTT",IF($D1329&lt;=30,"ARG","APP"))))</f>
        <v/>
      </c>
      <c r="J1329" s="17" t="str">
        <f aca="false">IF($C1329="","",$N1329+$Q1329*$R1329)</f>
        <v/>
      </c>
      <c r="K1329" s="17" t="str">
        <f aca="false">IF($C1329="","",$O1329+$Q1329*$S1329)</f>
        <v/>
      </c>
      <c r="L1329" s="17" t="str">
        <f aca="false">IF($C1329="","",$J1329-$K1329-1-N($G1329))</f>
        <v/>
      </c>
      <c r="M1329" s="7" t="str">
        <f aca="false">IF($B1329="","",INDEX(Course!$B$2:$B$19,MATCH($B1329,Course!$A$2:$A$19,0)))</f>
        <v/>
      </c>
      <c r="N1329" s="17" t="str">
        <f aca="false">IF($C1329="","",IF($C1329="H",0,IF($C1329="G",INDEX(Baseline!$I$3:$I$102,MIN(MAX(ROUND($D1329,0),1),100)),IF($C1329="T",IF($M1329=3,INDEX(Baseline!$B$3:$B$122,MATCH(MIN(MAX(ROUND(($D1329)/5,0)*5,5),600),Baseline!$A$3:$A$122,0))-Inputs!$B$9,INDEX(Course!$N$2:$N$19,MATCH($B1329,Course!$A$2:$A$19,0))),INDEX(Baseline!$B$3:$E$122,MATCH(MIN(MAX(ROUND(($D1329)/5,0)*5,5),600),Baseline!$A$3:$A$122,0),MATCH($C1329,Baseline!$B$2:$E$2,0))))))</f>
        <v/>
      </c>
      <c r="O1329" s="17" t="str">
        <f aca="false">IF($C1329="","",IF($E1329="H",0,IF($E1329="G",INDEX(Baseline!$I$3:$I$102,MIN(MAX(ROUND($F1329,0),1),100)),IF($E1329="T",IF($M1329=3,INDEX(Baseline!$B$3:$B$122,MATCH(MIN(MAX(ROUND(($F1329)/5,0)*5,5),600),Baseline!$A$3:$A$122,0))-Inputs!$B$9,INDEX(Course!$N$2:$N$19,MATCH($B1329,Course!$A$2:$A$19,0))),INDEX(Baseline!$B$3:$E$122,MATCH(MIN(MAX(ROUND(($F1329)/5,0)*5,5),600),Baseline!$A$3:$A$122,0),MATCH($E1329,Baseline!$B$2:$E$2,0))))))</f>
        <v/>
      </c>
      <c r="P1329" s="17" t="str">
        <f aca="false">IF($B1329="","",INDEX(Course!$N$2:$N$19,MATCH($B1329,Course!$A$2:$A$19,0)))</f>
        <v/>
      </c>
      <c r="Q1329" s="17" t="str">
        <f aca="false">IF($B1329="","",INDEX(Course!$P$2:$P$19,MATCH($B1329,Course!$A$2:$A$19,0)))</f>
        <v/>
      </c>
      <c r="R1329" s="17" t="str">
        <f aca="false">IF($C1329="","",IF(OR($C1329="G",$C1329="H"),0,IF($C1329="T",1,MIN(1,MAX(0,($N1329-Inputs!$B$8)/MAX($P1329-Inputs!$B$8,0.01))))))</f>
        <v/>
      </c>
      <c r="S1329" s="17" t="str">
        <f aca="false">IF($C1329="","",IF(OR($E1329="G",$E1329="H"),0,IF($E1329="T",1,MIN(1,MAX(0,($O1329-Inputs!$B$8)/MAX($P1329-Inputs!$B$8,0.01))))))</f>
        <v/>
      </c>
    </row>
    <row r="1330" customFormat="false" ht="15" hidden="false" customHeight="false" outlineLevel="0" collapsed="false">
      <c r="I1330" s="7" t="str">
        <f aca="false">IF($C1330="","",IF($C1330="G","PUTT",IF(AND($C1330="T",$M1330&gt;3),"OTT",IF($D1330&lt;=30,"ARG","APP"))))</f>
        <v/>
      </c>
      <c r="J1330" s="17" t="str">
        <f aca="false">IF($C1330="","",$N1330+$Q1330*$R1330)</f>
        <v/>
      </c>
      <c r="K1330" s="17" t="str">
        <f aca="false">IF($C1330="","",$O1330+$Q1330*$S1330)</f>
        <v/>
      </c>
      <c r="L1330" s="17" t="str">
        <f aca="false">IF($C1330="","",$J1330-$K1330-1-N($G1330))</f>
        <v/>
      </c>
      <c r="M1330" s="7" t="str">
        <f aca="false">IF($B1330="","",INDEX(Course!$B$2:$B$19,MATCH($B1330,Course!$A$2:$A$19,0)))</f>
        <v/>
      </c>
      <c r="N1330" s="17" t="str">
        <f aca="false">IF($C1330="","",IF($C1330="H",0,IF($C1330="G",INDEX(Baseline!$I$3:$I$102,MIN(MAX(ROUND($D1330,0),1),100)),IF($C1330="T",IF($M1330=3,INDEX(Baseline!$B$3:$B$122,MATCH(MIN(MAX(ROUND(($D1330)/5,0)*5,5),600),Baseline!$A$3:$A$122,0))-Inputs!$B$9,INDEX(Course!$N$2:$N$19,MATCH($B1330,Course!$A$2:$A$19,0))),INDEX(Baseline!$B$3:$E$122,MATCH(MIN(MAX(ROUND(($D1330)/5,0)*5,5),600),Baseline!$A$3:$A$122,0),MATCH($C1330,Baseline!$B$2:$E$2,0))))))</f>
        <v/>
      </c>
      <c r="O1330" s="17" t="str">
        <f aca="false">IF($C1330="","",IF($E1330="H",0,IF($E1330="G",INDEX(Baseline!$I$3:$I$102,MIN(MAX(ROUND($F1330,0),1),100)),IF($E1330="T",IF($M1330=3,INDEX(Baseline!$B$3:$B$122,MATCH(MIN(MAX(ROUND(($F1330)/5,0)*5,5),600),Baseline!$A$3:$A$122,0))-Inputs!$B$9,INDEX(Course!$N$2:$N$19,MATCH($B1330,Course!$A$2:$A$19,0))),INDEX(Baseline!$B$3:$E$122,MATCH(MIN(MAX(ROUND(($F1330)/5,0)*5,5),600),Baseline!$A$3:$A$122,0),MATCH($E1330,Baseline!$B$2:$E$2,0))))))</f>
        <v/>
      </c>
      <c r="P1330" s="17" t="str">
        <f aca="false">IF($B1330="","",INDEX(Course!$N$2:$N$19,MATCH($B1330,Course!$A$2:$A$19,0)))</f>
        <v/>
      </c>
      <c r="Q1330" s="17" t="str">
        <f aca="false">IF($B1330="","",INDEX(Course!$P$2:$P$19,MATCH($B1330,Course!$A$2:$A$19,0)))</f>
        <v/>
      </c>
      <c r="R1330" s="17" t="str">
        <f aca="false">IF($C1330="","",IF(OR($C1330="G",$C1330="H"),0,IF($C1330="T",1,MIN(1,MAX(0,($N1330-Inputs!$B$8)/MAX($P1330-Inputs!$B$8,0.01))))))</f>
        <v/>
      </c>
      <c r="S1330" s="17" t="str">
        <f aca="false">IF($C1330="","",IF(OR($E1330="G",$E1330="H"),0,IF($E1330="T",1,MIN(1,MAX(0,($O1330-Inputs!$B$8)/MAX($P1330-Inputs!$B$8,0.01))))))</f>
        <v/>
      </c>
    </row>
    <row r="1331" customFormat="false" ht="15" hidden="false" customHeight="false" outlineLevel="0" collapsed="false">
      <c r="I1331" s="7" t="str">
        <f aca="false">IF($C1331="","",IF($C1331="G","PUTT",IF(AND($C1331="T",$M1331&gt;3),"OTT",IF($D1331&lt;=30,"ARG","APP"))))</f>
        <v/>
      </c>
      <c r="J1331" s="17" t="str">
        <f aca="false">IF($C1331="","",$N1331+$Q1331*$R1331)</f>
        <v/>
      </c>
      <c r="K1331" s="17" t="str">
        <f aca="false">IF($C1331="","",$O1331+$Q1331*$S1331)</f>
        <v/>
      </c>
      <c r="L1331" s="17" t="str">
        <f aca="false">IF($C1331="","",$J1331-$K1331-1-N($G1331))</f>
        <v/>
      </c>
      <c r="M1331" s="7" t="str">
        <f aca="false">IF($B1331="","",INDEX(Course!$B$2:$B$19,MATCH($B1331,Course!$A$2:$A$19,0)))</f>
        <v/>
      </c>
      <c r="N1331" s="17" t="str">
        <f aca="false">IF($C1331="","",IF($C1331="H",0,IF($C1331="G",INDEX(Baseline!$I$3:$I$102,MIN(MAX(ROUND($D1331,0),1),100)),IF($C1331="T",IF($M1331=3,INDEX(Baseline!$B$3:$B$122,MATCH(MIN(MAX(ROUND(($D1331)/5,0)*5,5),600),Baseline!$A$3:$A$122,0))-Inputs!$B$9,INDEX(Course!$N$2:$N$19,MATCH($B1331,Course!$A$2:$A$19,0))),INDEX(Baseline!$B$3:$E$122,MATCH(MIN(MAX(ROUND(($D1331)/5,0)*5,5),600),Baseline!$A$3:$A$122,0),MATCH($C1331,Baseline!$B$2:$E$2,0))))))</f>
        <v/>
      </c>
      <c r="O1331" s="17" t="str">
        <f aca="false">IF($C1331="","",IF($E1331="H",0,IF($E1331="G",INDEX(Baseline!$I$3:$I$102,MIN(MAX(ROUND($F1331,0),1),100)),IF($E1331="T",IF($M1331=3,INDEX(Baseline!$B$3:$B$122,MATCH(MIN(MAX(ROUND(($F1331)/5,0)*5,5),600),Baseline!$A$3:$A$122,0))-Inputs!$B$9,INDEX(Course!$N$2:$N$19,MATCH($B1331,Course!$A$2:$A$19,0))),INDEX(Baseline!$B$3:$E$122,MATCH(MIN(MAX(ROUND(($F1331)/5,0)*5,5),600),Baseline!$A$3:$A$122,0),MATCH($E1331,Baseline!$B$2:$E$2,0))))))</f>
        <v/>
      </c>
      <c r="P1331" s="17" t="str">
        <f aca="false">IF($B1331="","",INDEX(Course!$N$2:$N$19,MATCH($B1331,Course!$A$2:$A$19,0)))</f>
        <v/>
      </c>
      <c r="Q1331" s="17" t="str">
        <f aca="false">IF($B1331="","",INDEX(Course!$P$2:$P$19,MATCH($B1331,Course!$A$2:$A$19,0)))</f>
        <v/>
      </c>
      <c r="R1331" s="17" t="str">
        <f aca="false">IF($C1331="","",IF(OR($C1331="G",$C1331="H"),0,IF($C1331="T",1,MIN(1,MAX(0,($N1331-Inputs!$B$8)/MAX($P1331-Inputs!$B$8,0.01))))))</f>
        <v/>
      </c>
      <c r="S1331" s="17" t="str">
        <f aca="false">IF($C1331="","",IF(OR($E1331="G",$E1331="H"),0,IF($E1331="T",1,MIN(1,MAX(0,($O1331-Inputs!$B$8)/MAX($P1331-Inputs!$B$8,0.01))))))</f>
        <v/>
      </c>
    </row>
    <row r="1332" customFormat="false" ht="15" hidden="false" customHeight="false" outlineLevel="0" collapsed="false">
      <c r="I1332" s="7" t="str">
        <f aca="false">IF($C1332="","",IF($C1332="G","PUTT",IF(AND($C1332="T",$M1332&gt;3),"OTT",IF($D1332&lt;=30,"ARG","APP"))))</f>
        <v/>
      </c>
      <c r="J1332" s="17" t="str">
        <f aca="false">IF($C1332="","",$N1332+$Q1332*$R1332)</f>
        <v/>
      </c>
      <c r="K1332" s="17" t="str">
        <f aca="false">IF($C1332="","",$O1332+$Q1332*$S1332)</f>
        <v/>
      </c>
      <c r="L1332" s="17" t="str">
        <f aca="false">IF($C1332="","",$J1332-$K1332-1-N($G1332))</f>
        <v/>
      </c>
      <c r="M1332" s="7" t="str">
        <f aca="false">IF($B1332="","",INDEX(Course!$B$2:$B$19,MATCH($B1332,Course!$A$2:$A$19,0)))</f>
        <v/>
      </c>
      <c r="N1332" s="17" t="str">
        <f aca="false">IF($C1332="","",IF($C1332="H",0,IF($C1332="G",INDEX(Baseline!$I$3:$I$102,MIN(MAX(ROUND($D1332,0),1),100)),IF($C1332="T",IF($M1332=3,INDEX(Baseline!$B$3:$B$122,MATCH(MIN(MAX(ROUND(($D1332)/5,0)*5,5),600),Baseline!$A$3:$A$122,0))-Inputs!$B$9,INDEX(Course!$N$2:$N$19,MATCH($B1332,Course!$A$2:$A$19,0))),INDEX(Baseline!$B$3:$E$122,MATCH(MIN(MAX(ROUND(($D1332)/5,0)*5,5),600),Baseline!$A$3:$A$122,0),MATCH($C1332,Baseline!$B$2:$E$2,0))))))</f>
        <v/>
      </c>
      <c r="O1332" s="17" t="str">
        <f aca="false">IF($C1332="","",IF($E1332="H",0,IF($E1332="G",INDEX(Baseline!$I$3:$I$102,MIN(MAX(ROUND($F1332,0),1),100)),IF($E1332="T",IF($M1332=3,INDEX(Baseline!$B$3:$B$122,MATCH(MIN(MAX(ROUND(($F1332)/5,0)*5,5),600),Baseline!$A$3:$A$122,0))-Inputs!$B$9,INDEX(Course!$N$2:$N$19,MATCH($B1332,Course!$A$2:$A$19,0))),INDEX(Baseline!$B$3:$E$122,MATCH(MIN(MAX(ROUND(($F1332)/5,0)*5,5),600),Baseline!$A$3:$A$122,0),MATCH($E1332,Baseline!$B$2:$E$2,0))))))</f>
        <v/>
      </c>
      <c r="P1332" s="17" t="str">
        <f aca="false">IF($B1332="","",INDEX(Course!$N$2:$N$19,MATCH($B1332,Course!$A$2:$A$19,0)))</f>
        <v/>
      </c>
      <c r="Q1332" s="17" t="str">
        <f aca="false">IF($B1332="","",INDEX(Course!$P$2:$P$19,MATCH($B1332,Course!$A$2:$A$19,0)))</f>
        <v/>
      </c>
      <c r="R1332" s="17" t="str">
        <f aca="false">IF($C1332="","",IF(OR($C1332="G",$C1332="H"),0,IF($C1332="T",1,MIN(1,MAX(0,($N1332-Inputs!$B$8)/MAX($P1332-Inputs!$B$8,0.01))))))</f>
        <v/>
      </c>
      <c r="S1332" s="17" t="str">
        <f aca="false">IF($C1332="","",IF(OR($E1332="G",$E1332="H"),0,IF($E1332="T",1,MIN(1,MAX(0,($O1332-Inputs!$B$8)/MAX($P1332-Inputs!$B$8,0.01))))))</f>
        <v/>
      </c>
    </row>
    <row r="1333" customFormat="false" ht="15" hidden="false" customHeight="false" outlineLevel="0" collapsed="false">
      <c r="I1333" s="7" t="str">
        <f aca="false">IF($C1333="","",IF($C1333="G","PUTT",IF(AND($C1333="T",$M1333&gt;3),"OTT",IF($D1333&lt;=30,"ARG","APP"))))</f>
        <v/>
      </c>
      <c r="J1333" s="17" t="str">
        <f aca="false">IF($C1333="","",$N1333+$Q1333*$R1333)</f>
        <v/>
      </c>
      <c r="K1333" s="17" t="str">
        <f aca="false">IF($C1333="","",$O1333+$Q1333*$S1333)</f>
        <v/>
      </c>
      <c r="L1333" s="17" t="str">
        <f aca="false">IF($C1333="","",$J1333-$K1333-1-N($G1333))</f>
        <v/>
      </c>
      <c r="M1333" s="7" t="str">
        <f aca="false">IF($B1333="","",INDEX(Course!$B$2:$B$19,MATCH($B1333,Course!$A$2:$A$19,0)))</f>
        <v/>
      </c>
      <c r="N1333" s="17" t="str">
        <f aca="false">IF($C1333="","",IF($C1333="H",0,IF($C1333="G",INDEX(Baseline!$I$3:$I$102,MIN(MAX(ROUND($D1333,0),1),100)),IF($C1333="T",IF($M1333=3,INDEX(Baseline!$B$3:$B$122,MATCH(MIN(MAX(ROUND(($D1333)/5,0)*5,5),600),Baseline!$A$3:$A$122,0))-Inputs!$B$9,INDEX(Course!$N$2:$N$19,MATCH($B1333,Course!$A$2:$A$19,0))),INDEX(Baseline!$B$3:$E$122,MATCH(MIN(MAX(ROUND(($D1333)/5,0)*5,5),600),Baseline!$A$3:$A$122,0),MATCH($C1333,Baseline!$B$2:$E$2,0))))))</f>
        <v/>
      </c>
      <c r="O1333" s="17" t="str">
        <f aca="false">IF($C1333="","",IF($E1333="H",0,IF($E1333="G",INDEX(Baseline!$I$3:$I$102,MIN(MAX(ROUND($F1333,0),1),100)),IF($E1333="T",IF($M1333=3,INDEX(Baseline!$B$3:$B$122,MATCH(MIN(MAX(ROUND(($F1333)/5,0)*5,5),600),Baseline!$A$3:$A$122,0))-Inputs!$B$9,INDEX(Course!$N$2:$N$19,MATCH($B1333,Course!$A$2:$A$19,0))),INDEX(Baseline!$B$3:$E$122,MATCH(MIN(MAX(ROUND(($F1333)/5,0)*5,5),600),Baseline!$A$3:$A$122,0),MATCH($E1333,Baseline!$B$2:$E$2,0))))))</f>
        <v/>
      </c>
      <c r="P1333" s="17" t="str">
        <f aca="false">IF($B1333="","",INDEX(Course!$N$2:$N$19,MATCH($B1333,Course!$A$2:$A$19,0)))</f>
        <v/>
      </c>
      <c r="Q1333" s="17" t="str">
        <f aca="false">IF($B1333="","",INDEX(Course!$P$2:$P$19,MATCH($B1333,Course!$A$2:$A$19,0)))</f>
        <v/>
      </c>
      <c r="R1333" s="17" t="str">
        <f aca="false">IF($C1333="","",IF(OR($C1333="G",$C1333="H"),0,IF($C1333="T",1,MIN(1,MAX(0,($N1333-Inputs!$B$8)/MAX($P1333-Inputs!$B$8,0.01))))))</f>
        <v/>
      </c>
      <c r="S1333" s="17" t="str">
        <f aca="false">IF($C1333="","",IF(OR($E1333="G",$E1333="H"),0,IF($E1333="T",1,MIN(1,MAX(0,($O1333-Inputs!$B$8)/MAX($P1333-Inputs!$B$8,0.01))))))</f>
        <v/>
      </c>
    </row>
    <row r="1334" customFormat="false" ht="15" hidden="false" customHeight="false" outlineLevel="0" collapsed="false">
      <c r="I1334" s="7" t="str">
        <f aca="false">IF($C1334="","",IF($C1334="G","PUTT",IF(AND($C1334="T",$M1334&gt;3),"OTT",IF($D1334&lt;=30,"ARG","APP"))))</f>
        <v/>
      </c>
      <c r="J1334" s="17" t="str">
        <f aca="false">IF($C1334="","",$N1334+$Q1334*$R1334)</f>
        <v/>
      </c>
      <c r="K1334" s="17" t="str">
        <f aca="false">IF($C1334="","",$O1334+$Q1334*$S1334)</f>
        <v/>
      </c>
      <c r="L1334" s="17" t="str">
        <f aca="false">IF($C1334="","",$J1334-$K1334-1-N($G1334))</f>
        <v/>
      </c>
      <c r="M1334" s="7" t="str">
        <f aca="false">IF($B1334="","",INDEX(Course!$B$2:$B$19,MATCH($B1334,Course!$A$2:$A$19,0)))</f>
        <v/>
      </c>
      <c r="N1334" s="17" t="str">
        <f aca="false">IF($C1334="","",IF($C1334="H",0,IF($C1334="G",INDEX(Baseline!$I$3:$I$102,MIN(MAX(ROUND($D1334,0),1),100)),IF($C1334="T",IF($M1334=3,INDEX(Baseline!$B$3:$B$122,MATCH(MIN(MAX(ROUND(($D1334)/5,0)*5,5),600),Baseline!$A$3:$A$122,0))-Inputs!$B$9,INDEX(Course!$N$2:$N$19,MATCH($B1334,Course!$A$2:$A$19,0))),INDEX(Baseline!$B$3:$E$122,MATCH(MIN(MAX(ROUND(($D1334)/5,0)*5,5),600),Baseline!$A$3:$A$122,0),MATCH($C1334,Baseline!$B$2:$E$2,0))))))</f>
        <v/>
      </c>
      <c r="O1334" s="17" t="str">
        <f aca="false">IF($C1334="","",IF($E1334="H",0,IF($E1334="G",INDEX(Baseline!$I$3:$I$102,MIN(MAX(ROUND($F1334,0),1),100)),IF($E1334="T",IF($M1334=3,INDEX(Baseline!$B$3:$B$122,MATCH(MIN(MAX(ROUND(($F1334)/5,0)*5,5),600),Baseline!$A$3:$A$122,0))-Inputs!$B$9,INDEX(Course!$N$2:$N$19,MATCH($B1334,Course!$A$2:$A$19,0))),INDEX(Baseline!$B$3:$E$122,MATCH(MIN(MAX(ROUND(($F1334)/5,0)*5,5),600),Baseline!$A$3:$A$122,0),MATCH($E1334,Baseline!$B$2:$E$2,0))))))</f>
        <v/>
      </c>
      <c r="P1334" s="17" t="str">
        <f aca="false">IF($B1334="","",INDEX(Course!$N$2:$N$19,MATCH($B1334,Course!$A$2:$A$19,0)))</f>
        <v/>
      </c>
      <c r="Q1334" s="17" t="str">
        <f aca="false">IF($B1334="","",INDEX(Course!$P$2:$P$19,MATCH($B1334,Course!$A$2:$A$19,0)))</f>
        <v/>
      </c>
      <c r="R1334" s="17" t="str">
        <f aca="false">IF($C1334="","",IF(OR($C1334="G",$C1334="H"),0,IF($C1334="T",1,MIN(1,MAX(0,($N1334-Inputs!$B$8)/MAX($P1334-Inputs!$B$8,0.01))))))</f>
        <v/>
      </c>
      <c r="S1334" s="17" t="str">
        <f aca="false">IF($C1334="","",IF(OR($E1334="G",$E1334="H"),0,IF($E1334="T",1,MIN(1,MAX(0,($O1334-Inputs!$B$8)/MAX($P1334-Inputs!$B$8,0.01))))))</f>
        <v/>
      </c>
    </row>
    <row r="1335" customFormat="false" ht="15" hidden="false" customHeight="false" outlineLevel="0" collapsed="false">
      <c r="I1335" s="7" t="str">
        <f aca="false">IF($C1335="","",IF($C1335="G","PUTT",IF(AND($C1335="T",$M1335&gt;3),"OTT",IF($D1335&lt;=30,"ARG","APP"))))</f>
        <v/>
      </c>
      <c r="J1335" s="17" t="str">
        <f aca="false">IF($C1335="","",$N1335+$Q1335*$R1335)</f>
        <v/>
      </c>
      <c r="K1335" s="17" t="str">
        <f aca="false">IF($C1335="","",$O1335+$Q1335*$S1335)</f>
        <v/>
      </c>
      <c r="L1335" s="17" t="str">
        <f aca="false">IF($C1335="","",$J1335-$K1335-1-N($G1335))</f>
        <v/>
      </c>
      <c r="M1335" s="7" t="str">
        <f aca="false">IF($B1335="","",INDEX(Course!$B$2:$B$19,MATCH($B1335,Course!$A$2:$A$19,0)))</f>
        <v/>
      </c>
      <c r="N1335" s="17" t="str">
        <f aca="false">IF($C1335="","",IF($C1335="H",0,IF($C1335="G",INDEX(Baseline!$I$3:$I$102,MIN(MAX(ROUND($D1335,0),1),100)),IF($C1335="T",IF($M1335=3,INDEX(Baseline!$B$3:$B$122,MATCH(MIN(MAX(ROUND(($D1335)/5,0)*5,5),600),Baseline!$A$3:$A$122,0))-Inputs!$B$9,INDEX(Course!$N$2:$N$19,MATCH($B1335,Course!$A$2:$A$19,0))),INDEX(Baseline!$B$3:$E$122,MATCH(MIN(MAX(ROUND(($D1335)/5,0)*5,5),600),Baseline!$A$3:$A$122,0),MATCH($C1335,Baseline!$B$2:$E$2,0))))))</f>
        <v/>
      </c>
      <c r="O1335" s="17" t="str">
        <f aca="false">IF($C1335="","",IF($E1335="H",0,IF($E1335="G",INDEX(Baseline!$I$3:$I$102,MIN(MAX(ROUND($F1335,0),1),100)),IF($E1335="T",IF($M1335=3,INDEX(Baseline!$B$3:$B$122,MATCH(MIN(MAX(ROUND(($F1335)/5,0)*5,5),600),Baseline!$A$3:$A$122,0))-Inputs!$B$9,INDEX(Course!$N$2:$N$19,MATCH($B1335,Course!$A$2:$A$19,0))),INDEX(Baseline!$B$3:$E$122,MATCH(MIN(MAX(ROUND(($F1335)/5,0)*5,5),600),Baseline!$A$3:$A$122,0),MATCH($E1335,Baseline!$B$2:$E$2,0))))))</f>
        <v/>
      </c>
      <c r="P1335" s="17" t="str">
        <f aca="false">IF($B1335="","",INDEX(Course!$N$2:$N$19,MATCH($B1335,Course!$A$2:$A$19,0)))</f>
        <v/>
      </c>
      <c r="Q1335" s="17" t="str">
        <f aca="false">IF($B1335="","",INDEX(Course!$P$2:$P$19,MATCH($B1335,Course!$A$2:$A$19,0)))</f>
        <v/>
      </c>
      <c r="R1335" s="17" t="str">
        <f aca="false">IF($C1335="","",IF(OR($C1335="G",$C1335="H"),0,IF($C1335="T",1,MIN(1,MAX(0,($N1335-Inputs!$B$8)/MAX($P1335-Inputs!$B$8,0.01))))))</f>
        <v/>
      </c>
      <c r="S1335" s="17" t="str">
        <f aca="false">IF($C1335="","",IF(OR($E1335="G",$E1335="H"),0,IF($E1335="T",1,MIN(1,MAX(0,($O1335-Inputs!$B$8)/MAX($P1335-Inputs!$B$8,0.01))))))</f>
        <v/>
      </c>
    </row>
    <row r="1336" customFormat="false" ht="15" hidden="false" customHeight="false" outlineLevel="0" collapsed="false">
      <c r="I1336" s="7" t="str">
        <f aca="false">IF($C1336="","",IF($C1336="G","PUTT",IF(AND($C1336="T",$M1336&gt;3),"OTT",IF($D1336&lt;=30,"ARG","APP"))))</f>
        <v/>
      </c>
      <c r="J1336" s="17" t="str">
        <f aca="false">IF($C1336="","",$N1336+$Q1336*$R1336)</f>
        <v/>
      </c>
      <c r="K1336" s="17" t="str">
        <f aca="false">IF($C1336="","",$O1336+$Q1336*$S1336)</f>
        <v/>
      </c>
      <c r="L1336" s="17" t="str">
        <f aca="false">IF($C1336="","",$J1336-$K1336-1-N($G1336))</f>
        <v/>
      </c>
      <c r="M1336" s="7" t="str">
        <f aca="false">IF($B1336="","",INDEX(Course!$B$2:$B$19,MATCH($B1336,Course!$A$2:$A$19,0)))</f>
        <v/>
      </c>
      <c r="N1336" s="17" t="str">
        <f aca="false">IF($C1336="","",IF($C1336="H",0,IF($C1336="G",INDEX(Baseline!$I$3:$I$102,MIN(MAX(ROUND($D1336,0),1),100)),IF($C1336="T",IF($M1336=3,INDEX(Baseline!$B$3:$B$122,MATCH(MIN(MAX(ROUND(($D1336)/5,0)*5,5),600),Baseline!$A$3:$A$122,0))-Inputs!$B$9,INDEX(Course!$N$2:$N$19,MATCH($B1336,Course!$A$2:$A$19,0))),INDEX(Baseline!$B$3:$E$122,MATCH(MIN(MAX(ROUND(($D1336)/5,0)*5,5),600),Baseline!$A$3:$A$122,0),MATCH($C1336,Baseline!$B$2:$E$2,0))))))</f>
        <v/>
      </c>
      <c r="O1336" s="17" t="str">
        <f aca="false">IF($C1336="","",IF($E1336="H",0,IF($E1336="G",INDEX(Baseline!$I$3:$I$102,MIN(MAX(ROUND($F1336,0),1),100)),IF($E1336="T",IF($M1336=3,INDEX(Baseline!$B$3:$B$122,MATCH(MIN(MAX(ROUND(($F1336)/5,0)*5,5),600),Baseline!$A$3:$A$122,0))-Inputs!$B$9,INDEX(Course!$N$2:$N$19,MATCH($B1336,Course!$A$2:$A$19,0))),INDEX(Baseline!$B$3:$E$122,MATCH(MIN(MAX(ROUND(($F1336)/5,0)*5,5),600),Baseline!$A$3:$A$122,0),MATCH($E1336,Baseline!$B$2:$E$2,0))))))</f>
        <v/>
      </c>
      <c r="P1336" s="17" t="str">
        <f aca="false">IF($B1336="","",INDEX(Course!$N$2:$N$19,MATCH($B1336,Course!$A$2:$A$19,0)))</f>
        <v/>
      </c>
      <c r="Q1336" s="17" t="str">
        <f aca="false">IF($B1336="","",INDEX(Course!$P$2:$P$19,MATCH($B1336,Course!$A$2:$A$19,0)))</f>
        <v/>
      </c>
      <c r="R1336" s="17" t="str">
        <f aca="false">IF($C1336="","",IF(OR($C1336="G",$C1336="H"),0,IF($C1336="T",1,MIN(1,MAX(0,($N1336-Inputs!$B$8)/MAX($P1336-Inputs!$B$8,0.01))))))</f>
        <v/>
      </c>
      <c r="S1336" s="17" t="str">
        <f aca="false">IF($C1336="","",IF(OR($E1336="G",$E1336="H"),0,IF($E1336="T",1,MIN(1,MAX(0,($O1336-Inputs!$B$8)/MAX($P1336-Inputs!$B$8,0.01))))))</f>
        <v/>
      </c>
    </row>
    <row r="1337" customFormat="false" ht="15" hidden="false" customHeight="false" outlineLevel="0" collapsed="false">
      <c r="I1337" s="7" t="str">
        <f aca="false">IF($C1337="","",IF($C1337="G","PUTT",IF(AND($C1337="T",$M1337&gt;3),"OTT",IF($D1337&lt;=30,"ARG","APP"))))</f>
        <v/>
      </c>
      <c r="J1337" s="17" t="str">
        <f aca="false">IF($C1337="","",$N1337+$Q1337*$R1337)</f>
        <v/>
      </c>
      <c r="K1337" s="17" t="str">
        <f aca="false">IF($C1337="","",$O1337+$Q1337*$S1337)</f>
        <v/>
      </c>
      <c r="L1337" s="17" t="str">
        <f aca="false">IF($C1337="","",$J1337-$K1337-1-N($G1337))</f>
        <v/>
      </c>
      <c r="M1337" s="7" t="str">
        <f aca="false">IF($B1337="","",INDEX(Course!$B$2:$B$19,MATCH($B1337,Course!$A$2:$A$19,0)))</f>
        <v/>
      </c>
      <c r="N1337" s="17" t="str">
        <f aca="false">IF($C1337="","",IF($C1337="H",0,IF($C1337="G",INDEX(Baseline!$I$3:$I$102,MIN(MAX(ROUND($D1337,0),1),100)),IF($C1337="T",IF($M1337=3,INDEX(Baseline!$B$3:$B$122,MATCH(MIN(MAX(ROUND(($D1337)/5,0)*5,5),600),Baseline!$A$3:$A$122,0))-Inputs!$B$9,INDEX(Course!$N$2:$N$19,MATCH($B1337,Course!$A$2:$A$19,0))),INDEX(Baseline!$B$3:$E$122,MATCH(MIN(MAX(ROUND(($D1337)/5,0)*5,5),600),Baseline!$A$3:$A$122,0),MATCH($C1337,Baseline!$B$2:$E$2,0))))))</f>
        <v/>
      </c>
      <c r="O1337" s="17" t="str">
        <f aca="false">IF($C1337="","",IF($E1337="H",0,IF($E1337="G",INDEX(Baseline!$I$3:$I$102,MIN(MAX(ROUND($F1337,0),1),100)),IF($E1337="T",IF($M1337=3,INDEX(Baseline!$B$3:$B$122,MATCH(MIN(MAX(ROUND(($F1337)/5,0)*5,5),600),Baseline!$A$3:$A$122,0))-Inputs!$B$9,INDEX(Course!$N$2:$N$19,MATCH($B1337,Course!$A$2:$A$19,0))),INDEX(Baseline!$B$3:$E$122,MATCH(MIN(MAX(ROUND(($F1337)/5,0)*5,5),600),Baseline!$A$3:$A$122,0),MATCH($E1337,Baseline!$B$2:$E$2,0))))))</f>
        <v/>
      </c>
      <c r="P1337" s="17" t="str">
        <f aca="false">IF($B1337="","",INDEX(Course!$N$2:$N$19,MATCH($B1337,Course!$A$2:$A$19,0)))</f>
        <v/>
      </c>
      <c r="Q1337" s="17" t="str">
        <f aca="false">IF($B1337="","",INDEX(Course!$P$2:$P$19,MATCH($B1337,Course!$A$2:$A$19,0)))</f>
        <v/>
      </c>
      <c r="R1337" s="17" t="str">
        <f aca="false">IF($C1337="","",IF(OR($C1337="G",$C1337="H"),0,IF($C1337="T",1,MIN(1,MAX(0,($N1337-Inputs!$B$8)/MAX($P1337-Inputs!$B$8,0.01))))))</f>
        <v/>
      </c>
      <c r="S1337" s="17" t="str">
        <f aca="false">IF($C1337="","",IF(OR($E1337="G",$E1337="H"),0,IF($E1337="T",1,MIN(1,MAX(0,($O1337-Inputs!$B$8)/MAX($P1337-Inputs!$B$8,0.01))))))</f>
        <v/>
      </c>
    </row>
    <row r="1338" customFormat="false" ht="15" hidden="false" customHeight="false" outlineLevel="0" collapsed="false">
      <c r="I1338" s="7" t="str">
        <f aca="false">IF($C1338="","",IF($C1338="G","PUTT",IF(AND($C1338="T",$M1338&gt;3),"OTT",IF($D1338&lt;=30,"ARG","APP"))))</f>
        <v/>
      </c>
      <c r="J1338" s="17" t="str">
        <f aca="false">IF($C1338="","",$N1338+$Q1338*$R1338)</f>
        <v/>
      </c>
      <c r="K1338" s="17" t="str">
        <f aca="false">IF($C1338="","",$O1338+$Q1338*$S1338)</f>
        <v/>
      </c>
      <c r="L1338" s="17" t="str">
        <f aca="false">IF($C1338="","",$J1338-$K1338-1-N($G1338))</f>
        <v/>
      </c>
      <c r="M1338" s="7" t="str">
        <f aca="false">IF($B1338="","",INDEX(Course!$B$2:$B$19,MATCH($B1338,Course!$A$2:$A$19,0)))</f>
        <v/>
      </c>
      <c r="N1338" s="17" t="str">
        <f aca="false">IF($C1338="","",IF($C1338="H",0,IF($C1338="G",INDEX(Baseline!$I$3:$I$102,MIN(MAX(ROUND($D1338,0),1),100)),IF($C1338="T",IF($M1338=3,INDEX(Baseline!$B$3:$B$122,MATCH(MIN(MAX(ROUND(($D1338)/5,0)*5,5),600),Baseline!$A$3:$A$122,0))-Inputs!$B$9,INDEX(Course!$N$2:$N$19,MATCH($B1338,Course!$A$2:$A$19,0))),INDEX(Baseline!$B$3:$E$122,MATCH(MIN(MAX(ROUND(($D1338)/5,0)*5,5),600),Baseline!$A$3:$A$122,0),MATCH($C1338,Baseline!$B$2:$E$2,0))))))</f>
        <v/>
      </c>
      <c r="O1338" s="17" t="str">
        <f aca="false">IF($C1338="","",IF($E1338="H",0,IF($E1338="G",INDEX(Baseline!$I$3:$I$102,MIN(MAX(ROUND($F1338,0),1),100)),IF($E1338="T",IF($M1338=3,INDEX(Baseline!$B$3:$B$122,MATCH(MIN(MAX(ROUND(($F1338)/5,0)*5,5),600),Baseline!$A$3:$A$122,0))-Inputs!$B$9,INDEX(Course!$N$2:$N$19,MATCH($B1338,Course!$A$2:$A$19,0))),INDEX(Baseline!$B$3:$E$122,MATCH(MIN(MAX(ROUND(($F1338)/5,0)*5,5),600),Baseline!$A$3:$A$122,0),MATCH($E1338,Baseline!$B$2:$E$2,0))))))</f>
        <v/>
      </c>
      <c r="P1338" s="17" t="str">
        <f aca="false">IF($B1338="","",INDEX(Course!$N$2:$N$19,MATCH($B1338,Course!$A$2:$A$19,0)))</f>
        <v/>
      </c>
      <c r="Q1338" s="17" t="str">
        <f aca="false">IF($B1338="","",INDEX(Course!$P$2:$P$19,MATCH($B1338,Course!$A$2:$A$19,0)))</f>
        <v/>
      </c>
      <c r="R1338" s="17" t="str">
        <f aca="false">IF($C1338="","",IF(OR($C1338="G",$C1338="H"),0,IF($C1338="T",1,MIN(1,MAX(0,($N1338-Inputs!$B$8)/MAX($P1338-Inputs!$B$8,0.01))))))</f>
        <v/>
      </c>
      <c r="S1338" s="17" t="str">
        <f aca="false">IF($C1338="","",IF(OR($E1338="G",$E1338="H"),0,IF($E1338="T",1,MIN(1,MAX(0,($O1338-Inputs!$B$8)/MAX($P1338-Inputs!$B$8,0.01))))))</f>
        <v/>
      </c>
    </row>
    <row r="1339" customFormat="false" ht="15" hidden="false" customHeight="false" outlineLevel="0" collapsed="false">
      <c r="I1339" s="7" t="str">
        <f aca="false">IF($C1339="","",IF($C1339="G","PUTT",IF(AND($C1339="T",$M1339&gt;3),"OTT",IF($D1339&lt;=30,"ARG","APP"))))</f>
        <v/>
      </c>
      <c r="J1339" s="17" t="str">
        <f aca="false">IF($C1339="","",$N1339+$Q1339*$R1339)</f>
        <v/>
      </c>
      <c r="K1339" s="17" t="str">
        <f aca="false">IF($C1339="","",$O1339+$Q1339*$S1339)</f>
        <v/>
      </c>
      <c r="L1339" s="17" t="str">
        <f aca="false">IF($C1339="","",$J1339-$K1339-1-N($G1339))</f>
        <v/>
      </c>
      <c r="M1339" s="7" t="str">
        <f aca="false">IF($B1339="","",INDEX(Course!$B$2:$B$19,MATCH($B1339,Course!$A$2:$A$19,0)))</f>
        <v/>
      </c>
      <c r="N1339" s="17" t="str">
        <f aca="false">IF($C1339="","",IF($C1339="H",0,IF($C1339="G",INDEX(Baseline!$I$3:$I$102,MIN(MAX(ROUND($D1339,0),1),100)),IF($C1339="T",IF($M1339=3,INDEX(Baseline!$B$3:$B$122,MATCH(MIN(MAX(ROUND(($D1339)/5,0)*5,5),600),Baseline!$A$3:$A$122,0))-Inputs!$B$9,INDEX(Course!$N$2:$N$19,MATCH($B1339,Course!$A$2:$A$19,0))),INDEX(Baseline!$B$3:$E$122,MATCH(MIN(MAX(ROUND(($D1339)/5,0)*5,5),600),Baseline!$A$3:$A$122,0),MATCH($C1339,Baseline!$B$2:$E$2,0))))))</f>
        <v/>
      </c>
      <c r="O1339" s="17" t="str">
        <f aca="false">IF($C1339="","",IF($E1339="H",0,IF($E1339="G",INDEX(Baseline!$I$3:$I$102,MIN(MAX(ROUND($F1339,0),1),100)),IF($E1339="T",IF($M1339=3,INDEX(Baseline!$B$3:$B$122,MATCH(MIN(MAX(ROUND(($F1339)/5,0)*5,5),600),Baseline!$A$3:$A$122,0))-Inputs!$B$9,INDEX(Course!$N$2:$N$19,MATCH($B1339,Course!$A$2:$A$19,0))),INDEX(Baseline!$B$3:$E$122,MATCH(MIN(MAX(ROUND(($F1339)/5,0)*5,5),600),Baseline!$A$3:$A$122,0),MATCH($E1339,Baseline!$B$2:$E$2,0))))))</f>
        <v/>
      </c>
      <c r="P1339" s="17" t="str">
        <f aca="false">IF($B1339="","",INDEX(Course!$N$2:$N$19,MATCH($B1339,Course!$A$2:$A$19,0)))</f>
        <v/>
      </c>
      <c r="Q1339" s="17" t="str">
        <f aca="false">IF($B1339="","",INDEX(Course!$P$2:$P$19,MATCH($B1339,Course!$A$2:$A$19,0)))</f>
        <v/>
      </c>
      <c r="R1339" s="17" t="str">
        <f aca="false">IF($C1339="","",IF(OR($C1339="G",$C1339="H"),0,IF($C1339="T",1,MIN(1,MAX(0,($N1339-Inputs!$B$8)/MAX($P1339-Inputs!$B$8,0.01))))))</f>
        <v/>
      </c>
      <c r="S1339" s="17" t="str">
        <f aca="false">IF($C1339="","",IF(OR($E1339="G",$E1339="H"),0,IF($E1339="T",1,MIN(1,MAX(0,($O1339-Inputs!$B$8)/MAX($P1339-Inputs!$B$8,0.01))))))</f>
        <v/>
      </c>
    </row>
    <row r="1340" customFormat="false" ht="15" hidden="false" customHeight="false" outlineLevel="0" collapsed="false">
      <c r="I1340" s="7" t="str">
        <f aca="false">IF($C1340="","",IF($C1340="G","PUTT",IF(AND($C1340="T",$M1340&gt;3),"OTT",IF($D1340&lt;=30,"ARG","APP"))))</f>
        <v/>
      </c>
      <c r="J1340" s="17" t="str">
        <f aca="false">IF($C1340="","",$N1340+$Q1340*$R1340)</f>
        <v/>
      </c>
      <c r="K1340" s="17" t="str">
        <f aca="false">IF($C1340="","",$O1340+$Q1340*$S1340)</f>
        <v/>
      </c>
      <c r="L1340" s="17" t="str">
        <f aca="false">IF($C1340="","",$J1340-$K1340-1-N($G1340))</f>
        <v/>
      </c>
      <c r="M1340" s="7" t="str">
        <f aca="false">IF($B1340="","",INDEX(Course!$B$2:$B$19,MATCH($B1340,Course!$A$2:$A$19,0)))</f>
        <v/>
      </c>
      <c r="N1340" s="17" t="str">
        <f aca="false">IF($C1340="","",IF($C1340="H",0,IF($C1340="G",INDEX(Baseline!$I$3:$I$102,MIN(MAX(ROUND($D1340,0),1),100)),IF($C1340="T",IF($M1340=3,INDEX(Baseline!$B$3:$B$122,MATCH(MIN(MAX(ROUND(($D1340)/5,0)*5,5),600),Baseline!$A$3:$A$122,0))-Inputs!$B$9,INDEX(Course!$N$2:$N$19,MATCH($B1340,Course!$A$2:$A$19,0))),INDEX(Baseline!$B$3:$E$122,MATCH(MIN(MAX(ROUND(($D1340)/5,0)*5,5),600),Baseline!$A$3:$A$122,0),MATCH($C1340,Baseline!$B$2:$E$2,0))))))</f>
        <v/>
      </c>
      <c r="O1340" s="17" t="str">
        <f aca="false">IF($C1340="","",IF($E1340="H",0,IF($E1340="G",INDEX(Baseline!$I$3:$I$102,MIN(MAX(ROUND($F1340,0),1),100)),IF($E1340="T",IF($M1340=3,INDEX(Baseline!$B$3:$B$122,MATCH(MIN(MAX(ROUND(($F1340)/5,0)*5,5),600),Baseline!$A$3:$A$122,0))-Inputs!$B$9,INDEX(Course!$N$2:$N$19,MATCH($B1340,Course!$A$2:$A$19,0))),INDEX(Baseline!$B$3:$E$122,MATCH(MIN(MAX(ROUND(($F1340)/5,0)*5,5),600),Baseline!$A$3:$A$122,0),MATCH($E1340,Baseline!$B$2:$E$2,0))))))</f>
        <v/>
      </c>
      <c r="P1340" s="17" t="str">
        <f aca="false">IF($B1340="","",INDEX(Course!$N$2:$N$19,MATCH($B1340,Course!$A$2:$A$19,0)))</f>
        <v/>
      </c>
      <c r="Q1340" s="17" t="str">
        <f aca="false">IF($B1340="","",INDEX(Course!$P$2:$P$19,MATCH($B1340,Course!$A$2:$A$19,0)))</f>
        <v/>
      </c>
      <c r="R1340" s="17" t="str">
        <f aca="false">IF($C1340="","",IF(OR($C1340="G",$C1340="H"),0,IF($C1340="T",1,MIN(1,MAX(0,($N1340-Inputs!$B$8)/MAX($P1340-Inputs!$B$8,0.01))))))</f>
        <v/>
      </c>
      <c r="S1340" s="17" t="str">
        <f aca="false">IF($C1340="","",IF(OR($E1340="G",$E1340="H"),0,IF($E1340="T",1,MIN(1,MAX(0,($O1340-Inputs!$B$8)/MAX($P1340-Inputs!$B$8,0.01))))))</f>
        <v/>
      </c>
    </row>
    <row r="1341" customFormat="false" ht="15" hidden="false" customHeight="false" outlineLevel="0" collapsed="false">
      <c r="I1341" s="7" t="str">
        <f aca="false">IF($C1341="","",IF($C1341="G","PUTT",IF(AND($C1341="T",$M1341&gt;3),"OTT",IF($D1341&lt;=30,"ARG","APP"))))</f>
        <v/>
      </c>
      <c r="J1341" s="17" t="str">
        <f aca="false">IF($C1341="","",$N1341+$Q1341*$R1341)</f>
        <v/>
      </c>
      <c r="K1341" s="17" t="str">
        <f aca="false">IF($C1341="","",$O1341+$Q1341*$S1341)</f>
        <v/>
      </c>
      <c r="L1341" s="17" t="str">
        <f aca="false">IF($C1341="","",$J1341-$K1341-1-N($G1341))</f>
        <v/>
      </c>
      <c r="M1341" s="7" t="str">
        <f aca="false">IF($B1341="","",INDEX(Course!$B$2:$B$19,MATCH($B1341,Course!$A$2:$A$19,0)))</f>
        <v/>
      </c>
      <c r="N1341" s="17" t="str">
        <f aca="false">IF($C1341="","",IF($C1341="H",0,IF($C1341="G",INDEX(Baseline!$I$3:$I$102,MIN(MAX(ROUND($D1341,0),1),100)),IF($C1341="T",IF($M1341=3,INDEX(Baseline!$B$3:$B$122,MATCH(MIN(MAX(ROUND(($D1341)/5,0)*5,5),600),Baseline!$A$3:$A$122,0))-Inputs!$B$9,INDEX(Course!$N$2:$N$19,MATCH($B1341,Course!$A$2:$A$19,0))),INDEX(Baseline!$B$3:$E$122,MATCH(MIN(MAX(ROUND(($D1341)/5,0)*5,5),600),Baseline!$A$3:$A$122,0),MATCH($C1341,Baseline!$B$2:$E$2,0))))))</f>
        <v/>
      </c>
      <c r="O1341" s="17" t="str">
        <f aca="false">IF($C1341="","",IF($E1341="H",0,IF($E1341="G",INDEX(Baseline!$I$3:$I$102,MIN(MAX(ROUND($F1341,0),1),100)),IF($E1341="T",IF($M1341=3,INDEX(Baseline!$B$3:$B$122,MATCH(MIN(MAX(ROUND(($F1341)/5,0)*5,5),600),Baseline!$A$3:$A$122,0))-Inputs!$B$9,INDEX(Course!$N$2:$N$19,MATCH($B1341,Course!$A$2:$A$19,0))),INDEX(Baseline!$B$3:$E$122,MATCH(MIN(MAX(ROUND(($F1341)/5,0)*5,5),600),Baseline!$A$3:$A$122,0),MATCH($E1341,Baseline!$B$2:$E$2,0))))))</f>
        <v/>
      </c>
      <c r="P1341" s="17" t="str">
        <f aca="false">IF($B1341="","",INDEX(Course!$N$2:$N$19,MATCH($B1341,Course!$A$2:$A$19,0)))</f>
        <v/>
      </c>
      <c r="Q1341" s="17" t="str">
        <f aca="false">IF($B1341="","",INDEX(Course!$P$2:$P$19,MATCH($B1341,Course!$A$2:$A$19,0)))</f>
        <v/>
      </c>
      <c r="R1341" s="17" t="str">
        <f aca="false">IF($C1341="","",IF(OR($C1341="G",$C1341="H"),0,IF($C1341="T",1,MIN(1,MAX(0,($N1341-Inputs!$B$8)/MAX($P1341-Inputs!$B$8,0.01))))))</f>
        <v/>
      </c>
      <c r="S1341" s="17" t="str">
        <f aca="false">IF($C1341="","",IF(OR($E1341="G",$E1341="H"),0,IF($E1341="T",1,MIN(1,MAX(0,($O1341-Inputs!$B$8)/MAX($P1341-Inputs!$B$8,0.01))))))</f>
        <v/>
      </c>
    </row>
    <row r="1342" customFormat="false" ht="15" hidden="false" customHeight="false" outlineLevel="0" collapsed="false">
      <c r="I1342" s="7" t="str">
        <f aca="false">IF($C1342="","",IF($C1342="G","PUTT",IF(AND($C1342="T",$M1342&gt;3),"OTT",IF($D1342&lt;=30,"ARG","APP"))))</f>
        <v/>
      </c>
      <c r="J1342" s="17" t="str">
        <f aca="false">IF($C1342="","",$N1342+$Q1342*$R1342)</f>
        <v/>
      </c>
      <c r="K1342" s="17" t="str">
        <f aca="false">IF($C1342="","",$O1342+$Q1342*$S1342)</f>
        <v/>
      </c>
      <c r="L1342" s="17" t="str">
        <f aca="false">IF($C1342="","",$J1342-$K1342-1-N($G1342))</f>
        <v/>
      </c>
      <c r="M1342" s="7" t="str">
        <f aca="false">IF($B1342="","",INDEX(Course!$B$2:$B$19,MATCH($B1342,Course!$A$2:$A$19,0)))</f>
        <v/>
      </c>
      <c r="N1342" s="17" t="str">
        <f aca="false">IF($C1342="","",IF($C1342="H",0,IF($C1342="G",INDEX(Baseline!$I$3:$I$102,MIN(MAX(ROUND($D1342,0),1),100)),IF($C1342="T",IF($M1342=3,INDEX(Baseline!$B$3:$B$122,MATCH(MIN(MAX(ROUND(($D1342)/5,0)*5,5),600),Baseline!$A$3:$A$122,0))-Inputs!$B$9,INDEX(Course!$N$2:$N$19,MATCH($B1342,Course!$A$2:$A$19,0))),INDEX(Baseline!$B$3:$E$122,MATCH(MIN(MAX(ROUND(($D1342)/5,0)*5,5),600),Baseline!$A$3:$A$122,0),MATCH($C1342,Baseline!$B$2:$E$2,0))))))</f>
        <v/>
      </c>
      <c r="O1342" s="17" t="str">
        <f aca="false">IF($C1342="","",IF($E1342="H",0,IF($E1342="G",INDEX(Baseline!$I$3:$I$102,MIN(MAX(ROUND($F1342,0),1),100)),IF($E1342="T",IF($M1342=3,INDEX(Baseline!$B$3:$B$122,MATCH(MIN(MAX(ROUND(($F1342)/5,0)*5,5),600),Baseline!$A$3:$A$122,0))-Inputs!$B$9,INDEX(Course!$N$2:$N$19,MATCH($B1342,Course!$A$2:$A$19,0))),INDEX(Baseline!$B$3:$E$122,MATCH(MIN(MAX(ROUND(($F1342)/5,0)*5,5),600),Baseline!$A$3:$A$122,0),MATCH($E1342,Baseline!$B$2:$E$2,0))))))</f>
        <v/>
      </c>
      <c r="P1342" s="17" t="str">
        <f aca="false">IF($B1342="","",INDEX(Course!$N$2:$N$19,MATCH($B1342,Course!$A$2:$A$19,0)))</f>
        <v/>
      </c>
      <c r="Q1342" s="17" t="str">
        <f aca="false">IF($B1342="","",INDEX(Course!$P$2:$P$19,MATCH($B1342,Course!$A$2:$A$19,0)))</f>
        <v/>
      </c>
      <c r="R1342" s="17" t="str">
        <f aca="false">IF($C1342="","",IF(OR($C1342="G",$C1342="H"),0,IF($C1342="T",1,MIN(1,MAX(0,($N1342-Inputs!$B$8)/MAX($P1342-Inputs!$B$8,0.01))))))</f>
        <v/>
      </c>
      <c r="S1342" s="17" t="str">
        <f aca="false">IF($C1342="","",IF(OR($E1342="G",$E1342="H"),0,IF($E1342="T",1,MIN(1,MAX(0,($O1342-Inputs!$B$8)/MAX($P1342-Inputs!$B$8,0.01))))))</f>
        <v/>
      </c>
    </row>
    <row r="1343" customFormat="false" ht="15" hidden="false" customHeight="false" outlineLevel="0" collapsed="false">
      <c r="I1343" s="7" t="str">
        <f aca="false">IF($C1343="","",IF($C1343="G","PUTT",IF(AND($C1343="T",$M1343&gt;3),"OTT",IF($D1343&lt;=30,"ARG","APP"))))</f>
        <v/>
      </c>
      <c r="J1343" s="17" t="str">
        <f aca="false">IF($C1343="","",$N1343+$Q1343*$R1343)</f>
        <v/>
      </c>
      <c r="K1343" s="17" t="str">
        <f aca="false">IF($C1343="","",$O1343+$Q1343*$S1343)</f>
        <v/>
      </c>
      <c r="L1343" s="17" t="str">
        <f aca="false">IF($C1343="","",$J1343-$K1343-1-N($G1343))</f>
        <v/>
      </c>
      <c r="M1343" s="7" t="str">
        <f aca="false">IF($B1343="","",INDEX(Course!$B$2:$B$19,MATCH($B1343,Course!$A$2:$A$19,0)))</f>
        <v/>
      </c>
      <c r="N1343" s="17" t="str">
        <f aca="false">IF($C1343="","",IF($C1343="H",0,IF($C1343="G",INDEX(Baseline!$I$3:$I$102,MIN(MAX(ROUND($D1343,0),1),100)),IF($C1343="T",IF($M1343=3,INDEX(Baseline!$B$3:$B$122,MATCH(MIN(MAX(ROUND(($D1343)/5,0)*5,5),600),Baseline!$A$3:$A$122,0))-Inputs!$B$9,INDEX(Course!$N$2:$N$19,MATCH($B1343,Course!$A$2:$A$19,0))),INDEX(Baseline!$B$3:$E$122,MATCH(MIN(MAX(ROUND(($D1343)/5,0)*5,5),600),Baseline!$A$3:$A$122,0),MATCH($C1343,Baseline!$B$2:$E$2,0))))))</f>
        <v/>
      </c>
      <c r="O1343" s="17" t="str">
        <f aca="false">IF($C1343="","",IF($E1343="H",0,IF($E1343="G",INDEX(Baseline!$I$3:$I$102,MIN(MAX(ROUND($F1343,0),1),100)),IF($E1343="T",IF($M1343=3,INDEX(Baseline!$B$3:$B$122,MATCH(MIN(MAX(ROUND(($F1343)/5,0)*5,5),600),Baseline!$A$3:$A$122,0))-Inputs!$B$9,INDEX(Course!$N$2:$N$19,MATCH($B1343,Course!$A$2:$A$19,0))),INDEX(Baseline!$B$3:$E$122,MATCH(MIN(MAX(ROUND(($F1343)/5,0)*5,5),600),Baseline!$A$3:$A$122,0),MATCH($E1343,Baseline!$B$2:$E$2,0))))))</f>
        <v/>
      </c>
      <c r="P1343" s="17" t="str">
        <f aca="false">IF($B1343="","",INDEX(Course!$N$2:$N$19,MATCH($B1343,Course!$A$2:$A$19,0)))</f>
        <v/>
      </c>
      <c r="Q1343" s="17" t="str">
        <f aca="false">IF($B1343="","",INDEX(Course!$P$2:$P$19,MATCH($B1343,Course!$A$2:$A$19,0)))</f>
        <v/>
      </c>
      <c r="R1343" s="17" t="str">
        <f aca="false">IF($C1343="","",IF(OR($C1343="G",$C1343="H"),0,IF($C1343="T",1,MIN(1,MAX(0,($N1343-Inputs!$B$8)/MAX($P1343-Inputs!$B$8,0.01))))))</f>
        <v/>
      </c>
      <c r="S1343" s="17" t="str">
        <f aca="false">IF($C1343="","",IF(OR($E1343="G",$E1343="H"),0,IF($E1343="T",1,MIN(1,MAX(0,($O1343-Inputs!$B$8)/MAX($P1343-Inputs!$B$8,0.01))))))</f>
        <v/>
      </c>
    </row>
    <row r="1344" customFormat="false" ht="15" hidden="false" customHeight="false" outlineLevel="0" collapsed="false">
      <c r="I1344" s="7" t="str">
        <f aca="false">IF($C1344="","",IF($C1344="G","PUTT",IF(AND($C1344="T",$M1344&gt;3),"OTT",IF($D1344&lt;=30,"ARG","APP"))))</f>
        <v/>
      </c>
      <c r="J1344" s="17" t="str">
        <f aca="false">IF($C1344="","",$N1344+$Q1344*$R1344)</f>
        <v/>
      </c>
      <c r="K1344" s="17" t="str">
        <f aca="false">IF($C1344="","",$O1344+$Q1344*$S1344)</f>
        <v/>
      </c>
      <c r="L1344" s="17" t="str">
        <f aca="false">IF($C1344="","",$J1344-$K1344-1-N($G1344))</f>
        <v/>
      </c>
      <c r="M1344" s="7" t="str">
        <f aca="false">IF($B1344="","",INDEX(Course!$B$2:$B$19,MATCH($B1344,Course!$A$2:$A$19,0)))</f>
        <v/>
      </c>
      <c r="N1344" s="17" t="str">
        <f aca="false">IF($C1344="","",IF($C1344="H",0,IF($C1344="G",INDEX(Baseline!$I$3:$I$102,MIN(MAX(ROUND($D1344,0),1),100)),IF($C1344="T",IF($M1344=3,INDEX(Baseline!$B$3:$B$122,MATCH(MIN(MAX(ROUND(($D1344)/5,0)*5,5),600),Baseline!$A$3:$A$122,0))-Inputs!$B$9,INDEX(Course!$N$2:$N$19,MATCH($B1344,Course!$A$2:$A$19,0))),INDEX(Baseline!$B$3:$E$122,MATCH(MIN(MAX(ROUND(($D1344)/5,0)*5,5),600),Baseline!$A$3:$A$122,0),MATCH($C1344,Baseline!$B$2:$E$2,0))))))</f>
        <v/>
      </c>
      <c r="O1344" s="17" t="str">
        <f aca="false">IF($C1344="","",IF($E1344="H",0,IF($E1344="G",INDEX(Baseline!$I$3:$I$102,MIN(MAX(ROUND($F1344,0),1),100)),IF($E1344="T",IF($M1344=3,INDEX(Baseline!$B$3:$B$122,MATCH(MIN(MAX(ROUND(($F1344)/5,0)*5,5),600),Baseline!$A$3:$A$122,0))-Inputs!$B$9,INDEX(Course!$N$2:$N$19,MATCH($B1344,Course!$A$2:$A$19,0))),INDEX(Baseline!$B$3:$E$122,MATCH(MIN(MAX(ROUND(($F1344)/5,0)*5,5),600),Baseline!$A$3:$A$122,0),MATCH($E1344,Baseline!$B$2:$E$2,0))))))</f>
        <v/>
      </c>
      <c r="P1344" s="17" t="str">
        <f aca="false">IF($B1344="","",INDEX(Course!$N$2:$N$19,MATCH($B1344,Course!$A$2:$A$19,0)))</f>
        <v/>
      </c>
      <c r="Q1344" s="17" t="str">
        <f aca="false">IF($B1344="","",INDEX(Course!$P$2:$P$19,MATCH($B1344,Course!$A$2:$A$19,0)))</f>
        <v/>
      </c>
      <c r="R1344" s="17" t="str">
        <f aca="false">IF($C1344="","",IF(OR($C1344="G",$C1344="H"),0,IF($C1344="T",1,MIN(1,MAX(0,($N1344-Inputs!$B$8)/MAX($P1344-Inputs!$B$8,0.01))))))</f>
        <v/>
      </c>
      <c r="S1344" s="17" t="str">
        <f aca="false">IF($C1344="","",IF(OR($E1344="G",$E1344="H"),0,IF($E1344="T",1,MIN(1,MAX(0,($O1344-Inputs!$B$8)/MAX($P1344-Inputs!$B$8,0.01))))))</f>
        <v/>
      </c>
    </row>
    <row r="1345" customFormat="false" ht="15" hidden="false" customHeight="false" outlineLevel="0" collapsed="false">
      <c r="I1345" s="7" t="str">
        <f aca="false">IF($C1345="","",IF($C1345="G","PUTT",IF(AND($C1345="T",$M1345&gt;3),"OTT",IF($D1345&lt;=30,"ARG","APP"))))</f>
        <v/>
      </c>
      <c r="J1345" s="17" t="str">
        <f aca="false">IF($C1345="","",$N1345+$Q1345*$R1345)</f>
        <v/>
      </c>
      <c r="K1345" s="17" t="str">
        <f aca="false">IF($C1345="","",$O1345+$Q1345*$S1345)</f>
        <v/>
      </c>
      <c r="L1345" s="17" t="str">
        <f aca="false">IF($C1345="","",$J1345-$K1345-1-N($G1345))</f>
        <v/>
      </c>
      <c r="M1345" s="7" t="str">
        <f aca="false">IF($B1345="","",INDEX(Course!$B$2:$B$19,MATCH($B1345,Course!$A$2:$A$19,0)))</f>
        <v/>
      </c>
      <c r="N1345" s="17" t="str">
        <f aca="false">IF($C1345="","",IF($C1345="H",0,IF($C1345="G",INDEX(Baseline!$I$3:$I$102,MIN(MAX(ROUND($D1345,0),1),100)),IF($C1345="T",IF($M1345=3,INDEX(Baseline!$B$3:$B$122,MATCH(MIN(MAX(ROUND(($D1345)/5,0)*5,5),600),Baseline!$A$3:$A$122,0))-Inputs!$B$9,INDEX(Course!$N$2:$N$19,MATCH($B1345,Course!$A$2:$A$19,0))),INDEX(Baseline!$B$3:$E$122,MATCH(MIN(MAX(ROUND(($D1345)/5,0)*5,5),600),Baseline!$A$3:$A$122,0),MATCH($C1345,Baseline!$B$2:$E$2,0))))))</f>
        <v/>
      </c>
      <c r="O1345" s="17" t="str">
        <f aca="false">IF($C1345="","",IF($E1345="H",0,IF($E1345="G",INDEX(Baseline!$I$3:$I$102,MIN(MAX(ROUND($F1345,0),1),100)),IF($E1345="T",IF($M1345=3,INDEX(Baseline!$B$3:$B$122,MATCH(MIN(MAX(ROUND(($F1345)/5,0)*5,5),600),Baseline!$A$3:$A$122,0))-Inputs!$B$9,INDEX(Course!$N$2:$N$19,MATCH($B1345,Course!$A$2:$A$19,0))),INDEX(Baseline!$B$3:$E$122,MATCH(MIN(MAX(ROUND(($F1345)/5,0)*5,5),600),Baseline!$A$3:$A$122,0),MATCH($E1345,Baseline!$B$2:$E$2,0))))))</f>
        <v/>
      </c>
      <c r="P1345" s="17" t="str">
        <f aca="false">IF($B1345="","",INDEX(Course!$N$2:$N$19,MATCH($B1345,Course!$A$2:$A$19,0)))</f>
        <v/>
      </c>
      <c r="Q1345" s="17" t="str">
        <f aca="false">IF($B1345="","",INDEX(Course!$P$2:$P$19,MATCH($B1345,Course!$A$2:$A$19,0)))</f>
        <v/>
      </c>
      <c r="R1345" s="17" t="str">
        <f aca="false">IF($C1345="","",IF(OR($C1345="G",$C1345="H"),0,IF($C1345="T",1,MIN(1,MAX(0,($N1345-Inputs!$B$8)/MAX($P1345-Inputs!$B$8,0.01))))))</f>
        <v/>
      </c>
      <c r="S1345" s="17" t="str">
        <f aca="false">IF($C1345="","",IF(OR($E1345="G",$E1345="H"),0,IF($E1345="T",1,MIN(1,MAX(0,($O1345-Inputs!$B$8)/MAX($P1345-Inputs!$B$8,0.01))))))</f>
        <v/>
      </c>
    </row>
    <row r="1346" customFormat="false" ht="15" hidden="false" customHeight="false" outlineLevel="0" collapsed="false">
      <c r="I1346" s="7" t="str">
        <f aca="false">IF($C1346="","",IF($C1346="G","PUTT",IF(AND($C1346="T",$M1346&gt;3),"OTT",IF($D1346&lt;=30,"ARG","APP"))))</f>
        <v/>
      </c>
      <c r="J1346" s="17" t="str">
        <f aca="false">IF($C1346="","",$N1346+$Q1346*$R1346)</f>
        <v/>
      </c>
      <c r="K1346" s="17" t="str">
        <f aca="false">IF($C1346="","",$O1346+$Q1346*$S1346)</f>
        <v/>
      </c>
      <c r="L1346" s="17" t="str">
        <f aca="false">IF($C1346="","",$J1346-$K1346-1-N($G1346))</f>
        <v/>
      </c>
      <c r="M1346" s="7" t="str">
        <f aca="false">IF($B1346="","",INDEX(Course!$B$2:$B$19,MATCH($B1346,Course!$A$2:$A$19,0)))</f>
        <v/>
      </c>
      <c r="N1346" s="17" t="str">
        <f aca="false">IF($C1346="","",IF($C1346="H",0,IF($C1346="G",INDEX(Baseline!$I$3:$I$102,MIN(MAX(ROUND($D1346,0),1),100)),IF($C1346="T",IF($M1346=3,INDEX(Baseline!$B$3:$B$122,MATCH(MIN(MAX(ROUND(($D1346)/5,0)*5,5),600),Baseline!$A$3:$A$122,0))-Inputs!$B$9,INDEX(Course!$N$2:$N$19,MATCH($B1346,Course!$A$2:$A$19,0))),INDEX(Baseline!$B$3:$E$122,MATCH(MIN(MAX(ROUND(($D1346)/5,0)*5,5),600),Baseline!$A$3:$A$122,0),MATCH($C1346,Baseline!$B$2:$E$2,0))))))</f>
        <v/>
      </c>
      <c r="O1346" s="17" t="str">
        <f aca="false">IF($C1346="","",IF($E1346="H",0,IF($E1346="G",INDEX(Baseline!$I$3:$I$102,MIN(MAX(ROUND($F1346,0),1),100)),IF($E1346="T",IF($M1346=3,INDEX(Baseline!$B$3:$B$122,MATCH(MIN(MAX(ROUND(($F1346)/5,0)*5,5),600),Baseline!$A$3:$A$122,0))-Inputs!$B$9,INDEX(Course!$N$2:$N$19,MATCH($B1346,Course!$A$2:$A$19,0))),INDEX(Baseline!$B$3:$E$122,MATCH(MIN(MAX(ROUND(($F1346)/5,0)*5,5),600),Baseline!$A$3:$A$122,0),MATCH($E1346,Baseline!$B$2:$E$2,0))))))</f>
        <v/>
      </c>
      <c r="P1346" s="17" t="str">
        <f aca="false">IF($B1346="","",INDEX(Course!$N$2:$N$19,MATCH($B1346,Course!$A$2:$A$19,0)))</f>
        <v/>
      </c>
      <c r="Q1346" s="17" t="str">
        <f aca="false">IF($B1346="","",INDEX(Course!$P$2:$P$19,MATCH($B1346,Course!$A$2:$A$19,0)))</f>
        <v/>
      </c>
      <c r="R1346" s="17" t="str">
        <f aca="false">IF($C1346="","",IF(OR($C1346="G",$C1346="H"),0,IF($C1346="T",1,MIN(1,MAX(0,($N1346-Inputs!$B$8)/MAX($P1346-Inputs!$B$8,0.01))))))</f>
        <v/>
      </c>
      <c r="S1346" s="17" t="str">
        <f aca="false">IF($C1346="","",IF(OR($E1346="G",$E1346="H"),0,IF($E1346="T",1,MIN(1,MAX(0,($O1346-Inputs!$B$8)/MAX($P1346-Inputs!$B$8,0.01))))))</f>
        <v/>
      </c>
    </row>
    <row r="1347" customFormat="false" ht="15" hidden="false" customHeight="false" outlineLevel="0" collapsed="false">
      <c r="I1347" s="7" t="str">
        <f aca="false">IF($C1347="","",IF($C1347="G","PUTT",IF(AND($C1347="T",$M1347&gt;3),"OTT",IF($D1347&lt;=30,"ARG","APP"))))</f>
        <v/>
      </c>
      <c r="J1347" s="17" t="str">
        <f aca="false">IF($C1347="","",$N1347+$Q1347*$R1347)</f>
        <v/>
      </c>
      <c r="K1347" s="17" t="str">
        <f aca="false">IF($C1347="","",$O1347+$Q1347*$S1347)</f>
        <v/>
      </c>
      <c r="L1347" s="17" t="str">
        <f aca="false">IF($C1347="","",$J1347-$K1347-1-N($G1347))</f>
        <v/>
      </c>
      <c r="M1347" s="7" t="str">
        <f aca="false">IF($B1347="","",INDEX(Course!$B$2:$B$19,MATCH($B1347,Course!$A$2:$A$19,0)))</f>
        <v/>
      </c>
      <c r="N1347" s="17" t="str">
        <f aca="false">IF($C1347="","",IF($C1347="H",0,IF($C1347="G",INDEX(Baseline!$I$3:$I$102,MIN(MAX(ROUND($D1347,0),1),100)),IF($C1347="T",IF($M1347=3,INDEX(Baseline!$B$3:$B$122,MATCH(MIN(MAX(ROUND(($D1347)/5,0)*5,5),600),Baseline!$A$3:$A$122,0))-Inputs!$B$9,INDEX(Course!$N$2:$N$19,MATCH($B1347,Course!$A$2:$A$19,0))),INDEX(Baseline!$B$3:$E$122,MATCH(MIN(MAX(ROUND(($D1347)/5,0)*5,5),600),Baseline!$A$3:$A$122,0),MATCH($C1347,Baseline!$B$2:$E$2,0))))))</f>
        <v/>
      </c>
      <c r="O1347" s="17" t="str">
        <f aca="false">IF($C1347="","",IF($E1347="H",0,IF($E1347="G",INDEX(Baseline!$I$3:$I$102,MIN(MAX(ROUND($F1347,0),1),100)),IF($E1347="T",IF($M1347=3,INDEX(Baseline!$B$3:$B$122,MATCH(MIN(MAX(ROUND(($F1347)/5,0)*5,5),600),Baseline!$A$3:$A$122,0))-Inputs!$B$9,INDEX(Course!$N$2:$N$19,MATCH($B1347,Course!$A$2:$A$19,0))),INDEX(Baseline!$B$3:$E$122,MATCH(MIN(MAX(ROUND(($F1347)/5,0)*5,5),600),Baseline!$A$3:$A$122,0),MATCH($E1347,Baseline!$B$2:$E$2,0))))))</f>
        <v/>
      </c>
      <c r="P1347" s="17" t="str">
        <f aca="false">IF($B1347="","",INDEX(Course!$N$2:$N$19,MATCH($B1347,Course!$A$2:$A$19,0)))</f>
        <v/>
      </c>
      <c r="Q1347" s="17" t="str">
        <f aca="false">IF($B1347="","",INDEX(Course!$P$2:$P$19,MATCH($B1347,Course!$A$2:$A$19,0)))</f>
        <v/>
      </c>
      <c r="R1347" s="17" t="str">
        <f aca="false">IF($C1347="","",IF(OR($C1347="G",$C1347="H"),0,IF($C1347="T",1,MIN(1,MAX(0,($N1347-Inputs!$B$8)/MAX($P1347-Inputs!$B$8,0.01))))))</f>
        <v/>
      </c>
      <c r="S1347" s="17" t="str">
        <f aca="false">IF($C1347="","",IF(OR($E1347="G",$E1347="H"),0,IF($E1347="T",1,MIN(1,MAX(0,($O1347-Inputs!$B$8)/MAX($P1347-Inputs!$B$8,0.01))))))</f>
        <v/>
      </c>
    </row>
    <row r="1348" customFormat="false" ht="15" hidden="false" customHeight="false" outlineLevel="0" collapsed="false">
      <c r="I1348" s="7" t="str">
        <f aca="false">IF($C1348="","",IF($C1348="G","PUTT",IF(AND($C1348="T",$M1348&gt;3),"OTT",IF($D1348&lt;=30,"ARG","APP"))))</f>
        <v/>
      </c>
      <c r="J1348" s="17" t="str">
        <f aca="false">IF($C1348="","",$N1348+$Q1348*$R1348)</f>
        <v/>
      </c>
      <c r="K1348" s="17" t="str">
        <f aca="false">IF($C1348="","",$O1348+$Q1348*$S1348)</f>
        <v/>
      </c>
      <c r="L1348" s="17" t="str">
        <f aca="false">IF($C1348="","",$J1348-$K1348-1-N($G1348))</f>
        <v/>
      </c>
      <c r="M1348" s="7" t="str">
        <f aca="false">IF($B1348="","",INDEX(Course!$B$2:$B$19,MATCH($B1348,Course!$A$2:$A$19,0)))</f>
        <v/>
      </c>
      <c r="N1348" s="17" t="str">
        <f aca="false">IF($C1348="","",IF($C1348="H",0,IF($C1348="G",INDEX(Baseline!$I$3:$I$102,MIN(MAX(ROUND($D1348,0),1),100)),IF($C1348="T",IF($M1348=3,INDEX(Baseline!$B$3:$B$122,MATCH(MIN(MAX(ROUND(($D1348)/5,0)*5,5),600),Baseline!$A$3:$A$122,0))-Inputs!$B$9,INDEX(Course!$N$2:$N$19,MATCH($B1348,Course!$A$2:$A$19,0))),INDEX(Baseline!$B$3:$E$122,MATCH(MIN(MAX(ROUND(($D1348)/5,0)*5,5),600),Baseline!$A$3:$A$122,0),MATCH($C1348,Baseline!$B$2:$E$2,0))))))</f>
        <v/>
      </c>
      <c r="O1348" s="17" t="str">
        <f aca="false">IF($C1348="","",IF($E1348="H",0,IF($E1348="G",INDEX(Baseline!$I$3:$I$102,MIN(MAX(ROUND($F1348,0),1),100)),IF($E1348="T",IF($M1348=3,INDEX(Baseline!$B$3:$B$122,MATCH(MIN(MAX(ROUND(($F1348)/5,0)*5,5),600),Baseline!$A$3:$A$122,0))-Inputs!$B$9,INDEX(Course!$N$2:$N$19,MATCH($B1348,Course!$A$2:$A$19,0))),INDEX(Baseline!$B$3:$E$122,MATCH(MIN(MAX(ROUND(($F1348)/5,0)*5,5),600),Baseline!$A$3:$A$122,0),MATCH($E1348,Baseline!$B$2:$E$2,0))))))</f>
        <v/>
      </c>
      <c r="P1348" s="17" t="str">
        <f aca="false">IF($B1348="","",INDEX(Course!$N$2:$N$19,MATCH($B1348,Course!$A$2:$A$19,0)))</f>
        <v/>
      </c>
      <c r="Q1348" s="17" t="str">
        <f aca="false">IF($B1348="","",INDEX(Course!$P$2:$P$19,MATCH($B1348,Course!$A$2:$A$19,0)))</f>
        <v/>
      </c>
      <c r="R1348" s="17" t="str">
        <f aca="false">IF($C1348="","",IF(OR($C1348="G",$C1348="H"),0,IF($C1348="T",1,MIN(1,MAX(0,($N1348-Inputs!$B$8)/MAX($P1348-Inputs!$B$8,0.01))))))</f>
        <v/>
      </c>
      <c r="S1348" s="17" t="str">
        <f aca="false">IF($C1348="","",IF(OR($E1348="G",$E1348="H"),0,IF($E1348="T",1,MIN(1,MAX(0,($O1348-Inputs!$B$8)/MAX($P1348-Inputs!$B$8,0.01))))))</f>
        <v/>
      </c>
    </row>
    <row r="1349" customFormat="false" ht="15" hidden="false" customHeight="false" outlineLevel="0" collapsed="false">
      <c r="I1349" s="7" t="str">
        <f aca="false">IF($C1349="","",IF($C1349="G","PUTT",IF(AND($C1349="T",$M1349&gt;3),"OTT",IF($D1349&lt;=30,"ARG","APP"))))</f>
        <v/>
      </c>
      <c r="J1349" s="17" t="str">
        <f aca="false">IF($C1349="","",$N1349+$Q1349*$R1349)</f>
        <v/>
      </c>
      <c r="K1349" s="17" t="str">
        <f aca="false">IF($C1349="","",$O1349+$Q1349*$S1349)</f>
        <v/>
      </c>
      <c r="L1349" s="17" t="str">
        <f aca="false">IF($C1349="","",$J1349-$K1349-1-N($G1349))</f>
        <v/>
      </c>
      <c r="M1349" s="7" t="str">
        <f aca="false">IF($B1349="","",INDEX(Course!$B$2:$B$19,MATCH($B1349,Course!$A$2:$A$19,0)))</f>
        <v/>
      </c>
      <c r="N1349" s="17" t="str">
        <f aca="false">IF($C1349="","",IF($C1349="H",0,IF($C1349="G",INDEX(Baseline!$I$3:$I$102,MIN(MAX(ROUND($D1349,0),1),100)),IF($C1349="T",IF($M1349=3,INDEX(Baseline!$B$3:$B$122,MATCH(MIN(MAX(ROUND(($D1349)/5,0)*5,5),600),Baseline!$A$3:$A$122,0))-Inputs!$B$9,INDEX(Course!$N$2:$N$19,MATCH($B1349,Course!$A$2:$A$19,0))),INDEX(Baseline!$B$3:$E$122,MATCH(MIN(MAX(ROUND(($D1349)/5,0)*5,5),600),Baseline!$A$3:$A$122,0),MATCH($C1349,Baseline!$B$2:$E$2,0))))))</f>
        <v/>
      </c>
      <c r="O1349" s="17" t="str">
        <f aca="false">IF($C1349="","",IF($E1349="H",0,IF($E1349="G",INDEX(Baseline!$I$3:$I$102,MIN(MAX(ROUND($F1349,0),1),100)),IF($E1349="T",IF($M1349=3,INDEX(Baseline!$B$3:$B$122,MATCH(MIN(MAX(ROUND(($F1349)/5,0)*5,5),600),Baseline!$A$3:$A$122,0))-Inputs!$B$9,INDEX(Course!$N$2:$N$19,MATCH($B1349,Course!$A$2:$A$19,0))),INDEX(Baseline!$B$3:$E$122,MATCH(MIN(MAX(ROUND(($F1349)/5,0)*5,5),600),Baseline!$A$3:$A$122,0),MATCH($E1349,Baseline!$B$2:$E$2,0))))))</f>
        <v/>
      </c>
      <c r="P1349" s="17" t="str">
        <f aca="false">IF($B1349="","",INDEX(Course!$N$2:$N$19,MATCH($B1349,Course!$A$2:$A$19,0)))</f>
        <v/>
      </c>
      <c r="Q1349" s="17" t="str">
        <f aca="false">IF($B1349="","",INDEX(Course!$P$2:$P$19,MATCH($B1349,Course!$A$2:$A$19,0)))</f>
        <v/>
      </c>
      <c r="R1349" s="17" t="str">
        <f aca="false">IF($C1349="","",IF(OR($C1349="G",$C1349="H"),0,IF($C1349="T",1,MIN(1,MAX(0,($N1349-Inputs!$B$8)/MAX($P1349-Inputs!$B$8,0.01))))))</f>
        <v/>
      </c>
      <c r="S1349" s="17" t="str">
        <f aca="false">IF($C1349="","",IF(OR($E1349="G",$E1349="H"),0,IF($E1349="T",1,MIN(1,MAX(0,($O1349-Inputs!$B$8)/MAX($P1349-Inputs!$B$8,0.01))))))</f>
        <v/>
      </c>
    </row>
    <row r="1350" customFormat="false" ht="15" hidden="false" customHeight="false" outlineLevel="0" collapsed="false">
      <c r="I1350" s="7" t="str">
        <f aca="false">IF($C1350="","",IF($C1350="G","PUTT",IF(AND($C1350="T",$M1350&gt;3),"OTT",IF($D1350&lt;=30,"ARG","APP"))))</f>
        <v/>
      </c>
      <c r="J1350" s="17" t="str">
        <f aca="false">IF($C1350="","",$N1350+$Q1350*$R1350)</f>
        <v/>
      </c>
      <c r="K1350" s="17" t="str">
        <f aca="false">IF($C1350="","",$O1350+$Q1350*$S1350)</f>
        <v/>
      </c>
      <c r="L1350" s="17" t="str">
        <f aca="false">IF($C1350="","",$J1350-$K1350-1-N($G1350))</f>
        <v/>
      </c>
      <c r="M1350" s="7" t="str">
        <f aca="false">IF($B1350="","",INDEX(Course!$B$2:$B$19,MATCH($B1350,Course!$A$2:$A$19,0)))</f>
        <v/>
      </c>
      <c r="N1350" s="17" t="str">
        <f aca="false">IF($C1350="","",IF($C1350="H",0,IF($C1350="G",INDEX(Baseline!$I$3:$I$102,MIN(MAX(ROUND($D1350,0),1),100)),IF($C1350="T",IF($M1350=3,INDEX(Baseline!$B$3:$B$122,MATCH(MIN(MAX(ROUND(($D1350)/5,0)*5,5),600),Baseline!$A$3:$A$122,0))-Inputs!$B$9,INDEX(Course!$N$2:$N$19,MATCH($B1350,Course!$A$2:$A$19,0))),INDEX(Baseline!$B$3:$E$122,MATCH(MIN(MAX(ROUND(($D1350)/5,0)*5,5),600),Baseline!$A$3:$A$122,0),MATCH($C1350,Baseline!$B$2:$E$2,0))))))</f>
        <v/>
      </c>
      <c r="O1350" s="17" t="str">
        <f aca="false">IF($C1350="","",IF($E1350="H",0,IF($E1350="G",INDEX(Baseline!$I$3:$I$102,MIN(MAX(ROUND($F1350,0),1),100)),IF($E1350="T",IF($M1350=3,INDEX(Baseline!$B$3:$B$122,MATCH(MIN(MAX(ROUND(($F1350)/5,0)*5,5),600),Baseline!$A$3:$A$122,0))-Inputs!$B$9,INDEX(Course!$N$2:$N$19,MATCH($B1350,Course!$A$2:$A$19,0))),INDEX(Baseline!$B$3:$E$122,MATCH(MIN(MAX(ROUND(($F1350)/5,0)*5,5),600),Baseline!$A$3:$A$122,0),MATCH($E1350,Baseline!$B$2:$E$2,0))))))</f>
        <v/>
      </c>
      <c r="P1350" s="17" t="str">
        <f aca="false">IF($B1350="","",INDEX(Course!$N$2:$N$19,MATCH($B1350,Course!$A$2:$A$19,0)))</f>
        <v/>
      </c>
      <c r="Q1350" s="17" t="str">
        <f aca="false">IF($B1350="","",INDEX(Course!$P$2:$P$19,MATCH($B1350,Course!$A$2:$A$19,0)))</f>
        <v/>
      </c>
      <c r="R1350" s="17" t="str">
        <f aca="false">IF($C1350="","",IF(OR($C1350="G",$C1350="H"),0,IF($C1350="T",1,MIN(1,MAX(0,($N1350-Inputs!$B$8)/MAX($P1350-Inputs!$B$8,0.01))))))</f>
        <v/>
      </c>
      <c r="S1350" s="17" t="str">
        <f aca="false">IF($C1350="","",IF(OR($E1350="G",$E1350="H"),0,IF($E1350="T",1,MIN(1,MAX(0,($O1350-Inputs!$B$8)/MAX($P1350-Inputs!$B$8,0.01))))))</f>
        <v/>
      </c>
    </row>
    <row r="1351" customFormat="false" ht="15" hidden="false" customHeight="false" outlineLevel="0" collapsed="false">
      <c r="I1351" s="7" t="str">
        <f aca="false">IF($C1351="","",IF($C1351="G","PUTT",IF(AND($C1351="T",$M1351&gt;3),"OTT",IF($D1351&lt;=30,"ARG","APP"))))</f>
        <v/>
      </c>
      <c r="J1351" s="17" t="str">
        <f aca="false">IF($C1351="","",$N1351+$Q1351*$R1351)</f>
        <v/>
      </c>
      <c r="K1351" s="17" t="str">
        <f aca="false">IF($C1351="","",$O1351+$Q1351*$S1351)</f>
        <v/>
      </c>
      <c r="L1351" s="17" t="str">
        <f aca="false">IF($C1351="","",$J1351-$K1351-1-N($G1351))</f>
        <v/>
      </c>
      <c r="M1351" s="7" t="str">
        <f aca="false">IF($B1351="","",INDEX(Course!$B$2:$B$19,MATCH($B1351,Course!$A$2:$A$19,0)))</f>
        <v/>
      </c>
      <c r="N1351" s="17" t="str">
        <f aca="false">IF($C1351="","",IF($C1351="H",0,IF($C1351="G",INDEX(Baseline!$I$3:$I$102,MIN(MAX(ROUND($D1351,0),1),100)),IF($C1351="T",IF($M1351=3,INDEX(Baseline!$B$3:$B$122,MATCH(MIN(MAX(ROUND(($D1351)/5,0)*5,5),600),Baseline!$A$3:$A$122,0))-Inputs!$B$9,INDEX(Course!$N$2:$N$19,MATCH($B1351,Course!$A$2:$A$19,0))),INDEX(Baseline!$B$3:$E$122,MATCH(MIN(MAX(ROUND(($D1351)/5,0)*5,5),600),Baseline!$A$3:$A$122,0),MATCH($C1351,Baseline!$B$2:$E$2,0))))))</f>
        <v/>
      </c>
      <c r="O1351" s="17" t="str">
        <f aca="false">IF($C1351="","",IF($E1351="H",0,IF($E1351="G",INDEX(Baseline!$I$3:$I$102,MIN(MAX(ROUND($F1351,0),1),100)),IF($E1351="T",IF($M1351=3,INDEX(Baseline!$B$3:$B$122,MATCH(MIN(MAX(ROUND(($F1351)/5,0)*5,5),600),Baseline!$A$3:$A$122,0))-Inputs!$B$9,INDEX(Course!$N$2:$N$19,MATCH($B1351,Course!$A$2:$A$19,0))),INDEX(Baseline!$B$3:$E$122,MATCH(MIN(MAX(ROUND(($F1351)/5,0)*5,5),600),Baseline!$A$3:$A$122,0),MATCH($E1351,Baseline!$B$2:$E$2,0))))))</f>
        <v/>
      </c>
      <c r="P1351" s="17" t="str">
        <f aca="false">IF($B1351="","",INDEX(Course!$N$2:$N$19,MATCH($B1351,Course!$A$2:$A$19,0)))</f>
        <v/>
      </c>
      <c r="Q1351" s="17" t="str">
        <f aca="false">IF($B1351="","",INDEX(Course!$P$2:$P$19,MATCH($B1351,Course!$A$2:$A$19,0)))</f>
        <v/>
      </c>
      <c r="R1351" s="17" t="str">
        <f aca="false">IF($C1351="","",IF(OR($C1351="G",$C1351="H"),0,IF($C1351="T",1,MIN(1,MAX(0,($N1351-Inputs!$B$8)/MAX($P1351-Inputs!$B$8,0.01))))))</f>
        <v/>
      </c>
      <c r="S1351" s="17" t="str">
        <f aca="false">IF($C1351="","",IF(OR($E1351="G",$E1351="H"),0,IF($E1351="T",1,MIN(1,MAX(0,($O1351-Inputs!$B$8)/MAX($P1351-Inputs!$B$8,0.01))))))</f>
        <v/>
      </c>
    </row>
    <row r="1352" customFormat="false" ht="15" hidden="false" customHeight="false" outlineLevel="0" collapsed="false">
      <c r="I1352" s="7" t="str">
        <f aca="false">IF($C1352="","",IF($C1352="G","PUTT",IF(AND($C1352="T",$M1352&gt;3),"OTT",IF($D1352&lt;=30,"ARG","APP"))))</f>
        <v/>
      </c>
      <c r="J1352" s="17" t="str">
        <f aca="false">IF($C1352="","",$N1352+$Q1352*$R1352)</f>
        <v/>
      </c>
      <c r="K1352" s="17" t="str">
        <f aca="false">IF($C1352="","",$O1352+$Q1352*$S1352)</f>
        <v/>
      </c>
      <c r="L1352" s="17" t="str">
        <f aca="false">IF($C1352="","",$J1352-$K1352-1-N($G1352))</f>
        <v/>
      </c>
      <c r="M1352" s="7" t="str">
        <f aca="false">IF($B1352="","",INDEX(Course!$B$2:$B$19,MATCH($B1352,Course!$A$2:$A$19,0)))</f>
        <v/>
      </c>
      <c r="N1352" s="17" t="str">
        <f aca="false">IF($C1352="","",IF($C1352="H",0,IF($C1352="G",INDEX(Baseline!$I$3:$I$102,MIN(MAX(ROUND($D1352,0),1),100)),IF($C1352="T",IF($M1352=3,INDEX(Baseline!$B$3:$B$122,MATCH(MIN(MAX(ROUND(($D1352)/5,0)*5,5),600),Baseline!$A$3:$A$122,0))-Inputs!$B$9,INDEX(Course!$N$2:$N$19,MATCH($B1352,Course!$A$2:$A$19,0))),INDEX(Baseline!$B$3:$E$122,MATCH(MIN(MAX(ROUND(($D1352)/5,0)*5,5),600),Baseline!$A$3:$A$122,0),MATCH($C1352,Baseline!$B$2:$E$2,0))))))</f>
        <v/>
      </c>
      <c r="O1352" s="17" t="str">
        <f aca="false">IF($C1352="","",IF($E1352="H",0,IF($E1352="G",INDEX(Baseline!$I$3:$I$102,MIN(MAX(ROUND($F1352,0),1),100)),IF($E1352="T",IF($M1352=3,INDEX(Baseline!$B$3:$B$122,MATCH(MIN(MAX(ROUND(($F1352)/5,0)*5,5),600),Baseline!$A$3:$A$122,0))-Inputs!$B$9,INDEX(Course!$N$2:$N$19,MATCH($B1352,Course!$A$2:$A$19,0))),INDEX(Baseline!$B$3:$E$122,MATCH(MIN(MAX(ROUND(($F1352)/5,0)*5,5),600),Baseline!$A$3:$A$122,0),MATCH($E1352,Baseline!$B$2:$E$2,0))))))</f>
        <v/>
      </c>
      <c r="P1352" s="17" t="str">
        <f aca="false">IF($B1352="","",INDEX(Course!$N$2:$N$19,MATCH($B1352,Course!$A$2:$A$19,0)))</f>
        <v/>
      </c>
      <c r="Q1352" s="17" t="str">
        <f aca="false">IF($B1352="","",INDEX(Course!$P$2:$P$19,MATCH($B1352,Course!$A$2:$A$19,0)))</f>
        <v/>
      </c>
      <c r="R1352" s="17" t="str">
        <f aca="false">IF($C1352="","",IF(OR($C1352="G",$C1352="H"),0,IF($C1352="T",1,MIN(1,MAX(0,($N1352-Inputs!$B$8)/MAX($P1352-Inputs!$B$8,0.01))))))</f>
        <v/>
      </c>
      <c r="S1352" s="17" t="str">
        <f aca="false">IF($C1352="","",IF(OR($E1352="G",$E1352="H"),0,IF($E1352="T",1,MIN(1,MAX(0,($O1352-Inputs!$B$8)/MAX($P1352-Inputs!$B$8,0.01))))))</f>
        <v/>
      </c>
    </row>
    <row r="1353" customFormat="false" ht="15" hidden="false" customHeight="false" outlineLevel="0" collapsed="false">
      <c r="I1353" s="7" t="str">
        <f aca="false">IF($C1353="","",IF($C1353="G","PUTT",IF(AND($C1353="T",$M1353&gt;3),"OTT",IF($D1353&lt;=30,"ARG","APP"))))</f>
        <v/>
      </c>
      <c r="J1353" s="17" t="str">
        <f aca="false">IF($C1353="","",$N1353+$Q1353*$R1353)</f>
        <v/>
      </c>
      <c r="K1353" s="17" t="str">
        <f aca="false">IF($C1353="","",$O1353+$Q1353*$S1353)</f>
        <v/>
      </c>
      <c r="L1353" s="17" t="str">
        <f aca="false">IF($C1353="","",$J1353-$K1353-1-N($G1353))</f>
        <v/>
      </c>
      <c r="M1353" s="7" t="str">
        <f aca="false">IF($B1353="","",INDEX(Course!$B$2:$B$19,MATCH($B1353,Course!$A$2:$A$19,0)))</f>
        <v/>
      </c>
      <c r="N1353" s="17" t="str">
        <f aca="false">IF($C1353="","",IF($C1353="H",0,IF($C1353="G",INDEX(Baseline!$I$3:$I$102,MIN(MAX(ROUND($D1353,0),1),100)),IF($C1353="T",IF($M1353=3,INDEX(Baseline!$B$3:$B$122,MATCH(MIN(MAX(ROUND(($D1353)/5,0)*5,5),600),Baseline!$A$3:$A$122,0))-Inputs!$B$9,INDEX(Course!$N$2:$N$19,MATCH($B1353,Course!$A$2:$A$19,0))),INDEX(Baseline!$B$3:$E$122,MATCH(MIN(MAX(ROUND(($D1353)/5,0)*5,5),600),Baseline!$A$3:$A$122,0),MATCH($C1353,Baseline!$B$2:$E$2,0))))))</f>
        <v/>
      </c>
      <c r="O1353" s="17" t="str">
        <f aca="false">IF($C1353="","",IF($E1353="H",0,IF($E1353="G",INDEX(Baseline!$I$3:$I$102,MIN(MAX(ROUND($F1353,0),1),100)),IF($E1353="T",IF($M1353=3,INDEX(Baseline!$B$3:$B$122,MATCH(MIN(MAX(ROUND(($F1353)/5,0)*5,5),600),Baseline!$A$3:$A$122,0))-Inputs!$B$9,INDEX(Course!$N$2:$N$19,MATCH($B1353,Course!$A$2:$A$19,0))),INDEX(Baseline!$B$3:$E$122,MATCH(MIN(MAX(ROUND(($F1353)/5,0)*5,5),600),Baseline!$A$3:$A$122,0),MATCH($E1353,Baseline!$B$2:$E$2,0))))))</f>
        <v/>
      </c>
      <c r="P1353" s="17" t="str">
        <f aca="false">IF($B1353="","",INDEX(Course!$N$2:$N$19,MATCH($B1353,Course!$A$2:$A$19,0)))</f>
        <v/>
      </c>
      <c r="Q1353" s="17" t="str">
        <f aca="false">IF($B1353="","",INDEX(Course!$P$2:$P$19,MATCH($B1353,Course!$A$2:$A$19,0)))</f>
        <v/>
      </c>
      <c r="R1353" s="17" t="str">
        <f aca="false">IF($C1353="","",IF(OR($C1353="G",$C1353="H"),0,IF($C1353="T",1,MIN(1,MAX(0,($N1353-Inputs!$B$8)/MAX($P1353-Inputs!$B$8,0.01))))))</f>
        <v/>
      </c>
      <c r="S1353" s="17" t="str">
        <f aca="false">IF($C1353="","",IF(OR($E1353="G",$E1353="H"),0,IF($E1353="T",1,MIN(1,MAX(0,($O1353-Inputs!$B$8)/MAX($P1353-Inputs!$B$8,0.01))))))</f>
        <v/>
      </c>
    </row>
    <row r="1354" customFormat="false" ht="15" hidden="false" customHeight="false" outlineLevel="0" collapsed="false">
      <c r="I1354" s="7" t="str">
        <f aca="false">IF($C1354="","",IF($C1354="G","PUTT",IF(AND($C1354="T",$M1354&gt;3),"OTT",IF($D1354&lt;=30,"ARG","APP"))))</f>
        <v/>
      </c>
      <c r="J1354" s="17" t="str">
        <f aca="false">IF($C1354="","",$N1354+$Q1354*$R1354)</f>
        <v/>
      </c>
      <c r="K1354" s="17" t="str">
        <f aca="false">IF($C1354="","",$O1354+$Q1354*$S1354)</f>
        <v/>
      </c>
      <c r="L1354" s="17" t="str">
        <f aca="false">IF($C1354="","",$J1354-$K1354-1-N($G1354))</f>
        <v/>
      </c>
      <c r="M1354" s="7" t="str">
        <f aca="false">IF($B1354="","",INDEX(Course!$B$2:$B$19,MATCH($B1354,Course!$A$2:$A$19,0)))</f>
        <v/>
      </c>
      <c r="N1354" s="17" t="str">
        <f aca="false">IF($C1354="","",IF($C1354="H",0,IF($C1354="G",INDEX(Baseline!$I$3:$I$102,MIN(MAX(ROUND($D1354,0),1),100)),IF($C1354="T",IF($M1354=3,INDEX(Baseline!$B$3:$B$122,MATCH(MIN(MAX(ROUND(($D1354)/5,0)*5,5),600),Baseline!$A$3:$A$122,0))-Inputs!$B$9,INDEX(Course!$N$2:$N$19,MATCH($B1354,Course!$A$2:$A$19,0))),INDEX(Baseline!$B$3:$E$122,MATCH(MIN(MAX(ROUND(($D1354)/5,0)*5,5),600),Baseline!$A$3:$A$122,0),MATCH($C1354,Baseline!$B$2:$E$2,0))))))</f>
        <v/>
      </c>
      <c r="O1354" s="17" t="str">
        <f aca="false">IF($C1354="","",IF($E1354="H",0,IF($E1354="G",INDEX(Baseline!$I$3:$I$102,MIN(MAX(ROUND($F1354,0),1),100)),IF($E1354="T",IF($M1354=3,INDEX(Baseline!$B$3:$B$122,MATCH(MIN(MAX(ROUND(($F1354)/5,0)*5,5),600),Baseline!$A$3:$A$122,0))-Inputs!$B$9,INDEX(Course!$N$2:$N$19,MATCH($B1354,Course!$A$2:$A$19,0))),INDEX(Baseline!$B$3:$E$122,MATCH(MIN(MAX(ROUND(($F1354)/5,0)*5,5),600),Baseline!$A$3:$A$122,0),MATCH($E1354,Baseline!$B$2:$E$2,0))))))</f>
        <v/>
      </c>
      <c r="P1354" s="17" t="str">
        <f aca="false">IF($B1354="","",INDEX(Course!$N$2:$N$19,MATCH($B1354,Course!$A$2:$A$19,0)))</f>
        <v/>
      </c>
      <c r="Q1354" s="17" t="str">
        <f aca="false">IF($B1354="","",INDEX(Course!$P$2:$P$19,MATCH($B1354,Course!$A$2:$A$19,0)))</f>
        <v/>
      </c>
      <c r="R1354" s="17" t="str">
        <f aca="false">IF($C1354="","",IF(OR($C1354="G",$C1354="H"),0,IF($C1354="T",1,MIN(1,MAX(0,($N1354-Inputs!$B$8)/MAX($P1354-Inputs!$B$8,0.01))))))</f>
        <v/>
      </c>
      <c r="S1354" s="17" t="str">
        <f aca="false">IF($C1354="","",IF(OR($E1354="G",$E1354="H"),0,IF($E1354="T",1,MIN(1,MAX(0,($O1354-Inputs!$B$8)/MAX($P1354-Inputs!$B$8,0.01))))))</f>
        <v/>
      </c>
    </row>
    <row r="1355" customFormat="false" ht="15" hidden="false" customHeight="false" outlineLevel="0" collapsed="false">
      <c r="I1355" s="7" t="str">
        <f aca="false">IF($C1355="","",IF($C1355="G","PUTT",IF(AND($C1355="T",$M1355&gt;3),"OTT",IF($D1355&lt;=30,"ARG","APP"))))</f>
        <v/>
      </c>
      <c r="J1355" s="17" t="str">
        <f aca="false">IF($C1355="","",$N1355+$Q1355*$R1355)</f>
        <v/>
      </c>
      <c r="K1355" s="17" t="str">
        <f aca="false">IF($C1355="","",$O1355+$Q1355*$S1355)</f>
        <v/>
      </c>
      <c r="L1355" s="17" t="str">
        <f aca="false">IF($C1355="","",$J1355-$K1355-1-N($G1355))</f>
        <v/>
      </c>
      <c r="M1355" s="7" t="str">
        <f aca="false">IF($B1355="","",INDEX(Course!$B$2:$B$19,MATCH($B1355,Course!$A$2:$A$19,0)))</f>
        <v/>
      </c>
      <c r="N1355" s="17" t="str">
        <f aca="false">IF($C1355="","",IF($C1355="H",0,IF($C1355="G",INDEX(Baseline!$I$3:$I$102,MIN(MAX(ROUND($D1355,0),1),100)),IF($C1355="T",IF($M1355=3,INDEX(Baseline!$B$3:$B$122,MATCH(MIN(MAX(ROUND(($D1355)/5,0)*5,5),600),Baseline!$A$3:$A$122,0))-Inputs!$B$9,INDEX(Course!$N$2:$N$19,MATCH($B1355,Course!$A$2:$A$19,0))),INDEX(Baseline!$B$3:$E$122,MATCH(MIN(MAX(ROUND(($D1355)/5,0)*5,5),600),Baseline!$A$3:$A$122,0),MATCH($C1355,Baseline!$B$2:$E$2,0))))))</f>
        <v/>
      </c>
      <c r="O1355" s="17" t="str">
        <f aca="false">IF($C1355="","",IF($E1355="H",0,IF($E1355="G",INDEX(Baseline!$I$3:$I$102,MIN(MAX(ROUND($F1355,0),1),100)),IF($E1355="T",IF($M1355=3,INDEX(Baseline!$B$3:$B$122,MATCH(MIN(MAX(ROUND(($F1355)/5,0)*5,5),600),Baseline!$A$3:$A$122,0))-Inputs!$B$9,INDEX(Course!$N$2:$N$19,MATCH($B1355,Course!$A$2:$A$19,0))),INDEX(Baseline!$B$3:$E$122,MATCH(MIN(MAX(ROUND(($F1355)/5,0)*5,5),600),Baseline!$A$3:$A$122,0),MATCH($E1355,Baseline!$B$2:$E$2,0))))))</f>
        <v/>
      </c>
      <c r="P1355" s="17" t="str">
        <f aca="false">IF($B1355="","",INDEX(Course!$N$2:$N$19,MATCH($B1355,Course!$A$2:$A$19,0)))</f>
        <v/>
      </c>
      <c r="Q1355" s="17" t="str">
        <f aca="false">IF($B1355="","",INDEX(Course!$P$2:$P$19,MATCH($B1355,Course!$A$2:$A$19,0)))</f>
        <v/>
      </c>
      <c r="R1355" s="17" t="str">
        <f aca="false">IF($C1355="","",IF(OR($C1355="G",$C1355="H"),0,IF($C1355="T",1,MIN(1,MAX(0,($N1355-Inputs!$B$8)/MAX($P1355-Inputs!$B$8,0.01))))))</f>
        <v/>
      </c>
      <c r="S1355" s="17" t="str">
        <f aca="false">IF($C1355="","",IF(OR($E1355="G",$E1355="H"),0,IF($E1355="T",1,MIN(1,MAX(0,($O1355-Inputs!$B$8)/MAX($P1355-Inputs!$B$8,0.01))))))</f>
        <v/>
      </c>
    </row>
    <row r="1356" customFormat="false" ht="15" hidden="false" customHeight="false" outlineLevel="0" collapsed="false">
      <c r="I1356" s="7" t="str">
        <f aca="false">IF($C1356="","",IF($C1356="G","PUTT",IF(AND($C1356="T",$M1356&gt;3),"OTT",IF($D1356&lt;=30,"ARG","APP"))))</f>
        <v/>
      </c>
      <c r="J1356" s="17" t="str">
        <f aca="false">IF($C1356="","",$N1356+$Q1356*$R1356)</f>
        <v/>
      </c>
      <c r="K1356" s="17" t="str">
        <f aca="false">IF($C1356="","",$O1356+$Q1356*$S1356)</f>
        <v/>
      </c>
      <c r="L1356" s="17" t="str">
        <f aca="false">IF($C1356="","",$J1356-$K1356-1-N($G1356))</f>
        <v/>
      </c>
      <c r="M1356" s="7" t="str">
        <f aca="false">IF($B1356="","",INDEX(Course!$B$2:$B$19,MATCH($B1356,Course!$A$2:$A$19,0)))</f>
        <v/>
      </c>
      <c r="N1356" s="17" t="str">
        <f aca="false">IF($C1356="","",IF($C1356="H",0,IF($C1356="G",INDEX(Baseline!$I$3:$I$102,MIN(MAX(ROUND($D1356,0),1),100)),IF($C1356="T",IF($M1356=3,INDEX(Baseline!$B$3:$B$122,MATCH(MIN(MAX(ROUND(($D1356)/5,0)*5,5),600),Baseline!$A$3:$A$122,0))-Inputs!$B$9,INDEX(Course!$N$2:$N$19,MATCH($B1356,Course!$A$2:$A$19,0))),INDEX(Baseline!$B$3:$E$122,MATCH(MIN(MAX(ROUND(($D1356)/5,0)*5,5),600),Baseline!$A$3:$A$122,0),MATCH($C1356,Baseline!$B$2:$E$2,0))))))</f>
        <v/>
      </c>
      <c r="O1356" s="17" t="str">
        <f aca="false">IF($C1356="","",IF($E1356="H",0,IF($E1356="G",INDEX(Baseline!$I$3:$I$102,MIN(MAX(ROUND($F1356,0),1),100)),IF($E1356="T",IF($M1356=3,INDEX(Baseline!$B$3:$B$122,MATCH(MIN(MAX(ROUND(($F1356)/5,0)*5,5),600),Baseline!$A$3:$A$122,0))-Inputs!$B$9,INDEX(Course!$N$2:$N$19,MATCH($B1356,Course!$A$2:$A$19,0))),INDEX(Baseline!$B$3:$E$122,MATCH(MIN(MAX(ROUND(($F1356)/5,0)*5,5),600),Baseline!$A$3:$A$122,0),MATCH($E1356,Baseline!$B$2:$E$2,0))))))</f>
        <v/>
      </c>
      <c r="P1356" s="17" t="str">
        <f aca="false">IF($B1356="","",INDEX(Course!$N$2:$N$19,MATCH($B1356,Course!$A$2:$A$19,0)))</f>
        <v/>
      </c>
      <c r="Q1356" s="17" t="str">
        <f aca="false">IF($B1356="","",INDEX(Course!$P$2:$P$19,MATCH($B1356,Course!$A$2:$A$19,0)))</f>
        <v/>
      </c>
      <c r="R1356" s="17" t="str">
        <f aca="false">IF($C1356="","",IF(OR($C1356="G",$C1356="H"),0,IF($C1356="T",1,MIN(1,MAX(0,($N1356-Inputs!$B$8)/MAX($P1356-Inputs!$B$8,0.01))))))</f>
        <v/>
      </c>
      <c r="S1356" s="17" t="str">
        <f aca="false">IF($C1356="","",IF(OR($E1356="G",$E1356="H"),0,IF($E1356="T",1,MIN(1,MAX(0,($O1356-Inputs!$B$8)/MAX($P1356-Inputs!$B$8,0.01))))))</f>
        <v/>
      </c>
    </row>
    <row r="1357" customFormat="false" ht="15" hidden="false" customHeight="false" outlineLevel="0" collapsed="false">
      <c r="I1357" s="7" t="str">
        <f aca="false">IF($C1357="","",IF($C1357="G","PUTT",IF(AND($C1357="T",$M1357&gt;3),"OTT",IF($D1357&lt;=30,"ARG","APP"))))</f>
        <v/>
      </c>
      <c r="J1357" s="17" t="str">
        <f aca="false">IF($C1357="","",$N1357+$Q1357*$R1357)</f>
        <v/>
      </c>
      <c r="K1357" s="17" t="str">
        <f aca="false">IF($C1357="","",$O1357+$Q1357*$S1357)</f>
        <v/>
      </c>
      <c r="L1357" s="17" t="str">
        <f aca="false">IF($C1357="","",$J1357-$K1357-1-N($G1357))</f>
        <v/>
      </c>
      <c r="M1357" s="7" t="str">
        <f aca="false">IF($B1357="","",INDEX(Course!$B$2:$B$19,MATCH($B1357,Course!$A$2:$A$19,0)))</f>
        <v/>
      </c>
      <c r="N1357" s="17" t="str">
        <f aca="false">IF($C1357="","",IF($C1357="H",0,IF($C1357="G",INDEX(Baseline!$I$3:$I$102,MIN(MAX(ROUND($D1357,0),1),100)),IF($C1357="T",IF($M1357=3,INDEX(Baseline!$B$3:$B$122,MATCH(MIN(MAX(ROUND(($D1357)/5,0)*5,5),600),Baseline!$A$3:$A$122,0))-Inputs!$B$9,INDEX(Course!$N$2:$N$19,MATCH($B1357,Course!$A$2:$A$19,0))),INDEX(Baseline!$B$3:$E$122,MATCH(MIN(MAX(ROUND(($D1357)/5,0)*5,5),600),Baseline!$A$3:$A$122,0),MATCH($C1357,Baseline!$B$2:$E$2,0))))))</f>
        <v/>
      </c>
      <c r="O1357" s="17" t="str">
        <f aca="false">IF($C1357="","",IF($E1357="H",0,IF($E1357="G",INDEX(Baseline!$I$3:$I$102,MIN(MAX(ROUND($F1357,0),1),100)),IF($E1357="T",IF($M1357=3,INDEX(Baseline!$B$3:$B$122,MATCH(MIN(MAX(ROUND(($F1357)/5,0)*5,5),600),Baseline!$A$3:$A$122,0))-Inputs!$B$9,INDEX(Course!$N$2:$N$19,MATCH($B1357,Course!$A$2:$A$19,0))),INDEX(Baseline!$B$3:$E$122,MATCH(MIN(MAX(ROUND(($F1357)/5,0)*5,5),600),Baseline!$A$3:$A$122,0),MATCH($E1357,Baseline!$B$2:$E$2,0))))))</f>
        <v/>
      </c>
      <c r="P1357" s="17" t="str">
        <f aca="false">IF($B1357="","",INDEX(Course!$N$2:$N$19,MATCH($B1357,Course!$A$2:$A$19,0)))</f>
        <v/>
      </c>
      <c r="Q1357" s="17" t="str">
        <f aca="false">IF($B1357="","",INDEX(Course!$P$2:$P$19,MATCH($B1357,Course!$A$2:$A$19,0)))</f>
        <v/>
      </c>
      <c r="R1357" s="17" t="str">
        <f aca="false">IF($C1357="","",IF(OR($C1357="G",$C1357="H"),0,IF($C1357="T",1,MIN(1,MAX(0,($N1357-Inputs!$B$8)/MAX($P1357-Inputs!$B$8,0.01))))))</f>
        <v/>
      </c>
      <c r="S1357" s="17" t="str">
        <f aca="false">IF($C1357="","",IF(OR($E1357="G",$E1357="H"),0,IF($E1357="T",1,MIN(1,MAX(0,($O1357-Inputs!$B$8)/MAX($P1357-Inputs!$B$8,0.01))))))</f>
        <v/>
      </c>
    </row>
    <row r="1358" customFormat="false" ht="15" hidden="false" customHeight="false" outlineLevel="0" collapsed="false">
      <c r="I1358" s="7" t="str">
        <f aca="false">IF($C1358="","",IF($C1358="G","PUTT",IF(AND($C1358="T",$M1358&gt;3),"OTT",IF($D1358&lt;=30,"ARG","APP"))))</f>
        <v/>
      </c>
      <c r="J1358" s="17" t="str">
        <f aca="false">IF($C1358="","",$N1358+$Q1358*$R1358)</f>
        <v/>
      </c>
      <c r="K1358" s="17" t="str">
        <f aca="false">IF($C1358="","",$O1358+$Q1358*$S1358)</f>
        <v/>
      </c>
      <c r="L1358" s="17" t="str">
        <f aca="false">IF($C1358="","",$J1358-$K1358-1-N($G1358))</f>
        <v/>
      </c>
      <c r="M1358" s="7" t="str">
        <f aca="false">IF($B1358="","",INDEX(Course!$B$2:$B$19,MATCH($B1358,Course!$A$2:$A$19,0)))</f>
        <v/>
      </c>
      <c r="N1358" s="17" t="str">
        <f aca="false">IF($C1358="","",IF($C1358="H",0,IF($C1358="G",INDEX(Baseline!$I$3:$I$102,MIN(MAX(ROUND($D1358,0),1),100)),IF($C1358="T",IF($M1358=3,INDEX(Baseline!$B$3:$B$122,MATCH(MIN(MAX(ROUND(($D1358)/5,0)*5,5),600),Baseline!$A$3:$A$122,0))-Inputs!$B$9,INDEX(Course!$N$2:$N$19,MATCH($B1358,Course!$A$2:$A$19,0))),INDEX(Baseline!$B$3:$E$122,MATCH(MIN(MAX(ROUND(($D1358)/5,0)*5,5),600),Baseline!$A$3:$A$122,0),MATCH($C1358,Baseline!$B$2:$E$2,0))))))</f>
        <v/>
      </c>
      <c r="O1358" s="17" t="str">
        <f aca="false">IF($C1358="","",IF($E1358="H",0,IF($E1358="G",INDEX(Baseline!$I$3:$I$102,MIN(MAX(ROUND($F1358,0),1),100)),IF($E1358="T",IF($M1358=3,INDEX(Baseline!$B$3:$B$122,MATCH(MIN(MAX(ROUND(($F1358)/5,0)*5,5),600),Baseline!$A$3:$A$122,0))-Inputs!$B$9,INDEX(Course!$N$2:$N$19,MATCH($B1358,Course!$A$2:$A$19,0))),INDEX(Baseline!$B$3:$E$122,MATCH(MIN(MAX(ROUND(($F1358)/5,0)*5,5),600),Baseline!$A$3:$A$122,0),MATCH($E1358,Baseline!$B$2:$E$2,0))))))</f>
        <v/>
      </c>
      <c r="P1358" s="17" t="str">
        <f aca="false">IF($B1358="","",INDEX(Course!$N$2:$N$19,MATCH($B1358,Course!$A$2:$A$19,0)))</f>
        <v/>
      </c>
      <c r="Q1358" s="17" t="str">
        <f aca="false">IF($B1358="","",INDEX(Course!$P$2:$P$19,MATCH($B1358,Course!$A$2:$A$19,0)))</f>
        <v/>
      </c>
      <c r="R1358" s="17" t="str">
        <f aca="false">IF($C1358="","",IF(OR($C1358="G",$C1358="H"),0,IF($C1358="T",1,MIN(1,MAX(0,($N1358-Inputs!$B$8)/MAX($P1358-Inputs!$B$8,0.01))))))</f>
        <v/>
      </c>
      <c r="S1358" s="17" t="str">
        <f aca="false">IF($C1358="","",IF(OR($E1358="G",$E1358="H"),0,IF($E1358="T",1,MIN(1,MAX(0,($O1358-Inputs!$B$8)/MAX($P1358-Inputs!$B$8,0.01))))))</f>
        <v/>
      </c>
    </row>
    <row r="1359" customFormat="false" ht="15" hidden="false" customHeight="false" outlineLevel="0" collapsed="false">
      <c r="I1359" s="7" t="str">
        <f aca="false">IF($C1359="","",IF($C1359="G","PUTT",IF(AND($C1359="T",$M1359&gt;3),"OTT",IF($D1359&lt;=30,"ARG","APP"))))</f>
        <v/>
      </c>
      <c r="J1359" s="17" t="str">
        <f aca="false">IF($C1359="","",$N1359+$Q1359*$R1359)</f>
        <v/>
      </c>
      <c r="K1359" s="17" t="str">
        <f aca="false">IF($C1359="","",$O1359+$Q1359*$S1359)</f>
        <v/>
      </c>
      <c r="L1359" s="17" t="str">
        <f aca="false">IF($C1359="","",$J1359-$K1359-1-N($G1359))</f>
        <v/>
      </c>
      <c r="M1359" s="7" t="str">
        <f aca="false">IF($B1359="","",INDEX(Course!$B$2:$B$19,MATCH($B1359,Course!$A$2:$A$19,0)))</f>
        <v/>
      </c>
      <c r="N1359" s="17" t="str">
        <f aca="false">IF($C1359="","",IF($C1359="H",0,IF($C1359="G",INDEX(Baseline!$I$3:$I$102,MIN(MAX(ROUND($D1359,0),1),100)),IF($C1359="T",IF($M1359=3,INDEX(Baseline!$B$3:$B$122,MATCH(MIN(MAX(ROUND(($D1359)/5,0)*5,5),600),Baseline!$A$3:$A$122,0))-Inputs!$B$9,INDEX(Course!$N$2:$N$19,MATCH($B1359,Course!$A$2:$A$19,0))),INDEX(Baseline!$B$3:$E$122,MATCH(MIN(MAX(ROUND(($D1359)/5,0)*5,5),600),Baseline!$A$3:$A$122,0),MATCH($C1359,Baseline!$B$2:$E$2,0))))))</f>
        <v/>
      </c>
      <c r="O1359" s="17" t="str">
        <f aca="false">IF($C1359="","",IF($E1359="H",0,IF($E1359="G",INDEX(Baseline!$I$3:$I$102,MIN(MAX(ROUND($F1359,0),1),100)),IF($E1359="T",IF($M1359=3,INDEX(Baseline!$B$3:$B$122,MATCH(MIN(MAX(ROUND(($F1359)/5,0)*5,5),600),Baseline!$A$3:$A$122,0))-Inputs!$B$9,INDEX(Course!$N$2:$N$19,MATCH($B1359,Course!$A$2:$A$19,0))),INDEX(Baseline!$B$3:$E$122,MATCH(MIN(MAX(ROUND(($F1359)/5,0)*5,5),600),Baseline!$A$3:$A$122,0),MATCH($E1359,Baseline!$B$2:$E$2,0))))))</f>
        <v/>
      </c>
      <c r="P1359" s="17" t="str">
        <f aca="false">IF($B1359="","",INDEX(Course!$N$2:$N$19,MATCH($B1359,Course!$A$2:$A$19,0)))</f>
        <v/>
      </c>
      <c r="Q1359" s="17" t="str">
        <f aca="false">IF($B1359="","",INDEX(Course!$P$2:$P$19,MATCH($B1359,Course!$A$2:$A$19,0)))</f>
        <v/>
      </c>
      <c r="R1359" s="17" t="str">
        <f aca="false">IF($C1359="","",IF(OR($C1359="G",$C1359="H"),0,IF($C1359="T",1,MIN(1,MAX(0,($N1359-Inputs!$B$8)/MAX($P1359-Inputs!$B$8,0.01))))))</f>
        <v/>
      </c>
      <c r="S1359" s="17" t="str">
        <f aca="false">IF($C1359="","",IF(OR($E1359="G",$E1359="H"),0,IF($E1359="T",1,MIN(1,MAX(0,($O1359-Inputs!$B$8)/MAX($P1359-Inputs!$B$8,0.01))))))</f>
        <v/>
      </c>
    </row>
    <row r="1360" customFormat="false" ht="15" hidden="false" customHeight="false" outlineLevel="0" collapsed="false">
      <c r="I1360" s="7" t="str">
        <f aca="false">IF($C1360="","",IF($C1360="G","PUTT",IF(AND($C1360="T",$M1360&gt;3),"OTT",IF($D1360&lt;=30,"ARG","APP"))))</f>
        <v/>
      </c>
      <c r="J1360" s="17" t="str">
        <f aca="false">IF($C1360="","",$N1360+$Q1360*$R1360)</f>
        <v/>
      </c>
      <c r="K1360" s="17" t="str">
        <f aca="false">IF($C1360="","",$O1360+$Q1360*$S1360)</f>
        <v/>
      </c>
      <c r="L1360" s="17" t="str">
        <f aca="false">IF($C1360="","",$J1360-$K1360-1-N($G1360))</f>
        <v/>
      </c>
      <c r="M1360" s="7" t="str">
        <f aca="false">IF($B1360="","",INDEX(Course!$B$2:$B$19,MATCH($B1360,Course!$A$2:$A$19,0)))</f>
        <v/>
      </c>
      <c r="N1360" s="17" t="str">
        <f aca="false">IF($C1360="","",IF($C1360="H",0,IF($C1360="G",INDEX(Baseline!$I$3:$I$102,MIN(MAX(ROUND($D1360,0),1),100)),IF($C1360="T",IF($M1360=3,INDEX(Baseline!$B$3:$B$122,MATCH(MIN(MAX(ROUND(($D1360)/5,0)*5,5),600),Baseline!$A$3:$A$122,0))-Inputs!$B$9,INDEX(Course!$N$2:$N$19,MATCH($B1360,Course!$A$2:$A$19,0))),INDEX(Baseline!$B$3:$E$122,MATCH(MIN(MAX(ROUND(($D1360)/5,0)*5,5),600),Baseline!$A$3:$A$122,0),MATCH($C1360,Baseline!$B$2:$E$2,0))))))</f>
        <v/>
      </c>
      <c r="O1360" s="17" t="str">
        <f aca="false">IF($C1360="","",IF($E1360="H",0,IF($E1360="G",INDEX(Baseline!$I$3:$I$102,MIN(MAX(ROUND($F1360,0),1),100)),IF($E1360="T",IF($M1360=3,INDEX(Baseline!$B$3:$B$122,MATCH(MIN(MAX(ROUND(($F1360)/5,0)*5,5),600),Baseline!$A$3:$A$122,0))-Inputs!$B$9,INDEX(Course!$N$2:$N$19,MATCH($B1360,Course!$A$2:$A$19,0))),INDEX(Baseline!$B$3:$E$122,MATCH(MIN(MAX(ROUND(($F1360)/5,0)*5,5),600),Baseline!$A$3:$A$122,0),MATCH($E1360,Baseline!$B$2:$E$2,0))))))</f>
        <v/>
      </c>
      <c r="P1360" s="17" t="str">
        <f aca="false">IF($B1360="","",INDEX(Course!$N$2:$N$19,MATCH($B1360,Course!$A$2:$A$19,0)))</f>
        <v/>
      </c>
      <c r="Q1360" s="17" t="str">
        <f aca="false">IF($B1360="","",INDEX(Course!$P$2:$P$19,MATCH($B1360,Course!$A$2:$A$19,0)))</f>
        <v/>
      </c>
      <c r="R1360" s="17" t="str">
        <f aca="false">IF($C1360="","",IF(OR($C1360="G",$C1360="H"),0,IF($C1360="T",1,MIN(1,MAX(0,($N1360-Inputs!$B$8)/MAX($P1360-Inputs!$B$8,0.01))))))</f>
        <v/>
      </c>
      <c r="S1360" s="17" t="str">
        <f aca="false">IF($C1360="","",IF(OR($E1360="G",$E1360="H"),0,IF($E1360="T",1,MIN(1,MAX(0,($O1360-Inputs!$B$8)/MAX($P1360-Inputs!$B$8,0.01))))))</f>
        <v/>
      </c>
    </row>
    <row r="1361" customFormat="false" ht="15" hidden="false" customHeight="false" outlineLevel="0" collapsed="false">
      <c r="I1361" s="7" t="str">
        <f aca="false">IF($C1361="","",IF($C1361="G","PUTT",IF(AND($C1361="T",$M1361&gt;3),"OTT",IF($D1361&lt;=30,"ARG","APP"))))</f>
        <v/>
      </c>
      <c r="J1361" s="17" t="str">
        <f aca="false">IF($C1361="","",$N1361+$Q1361*$R1361)</f>
        <v/>
      </c>
      <c r="K1361" s="17" t="str">
        <f aca="false">IF($C1361="","",$O1361+$Q1361*$S1361)</f>
        <v/>
      </c>
      <c r="L1361" s="17" t="str">
        <f aca="false">IF($C1361="","",$J1361-$K1361-1-N($G1361))</f>
        <v/>
      </c>
      <c r="M1361" s="7" t="str">
        <f aca="false">IF($B1361="","",INDEX(Course!$B$2:$B$19,MATCH($B1361,Course!$A$2:$A$19,0)))</f>
        <v/>
      </c>
      <c r="N1361" s="17" t="str">
        <f aca="false">IF($C1361="","",IF($C1361="H",0,IF($C1361="G",INDEX(Baseline!$I$3:$I$102,MIN(MAX(ROUND($D1361,0),1),100)),IF($C1361="T",IF($M1361=3,INDEX(Baseline!$B$3:$B$122,MATCH(MIN(MAX(ROUND(($D1361)/5,0)*5,5),600),Baseline!$A$3:$A$122,0))-Inputs!$B$9,INDEX(Course!$N$2:$N$19,MATCH($B1361,Course!$A$2:$A$19,0))),INDEX(Baseline!$B$3:$E$122,MATCH(MIN(MAX(ROUND(($D1361)/5,0)*5,5),600),Baseline!$A$3:$A$122,0),MATCH($C1361,Baseline!$B$2:$E$2,0))))))</f>
        <v/>
      </c>
      <c r="O1361" s="17" t="str">
        <f aca="false">IF($C1361="","",IF($E1361="H",0,IF($E1361="G",INDEX(Baseline!$I$3:$I$102,MIN(MAX(ROUND($F1361,0),1),100)),IF($E1361="T",IF($M1361=3,INDEX(Baseline!$B$3:$B$122,MATCH(MIN(MAX(ROUND(($F1361)/5,0)*5,5),600),Baseline!$A$3:$A$122,0))-Inputs!$B$9,INDEX(Course!$N$2:$N$19,MATCH($B1361,Course!$A$2:$A$19,0))),INDEX(Baseline!$B$3:$E$122,MATCH(MIN(MAX(ROUND(($F1361)/5,0)*5,5),600),Baseline!$A$3:$A$122,0),MATCH($E1361,Baseline!$B$2:$E$2,0))))))</f>
        <v/>
      </c>
      <c r="P1361" s="17" t="str">
        <f aca="false">IF($B1361="","",INDEX(Course!$N$2:$N$19,MATCH($B1361,Course!$A$2:$A$19,0)))</f>
        <v/>
      </c>
      <c r="Q1361" s="17" t="str">
        <f aca="false">IF($B1361="","",INDEX(Course!$P$2:$P$19,MATCH($B1361,Course!$A$2:$A$19,0)))</f>
        <v/>
      </c>
      <c r="R1361" s="17" t="str">
        <f aca="false">IF($C1361="","",IF(OR($C1361="G",$C1361="H"),0,IF($C1361="T",1,MIN(1,MAX(0,($N1361-Inputs!$B$8)/MAX($P1361-Inputs!$B$8,0.01))))))</f>
        <v/>
      </c>
      <c r="S1361" s="17" t="str">
        <f aca="false">IF($C1361="","",IF(OR($E1361="G",$E1361="H"),0,IF($E1361="T",1,MIN(1,MAX(0,($O1361-Inputs!$B$8)/MAX($P1361-Inputs!$B$8,0.01))))))</f>
        <v/>
      </c>
    </row>
    <row r="1362" customFormat="false" ht="15" hidden="false" customHeight="false" outlineLevel="0" collapsed="false">
      <c r="I1362" s="7" t="str">
        <f aca="false">IF($C1362="","",IF($C1362="G","PUTT",IF(AND($C1362="T",$M1362&gt;3),"OTT",IF($D1362&lt;=30,"ARG","APP"))))</f>
        <v/>
      </c>
      <c r="J1362" s="17" t="str">
        <f aca="false">IF($C1362="","",$N1362+$Q1362*$R1362)</f>
        <v/>
      </c>
      <c r="K1362" s="17" t="str">
        <f aca="false">IF($C1362="","",$O1362+$Q1362*$S1362)</f>
        <v/>
      </c>
      <c r="L1362" s="17" t="str">
        <f aca="false">IF($C1362="","",$J1362-$K1362-1-N($G1362))</f>
        <v/>
      </c>
      <c r="M1362" s="7" t="str">
        <f aca="false">IF($B1362="","",INDEX(Course!$B$2:$B$19,MATCH($B1362,Course!$A$2:$A$19,0)))</f>
        <v/>
      </c>
      <c r="N1362" s="17" t="str">
        <f aca="false">IF($C1362="","",IF($C1362="H",0,IF($C1362="G",INDEX(Baseline!$I$3:$I$102,MIN(MAX(ROUND($D1362,0),1),100)),IF($C1362="T",IF($M1362=3,INDEX(Baseline!$B$3:$B$122,MATCH(MIN(MAX(ROUND(($D1362)/5,0)*5,5),600),Baseline!$A$3:$A$122,0))-Inputs!$B$9,INDEX(Course!$N$2:$N$19,MATCH($B1362,Course!$A$2:$A$19,0))),INDEX(Baseline!$B$3:$E$122,MATCH(MIN(MAX(ROUND(($D1362)/5,0)*5,5),600),Baseline!$A$3:$A$122,0),MATCH($C1362,Baseline!$B$2:$E$2,0))))))</f>
        <v/>
      </c>
      <c r="O1362" s="17" t="str">
        <f aca="false">IF($C1362="","",IF($E1362="H",0,IF($E1362="G",INDEX(Baseline!$I$3:$I$102,MIN(MAX(ROUND($F1362,0),1),100)),IF($E1362="T",IF($M1362=3,INDEX(Baseline!$B$3:$B$122,MATCH(MIN(MAX(ROUND(($F1362)/5,0)*5,5),600),Baseline!$A$3:$A$122,0))-Inputs!$B$9,INDEX(Course!$N$2:$N$19,MATCH($B1362,Course!$A$2:$A$19,0))),INDEX(Baseline!$B$3:$E$122,MATCH(MIN(MAX(ROUND(($F1362)/5,0)*5,5),600),Baseline!$A$3:$A$122,0),MATCH($E1362,Baseline!$B$2:$E$2,0))))))</f>
        <v/>
      </c>
      <c r="P1362" s="17" t="str">
        <f aca="false">IF($B1362="","",INDEX(Course!$N$2:$N$19,MATCH($B1362,Course!$A$2:$A$19,0)))</f>
        <v/>
      </c>
      <c r="Q1362" s="17" t="str">
        <f aca="false">IF($B1362="","",INDEX(Course!$P$2:$P$19,MATCH($B1362,Course!$A$2:$A$19,0)))</f>
        <v/>
      </c>
      <c r="R1362" s="17" t="str">
        <f aca="false">IF($C1362="","",IF(OR($C1362="G",$C1362="H"),0,IF($C1362="T",1,MIN(1,MAX(0,($N1362-Inputs!$B$8)/MAX($P1362-Inputs!$B$8,0.01))))))</f>
        <v/>
      </c>
      <c r="S1362" s="17" t="str">
        <f aca="false">IF($C1362="","",IF(OR($E1362="G",$E1362="H"),0,IF($E1362="T",1,MIN(1,MAX(0,($O1362-Inputs!$B$8)/MAX($P1362-Inputs!$B$8,0.01))))))</f>
        <v/>
      </c>
    </row>
    <row r="1363" customFormat="false" ht="15" hidden="false" customHeight="false" outlineLevel="0" collapsed="false">
      <c r="I1363" s="7" t="str">
        <f aca="false">IF($C1363="","",IF($C1363="G","PUTT",IF(AND($C1363="T",$M1363&gt;3),"OTT",IF($D1363&lt;=30,"ARG","APP"))))</f>
        <v/>
      </c>
      <c r="J1363" s="17" t="str">
        <f aca="false">IF($C1363="","",$N1363+$Q1363*$R1363)</f>
        <v/>
      </c>
      <c r="K1363" s="17" t="str">
        <f aca="false">IF($C1363="","",$O1363+$Q1363*$S1363)</f>
        <v/>
      </c>
      <c r="L1363" s="17" t="str">
        <f aca="false">IF($C1363="","",$J1363-$K1363-1-N($G1363))</f>
        <v/>
      </c>
      <c r="M1363" s="7" t="str">
        <f aca="false">IF($B1363="","",INDEX(Course!$B$2:$B$19,MATCH($B1363,Course!$A$2:$A$19,0)))</f>
        <v/>
      </c>
      <c r="N1363" s="17" t="str">
        <f aca="false">IF($C1363="","",IF($C1363="H",0,IF($C1363="G",INDEX(Baseline!$I$3:$I$102,MIN(MAX(ROUND($D1363,0),1),100)),IF($C1363="T",IF($M1363=3,INDEX(Baseline!$B$3:$B$122,MATCH(MIN(MAX(ROUND(($D1363)/5,0)*5,5),600),Baseline!$A$3:$A$122,0))-Inputs!$B$9,INDEX(Course!$N$2:$N$19,MATCH($B1363,Course!$A$2:$A$19,0))),INDEX(Baseline!$B$3:$E$122,MATCH(MIN(MAX(ROUND(($D1363)/5,0)*5,5),600),Baseline!$A$3:$A$122,0),MATCH($C1363,Baseline!$B$2:$E$2,0))))))</f>
        <v/>
      </c>
      <c r="O1363" s="17" t="str">
        <f aca="false">IF($C1363="","",IF($E1363="H",0,IF($E1363="G",INDEX(Baseline!$I$3:$I$102,MIN(MAX(ROUND($F1363,0),1),100)),IF($E1363="T",IF($M1363=3,INDEX(Baseline!$B$3:$B$122,MATCH(MIN(MAX(ROUND(($F1363)/5,0)*5,5),600),Baseline!$A$3:$A$122,0))-Inputs!$B$9,INDEX(Course!$N$2:$N$19,MATCH($B1363,Course!$A$2:$A$19,0))),INDEX(Baseline!$B$3:$E$122,MATCH(MIN(MAX(ROUND(($F1363)/5,0)*5,5),600),Baseline!$A$3:$A$122,0),MATCH($E1363,Baseline!$B$2:$E$2,0))))))</f>
        <v/>
      </c>
      <c r="P1363" s="17" t="str">
        <f aca="false">IF($B1363="","",INDEX(Course!$N$2:$N$19,MATCH($B1363,Course!$A$2:$A$19,0)))</f>
        <v/>
      </c>
      <c r="Q1363" s="17" t="str">
        <f aca="false">IF($B1363="","",INDEX(Course!$P$2:$P$19,MATCH($B1363,Course!$A$2:$A$19,0)))</f>
        <v/>
      </c>
      <c r="R1363" s="17" t="str">
        <f aca="false">IF($C1363="","",IF(OR($C1363="G",$C1363="H"),0,IF($C1363="T",1,MIN(1,MAX(0,($N1363-Inputs!$B$8)/MAX($P1363-Inputs!$B$8,0.01))))))</f>
        <v/>
      </c>
      <c r="S1363" s="17" t="str">
        <f aca="false">IF($C1363="","",IF(OR($E1363="G",$E1363="H"),0,IF($E1363="T",1,MIN(1,MAX(0,($O1363-Inputs!$B$8)/MAX($P1363-Inputs!$B$8,0.01))))))</f>
        <v/>
      </c>
    </row>
    <row r="1364" customFormat="false" ht="15" hidden="false" customHeight="false" outlineLevel="0" collapsed="false">
      <c r="I1364" s="7" t="str">
        <f aca="false">IF($C1364="","",IF($C1364="G","PUTT",IF(AND($C1364="T",$M1364&gt;3),"OTT",IF($D1364&lt;=30,"ARG","APP"))))</f>
        <v/>
      </c>
      <c r="J1364" s="17" t="str">
        <f aca="false">IF($C1364="","",$N1364+$Q1364*$R1364)</f>
        <v/>
      </c>
      <c r="K1364" s="17" t="str">
        <f aca="false">IF($C1364="","",$O1364+$Q1364*$S1364)</f>
        <v/>
      </c>
      <c r="L1364" s="17" t="str">
        <f aca="false">IF($C1364="","",$J1364-$K1364-1-N($G1364))</f>
        <v/>
      </c>
      <c r="M1364" s="7" t="str">
        <f aca="false">IF($B1364="","",INDEX(Course!$B$2:$B$19,MATCH($B1364,Course!$A$2:$A$19,0)))</f>
        <v/>
      </c>
      <c r="N1364" s="17" t="str">
        <f aca="false">IF($C1364="","",IF($C1364="H",0,IF($C1364="G",INDEX(Baseline!$I$3:$I$102,MIN(MAX(ROUND($D1364,0),1),100)),IF($C1364="T",IF($M1364=3,INDEX(Baseline!$B$3:$B$122,MATCH(MIN(MAX(ROUND(($D1364)/5,0)*5,5),600),Baseline!$A$3:$A$122,0))-Inputs!$B$9,INDEX(Course!$N$2:$N$19,MATCH($B1364,Course!$A$2:$A$19,0))),INDEX(Baseline!$B$3:$E$122,MATCH(MIN(MAX(ROUND(($D1364)/5,0)*5,5),600),Baseline!$A$3:$A$122,0),MATCH($C1364,Baseline!$B$2:$E$2,0))))))</f>
        <v/>
      </c>
      <c r="O1364" s="17" t="str">
        <f aca="false">IF($C1364="","",IF($E1364="H",0,IF($E1364="G",INDEX(Baseline!$I$3:$I$102,MIN(MAX(ROUND($F1364,0),1),100)),IF($E1364="T",IF($M1364=3,INDEX(Baseline!$B$3:$B$122,MATCH(MIN(MAX(ROUND(($F1364)/5,0)*5,5),600),Baseline!$A$3:$A$122,0))-Inputs!$B$9,INDEX(Course!$N$2:$N$19,MATCH($B1364,Course!$A$2:$A$19,0))),INDEX(Baseline!$B$3:$E$122,MATCH(MIN(MAX(ROUND(($F1364)/5,0)*5,5),600),Baseline!$A$3:$A$122,0),MATCH($E1364,Baseline!$B$2:$E$2,0))))))</f>
        <v/>
      </c>
      <c r="P1364" s="17" t="str">
        <f aca="false">IF($B1364="","",INDEX(Course!$N$2:$N$19,MATCH($B1364,Course!$A$2:$A$19,0)))</f>
        <v/>
      </c>
      <c r="Q1364" s="17" t="str">
        <f aca="false">IF($B1364="","",INDEX(Course!$P$2:$P$19,MATCH($B1364,Course!$A$2:$A$19,0)))</f>
        <v/>
      </c>
      <c r="R1364" s="17" t="str">
        <f aca="false">IF($C1364="","",IF(OR($C1364="G",$C1364="H"),0,IF($C1364="T",1,MIN(1,MAX(0,($N1364-Inputs!$B$8)/MAX($P1364-Inputs!$B$8,0.01))))))</f>
        <v/>
      </c>
      <c r="S1364" s="17" t="str">
        <f aca="false">IF($C1364="","",IF(OR($E1364="G",$E1364="H"),0,IF($E1364="T",1,MIN(1,MAX(0,($O1364-Inputs!$B$8)/MAX($P1364-Inputs!$B$8,0.01))))))</f>
        <v/>
      </c>
    </row>
    <row r="1365" customFormat="false" ht="15" hidden="false" customHeight="false" outlineLevel="0" collapsed="false">
      <c r="I1365" s="7" t="str">
        <f aca="false">IF($C1365="","",IF($C1365="G","PUTT",IF(AND($C1365="T",$M1365&gt;3),"OTT",IF($D1365&lt;=30,"ARG","APP"))))</f>
        <v/>
      </c>
      <c r="J1365" s="17" t="str">
        <f aca="false">IF($C1365="","",$N1365+$Q1365*$R1365)</f>
        <v/>
      </c>
      <c r="K1365" s="17" t="str">
        <f aca="false">IF($C1365="","",$O1365+$Q1365*$S1365)</f>
        <v/>
      </c>
      <c r="L1365" s="17" t="str">
        <f aca="false">IF($C1365="","",$J1365-$K1365-1-N($G1365))</f>
        <v/>
      </c>
      <c r="M1365" s="7" t="str">
        <f aca="false">IF($B1365="","",INDEX(Course!$B$2:$B$19,MATCH($B1365,Course!$A$2:$A$19,0)))</f>
        <v/>
      </c>
      <c r="N1365" s="17" t="str">
        <f aca="false">IF($C1365="","",IF($C1365="H",0,IF($C1365="G",INDEX(Baseline!$I$3:$I$102,MIN(MAX(ROUND($D1365,0),1),100)),IF($C1365="T",IF($M1365=3,INDEX(Baseline!$B$3:$B$122,MATCH(MIN(MAX(ROUND(($D1365)/5,0)*5,5),600),Baseline!$A$3:$A$122,0))-Inputs!$B$9,INDEX(Course!$N$2:$N$19,MATCH($B1365,Course!$A$2:$A$19,0))),INDEX(Baseline!$B$3:$E$122,MATCH(MIN(MAX(ROUND(($D1365)/5,0)*5,5),600),Baseline!$A$3:$A$122,0),MATCH($C1365,Baseline!$B$2:$E$2,0))))))</f>
        <v/>
      </c>
      <c r="O1365" s="17" t="str">
        <f aca="false">IF($C1365="","",IF($E1365="H",0,IF($E1365="G",INDEX(Baseline!$I$3:$I$102,MIN(MAX(ROUND($F1365,0),1),100)),IF($E1365="T",IF($M1365=3,INDEX(Baseline!$B$3:$B$122,MATCH(MIN(MAX(ROUND(($F1365)/5,0)*5,5),600),Baseline!$A$3:$A$122,0))-Inputs!$B$9,INDEX(Course!$N$2:$N$19,MATCH($B1365,Course!$A$2:$A$19,0))),INDEX(Baseline!$B$3:$E$122,MATCH(MIN(MAX(ROUND(($F1365)/5,0)*5,5),600),Baseline!$A$3:$A$122,0),MATCH($E1365,Baseline!$B$2:$E$2,0))))))</f>
        <v/>
      </c>
      <c r="P1365" s="17" t="str">
        <f aca="false">IF($B1365="","",INDEX(Course!$N$2:$N$19,MATCH($B1365,Course!$A$2:$A$19,0)))</f>
        <v/>
      </c>
      <c r="Q1365" s="17" t="str">
        <f aca="false">IF($B1365="","",INDEX(Course!$P$2:$P$19,MATCH($B1365,Course!$A$2:$A$19,0)))</f>
        <v/>
      </c>
      <c r="R1365" s="17" t="str">
        <f aca="false">IF($C1365="","",IF(OR($C1365="G",$C1365="H"),0,IF($C1365="T",1,MIN(1,MAX(0,($N1365-Inputs!$B$8)/MAX($P1365-Inputs!$B$8,0.01))))))</f>
        <v/>
      </c>
      <c r="S1365" s="17" t="str">
        <f aca="false">IF($C1365="","",IF(OR($E1365="G",$E1365="H"),0,IF($E1365="T",1,MIN(1,MAX(0,($O1365-Inputs!$B$8)/MAX($P1365-Inputs!$B$8,0.01))))))</f>
        <v/>
      </c>
    </row>
    <row r="1366" customFormat="false" ht="15" hidden="false" customHeight="false" outlineLevel="0" collapsed="false">
      <c r="I1366" s="7" t="str">
        <f aca="false">IF($C1366="","",IF($C1366="G","PUTT",IF(AND($C1366="T",$M1366&gt;3),"OTT",IF($D1366&lt;=30,"ARG","APP"))))</f>
        <v/>
      </c>
      <c r="J1366" s="17" t="str">
        <f aca="false">IF($C1366="","",$N1366+$Q1366*$R1366)</f>
        <v/>
      </c>
      <c r="K1366" s="17" t="str">
        <f aca="false">IF($C1366="","",$O1366+$Q1366*$S1366)</f>
        <v/>
      </c>
      <c r="L1366" s="17" t="str">
        <f aca="false">IF($C1366="","",$J1366-$K1366-1-N($G1366))</f>
        <v/>
      </c>
      <c r="M1366" s="7" t="str">
        <f aca="false">IF($B1366="","",INDEX(Course!$B$2:$B$19,MATCH($B1366,Course!$A$2:$A$19,0)))</f>
        <v/>
      </c>
      <c r="N1366" s="17" t="str">
        <f aca="false">IF($C1366="","",IF($C1366="H",0,IF($C1366="G",INDEX(Baseline!$I$3:$I$102,MIN(MAX(ROUND($D1366,0),1),100)),IF($C1366="T",IF($M1366=3,INDEX(Baseline!$B$3:$B$122,MATCH(MIN(MAX(ROUND(($D1366)/5,0)*5,5),600),Baseline!$A$3:$A$122,0))-Inputs!$B$9,INDEX(Course!$N$2:$N$19,MATCH($B1366,Course!$A$2:$A$19,0))),INDEX(Baseline!$B$3:$E$122,MATCH(MIN(MAX(ROUND(($D1366)/5,0)*5,5),600),Baseline!$A$3:$A$122,0),MATCH($C1366,Baseline!$B$2:$E$2,0))))))</f>
        <v/>
      </c>
      <c r="O1366" s="17" t="str">
        <f aca="false">IF($C1366="","",IF($E1366="H",0,IF($E1366="G",INDEX(Baseline!$I$3:$I$102,MIN(MAX(ROUND($F1366,0),1),100)),IF($E1366="T",IF($M1366=3,INDEX(Baseline!$B$3:$B$122,MATCH(MIN(MAX(ROUND(($F1366)/5,0)*5,5),600),Baseline!$A$3:$A$122,0))-Inputs!$B$9,INDEX(Course!$N$2:$N$19,MATCH($B1366,Course!$A$2:$A$19,0))),INDEX(Baseline!$B$3:$E$122,MATCH(MIN(MAX(ROUND(($F1366)/5,0)*5,5),600),Baseline!$A$3:$A$122,0),MATCH($E1366,Baseline!$B$2:$E$2,0))))))</f>
        <v/>
      </c>
      <c r="P1366" s="17" t="str">
        <f aca="false">IF($B1366="","",INDEX(Course!$N$2:$N$19,MATCH($B1366,Course!$A$2:$A$19,0)))</f>
        <v/>
      </c>
      <c r="Q1366" s="17" t="str">
        <f aca="false">IF($B1366="","",INDEX(Course!$P$2:$P$19,MATCH($B1366,Course!$A$2:$A$19,0)))</f>
        <v/>
      </c>
      <c r="R1366" s="17" t="str">
        <f aca="false">IF($C1366="","",IF(OR($C1366="G",$C1366="H"),0,IF($C1366="T",1,MIN(1,MAX(0,($N1366-Inputs!$B$8)/MAX($P1366-Inputs!$B$8,0.01))))))</f>
        <v/>
      </c>
      <c r="S1366" s="17" t="str">
        <f aca="false">IF($C1366="","",IF(OR($E1366="G",$E1366="H"),0,IF($E1366="T",1,MIN(1,MAX(0,($O1366-Inputs!$B$8)/MAX($P1366-Inputs!$B$8,0.01))))))</f>
        <v/>
      </c>
    </row>
    <row r="1367" customFormat="false" ht="15" hidden="false" customHeight="false" outlineLevel="0" collapsed="false">
      <c r="I1367" s="7" t="str">
        <f aca="false">IF($C1367="","",IF($C1367="G","PUTT",IF(AND($C1367="T",$M1367&gt;3),"OTT",IF($D1367&lt;=30,"ARG","APP"))))</f>
        <v/>
      </c>
      <c r="J1367" s="17" t="str">
        <f aca="false">IF($C1367="","",$N1367+$Q1367*$R1367)</f>
        <v/>
      </c>
      <c r="K1367" s="17" t="str">
        <f aca="false">IF($C1367="","",$O1367+$Q1367*$S1367)</f>
        <v/>
      </c>
      <c r="L1367" s="17" t="str">
        <f aca="false">IF($C1367="","",$J1367-$K1367-1-N($G1367))</f>
        <v/>
      </c>
      <c r="M1367" s="7" t="str">
        <f aca="false">IF($B1367="","",INDEX(Course!$B$2:$B$19,MATCH($B1367,Course!$A$2:$A$19,0)))</f>
        <v/>
      </c>
      <c r="N1367" s="17" t="str">
        <f aca="false">IF($C1367="","",IF($C1367="H",0,IF($C1367="G",INDEX(Baseline!$I$3:$I$102,MIN(MAX(ROUND($D1367,0),1),100)),IF($C1367="T",IF($M1367=3,INDEX(Baseline!$B$3:$B$122,MATCH(MIN(MAX(ROUND(($D1367)/5,0)*5,5),600),Baseline!$A$3:$A$122,0))-Inputs!$B$9,INDEX(Course!$N$2:$N$19,MATCH($B1367,Course!$A$2:$A$19,0))),INDEX(Baseline!$B$3:$E$122,MATCH(MIN(MAX(ROUND(($D1367)/5,0)*5,5),600),Baseline!$A$3:$A$122,0),MATCH($C1367,Baseline!$B$2:$E$2,0))))))</f>
        <v/>
      </c>
      <c r="O1367" s="17" t="str">
        <f aca="false">IF($C1367="","",IF($E1367="H",0,IF($E1367="G",INDEX(Baseline!$I$3:$I$102,MIN(MAX(ROUND($F1367,0),1),100)),IF($E1367="T",IF($M1367=3,INDEX(Baseline!$B$3:$B$122,MATCH(MIN(MAX(ROUND(($F1367)/5,0)*5,5),600),Baseline!$A$3:$A$122,0))-Inputs!$B$9,INDEX(Course!$N$2:$N$19,MATCH($B1367,Course!$A$2:$A$19,0))),INDEX(Baseline!$B$3:$E$122,MATCH(MIN(MAX(ROUND(($F1367)/5,0)*5,5),600),Baseline!$A$3:$A$122,0),MATCH($E1367,Baseline!$B$2:$E$2,0))))))</f>
        <v/>
      </c>
      <c r="P1367" s="17" t="str">
        <f aca="false">IF($B1367="","",INDEX(Course!$N$2:$N$19,MATCH($B1367,Course!$A$2:$A$19,0)))</f>
        <v/>
      </c>
      <c r="Q1367" s="17" t="str">
        <f aca="false">IF($B1367="","",INDEX(Course!$P$2:$P$19,MATCH($B1367,Course!$A$2:$A$19,0)))</f>
        <v/>
      </c>
      <c r="R1367" s="17" t="str">
        <f aca="false">IF($C1367="","",IF(OR($C1367="G",$C1367="H"),0,IF($C1367="T",1,MIN(1,MAX(0,($N1367-Inputs!$B$8)/MAX($P1367-Inputs!$B$8,0.01))))))</f>
        <v/>
      </c>
      <c r="S1367" s="17" t="str">
        <f aca="false">IF($C1367="","",IF(OR($E1367="G",$E1367="H"),0,IF($E1367="T",1,MIN(1,MAX(0,($O1367-Inputs!$B$8)/MAX($P1367-Inputs!$B$8,0.01))))))</f>
        <v/>
      </c>
    </row>
    <row r="1368" customFormat="false" ht="15" hidden="false" customHeight="false" outlineLevel="0" collapsed="false">
      <c r="I1368" s="7" t="str">
        <f aca="false">IF($C1368="","",IF($C1368="G","PUTT",IF(AND($C1368="T",$M1368&gt;3),"OTT",IF($D1368&lt;=30,"ARG","APP"))))</f>
        <v/>
      </c>
      <c r="J1368" s="17" t="str">
        <f aca="false">IF($C1368="","",$N1368+$Q1368*$R1368)</f>
        <v/>
      </c>
      <c r="K1368" s="17" t="str">
        <f aca="false">IF($C1368="","",$O1368+$Q1368*$S1368)</f>
        <v/>
      </c>
      <c r="L1368" s="17" t="str">
        <f aca="false">IF($C1368="","",$J1368-$K1368-1-N($G1368))</f>
        <v/>
      </c>
      <c r="M1368" s="7" t="str">
        <f aca="false">IF($B1368="","",INDEX(Course!$B$2:$B$19,MATCH($B1368,Course!$A$2:$A$19,0)))</f>
        <v/>
      </c>
      <c r="N1368" s="17" t="str">
        <f aca="false">IF($C1368="","",IF($C1368="H",0,IF($C1368="G",INDEX(Baseline!$I$3:$I$102,MIN(MAX(ROUND($D1368,0),1),100)),IF($C1368="T",IF($M1368=3,INDEX(Baseline!$B$3:$B$122,MATCH(MIN(MAX(ROUND(($D1368)/5,0)*5,5),600),Baseline!$A$3:$A$122,0))-Inputs!$B$9,INDEX(Course!$N$2:$N$19,MATCH($B1368,Course!$A$2:$A$19,0))),INDEX(Baseline!$B$3:$E$122,MATCH(MIN(MAX(ROUND(($D1368)/5,0)*5,5),600),Baseline!$A$3:$A$122,0),MATCH($C1368,Baseline!$B$2:$E$2,0))))))</f>
        <v/>
      </c>
      <c r="O1368" s="17" t="str">
        <f aca="false">IF($C1368="","",IF($E1368="H",0,IF($E1368="G",INDEX(Baseline!$I$3:$I$102,MIN(MAX(ROUND($F1368,0),1),100)),IF($E1368="T",IF($M1368=3,INDEX(Baseline!$B$3:$B$122,MATCH(MIN(MAX(ROUND(($F1368)/5,0)*5,5),600),Baseline!$A$3:$A$122,0))-Inputs!$B$9,INDEX(Course!$N$2:$N$19,MATCH($B1368,Course!$A$2:$A$19,0))),INDEX(Baseline!$B$3:$E$122,MATCH(MIN(MAX(ROUND(($F1368)/5,0)*5,5),600),Baseline!$A$3:$A$122,0),MATCH($E1368,Baseline!$B$2:$E$2,0))))))</f>
        <v/>
      </c>
      <c r="P1368" s="17" t="str">
        <f aca="false">IF($B1368="","",INDEX(Course!$N$2:$N$19,MATCH($B1368,Course!$A$2:$A$19,0)))</f>
        <v/>
      </c>
      <c r="Q1368" s="17" t="str">
        <f aca="false">IF($B1368="","",INDEX(Course!$P$2:$P$19,MATCH($B1368,Course!$A$2:$A$19,0)))</f>
        <v/>
      </c>
      <c r="R1368" s="17" t="str">
        <f aca="false">IF($C1368="","",IF(OR($C1368="G",$C1368="H"),0,IF($C1368="T",1,MIN(1,MAX(0,($N1368-Inputs!$B$8)/MAX($P1368-Inputs!$B$8,0.01))))))</f>
        <v/>
      </c>
      <c r="S1368" s="17" t="str">
        <f aca="false">IF($C1368="","",IF(OR($E1368="G",$E1368="H"),0,IF($E1368="T",1,MIN(1,MAX(0,($O1368-Inputs!$B$8)/MAX($P1368-Inputs!$B$8,0.01))))))</f>
        <v/>
      </c>
    </row>
    <row r="1369" customFormat="false" ht="15" hidden="false" customHeight="false" outlineLevel="0" collapsed="false">
      <c r="I1369" s="7" t="str">
        <f aca="false">IF($C1369="","",IF($C1369="G","PUTT",IF(AND($C1369="T",$M1369&gt;3),"OTT",IF($D1369&lt;=30,"ARG","APP"))))</f>
        <v/>
      </c>
      <c r="J1369" s="17" t="str">
        <f aca="false">IF($C1369="","",$N1369+$Q1369*$R1369)</f>
        <v/>
      </c>
      <c r="K1369" s="17" t="str">
        <f aca="false">IF($C1369="","",$O1369+$Q1369*$S1369)</f>
        <v/>
      </c>
      <c r="L1369" s="17" t="str">
        <f aca="false">IF($C1369="","",$J1369-$K1369-1-N($G1369))</f>
        <v/>
      </c>
      <c r="M1369" s="7" t="str">
        <f aca="false">IF($B1369="","",INDEX(Course!$B$2:$B$19,MATCH($B1369,Course!$A$2:$A$19,0)))</f>
        <v/>
      </c>
      <c r="N1369" s="17" t="str">
        <f aca="false">IF($C1369="","",IF($C1369="H",0,IF($C1369="G",INDEX(Baseline!$I$3:$I$102,MIN(MAX(ROUND($D1369,0),1),100)),IF($C1369="T",IF($M1369=3,INDEX(Baseline!$B$3:$B$122,MATCH(MIN(MAX(ROUND(($D1369)/5,0)*5,5),600),Baseline!$A$3:$A$122,0))-Inputs!$B$9,INDEX(Course!$N$2:$N$19,MATCH($B1369,Course!$A$2:$A$19,0))),INDEX(Baseline!$B$3:$E$122,MATCH(MIN(MAX(ROUND(($D1369)/5,0)*5,5),600),Baseline!$A$3:$A$122,0),MATCH($C1369,Baseline!$B$2:$E$2,0))))))</f>
        <v/>
      </c>
      <c r="O1369" s="17" t="str">
        <f aca="false">IF($C1369="","",IF($E1369="H",0,IF($E1369="G",INDEX(Baseline!$I$3:$I$102,MIN(MAX(ROUND($F1369,0),1),100)),IF($E1369="T",IF($M1369=3,INDEX(Baseline!$B$3:$B$122,MATCH(MIN(MAX(ROUND(($F1369)/5,0)*5,5),600),Baseline!$A$3:$A$122,0))-Inputs!$B$9,INDEX(Course!$N$2:$N$19,MATCH($B1369,Course!$A$2:$A$19,0))),INDEX(Baseline!$B$3:$E$122,MATCH(MIN(MAX(ROUND(($F1369)/5,0)*5,5),600),Baseline!$A$3:$A$122,0),MATCH($E1369,Baseline!$B$2:$E$2,0))))))</f>
        <v/>
      </c>
      <c r="P1369" s="17" t="str">
        <f aca="false">IF($B1369="","",INDEX(Course!$N$2:$N$19,MATCH($B1369,Course!$A$2:$A$19,0)))</f>
        <v/>
      </c>
      <c r="Q1369" s="17" t="str">
        <f aca="false">IF($B1369="","",INDEX(Course!$P$2:$P$19,MATCH($B1369,Course!$A$2:$A$19,0)))</f>
        <v/>
      </c>
      <c r="R1369" s="17" t="str">
        <f aca="false">IF($C1369="","",IF(OR($C1369="G",$C1369="H"),0,IF($C1369="T",1,MIN(1,MAX(0,($N1369-Inputs!$B$8)/MAX($P1369-Inputs!$B$8,0.01))))))</f>
        <v/>
      </c>
      <c r="S1369" s="17" t="str">
        <f aca="false">IF($C1369="","",IF(OR($E1369="G",$E1369="H"),0,IF($E1369="T",1,MIN(1,MAX(0,($O1369-Inputs!$B$8)/MAX($P1369-Inputs!$B$8,0.01))))))</f>
        <v/>
      </c>
    </row>
    <row r="1370" customFormat="false" ht="15" hidden="false" customHeight="false" outlineLevel="0" collapsed="false">
      <c r="I1370" s="7" t="str">
        <f aca="false">IF($C1370="","",IF($C1370="G","PUTT",IF(AND($C1370="T",$M1370&gt;3),"OTT",IF($D1370&lt;=30,"ARG","APP"))))</f>
        <v/>
      </c>
      <c r="J1370" s="17" t="str">
        <f aca="false">IF($C1370="","",$N1370+$Q1370*$R1370)</f>
        <v/>
      </c>
      <c r="K1370" s="17" t="str">
        <f aca="false">IF($C1370="","",$O1370+$Q1370*$S1370)</f>
        <v/>
      </c>
      <c r="L1370" s="17" t="str">
        <f aca="false">IF($C1370="","",$J1370-$K1370-1-N($G1370))</f>
        <v/>
      </c>
      <c r="M1370" s="7" t="str">
        <f aca="false">IF($B1370="","",INDEX(Course!$B$2:$B$19,MATCH($B1370,Course!$A$2:$A$19,0)))</f>
        <v/>
      </c>
      <c r="N1370" s="17" t="str">
        <f aca="false">IF($C1370="","",IF($C1370="H",0,IF($C1370="G",INDEX(Baseline!$I$3:$I$102,MIN(MAX(ROUND($D1370,0),1),100)),IF($C1370="T",IF($M1370=3,INDEX(Baseline!$B$3:$B$122,MATCH(MIN(MAX(ROUND(($D1370)/5,0)*5,5),600),Baseline!$A$3:$A$122,0))-Inputs!$B$9,INDEX(Course!$N$2:$N$19,MATCH($B1370,Course!$A$2:$A$19,0))),INDEX(Baseline!$B$3:$E$122,MATCH(MIN(MAX(ROUND(($D1370)/5,0)*5,5),600),Baseline!$A$3:$A$122,0),MATCH($C1370,Baseline!$B$2:$E$2,0))))))</f>
        <v/>
      </c>
      <c r="O1370" s="17" t="str">
        <f aca="false">IF($C1370="","",IF($E1370="H",0,IF($E1370="G",INDEX(Baseline!$I$3:$I$102,MIN(MAX(ROUND($F1370,0),1),100)),IF($E1370="T",IF($M1370=3,INDEX(Baseline!$B$3:$B$122,MATCH(MIN(MAX(ROUND(($F1370)/5,0)*5,5),600),Baseline!$A$3:$A$122,0))-Inputs!$B$9,INDEX(Course!$N$2:$N$19,MATCH($B1370,Course!$A$2:$A$19,0))),INDEX(Baseline!$B$3:$E$122,MATCH(MIN(MAX(ROUND(($F1370)/5,0)*5,5),600),Baseline!$A$3:$A$122,0),MATCH($E1370,Baseline!$B$2:$E$2,0))))))</f>
        <v/>
      </c>
      <c r="P1370" s="17" t="str">
        <f aca="false">IF($B1370="","",INDEX(Course!$N$2:$N$19,MATCH($B1370,Course!$A$2:$A$19,0)))</f>
        <v/>
      </c>
      <c r="Q1370" s="17" t="str">
        <f aca="false">IF($B1370="","",INDEX(Course!$P$2:$P$19,MATCH($B1370,Course!$A$2:$A$19,0)))</f>
        <v/>
      </c>
      <c r="R1370" s="17" t="str">
        <f aca="false">IF($C1370="","",IF(OR($C1370="G",$C1370="H"),0,IF($C1370="T",1,MIN(1,MAX(0,($N1370-Inputs!$B$8)/MAX($P1370-Inputs!$B$8,0.01))))))</f>
        <v/>
      </c>
      <c r="S1370" s="17" t="str">
        <f aca="false">IF($C1370="","",IF(OR($E1370="G",$E1370="H"),0,IF($E1370="T",1,MIN(1,MAX(0,($O1370-Inputs!$B$8)/MAX($P1370-Inputs!$B$8,0.01))))))</f>
        <v/>
      </c>
    </row>
    <row r="1371" customFormat="false" ht="15" hidden="false" customHeight="false" outlineLevel="0" collapsed="false">
      <c r="I1371" s="7" t="str">
        <f aca="false">IF($C1371="","",IF($C1371="G","PUTT",IF(AND($C1371="T",$M1371&gt;3),"OTT",IF($D1371&lt;=30,"ARG","APP"))))</f>
        <v/>
      </c>
      <c r="J1371" s="17" t="str">
        <f aca="false">IF($C1371="","",$N1371+$Q1371*$R1371)</f>
        <v/>
      </c>
      <c r="K1371" s="17" t="str">
        <f aca="false">IF($C1371="","",$O1371+$Q1371*$S1371)</f>
        <v/>
      </c>
      <c r="L1371" s="17" t="str">
        <f aca="false">IF($C1371="","",$J1371-$K1371-1-N($G1371))</f>
        <v/>
      </c>
      <c r="M1371" s="7" t="str">
        <f aca="false">IF($B1371="","",INDEX(Course!$B$2:$B$19,MATCH($B1371,Course!$A$2:$A$19,0)))</f>
        <v/>
      </c>
      <c r="N1371" s="17" t="str">
        <f aca="false">IF($C1371="","",IF($C1371="H",0,IF($C1371="G",INDEX(Baseline!$I$3:$I$102,MIN(MAX(ROUND($D1371,0),1),100)),IF($C1371="T",IF($M1371=3,INDEX(Baseline!$B$3:$B$122,MATCH(MIN(MAX(ROUND(($D1371)/5,0)*5,5),600),Baseline!$A$3:$A$122,0))-Inputs!$B$9,INDEX(Course!$N$2:$N$19,MATCH($B1371,Course!$A$2:$A$19,0))),INDEX(Baseline!$B$3:$E$122,MATCH(MIN(MAX(ROUND(($D1371)/5,0)*5,5),600),Baseline!$A$3:$A$122,0),MATCH($C1371,Baseline!$B$2:$E$2,0))))))</f>
        <v/>
      </c>
      <c r="O1371" s="17" t="str">
        <f aca="false">IF($C1371="","",IF($E1371="H",0,IF($E1371="G",INDEX(Baseline!$I$3:$I$102,MIN(MAX(ROUND($F1371,0),1),100)),IF($E1371="T",IF($M1371=3,INDEX(Baseline!$B$3:$B$122,MATCH(MIN(MAX(ROUND(($F1371)/5,0)*5,5),600),Baseline!$A$3:$A$122,0))-Inputs!$B$9,INDEX(Course!$N$2:$N$19,MATCH($B1371,Course!$A$2:$A$19,0))),INDEX(Baseline!$B$3:$E$122,MATCH(MIN(MAX(ROUND(($F1371)/5,0)*5,5),600),Baseline!$A$3:$A$122,0),MATCH($E1371,Baseline!$B$2:$E$2,0))))))</f>
        <v/>
      </c>
      <c r="P1371" s="17" t="str">
        <f aca="false">IF($B1371="","",INDEX(Course!$N$2:$N$19,MATCH($B1371,Course!$A$2:$A$19,0)))</f>
        <v/>
      </c>
      <c r="Q1371" s="17" t="str">
        <f aca="false">IF($B1371="","",INDEX(Course!$P$2:$P$19,MATCH($B1371,Course!$A$2:$A$19,0)))</f>
        <v/>
      </c>
      <c r="R1371" s="17" t="str">
        <f aca="false">IF($C1371="","",IF(OR($C1371="G",$C1371="H"),0,IF($C1371="T",1,MIN(1,MAX(0,($N1371-Inputs!$B$8)/MAX($P1371-Inputs!$B$8,0.01))))))</f>
        <v/>
      </c>
      <c r="S1371" s="17" t="str">
        <f aca="false">IF($C1371="","",IF(OR($E1371="G",$E1371="H"),0,IF($E1371="T",1,MIN(1,MAX(0,($O1371-Inputs!$B$8)/MAX($P1371-Inputs!$B$8,0.01))))))</f>
        <v/>
      </c>
    </row>
    <row r="1372" customFormat="false" ht="15" hidden="false" customHeight="false" outlineLevel="0" collapsed="false">
      <c r="I1372" s="7" t="str">
        <f aca="false">IF($C1372="","",IF($C1372="G","PUTT",IF(AND($C1372="T",$M1372&gt;3),"OTT",IF($D1372&lt;=30,"ARG","APP"))))</f>
        <v/>
      </c>
      <c r="J1372" s="17" t="str">
        <f aca="false">IF($C1372="","",$N1372+$Q1372*$R1372)</f>
        <v/>
      </c>
      <c r="K1372" s="17" t="str">
        <f aca="false">IF($C1372="","",$O1372+$Q1372*$S1372)</f>
        <v/>
      </c>
      <c r="L1372" s="17" t="str">
        <f aca="false">IF($C1372="","",$J1372-$K1372-1-N($G1372))</f>
        <v/>
      </c>
      <c r="M1372" s="7" t="str">
        <f aca="false">IF($B1372="","",INDEX(Course!$B$2:$B$19,MATCH($B1372,Course!$A$2:$A$19,0)))</f>
        <v/>
      </c>
      <c r="N1372" s="17" t="str">
        <f aca="false">IF($C1372="","",IF($C1372="H",0,IF($C1372="G",INDEX(Baseline!$I$3:$I$102,MIN(MAX(ROUND($D1372,0),1),100)),IF($C1372="T",IF($M1372=3,INDEX(Baseline!$B$3:$B$122,MATCH(MIN(MAX(ROUND(($D1372)/5,0)*5,5),600),Baseline!$A$3:$A$122,0))-Inputs!$B$9,INDEX(Course!$N$2:$N$19,MATCH($B1372,Course!$A$2:$A$19,0))),INDEX(Baseline!$B$3:$E$122,MATCH(MIN(MAX(ROUND(($D1372)/5,0)*5,5),600),Baseline!$A$3:$A$122,0),MATCH($C1372,Baseline!$B$2:$E$2,0))))))</f>
        <v/>
      </c>
      <c r="O1372" s="17" t="str">
        <f aca="false">IF($C1372="","",IF($E1372="H",0,IF($E1372="G",INDEX(Baseline!$I$3:$I$102,MIN(MAX(ROUND($F1372,0),1),100)),IF($E1372="T",IF($M1372=3,INDEX(Baseline!$B$3:$B$122,MATCH(MIN(MAX(ROUND(($F1372)/5,0)*5,5),600),Baseline!$A$3:$A$122,0))-Inputs!$B$9,INDEX(Course!$N$2:$N$19,MATCH($B1372,Course!$A$2:$A$19,0))),INDEX(Baseline!$B$3:$E$122,MATCH(MIN(MAX(ROUND(($F1372)/5,0)*5,5),600),Baseline!$A$3:$A$122,0),MATCH($E1372,Baseline!$B$2:$E$2,0))))))</f>
        <v/>
      </c>
      <c r="P1372" s="17" t="str">
        <f aca="false">IF($B1372="","",INDEX(Course!$N$2:$N$19,MATCH($B1372,Course!$A$2:$A$19,0)))</f>
        <v/>
      </c>
      <c r="Q1372" s="17" t="str">
        <f aca="false">IF($B1372="","",INDEX(Course!$P$2:$P$19,MATCH($B1372,Course!$A$2:$A$19,0)))</f>
        <v/>
      </c>
      <c r="R1372" s="17" t="str">
        <f aca="false">IF($C1372="","",IF(OR($C1372="G",$C1372="H"),0,IF($C1372="T",1,MIN(1,MAX(0,($N1372-Inputs!$B$8)/MAX($P1372-Inputs!$B$8,0.01))))))</f>
        <v/>
      </c>
      <c r="S1372" s="17" t="str">
        <f aca="false">IF($C1372="","",IF(OR($E1372="G",$E1372="H"),0,IF($E1372="T",1,MIN(1,MAX(0,($O1372-Inputs!$B$8)/MAX($P1372-Inputs!$B$8,0.01))))))</f>
        <v/>
      </c>
    </row>
    <row r="1373" customFormat="false" ht="15" hidden="false" customHeight="false" outlineLevel="0" collapsed="false">
      <c r="I1373" s="7" t="str">
        <f aca="false">IF($C1373="","",IF($C1373="G","PUTT",IF(AND($C1373="T",$M1373&gt;3),"OTT",IF($D1373&lt;=30,"ARG","APP"))))</f>
        <v/>
      </c>
      <c r="J1373" s="17" t="str">
        <f aca="false">IF($C1373="","",$N1373+$Q1373*$R1373)</f>
        <v/>
      </c>
      <c r="K1373" s="17" t="str">
        <f aca="false">IF($C1373="","",$O1373+$Q1373*$S1373)</f>
        <v/>
      </c>
      <c r="L1373" s="17" t="str">
        <f aca="false">IF($C1373="","",$J1373-$K1373-1-N($G1373))</f>
        <v/>
      </c>
      <c r="M1373" s="7" t="str">
        <f aca="false">IF($B1373="","",INDEX(Course!$B$2:$B$19,MATCH($B1373,Course!$A$2:$A$19,0)))</f>
        <v/>
      </c>
      <c r="N1373" s="17" t="str">
        <f aca="false">IF($C1373="","",IF($C1373="H",0,IF($C1373="G",INDEX(Baseline!$I$3:$I$102,MIN(MAX(ROUND($D1373,0),1),100)),IF($C1373="T",IF($M1373=3,INDEX(Baseline!$B$3:$B$122,MATCH(MIN(MAX(ROUND(($D1373)/5,0)*5,5),600),Baseline!$A$3:$A$122,0))-Inputs!$B$9,INDEX(Course!$N$2:$N$19,MATCH($B1373,Course!$A$2:$A$19,0))),INDEX(Baseline!$B$3:$E$122,MATCH(MIN(MAX(ROUND(($D1373)/5,0)*5,5),600),Baseline!$A$3:$A$122,0),MATCH($C1373,Baseline!$B$2:$E$2,0))))))</f>
        <v/>
      </c>
      <c r="O1373" s="17" t="str">
        <f aca="false">IF($C1373="","",IF($E1373="H",0,IF($E1373="G",INDEX(Baseline!$I$3:$I$102,MIN(MAX(ROUND($F1373,0),1),100)),IF($E1373="T",IF($M1373=3,INDEX(Baseline!$B$3:$B$122,MATCH(MIN(MAX(ROUND(($F1373)/5,0)*5,5),600),Baseline!$A$3:$A$122,0))-Inputs!$B$9,INDEX(Course!$N$2:$N$19,MATCH($B1373,Course!$A$2:$A$19,0))),INDEX(Baseline!$B$3:$E$122,MATCH(MIN(MAX(ROUND(($F1373)/5,0)*5,5),600),Baseline!$A$3:$A$122,0),MATCH($E1373,Baseline!$B$2:$E$2,0))))))</f>
        <v/>
      </c>
      <c r="P1373" s="17" t="str">
        <f aca="false">IF($B1373="","",INDEX(Course!$N$2:$N$19,MATCH($B1373,Course!$A$2:$A$19,0)))</f>
        <v/>
      </c>
      <c r="Q1373" s="17" t="str">
        <f aca="false">IF($B1373="","",INDEX(Course!$P$2:$P$19,MATCH($B1373,Course!$A$2:$A$19,0)))</f>
        <v/>
      </c>
      <c r="R1373" s="17" t="str">
        <f aca="false">IF($C1373="","",IF(OR($C1373="G",$C1373="H"),0,IF($C1373="T",1,MIN(1,MAX(0,($N1373-Inputs!$B$8)/MAX($P1373-Inputs!$B$8,0.01))))))</f>
        <v/>
      </c>
      <c r="S1373" s="17" t="str">
        <f aca="false">IF($C1373="","",IF(OR($E1373="G",$E1373="H"),0,IF($E1373="T",1,MIN(1,MAX(0,($O1373-Inputs!$B$8)/MAX($P1373-Inputs!$B$8,0.01))))))</f>
        <v/>
      </c>
    </row>
    <row r="1374" customFormat="false" ht="15" hidden="false" customHeight="false" outlineLevel="0" collapsed="false">
      <c r="I1374" s="7" t="str">
        <f aca="false">IF($C1374="","",IF($C1374="G","PUTT",IF(AND($C1374="T",$M1374&gt;3),"OTT",IF($D1374&lt;=30,"ARG","APP"))))</f>
        <v/>
      </c>
      <c r="J1374" s="17" t="str">
        <f aca="false">IF($C1374="","",$N1374+$Q1374*$R1374)</f>
        <v/>
      </c>
      <c r="K1374" s="17" t="str">
        <f aca="false">IF($C1374="","",$O1374+$Q1374*$S1374)</f>
        <v/>
      </c>
      <c r="L1374" s="17" t="str">
        <f aca="false">IF($C1374="","",$J1374-$K1374-1-N($G1374))</f>
        <v/>
      </c>
      <c r="M1374" s="7" t="str">
        <f aca="false">IF($B1374="","",INDEX(Course!$B$2:$B$19,MATCH($B1374,Course!$A$2:$A$19,0)))</f>
        <v/>
      </c>
      <c r="N1374" s="17" t="str">
        <f aca="false">IF($C1374="","",IF($C1374="H",0,IF($C1374="G",INDEX(Baseline!$I$3:$I$102,MIN(MAX(ROUND($D1374,0),1),100)),IF($C1374="T",IF($M1374=3,INDEX(Baseline!$B$3:$B$122,MATCH(MIN(MAX(ROUND(($D1374)/5,0)*5,5),600),Baseline!$A$3:$A$122,0))-Inputs!$B$9,INDEX(Course!$N$2:$N$19,MATCH($B1374,Course!$A$2:$A$19,0))),INDEX(Baseline!$B$3:$E$122,MATCH(MIN(MAX(ROUND(($D1374)/5,0)*5,5),600),Baseline!$A$3:$A$122,0),MATCH($C1374,Baseline!$B$2:$E$2,0))))))</f>
        <v/>
      </c>
      <c r="O1374" s="17" t="str">
        <f aca="false">IF($C1374="","",IF($E1374="H",0,IF($E1374="G",INDEX(Baseline!$I$3:$I$102,MIN(MAX(ROUND($F1374,0),1),100)),IF($E1374="T",IF($M1374=3,INDEX(Baseline!$B$3:$B$122,MATCH(MIN(MAX(ROUND(($F1374)/5,0)*5,5),600),Baseline!$A$3:$A$122,0))-Inputs!$B$9,INDEX(Course!$N$2:$N$19,MATCH($B1374,Course!$A$2:$A$19,0))),INDEX(Baseline!$B$3:$E$122,MATCH(MIN(MAX(ROUND(($F1374)/5,0)*5,5),600),Baseline!$A$3:$A$122,0),MATCH($E1374,Baseline!$B$2:$E$2,0))))))</f>
        <v/>
      </c>
      <c r="P1374" s="17" t="str">
        <f aca="false">IF($B1374="","",INDEX(Course!$N$2:$N$19,MATCH($B1374,Course!$A$2:$A$19,0)))</f>
        <v/>
      </c>
      <c r="Q1374" s="17" t="str">
        <f aca="false">IF($B1374="","",INDEX(Course!$P$2:$P$19,MATCH($B1374,Course!$A$2:$A$19,0)))</f>
        <v/>
      </c>
      <c r="R1374" s="17" t="str">
        <f aca="false">IF($C1374="","",IF(OR($C1374="G",$C1374="H"),0,IF($C1374="T",1,MIN(1,MAX(0,($N1374-Inputs!$B$8)/MAX($P1374-Inputs!$B$8,0.01))))))</f>
        <v/>
      </c>
      <c r="S1374" s="17" t="str">
        <f aca="false">IF($C1374="","",IF(OR($E1374="G",$E1374="H"),0,IF($E1374="T",1,MIN(1,MAX(0,($O1374-Inputs!$B$8)/MAX($P1374-Inputs!$B$8,0.01))))))</f>
        <v/>
      </c>
    </row>
    <row r="1375" customFormat="false" ht="15" hidden="false" customHeight="false" outlineLevel="0" collapsed="false">
      <c r="I1375" s="7" t="str">
        <f aca="false">IF($C1375="","",IF($C1375="G","PUTT",IF(AND($C1375="T",$M1375&gt;3),"OTT",IF($D1375&lt;=30,"ARG","APP"))))</f>
        <v/>
      </c>
      <c r="J1375" s="17" t="str">
        <f aca="false">IF($C1375="","",$N1375+$Q1375*$R1375)</f>
        <v/>
      </c>
      <c r="K1375" s="17" t="str">
        <f aca="false">IF($C1375="","",$O1375+$Q1375*$S1375)</f>
        <v/>
      </c>
      <c r="L1375" s="17" t="str">
        <f aca="false">IF($C1375="","",$J1375-$K1375-1-N($G1375))</f>
        <v/>
      </c>
      <c r="M1375" s="7" t="str">
        <f aca="false">IF($B1375="","",INDEX(Course!$B$2:$B$19,MATCH($B1375,Course!$A$2:$A$19,0)))</f>
        <v/>
      </c>
      <c r="N1375" s="17" t="str">
        <f aca="false">IF($C1375="","",IF($C1375="H",0,IF($C1375="G",INDEX(Baseline!$I$3:$I$102,MIN(MAX(ROUND($D1375,0),1),100)),IF($C1375="T",IF($M1375=3,INDEX(Baseline!$B$3:$B$122,MATCH(MIN(MAX(ROUND(($D1375)/5,0)*5,5),600),Baseline!$A$3:$A$122,0))-Inputs!$B$9,INDEX(Course!$N$2:$N$19,MATCH($B1375,Course!$A$2:$A$19,0))),INDEX(Baseline!$B$3:$E$122,MATCH(MIN(MAX(ROUND(($D1375)/5,0)*5,5),600),Baseline!$A$3:$A$122,0),MATCH($C1375,Baseline!$B$2:$E$2,0))))))</f>
        <v/>
      </c>
      <c r="O1375" s="17" t="str">
        <f aca="false">IF($C1375="","",IF($E1375="H",0,IF($E1375="G",INDEX(Baseline!$I$3:$I$102,MIN(MAX(ROUND($F1375,0),1),100)),IF($E1375="T",IF($M1375=3,INDEX(Baseline!$B$3:$B$122,MATCH(MIN(MAX(ROUND(($F1375)/5,0)*5,5),600),Baseline!$A$3:$A$122,0))-Inputs!$B$9,INDEX(Course!$N$2:$N$19,MATCH($B1375,Course!$A$2:$A$19,0))),INDEX(Baseline!$B$3:$E$122,MATCH(MIN(MAX(ROUND(($F1375)/5,0)*5,5),600),Baseline!$A$3:$A$122,0),MATCH($E1375,Baseline!$B$2:$E$2,0))))))</f>
        <v/>
      </c>
      <c r="P1375" s="17" t="str">
        <f aca="false">IF($B1375="","",INDEX(Course!$N$2:$N$19,MATCH($B1375,Course!$A$2:$A$19,0)))</f>
        <v/>
      </c>
      <c r="Q1375" s="17" t="str">
        <f aca="false">IF($B1375="","",INDEX(Course!$P$2:$P$19,MATCH($B1375,Course!$A$2:$A$19,0)))</f>
        <v/>
      </c>
      <c r="R1375" s="17" t="str">
        <f aca="false">IF($C1375="","",IF(OR($C1375="G",$C1375="H"),0,IF($C1375="T",1,MIN(1,MAX(0,($N1375-Inputs!$B$8)/MAX($P1375-Inputs!$B$8,0.01))))))</f>
        <v/>
      </c>
      <c r="S1375" s="17" t="str">
        <f aca="false">IF($C1375="","",IF(OR($E1375="G",$E1375="H"),0,IF($E1375="T",1,MIN(1,MAX(0,($O1375-Inputs!$B$8)/MAX($P1375-Inputs!$B$8,0.01))))))</f>
        <v/>
      </c>
    </row>
    <row r="1376" customFormat="false" ht="15" hidden="false" customHeight="false" outlineLevel="0" collapsed="false">
      <c r="I1376" s="7" t="str">
        <f aca="false">IF($C1376="","",IF($C1376="G","PUTT",IF(AND($C1376="T",$M1376&gt;3),"OTT",IF($D1376&lt;=30,"ARG","APP"))))</f>
        <v/>
      </c>
      <c r="J1376" s="17" t="str">
        <f aca="false">IF($C1376="","",$N1376+$Q1376*$R1376)</f>
        <v/>
      </c>
      <c r="K1376" s="17" t="str">
        <f aca="false">IF($C1376="","",$O1376+$Q1376*$S1376)</f>
        <v/>
      </c>
      <c r="L1376" s="17" t="str">
        <f aca="false">IF($C1376="","",$J1376-$K1376-1-N($G1376))</f>
        <v/>
      </c>
      <c r="M1376" s="7" t="str">
        <f aca="false">IF($B1376="","",INDEX(Course!$B$2:$B$19,MATCH($B1376,Course!$A$2:$A$19,0)))</f>
        <v/>
      </c>
      <c r="N1376" s="17" t="str">
        <f aca="false">IF($C1376="","",IF($C1376="H",0,IF($C1376="G",INDEX(Baseline!$I$3:$I$102,MIN(MAX(ROUND($D1376,0),1),100)),IF($C1376="T",IF($M1376=3,INDEX(Baseline!$B$3:$B$122,MATCH(MIN(MAX(ROUND(($D1376)/5,0)*5,5),600),Baseline!$A$3:$A$122,0))-Inputs!$B$9,INDEX(Course!$N$2:$N$19,MATCH($B1376,Course!$A$2:$A$19,0))),INDEX(Baseline!$B$3:$E$122,MATCH(MIN(MAX(ROUND(($D1376)/5,0)*5,5),600),Baseline!$A$3:$A$122,0),MATCH($C1376,Baseline!$B$2:$E$2,0))))))</f>
        <v/>
      </c>
      <c r="O1376" s="17" t="str">
        <f aca="false">IF($C1376="","",IF($E1376="H",0,IF($E1376="G",INDEX(Baseline!$I$3:$I$102,MIN(MAX(ROUND($F1376,0),1),100)),IF($E1376="T",IF($M1376=3,INDEX(Baseline!$B$3:$B$122,MATCH(MIN(MAX(ROUND(($F1376)/5,0)*5,5),600),Baseline!$A$3:$A$122,0))-Inputs!$B$9,INDEX(Course!$N$2:$N$19,MATCH($B1376,Course!$A$2:$A$19,0))),INDEX(Baseline!$B$3:$E$122,MATCH(MIN(MAX(ROUND(($F1376)/5,0)*5,5),600),Baseline!$A$3:$A$122,0),MATCH($E1376,Baseline!$B$2:$E$2,0))))))</f>
        <v/>
      </c>
      <c r="P1376" s="17" t="str">
        <f aca="false">IF($B1376="","",INDEX(Course!$N$2:$N$19,MATCH($B1376,Course!$A$2:$A$19,0)))</f>
        <v/>
      </c>
      <c r="Q1376" s="17" t="str">
        <f aca="false">IF($B1376="","",INDEX(Course!$P$2:$P$19,MATCH($B1376,Course!$A$2:$A$19,0)))</f>
        <v/>
      </c>
      <c r="R1376" s="17" t="str">
        <f aca="false">IF($C1376="","",IF(OR($C1376="G",$C1376="H"),0,IF($C1376="T",1,MIN(1,MAX(0,($N1376-Inputs!$B$8)/MAX($P1376-Inputs!$B$8,0.01))))))</f>
        <v/>
      </c>
      <c r="S1376" s="17" t="str">
        <f aca="false">IF($C1376="","",IF(OR($E1376="G",$E1376="H"),0,IF($E1376="T",1,MIN(1,MAX(0,($O1376-Inputs!$B$8)/MAX($P1376-Inputs!$B$8,0.01))))))</f>
        <v/>
      </c>
    </row>
    <row r="1377" customFormat="false" ht="15" hidden="false" customHeight="false" outlineLevel="0" collapsed="false">
      <c r="I1377" s="7" t="str">
        <f aca="false">IF($C1377="","",IF($C1377="G","PUTT",IF(AND($C1377="T",$M1377&gt;3),"OTT",IF($D1377&lt;=30,"ARG","APP"))))</f>
        <v/>
      </c>
      <c r="J1377" s="17" t="str">
        <f aca="false">IF($C1377="","",$N1377+$Q1377*$R1377)</f>
        <v/>
      </c>
      <c r="K1377" s="17" t="str">
        <f aca="false">IF($C1377="","",$O1377+$Q1377*$S1377)</f>
        <v/>
      </c>
      <c r="L1377" s="17" t="str">
        <f aca="false">IF($C1377="","",$J1377-$K1377-1-N($G1377))</f>
        <v/>
      </c>
      <c r="M1377" s="7" t="str">
        <f aca="false">IF($B1377="","",INDEX(Course!$B$2:$B$19,MATCH($B1377,Course!$A$2:$A$19,0)))</f>
        <v/>
      </c>
      <c r="N1377" s="17" t="str">
        <f aca="false">IF($C1377="","",IF($C1377="H",0,IF($C1377="G",INDEX(Baseline!$I$3:$I$102,MIN(MAX(ROUND($D1377,0),1),100)),IF($C1377="T",IF($M1377=3,INDEX(Baseline!$B$3:$B$122,MATCH(MIN(MAX(ROUND(($D1377)/5,0)*5,5),600),Baseline!$A$3:$A$122,0))-Inputs!$B$9,INDEX(Course!$N$2:$N$19,MATCH($B1377,Course!$A$2:$A$19,0))),INDEX(Baseline!$B$3:$E$122,MATCH(MIN(MAX(ROUND(($D1377)/5,0)*5,5),600),Baseline!$A$3:$A$122,0),MATCH($C1377,Baseline!$B$2:$E$2,0))))))</f>
        <v/>
      </c>
      <c r="O1377" s="17" t="str">
        <f aca="false">IF($C1377="","",IF($E1377="H",0,IF($E1377="G",INDEX(Baseline!$I$3:$I$102,MIN(MAX(ROUND($F1377,0),1),100)),IF($E1377="T",IF($M1377=3,INDEX(Baseline!$B$3:$B$122,MATCH(MIN(MAX(ROUND(($F1377)/5,0)*5,5),600),Baseline!$A$3:$A$122,0))-Inputs!$B$9,INDEX(Course!$N$2:$N$19,MATCH($B1377,Course!$A$2:$A$19,0))),INDEX(Baseline!$B$3:$E$122,MATCH(MIN(MAX(ROUND(($F1377)/5,0)*5,5),600),Baseline!$A$3:$A$122,0),MATCH($E1377,Baseline!$B$2:$E$2,0))))))</f>
        <v/>
      </c>
      <c r="P1377" s="17" t="str">
        <f aca="false">IF($B1377="","",INDEX(Course!$N$2:$N$19,MATCH($B1377,Course!$A$2:$A$19,0)))</f>
        <v/>
      </c>
      <c r="Q1377" s="17" t="str">
        <f aca="false">IF($B1377="","",INDEX(Course!$P$2:$P$19,MATCH($B1377,Course!$A$2:$A$19,0)))</f>
        <v/>
      </c>
      <c r="R1377" s="17" t="str">
        <f aca="false">IF($C1377="","",IF(OR($C1377="G",$C1377="H"),0,IF($C1377="T",1,MIN(1,MAX(0,($N1377-Inputs!$B$8)/MAX($P1377-Inputs!$B$8,0.01))))))</f>
        <v/>
      </c>
      <c r="S1377" s="17" t="str">
        <f aca="false">IF($C1377="","",IF(OR($E1377="G",$E1377="H"),0,IF($E1377="T",1,MIN(1,MAX(0,($O1377-Inputs!$B$8)/MAX($P1377-Inputs!$B$8,0.01))))))</f>
        <v/>
      </c>
    </row>
    <row r="1378" customFormat="false" ht="15" hidden="false" customHeight="false" outlineLevel="0" collapsed="false">
      <c r="I1378" s="7" t="str">
        <f aca="false">IF($C1378="","",IF($C1378="G","PUTT",IF(AND($C1378="T",$M1378&gt;3),"OTT",IF($D1378&lt;=30,"ARG","APP"))))</f>
        <v/>
      </c>
      <c r="J1378" s="17" t="str">
        <f aca="false">IF($C1378="","",$N1378+$Q1378*$R1378)</f>
        <v/>
      </c>
      <c r="K1378" s="17" t="str">
        <f aca="false">IF($C1378="","",$O1378+$Q1378*$S1378)</f>
        <v/>
      </c>
      <c r="L1378" s="17" t="str">
        <f aca="false">IF($C1378="","",$J1378-$K1378-1-N($G1378))</f>
        <v/>
      </c>
      <c r="M1378" s="7" t="str">
        <f aca="false">IF($B1378="","",INDEX(Course!$B$2:$B$19,MATCH($B1378,Course!$A$2:$A$19,0)))</f>
        <v/>
      </c>
      <c r="N1378" s="17" t="str">
        <f aca="false">IF($C1378="","",IF($C1378="H",0,IF($C1378="G",INDEX(Baseline!$I$3:$I$102,MIN(MAX(ROUND($D1378,0),1),100)),IF($C1378="T",IF($M1378=3,INDEX(Baseline!$B$3:$B$122,MATCH(MIN(MAX(ROUND(($D1378)/5,0)*5,5),600),Baseline!$A$3:$A$122,0))-Inputs!$B$9,INDEX(Course!$N$2:$N$19,MATCH($B1378,Course!$A$2:$A$19,0))),INDEX(Baseline!$B$3:$E$122,MATCH(MIN(MAX(ROUND(($D1378)/5,0)*5,5),600),Baseline!$A$3:$A$122,0),MATCH($C1378,Baseline!$B$2:$E$2,0))))))</f>
        <v/>
      </c>
      <c r="O1378" s="17" t="str">
        <f aca="false">IF($C1378="","",IF($E1378="H",0,IF($E1378="G",INDEX(Baseline!$I$3:$I$102,MIN(MAX(ROUND($F1378,0),1),100)),IF($E1378="T",IF($M1378=3,INDEX(Baseline!$B$3:$B$122,MATCH(MIN(MAX(ROUND(($F1378)/5,0)*5,5),600),Baseline!$A$3:$A$122,0))-Inputs!$B$9,INDEX(Course!$N$2:$N$19,MATCH($B1378,Course!$A$2:$A$19,0))),INDEX(Baseline!$B$3:$E$122,MATCH(MIN(MAX(ROUND(($F1378)/5,0)*5,5),600),Baseline!$A$3:$A$122,0),MATCH($E1378,Baseline!$B$2:$E$2,0))))))</f>
        <v/>
      </c>
      <c r="P1378" s="17" t="str">
        <f aca="false">IF($B1378="","",INDEX(Course!$N$2:$N$19,MATCH($B1378,Course!$A$2:$A$19,0)))</f>
        <v/>
      </c>
      <c r="Q1378" s="17" t="str">
        <f aca="false">IF($B1378="","",INDEX(Course!$P$2:$P$19,MATCH($B1378,Course!$A$2:$A$19,0)))</f>
        <v/>
      </c>
      <c r="R1378" s="17" t="str">
        <f aca="false">IF($C1378="","",IF(OR($C1378="G",$C1378="H"),0,IF($C1378="T",1,MIN(1,MAX(0,($N1378-Inputs!$B$8)/MAX($P1378-Inputs!$B$8,0.01))))))</f>
        <v/>
      </c>
      <c r="S1378" s="17" t="str">
        <f aca="false">IF($C1378="","",IF(OR($E1378="G",$E1378="H"),0,IF($E1378="T",1,MIN(1,MAX(0,($O1378-Inputs!$B$8)/MAX($P1378-Inputs!$B$8,0.01))))))</f>
        <v/>
      </c>
    </row>
    <row r="1379" customFormat="false" ht="15" hidden="false" customHeight="false" outlineLevel="0" collapsed="false">
      <c r="I1379" s="7" t="str">
        <f aca="false">IF($C1379="","",IF($C1379="G","PUTT",IF(AND($C1379="T",$M1379&gt;3),"OTT",IF($D1379&lt;=30,"ARG","APP"))))</f>
        <v/>
      </c>
      <c r="J1379" s="17" t="str">
        <f aca="false">IF($C1379="","",$N1379+$Q1379*$R1379)</f>
        <v/>
      </c>
      <c r="K1379" s="17" t="str">
        <f aca="false">IF($C1379="","",$O1379+$Q1379*$S1379)</f>
        <v/>
      </c>
      <c r="L1379" s="17" t="str">
        <f aca="false">IF($C1379="","",$J1379-$K1379-1-N($G1379))</f>
        <v/>
      </c>
      <c r="M1379" s="7" t="str">
        <f aca="false">IF($B1379="","",INDEX(Course!$B$2:$B$19,MATCH($B1379,Course!$A$2:$A$19,0)))</f>
        <v/>
      </c>
      <c r="N1379" s="17" t="str">
        <f aca="false">IF($C1379="","",IF($C1379="H",0,IF($C1379="G",INDEX(Baseline!$I$3:$I$102,MIN(MAX(ROUND($D1379,0),1),100)),IF($C1379="T",IF($M1379=3,INDEX(Baseline!$B$3:$B$122,MATCH(MIN(MAX(ROUND(($D1379)/5,0)*5,5),600),Baseline!$A$3:$A$122,0))-Inputs!$B$9,INDEX(Course!$N$2:$N$19,MATCH($B1379,Course!$A$2:$A$19,0))),INDEX(Baseline!$B$3:$E$122,MATCH(MIN(MAX(ROUND(($D1379)/5,0)*5,5),600),Baseline!$A$3:$A$122,0),MATCH($C1379,Baseline!$B$2:$E$2,0))))))</f>
        <v/>
      </c>
      <c r="O1379" s="17" t="str">
        <f aca="false">IF($C1379="","",IF($E1379="H",0,IF($E1379="G",INDEX(Baseline!$I$3:$I$102,MIN(MAX(ROUND($F1379,0),1),100)),IF($E1379="T",IF($M1379=3,INDEX(Baseline!$B$3:$B$122,MATCH(MIN(MAX(ROUND(($F1379)/5,0)*5,5),600),Baseline!$A$3:$A$122,0))-Inputs!$B$9,INDEX(Course!$N$2:$N$19,MATCH($B1379,Course!$A$2:$A$19,0))),INDEX(Baseline!$B$3:$E$122,MATCH(MIN(MAX(ROUND(($F1379)/5,0)*5,5),600),Baseline!$A$3:$A$122,0),MATCH($E1379,Baseline!$B$2:$E$2,0))))))</f>
        <v/>
      </c>
      <c r="P1379" s="17" t="str">
        <f aca="false">IF($B1379="","",INDEX(Course!$N$2:$N$19,MATCH($B1379,Course!$A$2:$A$19,0)))</f>
        <v/>
      </c>
      <c r="Q1379" s="17" t="str">
        <f aca="false">IF($B1379="","",INDEX(Course!$P$2:$P$19,MATCH($B1379,Course!$A$2:$A$19,0)))</f>
        <v/>
      </c>
      <c r="R1379" s="17" t="str">
        <f aca="false">IF($C1379="","",IF(OR($C1379="G",$C1379="H"),0,IF($C1379="T",1,MIN(1,MAX(0,($N1379-Inputs!$B$8)/MAX($P1379-Inputs!$B$8,0.01))))))</f>
        <v/>
      </c>
      <c r="S1379" s="17" t="str">
        <f aca="false">IF($C1379="","",IF(OR($E1379="G",$E1379="H"),0,IF($E1379="T",1,MIN(1,MAX(0,($O1379-Inputs!$B$8)/MAX($P1379-Inputs!$B$8,0.01))))))</f>
        <v/>
      </c>
    </row>
    <row r="1380" customFormat="false" ht="15" hidden="false" customHeight="false" outlineLevel="0" collapsed="false">
      <c r="I1380" s="7" t="str">
        <f aca="false">IF($C1380="","",IF($C1380="G","PUTT",IF(AND($C1380="T",$M1380&gt;3),"OTT",IF($D1380&lt;=30,"ARG","APP"))))</f>
        <v/>
      </c>
      <c r="J1380" s="17" t="str">
        <f aca="false">IF($C1380="","",$N1380+$Q1380*$R1380)</f>
        <v/>
      </c>
      <c r="K1380" s="17" t="str">
        <f aca="false">IF($C1380="","",$O1380+$Q1380*$S1380)</f>
        <v/>
      </c>
      <c r="L1380" s="17" t="str">
        <f aca="false">IF($C1380="","",$J1380-$K1380-1-N($G1380))</f>
        <v/>
      </c>
      <c r="M1380" s="7" t="str">
        <f aca="false">IF($B1380="","",INDEX(Course!$B$2:$B$19,MATCH($B1380,Course!$A$2:$A$19,0)))</f>
        <v/>
      </c>
      <c r="N1380" s="17" t="str">
        <f aca="false">IF($C1380="","",IF($C1380="H",0,IF($C1380="G",INDEX(Baseline!$I$3:$I$102,MIN(MAX(ROUND($D1380,0),1),100)),IF($C1380="T",IF($M1380=3,INDEX(Baseline!$B$3:$B$122,MATCH(MIN(MAX(ROUND(($D1380)/5,0)*5,5),600),Baseline!$A$3:$A$122,0))-Inputs!$B$9,INDEX(Course!$N$2:$N$19,MATCH($B1380,Course!$A$2:$A$19,0))),INDEX(Baseline!$B$3:$E$122,MATCH(MIN(MAX(ROUND(($D1380)/5,0)*5,5),600),Baseline!$A$3:$A$122,0),MATCH($C1380,Baseline!$B$2:$E$2,0))))))</f>
        <v/>
      </c>
      <c r="O1380" s="17" t="str">
        <f aca="false">IF($C1380="","",IF($E1380="H",0,IF($E1380="G",INDEX(Baseline!$I$3:$I$102,MIN(MAX(ROUND($F1380,0),1),100)),IF($E1380="T",IF($M1380=3,INDEX(Baseline!$B$3:$B$122,MATCH(MIN(MAX(ROUND(($F1380)/5,0)*5,5),600),Baseline!$A$3:$A$122,0))-Inputs!$B$9,INDEX(Course!$N$2:$N$19,MATCH($B1380,Course!$A$2:$A$19,0))),INDEX(Baseline!$B$3:$E$122,MATCH(MIN(MAX(ROUND(($F1380)/5,0)*5,5),600),Baseline!$A$3:$A$122,0),MATCH($E1380,Baseline!$B$2:$E$2,0))))))</f>
        <v/>
      </c>
      <c r="P1380" s="17" t="str">
        <f aca="false">IF($B1380="","",INDEX(Course!$N$2:$N$19,MATCH($B1380,Course!$A$2:$A$19,0)))</f>
        <v/>
      </c>
      <c r="Q1380" s="17" t="str">
        <f aca="false">IF($B1380="","",INDEX(Course!$P$2:$P$19,MATCH($B1380,Course!$A$2:$A$19,0)))</f>
        <v/>
      </c>
      <c r="R1380" s="17" t="str">
        <f aca="false">IF($C1380="","",IF(OR($C1380="G",$C1380="H"),0,IF($C1380="T",1,MIN(1,MAX(0,($N1380-Inputs!$B$8)/MAX($P1380-Inputs!$B$8,0.01))))))</f>
        <v/>
      </c>
      <c r="S1380" s="17" t="str">
        <f aca="false">IF($C1380="","",IF(OR($E1380="G",$E1380="H"),0,IF($E1380="T",1,MIN(1,MAX(0,($O1380-Inputs!$B$8)/MAX($P1380-Inputs!$B$8,0.01))))))</f>
        <v/>
      </c>
    </row>
    <row r="1381" customFormat="false" ht="15" hidden="false" customHeight="false" outlineLevel="0" collapsed="false">
      <c r="I1381" s="7" t="str">
        <f aca="false">IF($C1381="","",IF($C1381="G","PUTT",IF(AND($C1381="T",$M1381&gt;3),"OTT",IF($D1381&lt;=30,"ARG","APP"))))</f>
        <v/>
      </c>
      <c r="J1381" s="17" t="str">
        <f aca="false">IF($C1381="","",$N1381+$Q1381*$R1381)</f>
        <v/>
      </c>
      <c r="K1381" s="17" t="str">
        <f aca="false">IF($C1381="","",$O1381+$Q1381*$S1381)</f>
        <v/>
      </c>
      <c r="L1381" s="17" t="str">
        <f aca="false">IF($C1381="","",$J1381-$K1381-1-N($G1381))</f>
        <v/>
      </c>
      <c r="M1381" s="7" t="str">
        <f aca="false">IF($B1381="","",INDEX(Course!$B$2:$B$19,MATCH($B1381,Course!$A$2:$A$19,0)))</f>
        <v/>
      </c>
      <c r="N1381" s="17" t="str">
        <f aca="false">IF($C1381="","",IF($C1381="H",0,IF($C1381="G",INDEX(Baseline!$I$3:$I$102,MIN(MAX(ROUND($D1381,0),1),100)),IF($C1381="T",IF($M1381=3,INDEX(Baseline!$B$3:$B$122,MATCH(MIN(MAX(ROUND(($D1381)/5,0)*5,5),600),Baseline!$A$3:$A$122,0))-Inputs!$B$9,INDEX(Course!$N$2:$N$19,MATCH($B1381,Course!$A$2:$A$19,0))),INDEX(Baseline!$B$3:$E$122,MATCH(MIN(MAX(ROUND(($D1381)/5,0)*5,5),600),Baseline!$A$3:$A$122,0),MATCH($C1381,Baseline!$B$2:$E$2,0))))))</f>
        <v/>
      </c>
      <c r="O1381" s="17" t="str">
        <f aca="false">IF($C1381="","",IF($E1381="H",0,IF($E1381="G",INDEX(Baseline!$I$3:$I$102,MIN(MAX(ROUND($F1381,0),1),100)),IF($E1381="T",IF($M1381=3,INDEX(Baseline!$B$3:$B$122,MATCH(MIN(MAX(ROUND(($F1381)/5,0)*5,5),600),Baseline!$A$3:$A$122,0))-Inputs!$B$9,INDEX(Course!$N$2:$N$19,MATCH($B1381,Course!$A$2:$A$19,0))),INDEX(Baseline!$B$3:$E$122,MATCH(MIN(MAX(ROUND(($F1381)/5,0)*5,5),600),Baseline!$A$3:$A$122,0),MATCH($E1381,Baseline!$B$2:$E$2,0))))))</f>
        <v/>
      </c>
      <c r="P1381" s="17" t="str">
        <f aca="false">IF($B1381="","",INDEX(Course!$N$2:$N$19,MATCH($B1381,Course!$A$2:$A$19,0)))</f>
        <v/>
      </c>
      <c r="Q1381" s="17" t="str">
        <f aca="false">IF($B1381="","",INDEX(Course!$P$2:$P$19,MATCH($B1381,Course!$A$2:$A$19,0)))</f>
        <v/>
      </c>
      <c r="R1381" s="17" t="str">
        <f aca="false">IF($C1381="","",IF(OR($C1381="G",$C1381="H"),0,IF($C1381="T",1,MIN(1,MAX(0,($N1381-Inputs!$B$8)/MAX($P1381-Inputs!$B$8,0.01))))))</f>
        <v/>
      </c>
      <c r="S1381" s="17" t="str">
        <f aca="false">IF($C1381="","",IF(OR($E1381="G",$E1381="H"),0,IF($E1381="T",1,MIN(1,MAX(0,($O1381-Inputs!$B$8)/MAX($P1381-Inputs!$B$8,0.01))))))</f>
        <v/>
      </c>
    </row>
    <row r="1382" customFormat="false" ht="15" hidden="false" customHeight="false" outlineLevel="0" collapsed="false">
      <c r="I1382" s="7" t="str">
        <f aca="false">IF($C1382="","",IF($C1382="G","PUTT",IF(AND($C1382="T",$M1382&gt;3),"OTT",IF($D1382&lt;=30,"ARG","APP"))))</f>
        <v/>
      </c>
      <c r="J1382" s="17" t="str">
        <f aca="false">IF($C1382="","",$N1382+$Q1382*$R1382)</f>
        <v/>
      </c>
      <c r="K1382" s="17" t="str">
        <f aca="false">IF($C1382="","",$O1382+$Q1382*$S1382)</f>
        <v/>
      </c>
      <c r="L1382" s="17" t="str">
        <f aca="false">IF($C1382="","",$J1382-$K1382-1-N($G1382))</f>
        <v/>
      </c>
      <c r="M1382" s="7" t="str">
        <f aca="false">IF($B1382="","",INDEX(Course!$B$2:$B$19,MATCH($B1382,Course!$A$2:$A$19,0)))</f>
        <v/>
      </c>
      <c r="N1382" s="17" t="str">
        <f aca="false">IF($C1382="","",IF($C1382="H",0,IF($C1382="G",INDEX(Baseline!$I$3:$I$102,MIN(MAX(ROUND($D1382,0),1),100)),IF($C1382="T",IF($M1382=3,INDEX(Baseline!$B$3:$B$122,MATCH(MIN(MAX(ROUND(($D1382)/5,0)*5,5),600),Baseline!$A$3:$A$122,0))-Inputs!$B$9,INDEX(Course!$N$2:$N$19,MATCH($B1382,Course!$A$2:$A$19,0))),INDEX(Baseline!$B$3:$E$122,MATCH(MIN(MAX(ROUND(($D1382)/5,0)*5,5),600),Baseline!$A$3:$A$122,0),MATCH($C1382,Baseline!$B$2:$E$2,0))))))</f>
        <v/>
      </c>
      <c r="O1382" s="17" t="str">
        <f aca="false">IF($C1382="","",IF($E1382="H",0,IF($E1382="G",INDEX(Baseline!$I$3:$I$102,MIN(MAX(ROUND($F1382,0),1),100)),IF($E1382="T",IF($M1382=3,INDEX(Baseline!$B$3:$B$122,MATCH(MIN(MAX(ROUND(($F1382)/5,0)*5,5),600),Baseline!$A$3:$A$122,0))-Inputs!$B$9,INDEX(Course!$N$2:$N$19,MATCH($B1382,Course!$A$2:$A$19,0))),INDEX(Baseline!$B$3:$E$122,MATCH(MIN(MAX(ROUND(($F1382)/5,0)*5,5),600),Baseline!$A$3:$A$122,0),MATCH($E1382,Baseline!$B$2:$E$2,0))))))</f>
        <v/>
      </c>
      <c r="P1382" s="17" t="str">
        <f aca="false">IF($B1382="","",INDEX(Course!$N$2:$N$19,MATCH($B1382,Course!$A$2:$A$19,0)))</f>
        <v/>
      </c>
      <c r="Q1382" s="17" t="str">
        <f aca="false">IF($B1382="","",INDEX(Course!$P$2:$P$19,MATCH($B1382,Course!$A$2:$A$19,0)))</f>
        <v/>
      </c>
      <c r="R1382" s="17" t="str">
        <f aca="false">IF($C1382="","",IF(OR($C1382="G",$C1382="H"),0,IF($C1382="T",1,MIN(1,MAX(0,($N1382-Inputs!$B$8)/MAX($P1382-Inputs!$B$8,0.01))))))</f>
        <v/>
      </c>
      <c r="S1382" s="17" t="str">
        <f aca="false">IF($C1382="","",IF(OR($E1382="G",$E1382="H"),0,IF($E1382="T",1,MIN(1,MAX(0,($O1382-Inputs!$B$8)/MAX($P1382-Inputs!$B$8,0.01))))))</f>
        <v/>
      </c>
    </row>
    <row r="1383" customFormat="false" ht="15" hidden="false" customHeight="false" outlineLevel="0" collapsed="false">
      <c r="I1383" s="7" t="str">
        <f aca="false">IF($C1383="","",IF($C1383="G","PUTT",IF(AND($C1383="T",$M1383&gt;3),"OTT",IF($D1383&lt;=30,"ARG","APP"))))</f>
        <v/>
      </c>
      <c r="J1383" s="17" t="str">
        <f aca="false">IF($C1383="","",$N1383+$Q1383*$R1383)</f>
        <v/>
      </c>
      <c r="K1383" s="17" t="str">
        <f aca="false">IF($C1383="","",$O1383+$Q1383*$S1383)</f>
        <v/>
      </c>
      <c r="L1383" s="17" t="str">
        <f aca="false">IF($C1383="","",$J1383-$K1383-1-N($G1383))</f>
        <v/>
      </c>
      <c r="M1383" s="7" t="str">
        <f aca="false">IF($B1383="","",INDEX(Course!$B$2:$B$19,MATCH($B1383,Course!$A$2:$A$19,0)))</f>
        <v/>
      </c>
      <c r="N1383" s="17" t="str">
        <f aca="false">IF($C1383="","",IF($C1383="H",0,IF($C1383="G",INDEX(Baseline!$I$3:$I$102,MIN(MAX(ROUND($D1383,0),1),100)),IF($C1383="T",IF($M1383=3,INDEX(Baseline!$B$3:$B$122,MATCH(MIN(MAX(ROUND(($D1383)/5,0)*5,5),600),Baseline!$A$3:$A$122,0))-Inputs!$B$9,INDEX(Course!$N$2:$N$19,MATCH($B1383,Course!$A$2:$A$19,0))),INDEX(Baseline!$B$3:$E$122,MATCH(MIN(MAX(ROUND(($D1383)/5,0)*5,5),600),Baseline!$A$3:$A$122,0),MATCH($C1383,Baseline!$B$2:$E$2,0))))))</f>
        <v/>
      </c>
      <c r="O1383" s="17" t="str">
        <f aca="false">IF($C1383="","",IF($E1383="H",0,IF($E1383="G",INDEX(Baseline!$I$3:$I$102,MIN(MAX(ROUND($F1383,0),1),100)),IF($E1383="T",IF($M1383=3,INDEX(Baseline!$B$3:$B$122,MATCH(MIN(MAX(ROUND(($F1383)/5,0)*5,5),600),Baseline!$A$3:$A$122,0))-Inputs!$B$9,INDEX(Course!$N$2:$N$19,MATCH($B1383,Course!$A$2:$A$19,0))),INDEX(Baseline!$B$3:$E$122,MATCH(MIN(MAX(ROUND(($F1383)/5,0)*5,5),600),Baseline!$A$3:$A$122,0),MATCH($E1383,Baseline!$B$2:$E$2,0))))))</f>
        <v/>
      </c>
      <c r="P1383" s="17" t="str">
        <f aca="false">IF($B1383="","",INDEX(Course!$N$2:$N$19,MATCH($B1383,Course!$A$2:$A$19,0)))</f>
        <v/>
      </c>
      <c r="Q1383" s="17" t="str">
        <f aca="false">IF($B1383="","",INDEX(Course!$P$2:$P$19,MATCH($B1383,Course!$A$2:$A$19,0)))</f>
        <v/>
      </c>
      <c r="R1383" s="17" t="str">
        <f aca="false">IF($C1383="","",IF(OR($C1383="G",$C1383="H"),0,IF($C1383="T",1,MIN(1,MAX(0,($N1383-Inputs!$B$8)/MAX($P1383-Inputs!$B$8,0.01))))))</f>
        <v/>
      </c>
      <c r="S1383" s="17" t="str">
        <f aca="false">IF($C1383="","",IF(OR($E1383="G",$E1383="H"),0,IF($E1383="T",1,MIN(1,MAX(0,($O1383-Inputs!$B$8)/MAX($P1383-Inputs!$B$8,0.01))))))</f>
        <v/>
      </c>
    </row>
    <row r="1384" customFormat="false" ht="15" hidden="false" customHeight="false" outlineLevel="0" collapsed="false">
      <c r="I1384" s="7" t="str">
        <f aca="false">IF($C1384="","",IF($C1384="G","PUTT",IF(AND($C1384="T",$M1384&gt;3),"OTT",IF($D1384&lt;=30,"ARG","APP"))))</f>
        <v/>
      </c>
      <c r="J1384" s="17" t="str">
        <f aca="false">IF($C1384="","",$N1384+$Q1384*$R1384)</f>
        <v/>
      </c>
      <c r="K1384" s="17" t="str">
        <f aca="false">IF($C1384="","",$O1384+$Q1384*$S1384)</f>
        <v/>
      </c>
      <c r="L1384" s="17" t="str">
        <f aca="false">IF($C1384="","",$J1384-$K1384-1-N($G1384))</f>
        <v/>
      </c>
      <c r="M1384" s="7" t="str">
        <f aca="false">IF($B1384="","",INDEX(Course!$B$2:$B$19,MATCH($B1384,Course!$A$2:$A$19,0)))</f>
        <v/>
      </c>
      <c r="N1384" s="17" t="str">
        <f aca="false">IF($C1384="","",IF($C1384="H",0,IF($C1384="G",INDEX(Baseline!$I$3:$I$102,MIN(MAX(ROUND($D1384,0),1),100)),IF($C1384="T",IF($M1384=3,INDEX(Baseline!$B$3:$B$122,MATCH(MIN(MAX(ROUND(($D1384)/5,0)*5,5),600),Baseline!$A$3:$A$122,0))-Inputs!$B$9,INDEX(Course!$N$2:$N$19,MATCH($B1384,Course!$A$2:$A$19,0))),INDEX(Baseline!$B$3:$E$122,MATCH(MIN(MAX(ROUND(($D1384)/5,0)*5,5),600),Baseline!$A$3:$A$122,0),MATCH($C1384,Baseline!$B$2:$E$2,0))))))</f>
        <v/>
      </c>
      <c r="O1384" s="17" t="str">
        <f aca="false">IF($C1384="","",IF($E1384="H",0,IF($E1384="G",INDEX(Baseline!$I$3:$I$102,MIN(MAX(ROUND($F1384,0),1),100)),IF($E1384="T",IF($M1384=3,INDEX(Baseline!$B$3:$B$122,MATCH(MIN(MAX(ROUND(($F1384)/5,0)*5,5),600),Baseline!$A$3:$A$122,0))-Inputs!$B$9,INDEX(Course!$N$2:$N$19,MATCH($B1384,Course!$A$2:$A$19,0))),INDEX(Baseline!$B$3:$E$122,MATCH(MIN(MAX(ROUND(($F1384)/5,0)*5,5),600),Baseline!$A$3:$A$122,0),MATCH($E1384,Baseline!$B$2:$E$2,0))))))</f>
        <v/>
      </c>
      <c r="P1384" s="17" t="str">
        <f aca="false">IF($B1384="","",INDEX(Course!$N$2:$N$19,MATCH($B1384,Course!$A$2:$A$19,0)))</f>
        <v/>
      </c>
      <c r="Q1384" s="17" t="str">
        <f aca="false">IF($B1384="","",INDEX(Course!$P$2:$P$19,MATCH($B1384,Course!$A$2:$A$19,0)))</f>
        <v/>
      </c>
      <c r="R1384" s="17" t="str">
        <f aca="false">IF($C1384="","",IF(OR($C1384="G",$C1384="H"),0,IF($C1384="T",1,MIN(1,MAX(0,($N1384-Inputs!$B$8)/MAX($P1384-Inputs!$B$8,0.01))))))</f>
        <v/>
      </c>
      <c r="S1384" s="17" t="str">
        <f aca="false">IF($C1384="","",IF(OR($E1384="G",$E1384="H"),0,IF($E1384="T",1,MIN(1,MAX(0,($O1384-Inputs!$B$8)/MAX($P1384-Inputs!$B$8,0.01))))))</f>
        <v/>
      </c>
    </row>
    <row r="1385" customFormat="false" ht="15" hidden="false" customHeight="false" outlineLevel="0" collapsed="false">
      <c r="I1385" s="7" t="str">
        <f aca="false">IF($C1385="","",IF($C1385="G","PUTT",IF(AND($C1385="T",$M1385&gt;3),"OTT",IF($D1385&lt;=30,"ARG","APP"))))</f>
        <v/>
      </c>
      <c r="J1385" s="17" t="str">
        <f aca="false">IF($C1385="","",$N1385+$Q1385*$R1385)</f>
        <v/>
      </c>
      <c r="K1385" s="17" t="str">
        <f aca="false">IF($C1385="","",$O1385+$Q1385*$S1385)</f>
        <v/>
      </c>
      <c r="L1385" s="17" t="str">
        <f aca="false">IF($C1385="","",$J1385-$K1385-1-N($G1385))</f>
        <v/>
      </c>
      <c r="M1385" s="7" t="str">
        <f aca="false">IF($B1385="","",INDEX(Course!$B$2:$B$19,MATCH($B1385,Course!$A$2:$A$19,0)))</f>
        <v/>
      </c>
      <c r="N1385" s="17" t="str">
        <f aca="false">IF($C1385="","",IF($C1385="H",0,IF($C1385="G",INDEX(Baseline!$I$3:$I$102,MIN(MAX(ROUND($D1385,0),1),100)),IF($C1385="T",IF($M1385=3,INDEX(Baseline!$B$3:$B$122,MATCH(MIN(MAX(ROUND(($D1385)/5,0)*5,5),600),Baseline!$A$3:$A$122,0))-Inputs!$B$9,INDEX(Course!$N$2:$N$19,MATCH($B1385,Course!$A$2:$A$19,0))),INDEX(Baseline!$B$3:$E$122,MATCH(MIN(MAX(ROUND(($D1385)/5,0)*5,5),600),Baseline!$A$3:$A$122,0),MATCH($C1385,Baseline!$B$2:$E$2,0))))))</f>
        <v/>
      </c>
      <c r="O1385" s="17" t="str">
        <f aca="false">IF($C1385="","",IF($E1385="H",0,IF($E1385="G",INDEX(Baseline!$I$3:$I$102,MIN(MAX(ROUND($F1385,0),1),100)),IF($E1385="T",IF($M1385=3,INDEX(Baseline!$B$3:$B$122,MATCH(MIN(MAX(ROUND(($F1385)/5,0)*5,5),600),Baseline!$A$3:$A$122,0))-Inputs!$B$9,INDEX(Course!$N$2:$N$19,MATCH($B1385,Course!$A$2:$A$19,0))),INDEX(Baseline!$B$3:$E$122,MATCH(MIN(MAX(ROUND(($F1385)/5,0)*5,5),600),Baseline!$A$3:$A$122,0),MATCH($E1385,Baseline!$B$2:$E$2,0))))))</f>
        <v/>
      </c>
      <c r="P1385" s="17" t="str">
        <f aca="false">IF($B1385="","",INDEX(Course!$N$2:$N$19,MATCH($B1385,Course!$A$2:$A$19,0)))</f>
        <v/>
      </c>
      <c r="Q1385" s="17" t="str">
        <f aca="false">IF($B1385="","",INDEX(Course!$P$2:$P$19,MATCH($B1385,Course!$A$2:$A$19,0)))</f>
        <v/>
      </c>
      <c r="R1385" s="17" t="str">
        <f aca="false">IF($C1385="","",IF(OR($C1385="G",$C1385="H"),0,IF($C1385="T",1,MIN(1,MAX(0,($N1385-Inputs!$B$8)/MAX($P1385-Inputs!$B$8,0.01))))))</f>
        <v/>
      </c>
      <c r="S1385" s="17" t="str">
        <f aca="false">IF($C1385="","",IF(OR($E1385="G",$E1385="H"),0,IF($E1385="T",1,MIN(1,MAX(0,($O1385-Inputs!$B$8)/MAX($P1385-Inputs!$B$8,0.01))))))</f>
        <v/>
      </c>
    </row>
    <row r="1386" customFormat="false" ht="15" hidden="false" customHeight="false" outlineLevel="0" collapsed="false">
      <c r="I1386" s="7" t="str">
        <f aca="false">IF($C1386="","",IF($C1386="G","PUTT",IF(AND($C1386="T",$M1386&gt;3),"OTT",IF($D1386&lt;=30,"ARG","APP"))))</f>
        <v/>
      </c>
      <c r="J1386" s="17" t="str">
        <f aca="false">IF($C1386="","",$N1386+$Q1386*$R1386)</f>
        <v/>
      </c>
      <c r="K1386" s="17" t="str">
        <f aca="false">IF($C1386="","",$O1386+$Q1386*$S1386)</f>
        <v/>
      </c>
      <c r="L1386" s="17" t="str">
        <f aca="false">IF($C1386="","",$J1386-$K1386-1-N($G1386))</f>
        <v/>
      </c>
      <c r="M1386" s="7" t="str">
        <f aca="false">IF($B1386="","",INDEX(Course!$B$2:$B$19,MATCH($B1386,Course!$A$2:$A$19,0)))</f>
        <v/>
      </c>
      <c r="N1386" s="17" t="str">
        <f aca="false">IF($C1386="","",IF($C1386="H",0,IF($C1386="G",INDEX(Baseline!$I$3:$I$102,MIN(MAX(ROUND($D1386,0),1),100)),IF($C1386="T",IF($M1386=3,INDEX(Baseline!$B$3:$B$122,MATCH(MIN(MAX(ROUND(($D1386)/5,0)*5,5),600),Baseline!$A$3:$A$122,0))-Inputs!$B$9,INDEX(Course!$N$2:$N$19,MATCH($B1386,Course!$A$2:$A$19,0))),INDEX(Baseline!$B$3:$E$122,MATCH(MIN(MAX(ROUND(($D1386)/5,0)*5,5),600),Baseline!$A$3:$A$122,0),MATCH($C1386,Baseline!$B$2:$E$2,0))))))</f>
        <v/>
      </c>
      <c r="O1386" s="17" t="str">
        <f aca="false">IF($C1386="","",IF($E1386="H",0,IF($E1386="G",INDEX(Baseline!$I$3:$I$102,MIN(MAX(ROUND($F1386,0),1),100)),IF($E1386="T",IF($M1386=3,INDEX(Baseline!$B$3:$B$122,MATCH(MIN(MAX(ROUND(($F1386)/5,0)*5,5),600),Baseline!$A$3:$A$122,0))-Inputs!$B$9,INDEX(Course!$N$2:$N$19,MATCH($B1386,Course!$A$2:$A$19,0))),INDEX(Baseline!$B$3:$E$122,MATCH(MIN(MAX(ROUND(($F1386)/5,0)*5,5),600),Baseline!$A$3:$A$122,0),MATCH($E1386,Baseline!$B$2:$E$2,0))))))</f>
        <v/>
      </c>
      <c r="P1386" s="17" t="str">
        <f aca="false">IF($B1386="","",INDEX(Course!$N$2:$N$19,MATCH($B1386,Course!$A$2:$A$19,0)))</f>
        <v/>
      </c>
      <c r="Q1386" s="17" t="str">
        <f aca="false">IF($B1386="","",INDEX(Course!$P$2:$P$19,MATCH($B1386,Course!$A$2:$A$19,0)))</f>
        <v/>
      </c>
      <c r="R1386" s="17" t="str">
        <f aca="false">IF($C1386="","",IF(OR($C1386="G",$C1386="H"),0,IF($C1386="T",1,MIN(1,MAX(0,($N1386-Inputs!$B$8)/MAX($P1386-Inputs!$B$8,0.01))))))</f>
        <v/>
      </c>
      <c r="S1386" s="17" t="str">
        <f aca="false">IF($C1386="","",IF(OR($E1386="G",$E1386="H"),0,IF($E1386="T",1,MIN(1,MAX(0,($O1386-Inputs!$B$8)/MAX($P1386-Inputs!$B$8,0.01))))))</f>
        <v/>
      </c>
    </row>
    <row r="1387" customFormat="false" ht="15" hidden="false" customHeight="false" outlineLevel="0" collapsed="false">
      <c r="I1387" s="7" t="str">
        <f aca="false">IF($C1387="","",IF($C1387="G","PUTT",IF(AND($C1387="T",$M1387&gt;3),"OTT",IF($D1387&lt;=30,"ARG","APP"))))</f>
        <v/>
      </c>
      <c r="J1387" s="17" t="str">
        <f aca="false">IF($C1387="","",$N1387+$Q1387*$R1387)</f>
        <v/>
      </c>
      <c r="K1387" s="17" t="str">
        <f aca="false">IF($C1387="","",$O1387+$Q1387*$S1387)</f>
        <v/>
      </c>
      <c r="L1387" s="17" t="str">
        <f aca="false">IF($C1387="","",$J1387-$K1387-1-N($G1387))</f>
        <v/>
      </c>
      <c r="M1387" s="7" t="str">
        <f aca="false">IF($B1387="","",INDEX(Course!$B$2:$B$19,MATCH($B1387,Course!$A$2:$A$19,0)))</f>
        <v/>
      </c>
      <c r="N1387" s="17" t="str">
        <f aca="false">IF($C1387="","",IF($C1387="H",0,IF($C1387="G",INDEX(Baseline!$I$3:$I$102,MIN(MAX(ROUND($D1387,0),1),100)),IF($C1387="T",IF($M1387=3,INDEX(Baseline!$B$3:$B$122,MATCH(MIN(MAX(ROUND(($D1387)/5,0)*5,5),600),Baseline!$A$3:$A$122,0))-Inputs!$B$9,INDEX(Course!$N$2:$N$19,MATCH($B1387,Course!$A$2:$A$19,0))),INDEX(Baseline!$B$3:$E$122,MATCH(MIN(MAX(ROUND(($D1387)/5,0)*5,5),600),Baseline!$A$3:$A$122,0),MATCH($C1387,Baseline!$B$2:$E$2,0))))))</f>
        <v/>
      </c>
      <c r="O1387" s="17" t="str">
        <f aca="false">IF($C1387="","",IF($E1387="H",0,IF($E1387="G",INDEX(Baseline!$I$3:$I$102,MIN(MAX(ROUND($F1387,0),1),100)),IF($E1387="T",IF($M1387=3,INDEX(Baseline!$B$3:$B$122,MATCH(MIN(MAX(ROUND(($F1387)/5,0)*5,5),600),Baseline!$A$3:$A$122,0))-Inputs!$B$9,INDEX(Course!$N$2:$N$19,MATCH($B1387,Course!$A$2:$A$19,0))),INDEX(Baseline!$B$3:$E$122,MATCH(MIN(MAX(ROUND(($F1387)/5,0)*5,5),600),Baseline!$A$3:$A$122,0),MATCH($E1387,Baseline!$B$2:$E$2,0))))))</f>
        <v/>
      </c>
      <c r="P1387" s="17" t="str">
        <f aca="false">IF($B1387="","",INDEX(Course!$N$2:$N$19,MATCH($B1387,Course!$A$2:$A$19,0)))</f>
        <v/>
      </c>
      <c r="Q1387" s="17" t="str">
        <f aca="false">IF($B1387="","",INDEX(Course!$P$2:$P$19,MATCH($B1387,Course!$A$2:$A$19,0)))</f>
        <v/>
      </c>
      <c r="R1387" s="17" t="str">
        <f aca="false">IF($C1387="","",IF(OR($C1387="G",$C1387="H"),0,IF($C1387="T",1,MIN(1,MAX(0,($N1387-Inputs!$B$8)/MAX($P1387-Inputs!$B$8,0.01))))))</f>
        <v/>
      </c>
      <c r="S1387" s="17" t="str">
        <f aca="false">IF($C1387="","",IF(OR($E1387="G",$E1387="H"),0,IF($E1387="T",1,MIN(1,MAX(0,($O1387-Inputs!$B$8)/MAX($P1387-Inputs!$B$8,0.01))))))</f>
        <v/>
      </c>
    </row>
    <row r="1388" customFormat="false" ht="15" hidden="false" customHeight="false" outlineLevel="0" collapsed="false">
      <c r="I1388" s="7" t="str">
        <f aca="false">IF($C1388="","",IF($C1388="G","PUTT",IF(AND($C1388="T",$M1388&gt;3),"OTT",IF($D1388&lt;=30,"ARG","APP"))))</f>
        <v/>
      </c>
      <c r="J1388" s="17" t="str">
        <f aca="false">IF($C1388="","",$N1388+$Q1388*$R1388)</f>
        <v/>
      </c>
      <c r="K1388" s="17" t="str">
        <f aca="false">IF($C1388="","",$O1388+$Q1388*$S1388)</f>
        <v/>
      </c>
      <c r="L1388" s="17" t="str">
        <f aca="false">IF($C1388="","",$J1388-$K1388-1-N($G1388))</f>
        <v/>
      </c>
      <c r="M1388" s="7" t="str">
        <f aca="false">IF($B1388="","",INDEX(Course!$B$2:$B$19,MATCH($B1388,Course!$A$2:$A$19,0)))</f>
        <v/>
      </c>
      <c r="N1388" s="17" t="str">
        <f aca="false">IF($C1388="","",IF($C1388="H",0,IF($C1388="G",INDEX(Baseline!$I$3:$I$102,MIN(MAX(ROUND($D1388,0),1),100)),IF($C1388="T",IF($M1388=3,INDEX(Baseline!$B$3:$B$122,MATCH(MIN(MAX(ROUND(($D1388)/5,0)*5,5),600),Baseline!$A$3:$A$122,0))-Inputs!$B$9,INDEX(Course!$N$2:$N$19,MATCH($B1388,Course!$A$2:$A$19,0))),INDEX(Baseline!$B$3:$E$122,MATCH(MIN(MAX(ROUND(($D1388)/5,0)*5,5),600),Baseline!$A$3:$A$122,0),MATCH($C1388,Baseline!$B$2:$E$2,0))))))</f>
        <v/>
      </c>
      <c r="O1388" s="17" t="str">
        <f aca="false">IF($C1388="","",IF($E1388="H",0,IF($E1388="G",INDEX(Baseline!$I$3:$I$102,MIN(MAX(ROUND($F1388,0),1),100)),IF($E1388="T",IF($M1388=3,INDEX(Baseline!$B$3:$B$122,MATCH(MIN(MAX(ROUND(($F1388)/5,0)*5,5),600),Baseline!$A$3:$A$122,0))-Inputs!$B$9,INDEX(Course!$N$2:$N$19,MATCH($B1388,Course!$A$2:$A$19,0))),INDEX(Baseline!$B$3:$E$122,MATCH(MIN(MAX(ROUND(($F1388)/5,0)*5,5),600),Baseline!$A$3:$A$122,0),MATCH($E1388,Baseline!$B$2:$E$2,0))))))</f>
        <v/>
      </c>
      <c r="P1388" s="17" t="str">
        <f aca="false">IF($B1388="","",INDEX(Course!$N$2:$N$19,MATCH($B1388,Course!$A$2:$A$19,0)))</f>
        <v/>
      </c>
      <c r="Q1388" s="17" t="str">
        <f aca="false">IF($B1388="","",INDEX(Course!$P$2:$P$19,MATCH($B1388,Course!$A$2:$A$19,0)))</f>
        <v/>
      </c>
      <c r="R1388" s="17" t="str">
        <f aca="false">IF($C1388="","",IF(OR($C1388="G",$C1388="H"),0,IF($C1388="T",1,MIN(1,MAX(0,($N1388-Inputs!$B$8)/MAX($P1388-Inputs!$B$8,0.01))))))</f>
        <v/>
      </c>
      <c r="S1388" s="17" t="str">
        <f aca="false">IF($C1388="","",IF(OR($E1388="G",$E1388="H"),0,IF($E1388="T",1,MIN(1,MAX(0,($O1388-Inputs!$B$8)/MAX($P1388-Inputs!$B$8,0.01))))))</f>
        <v/>
      </c>
    </row>
    <row r="1389" customFormat="false" ht="15" hidden="false" customHeight="false" outlineLevel="0" collapsed="false">
      <c r="I1389" s="7" t="str">
        <f aca="false">IF($C1389="","",IF($C1389="G","PUTT",IF(AND($C1389="T",$M1389&gt;3),"OTT",IF($D1389&lt;=30,"ARG","APP"))))</f>
        <v/>
      </c>
      <c r="J1389" s="17" t="str">
        <f aca="false">IF($C1389="","",$N1389+$Q1389*$R1389)</f>
        <v/>
      </c>
      <c r="K1389" s="17" t="str">
        <f aca="false">IF($C1389="","",$O1389+$Q1389*$S1389)</f>
        <v/>
      </c>
      <c r="L1389" s="17" t="str">
        <f aca="false">IF($C1389="","",$J1389-$K1389-1-N($G1389))</f>
        <v/>
      </c>
      <c r="M1389" s="7" t="str">
        <f aca="false">IF($B1389="","",INDEX(Course!$B$2:$B$19,MATCH($B1389,Course!$A$2:$A$19,0)))</f>
        <v/>
      </c>
      <c r="N1389" s="17" t="str">
        <f aca="false">IF($C1389="","",IF($C1389="H",0,IF($C1389="G",INDEX(Baseline!$I$3:$I$102,MIN(MAX(ROUND($D1389,0),1),100)),IF($C1389="T",IF($M1389=3,INDEX(Baseline!$B$3:$B$122,MATCH(MIN(MAX(ROUND(($D1389)/5,0)*5,5),600),Baseline!$A$3:$A$122,0))-Inputs!$B$9,INDEX(Course!$N$2:$N$19,MATCH($B1389,Course!$A$2:$A$19,0))),INDEX(Baseline!$B$3:$E$122,MATCH(MIN(MAX(ROUND(($D1389)/5,0)*5,5),600),Baseline!$A$3:$A$122,0),MATCH($C1389,Baseline!$B$2:$E$2,0))))))</f>
        <v/>
      </c>
      <c r="O1389" s="17" t="str">
        <f aca="false">IF($C1389="","",IF($E1389="H",0,IF($E1389="G",INDEX(Baseline!$I$3:$I$102,MIN(MAX(ROUND($F1389,0),1),100)),IF($E1389="T",IF($M1389=3,INDEX(Baseline!$B$3:$B$122,MATCH(MIN(MAX(ROUND(($F1389)/5,0)*5,5),600),Baseline!$A$3:$A$122,0))-Inputs!$B$9,INDEX(Course!$N$2:$N$19,MATCH($B1389,Course!$A$2:$A$19,0))),INDEX(Baseline!$B$3:$E$122,MATCH(MIN(MAX(ROUND(($F1389)/5,0)*5,5),600),Baseline!$A$3:$A$122,0),MATCH($E1389,Baseline!$B$2:$E$2,0))))))</f>
        <v/>
      </c>
      <c r="P1389" s="17" t="str">
        <f aca="false">IF($B1389="","",INDEX(Course!$N$2:$N$19,MATCH($B1389,Course!$A$2:$A$19,0)))</f>
        <v/>
      </c>
      <c r="Q1389" s="17" t="str">
        <f aca="false">IF($B1389="","",INDEX(Course!$P$2:$P$19,MATCH($B1389,Course!$A$2:$A$19,0)))</f>
        <v/>
      </c>
      <c r="R1389" s="17" t="str">
        <f aca="false">IF($C1389="","",IF(OR($C1389="G",$C1389="H"),0,IF($C1389="T",1,MIN(1,MAX(0,($N1389-Inputs!$B$8)/MAX($P1389-Inputs!$B$8,0.01))))))</f>
        <v/>
      </c>
      <c r="S1389" s="17" t="str">
        <f aca="false">IF($C1389="","",IF(OR($E1389="G",$E1389="H"),0,IF($E1389="T",1,MIN(1,MAX(0,($O1389-Inputs!$B$8)/MAX($P1389-Inputs!$B$8,0.01))))))</f>
        <v/>
      </c>
    </row>
    <row r="1390" customFormat="false" ht="15" hidden="false" customHeight="false" outlineLevel="0" collapsed="false">
      <c r="I1390" s="7" t="str">
        <f aca="false">IF($C1390="","",IF($C1390="G","PUTT",IF(AND($C1390="T",$M1390&gt;3),"OTT",IF($D1390&lt;=30,"ARG","APP"))))</f>
        <v/>
      </c>
      <c r="J1390" s="17" t="str">
        <f aca="false">IF($C1390="","",$N1390+$Q1390*$R1390)</f>
        <v/>
      </c>
      <c r="K1390" s="17" t="str">
        <f aca="false">IF($C1390="","",$O1390+$Q1390*$S1390)</f>
        <v/>
      </c>
      <c r="L1390" s="17" t="str">
        <f aca="false">IF($C1390="","",$J1390-$K1390-1-N($G1390))</f>
        <v/>
      </c>
      <c r="M1390" s="7" t="str">
        <f aca="false">IF($B1390="","",INDEX(Course!$B$2:$B$19,MATCH($B1390,Course!$A$2:$A$19,0)))</f>
        <v/>
      </c>
      <c r="N1390" s="17" t="str">
        <f aca="false">IF($C1390="","",IF($C1390="H",0,IF($C1390="G",INDEX(Baseline!$I$3:$I$102,MIN(MAX(ROUND($D1390,0),1),100)),IF($C1390="T",IF($M1390=3,INDEX(Baseline!$B$3:$B$122,MATCH(MIN(MAX(ROUND(($D1390)/5,0)*5,5),600),Baseline!$A$3:$A$122,0))-Inputs!$B$9,INDEX(Course!$N$2:$N$19,MATCH($B1390,Course!$A$2:$A$19,0))),INDEX(Baseline!$B$3:$E$122,MATCH(MIN(MAX(ROUND(($D1390)/5,0)*5,5),600),Baseline!$A$3:$A$122,0),MATCH($C1390,Baseline!$B$2:$E$2,0))))))</f>
        <v/>
      </c>
      <c r="O1390" s="17" t="str">
        <f aca="false">IF($C1390="","",IF($E1390="H",0,IF($E1390="G",INDEX(Baseline!$I$3:$I$102,MIN(MAX(ROUND($F1390,0),1),100)),IF($E1390="T",IF($M1390=3,INDEX(Baseline!$B$3:$B$122,MATCH(MIN(MAX(ROUND(($F1390)/5,0)*5,5),600),Baseline!$A$3:$A$122,0))-Inputs!$B$9,INDEX(Course!$N$2:$N$19,MATCH($B1390,Course!$A$2:$A$19,0))),INDEX(Baseline!$B$3:$E$122,MATCH(MIN(MAX(ROUND(($F1390)/5,0)*5,5),600),Baseline!$A$3:$A$122,0),MATCH($E1390,Baseline!$B$2:$E$2,0))))))</f>
        <v/>
      </c>
      <c r="P1390" s="17" t="str">
        <f aca="false">IF($B1390="","",INDEX(Course!$N$2:$N$19,MATCH($B1390,Course!$A$2:$A$19,0)))</f>
        <v/>
      </c>
      <c r="Q1390" s="17" t="str">
        <f aca="false">IF($B1390="","",INDEX(Course!$P$2:$P$19,MATCH($B1390,Course!$A$2:$A$19,0)))</f>
        <v/>
      </c>
      <c r="R1390" s="17" t="str">
        <f aca="false">IF($C1390="","",IF(OR($C1390="G",$C1390="H"),0,IF($C1390="T",1,MIN(1,MAX(0,($N1390-Inputs!$B$8)/MAX($P1390-Inputs!$B$8,0.01))))))</f>
        <v/>
      </c>
      <c r="S1390" s="17" t="str">
        <f aca="false">IF($C1390="","",IF(OR($E1390="G",$E1390="H"),0,IF($E1390="T",1,MIN(1,MAX(0,($O1390-Inputs!$B$8)/MAX($P1390-Inputs!$B$8,0.01))))))</f>
        <v/>
      </c>
    </row>
    <row r="1391" customFormat="false" ht="15" hidden="false" customHeight="false" outlineLevel="0" collapsed="false">
      <c r="I1391" s="7" t="str">
        <f aca="false">IF($C1391="","",IF($C1391="G","PUTT",IF(AND($C1391="T",$M1391&gt;3),"OTT",IF($D1391&lt;=30,"ARG","APP"))))</f>
        <v/>
      </c>
      <c r="J1391" s="17" t="str">
        <f aca="false">IF($C1391="","",$N1391+$Q1391*$R1391)</f>
        <v/>
      </c>
      <c r="K1391" s="17" t="str">
        <f aca="false">IF($C1391="","",$O1391+$Q1391*$S1391)</f>
        <v/>
      </c>
      <c r="L1391" s="17" t="str">
        <f aca="false">IF($C1391="","",$J1391-$K1391-1-N($G1391))</f>
        <v/>
      </c>
      <c r="M1391" s="7" t="str">
        <f aca="false">IF($B1391="","",INDEX(Course!$B$2:$B$19,MATCH($B1391,Course!$A$2:$A$19,0)))</f>
        <v/>
      </c>
      <c r="N1391" s="17" t="str">
        <f aca="false">IF($C1391="","",IF($C1391="H",0,IF($C1391="G",INDEX(Baseline!$I$3:$I$102,MIN(MAX(ROUND($D1391,0),1),100)),IF($C1391="T",IF($M1391=3,INDEX(Baseline!$B$3:$B$122,MATCH(MIN(MAX(ROUND(($D1391)/5,0)*5,5),600),Baseline!$A$3:$A$122,0))-Inputs!$B$9,INDEX(Course!$N$2:$N$19,MATCH($B1391,Course!$A$2:$A$19,0))),INDEX(Baseline!$B$3:$E$122,MATCH(MIN(MAX(ROUND(($D1391)/5,0)*5,5),600),Baseline!$A$3:$A$122,0),MATCH($C1391,Baseline!$B$2:$E$2,0))))))</f>
        <v/>
      </c>
      <c r="O1391" s="17" t="str">
        <f aca="false">IF($C1391="","",IF($E1391="H",0,IF($E1391="G",INDEX(Baseline!$I$3:$I$102,MIN(MAX(ROUND($F1391,0),1),100)),IF($E1391="T",IF($M1391=3,INDEX(Baseline!$B$3:$B$122,MATCH(MIN(MAX(ROUND(($F1391)/5,0)*5,5),600),Baseline!$A$3:$A$122,0))-Inputs!$B$9,INDEX(Course!$N$2:$N$19,MATCH($B1391,Course!$A$2:$A$19,0))),INDEX(Baseline!$B$3:$E$122,MATCH(MIN(MAX(ROUND(($F1391)/5,0)*5,5),600),Baseline!$A$3:$A$122,0),MATCH($E1391,Baseline!$B$2:$E$2,0))))))</f>
        <v/>
      </c>
      <c r="P1391" s="17" t="str">
        <f aca="false">IF($B1391="","",INDEX(Course!$N$2:$N$19,MATCH($B1391,Course!$A$2:$A$19,0)))</f>
        <v/>
      </c>
      <c r="Q1391" s="17" t="str">
        <f aca="false">IF($B1391="","",INDEX(Course!$P$2:$P$19,MATCH($B1391,Course!$A$2:$A$19,0)))</f>
        <v/>
      </c>
      <c r="R1391" s="17" t="str">
        <f aca="false">IF($C1391="","",IF(OR($C1391="G",$C1391="H"),0,IF($C1391="T",1,MIN(1,MAX(0,($N1391-Inputs!$B$8)/MAX($P1391-Inputs!$B$8,0.01))))))</f>
        <v/>
      </c>
      <c r="S1391" s="17" t="str">
        <f aca="false">IF($C1391="","",IF(OR($E1391="G",$E1391="H"),0,IF($E1391="T",1,MIN(1,MAX(0,($O1391-Inputs!$B$8)/MAX($P1391-Inputs!$B$8,0.01))))))</f>
        <v/>
      </c>
    </row>
    <row r="1392" customFormat="false" ht="15" hidden="false" customHeight="false" outlineLevel="0" collapsed="false">
      <c r="I1392" s="7" t="str">
        <f aca="false">IF($C1392="","",IF($C1392="G","PUTT",IF(AND($C1392="T",$M1392&gt;3),"OTT",IF($D1392&lt;=30,"ARG","APP"))))</f>
        <v/>
      </c>
      <c r="J1392" s="17" t="str">
        <f aca="false">IF($C1392="","",$N1392+$Q1392*$R1392)</f>
        <v/>
      </c>
      <c r="K1392" s="17" t="str">
        <f aca="false">IF($C1392="","",$O1392+$Q1392*$S1392)</f>
        <v/>
      </c>
      <c r="L1392" s="17" t="str">
        <f aca="false">IF($C1392="","",$J1392-$K1392-1-N($G1392))</f>
        <v/>
      </c>
      <c r="M1392" s="7" t="str">
        <f aca="false">IF($B1392="","",INDEX(Course!$B$2:$B$19,MATCH($B1392,Course!$A$2:$A$19,0)))</f>
        <v/>
      </c>
      <c r="N1392" s="17" t="str">
        <f aca="false">IF($C1392="","",IF($C1392="H",0,IF($C1392="G",INDEX(Baseline!$I$3:$I$102,MIN(MAX(ROUND($D1392,0),1),100)),IF($C1392="T",IF($M1392=3,INDEX(Baseline!$B$3:$B$122,MATCH(MIN(MAX(ROUND(($D1392)/5,0)*5,5),600),Baseline!$A$3:$A$122,0))-Inputs!$B$9,INDEX(Course!$N$2:$N$19,MATCH($B1392,Course!$A$2:$A$19,0))),INDEX(Baseline!$B$3:$E$122,MATCH(MIN(MAX(ROUND(($D1392)/5,0)*5,5),600),Baseline!$A$3:$A$122,0),MATCH($C1392,Baseline!$B$2:$E$2,0))))))</f>
        <v/>
      </c>
      <c r="O1392" s="17" t="str">
        <f aca="false">IF($C1392="","",IF($E1392="H",0,IF($E1392="G",INDEX(Baseline!$I$3:$I$102,MIN(MAX(ROUND($F1392,0),1),100)),IF($E1392="T",IF($M1392=3,INDEX(Baseline!$B$3:$B$122,MATCH(MIN(MAX(ROUND(($F1392)/5,0)*5,5),600),Baseline!$A$3:$A$122,0))-Inputs!$B$9,INDEX(Course!$N$2:$N$19,MATCH($B1392,Course!$A$2:$A$19,0))),INDEX(Baseline!$B$3:$E$122,MATCH(MIN(MAX(ROUND(($F1392)/5,0)*5,5),600),Baseline!$A$3:$A$122,0),MATCH($E1392,Baseline!$B$2:$E$2,0))))))</f>
        <v/>
      </c>
      <c r="P1392" s="17" t="str">
        <f aca="false">IF($B1392="","",INDEX(Course!$N$2:$N$19,MATCH($B1392,Course!$A$2:$A$19,0)))</f>
        <v/>
      </c>
      <c r="Q1392" s="17" t="str">
        <f aca="false">IF($B1392="","",INDEX(Course!$P$2:$P$19,MATCH($B1392,Course!$A$2:$A$19,0)))</f>
        <v/>
      </c>
      <c r="R1392" s="17" t="str">
        <f aca="false">IF($C1392="","",IF(OR($C1392="G",$C1392="H"),0,IF($C1392="T",1,MIN(1,MAX(0,($N1392-Inputs!$B$8)/MAX($P1392-Inputs!$B$8,0.01))))))</f>
        <v/>
      </c>
      <c r="S1392" s="17" t="str">
        <f aca="false">IF($C1392="","",IF(OR($E1392="G",$E1392="H"),0,IF($E1392="T",1,MIN(1,MAX(0,($O1392-Inputs!$B$8)/MAX($P1392-Inputs!$B$8,0.01))))))</f>
        <v/>
      </c>
    </row>
    <row r="1393" customFormat="false" ht="15" hidden="false" customHeight="false" outlineLevel="0" collapsed="false">
      <c r="I1393" s="7" t="str">
        <f aca="false">IF($C1393="","",IF($C1393="G","PUTT",IF(AND($C1393="T",$M1393&gt;3),"OTT",IF($D1393&lt;=30,"ARG","APP"))))</f>
        <v/>
      </c>
      <c r="J1393" s="17" t="str">
        <f aca="false">IF($C1393="","",$N1393+$Q1393*$R1393)</f>
        <v/>
      </c>
      <c r="K1393" s="17" t="str">
        <f aca="false">IF($C1393="","",$O1393+$Q1393*$S1393)</f>
        <v/>
      </c>
      <c r="L1393" s="17" t="str">
        <f aca="false">IF($C1393="","",$J1393-$K1393-1-N($G1393))</f>
        <v/>
      </c>
      <c r="M1393" s="7" t="str">
        <f aca="false">IF($B1393="","",INDEX(Course!$B$2:$B$19,MATCH($B1393,Course!$A$2:$A$19,0)))</f>
        <v/>
      </c>
      <c r="N1393" s="17" t="str">
        <f aca="false">IF($C1393="","",IF($C1393="H",0,IF($C1393="G",INDEX(Baseline!$I$3:$I$102,MIN(MAX(ROUND($D1393,0),1),100)),IF($C1393="T",IF($M1393=3,INDEX(Baseline!$B$3:$B$122,MATCH(MIN(MAX(ROUND(($D1393)/5,0)*5,5),600),Baseline!$A$3:$A$122,0))-Inputs!$B$9,INDEX(Course!$N$2:$N$19,MATCH($B1393,Course!$A$2:$A$19,0))),INDEX(Baseline!$B$3:$E$122,MATCH(MIN(MAX(ROUND(($D1393)/5,0)*5,5),600),Baseline!$A$3:$A$122,0),MATCH($C1393,Baseline!$B$2:$E$2,0))))))</f>
        <v/>
      </c>
      <c r="O1393" s="17" t="str">
        <f aca="false">IF($C1393="","",IF($E1393="H",0,IF($E1393="G",INDEX(Baseline!$I$3:$I$102,MIN(MAX(ROUND($F1393,0),1),100)),IF($E1393="T",IF($M1393=3,INDEX(Baseline!$B$3:$B$122,MATCH(MIN(MAX(ROUND(($F1393)/5,0)*5,5),600),Baseline!$A$3:$A$122,0))-Inputs!$B$9,INDEX(Course!$N$2:$N$19,MATCH($B1393,Course!$A$2:$A$19,0))),INDEX(Baseline!$B$3:$E$122,MATCH(MIN(MAX(ROUND(($F1393)/5,0)*5,5),600),Baseline!$A$3:$A$122,0),MATCH($E1393,Baseline!$B$2:$E$2,0))))))</f>
        <v/>
      </c>
      <c r="P1393" s="17" t="str">
        <f aca="false">IF($B1393="","",INDEX(Course!$N$2:$N$19,MATCH($B1393,Course!$A$2:$A$19,0)))</f>
        <v/>
      </c>
      <c r="Q1393" s="17" t="str">
        <f aca="false">IF($B1393="","",INDEX(Course!$P$2:$P$19,MATCH($B1393,Course!$A$2:$A$19,0)))</f>
        <v/>
      </c>
      <c r="R1393" s="17" t="str">
        <f aca="false">IF($C1393="","",IF(OR($C1393="G",$C1393="H"),0,IF($C1393="T",1,MIN(1,MAX(0,($N1393-Inputs!$B$8)/MAX($P1393-Inputs!$B$8,0.01))))))</f>
        <v/>
      </c>
      <c r="S1393" s="17" t="str">
        <f aca="false">IF($C1393="","",IF(OR($E1393="G",$E1393="H"),0,IF($E1393="T",1,MIN(1,MAX(0,($O1393-Inputs!$B$8)/MAX($P1393-Inputs!$B$8,0.01))))))</f>
        <v/>
      </c>
    </row>
    <row r="1394" customFormat="false" ht="15" hidden="false" customHeight="false" outlineLevel="0" collapsed="false">
      <c r="I1394" s="7" t="str">
        <f aca="false">IF($C1394="","",IF($C1394="G","PUTT",IF(AND($C1394="T",$M1394&gt;3),"OTT",IF($D1394&lt;=30,"ARG","APP"))))</f>
        <v/>
      </c>
      <c r="J1394" s="17" t="str">
        <f aca="false">IF($C1394="","",$N1394+$Q1394*$R1394)</f>
        <v/>
      </c>
      <c r="K1394" s="17" t="str">
        <f aca="false">IF($C1394="","",$O1394+$Q1394*$S1394)</f>
        <v/>
      </c>
      <c r="L1394" s="17" t="str">
        <f aca="false">IF($C1394="","",$J1394-$K1394-1-N($G1394))</f>
        <v/>
      </c>
      <c r="M1394" s="7" t="str">
        <f aca="false">IF($B1394="","",INDEX(Course!$B$2:$B$19,MATCH($B1394,Course!$A$2:$A$19,0)))</f>
        <v/>
      </c>
      <c r="N1394" s="17" t="str">
        <f aca="false">IF($C1394="","",IF($C1394="H",0,IF($C1394="G",INDEX(Baseline!$I$3:$I$102,MIN(MAX(ROUND($D1394,0),1),100)),IF($C1394="T",IF($M1394=3,INDEX(Baseline!$B$3:$B$122,MATCH(MIN(MAX(ROUND(($D1394)/5,0)*5,5),600),Baseline!$A$3:$A$122,0))-Inputs!$B$9,INDEX(Course!$N$2:$N$19,MATCH($B1394,Course!$A$2:$A$19,0))),INDEX(Baseline!$B$3:$E$122,MATCH(MIN(MAX(ROUND(($D1394)/5,0)*5,5),600),Baseline!$A$3:$A$122,0),MATCH($C1394,Baseline!$B$2:$E$2,0))))))</f>
        <v/>
      </c>
      <c r="O1394" s="17" t="str">
        <f aca="false">IF($C1394="","",IF($E1394="H",0,IF($E1394="G",INDEX(Baseline!$I$3:$I$102,MIN(MAX(ROUND($F1394,0),1),100)),IF($E1394="T",IF($M1394=3,INDEX(Baseline!$B$3:$B$122,MATCH(MIN(MAX(ROUND(($F1394)/5,0)*5,5),600),Baseline!$A$3:$A$122,0))-Inputs!$B$9,INDEX(Course!$N$2:$N$19,MATCH($B1394,Course!$A$2:$A$19,0))),INDEX(Baseline!$B$3:$E$122,MATCH(MIN(MAX(ROUND(($F1394)/5,0)*5,5),600),Baseline!$A$3:$A$122,0),MATCH($E1394,Baseline!$B$2:$E$2,0))))))</f>
        <v/>
      </c>
      <c r="P1394" s="17" t="str">
        <f aca="false">IF($B1394="","",INDEX(Course!$N$2:$N$19,MATCH($B1394,Course!$A$2:$A$19,0)))</f>
        <v/>
      </c>
      <c r="Q1394" s="17" t="str">
        <f aca="false">IF($B1394="","",INDEX(Course!$P$2:$P$19,MATCH($B1394,Course!$A$2:$A$19,0)))</f>
        <v/>
      </c>
      <c r="R1394" s="17" t="str">
        <f aca="false">IF($C1394="","",IF(OR($C1394="G",$C1394="H"),0,IF($C1394="T",1,MIN(1,MAX(0,($N1394-Inputs!$B$8)/MAX($P1394-Inputs!$B$8,0.01))))))</f>
        <v/>
      </c>
      <c r="S1394" s="17" t="str">
        <f aca="false">IF($C1394="","",IF(OR($E1394="G",$E1394="H"),0,IF($E1394="T",1,MIN(1,MAX(0,($O1394-Inputs!$B$8)/MAX($P1394-Inputs!$B$8,0.01))))))</f>
        <v/>
      </c>
    </row>
    <row r="1395" customFormat="false" ht="15" hidden="false" customHeight="false" outlineLevel="0" collapsed="false">
      <c r="I1395" s="7" t="str">
        <f aca="false">IF($C1395="","",IF($C1395="G","PUTT",IF(AND($C1395="T",$M1395&gt;3),"OTT",IF($D1395&lt;=30,"ARG","APP"))))</f>
        <v/>
      </c>
      <c r="J1395" s="17" t="str">
        <f aca="false">IF($C1395="","",$N1395+$Q1395*$R1395)</f>
        <v/>
      </c>
      <c r="K1395" s="17" t="str">
        <f aca="false">IF($C1395="","",$O1395+$Q1395*$S1395)</f>
        <v/>
      </c>
      <c r="L1395" s="17" t="str">
        <f aca="false">IF($C1395="","",$J1395-$K1395-1-N($G1395))</f>
        <v/>
      </c>
      <c r="M1395" s="7" t="str">
        <f aca="false">IF($B1395="","",INDEX(Course!$B$2:$B$19,MATCH($B1395,Course!$A$2:$A$19,0)))</f>
        <v/>
      </c>
      <c r="N1395" s="17" t="str">
        <f aca="false">IF($C1395="","",IF($C1395="H",0,IF($C1395="G",INDEX(Baseline!$I$3:$I$102,MIN(MAX(ROUND($D1395,0),1),100)),IF($C1395="T",IF($M1395=3,INDEX(Baseline!$B$3:$B$122,MATCH(MIN(MAX(ROUND(($D1395)/5,0)*5,5),600),Baseline!$A$3:$A$122,0))-Inputs!$B$9,INDEX(Course!$N$2:$N$19,MATCH($B1395,Course!$A$2:$A$19,0))),INDEX(Baseline!$B$3:$E$122,MATCH(MIN(MAX(ROUND(($D1395)/5,0)*5,5),600),Baseline!$A$3:$A$122,0),MATCH($C1395,Baseline!$B$2:$E$2,0))))))</f>
        <v/>
      </c>
      <c r="O1395" s="17" t="str">
        <f aca="false">IF($C1395="","",IF($E1395="H",0,IF($E1395="G",INDEX(Baseline!$I$3:$I$102,MIN(MAX(ROUND($F1395,0),1),100)),IF($E1395="T",IF($M1395=3,INDEX(Baseline!$B$3:$B$122,MATCH(MIN(MAX(ROUND(($F1395)/5,0)*5,5),600),Baseline!$A$3:$A$122,0))-Inputs!$B$9,INDEX(Course!$N$2:$N$19,MATCH($B1395,Course!$A$2:$A$19,0))),INDEX(Baseline!$B$3:$E$122,MATCH(MIN(MAX(ROUND(($F1395)/5,0)*5,5),600),Baseline!$A$3:$A$122,0),MATCH($E1395,Baseline!$B$2:$E$2,0))))))</f>
        <v/>
      </c>
      <c r="P1395" s="17" t="str">
        <f aca="false">IF($B1395="","",INDEX(Course!$N$2:$N$19,MATCH($B1395,Course!$A$2:$A$19,0)))</f>
        <v/>
      </c>
      <c r="Q1395" s="17" t="str">
        <f aca="false">IF($B1395="","",INDEX(Course!$P$2:$P$19,MATCH($B1395,Course!$A$2:$A$19,0)))</f>
        <v/>
      </c>
      <c r="R1395" s="17" t="str">
        <f aca="false">IF($C1395="","",IF(OR($C1395="G",$C1395="H"),0,IF($C1395="T",1,MIN(1,MAX(0,($N1395-Inputs!$B$8)/MAX($P1395-Inputs!$B$8,0.01))))))</f>
        <v/>
      </c>
      <c r="S1395" s="17" t="str">
        <f aca="false">IF($C1395="","",IF(OR($E1395="G",$E1395="H"),0,IF($E1395="T",1,MIN(1,MAX(0,($O1395-Inputs!$B$8)/MAX($P1395-Inputs!$B$8,0.01))))))</f>
        <v/>
      </c>
    </row>
    <row r="1396" customFormat="false" ht="15" hidden="false" customHeight="false" outlineLevel="0" collapsed="false">
      <c r="I1396" s="7" t="str">
        <f aca="false">IF($C1396="","",IF($C1396="G","PUTT",IF(AND($C1396="T",$M1396&gt;3),"OTT",IF($D1396&lt;=30,"ARG","APP"))))</f>
        <v/>
      </c>
      <c r="J1396" s="17" t="str">
        <f aca="false">IF($C1396="","",$N1396+$Q1396*$R1396)</f>
        <v/>
      </c>
      <c r="K1396" s="17" t="str">
        <f aca="false">IF($C1396="","",$O1396+$Q1396*$S1396)</f>
        <v/>
      </c>
      <c r="L1396" s="17" t="str">
        <f aca="false">IF($C1396="","",$J1396-$K1396-1-N($G1396))</f>
        <v/>
      </c>
      <c r="M1396" s="7" t="str">
        <f aca="false">IF($B1396="","",INDEX(Course!$B$2:$B$19,MATCH($B1396,Course!$A$2:$A$19,0)))</f>
        <v/>
      </c>
      <c r="N1396" s="17" t="str">
        <f aca="false">IF($C1396="","",IF($C1396="H",0,IF($C1396="G",INDEX(Baseline!$I$3:$I$102,MIN(MAX(ROUND($D1396,0),1),100)),IF($C1396="T",IF($M1396=3,INDEX(Baseline!$B$3:$B$122,MATCH(MIN(MAX(ROUND(($D1396)/5,0)*5,5),600),Baseline!$A$3:$A$122,0))-Inputs!$B$9,INDEX(Course!$N$2:$N$19,MATCH($B1396,Course!$A$2:$A$19,0))),INDEX(Baseline!$B$3:$E$122,MATCH(MIN(MAX(ROUND(($D1396)/5,0)*5,5),600),Baseline!$A$3:$A$122,0),MATCH($C1396,Baseline!$B$2:$E$2,0))))))</f>
        <v/>
      </c>
      <c r="O1396" s="17" t="str">
        <f aca="false">IF($C1396="","",IF($E1396="H",0,IF($E1396="G",INDEX(Baseline!$I$3:$I$102,MIN(MAX(ROUND($F1396,0),1),100)),IF($E1396="T",IF($M1396=3,INDEX(Baseline!$B$3:$B$122,MATCH(MIN(MAX(ROUND(($F1396)/5,0)*5,5),600),Baseline!$A$3:$A$122,0))-Inputs!$B$9,INDEX(Course!$N$2:$N$19,MATCH($B1396,Course!$A$2:$A$19,0))),INDEX(Baseline!$B$3:$E$122,MATCH(MIN(MAX(ROUND(($F1396)/5,0)*5,5),600),Baseline!$A$3:$A$122,0),MATCH($E1396,Baseline!$B$2:$E$2,0))))))</f>
        <v/>
      </c>
      <c r="P1396" s="17" t="str">
        <f aca="false">IF($B1396="","",INDEX(Course!$N$2:$N$19,MATCH($B1396,Course!$A$2:$A$19,0)))</f>
        <v/>
      </c>
      <c r="Q1396" s="17" t="str">
        <f aca="false">IF($B1396="","",INDEX(Course!$P$2:$P$19,MATCH($B1396,Course!$A$2:$A$19,0)))</f>
        <v/>
      </c>
      <c r="R1396" s="17" t="str">
        <f aca="false">IF($C1396="","",IF(OR($C1396="G",$C1396="H"),0,IF($C1396="T",1,MIN(1,MAX(0,($N1396-Inputs!$B$8)/MAX($P1396-Inputs!$B$8,0.01))))))</f>
        <v/>
      </c>
      <c r="S1396" s="17" t="str">
        <f aca="false">IF($C1396="","",IF(OR($E1396="G",$E1396="H"),0,IF($E1396="T",1,MIN(1,MAX(0,($O1396-Inputs!$B$8)/MAX($P1396-Inputs!$B$8,0.01))))))</f>
        <v/>
      </c>
    </row>
    <row r="1397" customFormat="false" ht="15" hidden="false" customHeight="false" outlineLevel="0" collapsed="false">
      <c r="I1397" s="7" t="str">
        <f aca="false">IF($C1397="","",IF($C1397="G","PUTT",IF(AND($C1397="T",$M1397&gt;3),"OTT",IF($D1397&lt;=30,"ARG","APP"))))</f>
        <v/>
      </c>
      <c r="J1397" s="17" t="str">
        <f aca="false">IF($C1397="","",$N1397+$Q1397*$R1397)</f>
        <v/>
      </c>
      <c r="K1397" s="17" t="str">
        <f aca="false">IF($C1397="","",$O1397+$Q1397*$S1397)</f>
        <v/>
      </c>
      <c r="L1397" s="17" t="str">
        <f aca="false">IF($C1397="","",$J1397-$K1397-1-N($G1397))</f>
        <v/>
      </c>
      <c r="M1397" s="7" t="str">
        <f aca="false">IF($B1397="","",INDEX(Course!$B$2:$B$19,MATCH($B1397,Course!$A$2:$A$19,0)))</f>
        <v/>
      </c>
      <c r="N1397" s="17" t="str">
        <f aca="false">IF($C1397="","",IF($C1397="H",0,IF($C1397="G",INDEX(Baseline!$I$3:$I$102,MIN(MAX(ROUND($D1397,0),1),100)),IF($C1397="T",IF($M1397=3,INDEX(Baseline!$B$3:$B$122,MATCH(MIN(MAX(ROUND(($D1397)/5,0)*5,5),600),Baseline!$A$3:$A$122,0))-Inputs!$B$9,INDEX(Course!$N$2:$N$19,MATCH($B1397,Course!$A$2:$A$19,0))),INDEX(Baseline!$B$3:$E$122,MATCH(MIN(MAX(ROUND(($D1397)/5,0)*5,5),600),Baseline!$A$3:$A$122,0),MATCH($C1397,Baseline!$B$2:$E$2,0))))))</f>
        <v/>
      </c>
      <c r="O1397" s="17" t="str">
        <f aca="false">IF($C1397="","",IF($E1397="H",0,IF($E1397="G",INDEX(Baseline!$I$3:$I$102,MIN(MAX(ROUND($F1397,0),1),100)),IF($E1397="T",IF($M1397=3,INDEX(Baseline!$B$3:$B$122,MATCH(MIN(MAX(ROUND(($F1397)/5,0)*5,5),600),Baseline!$A$3:$A$122,0))-Inputs!$B$9,INDEX(Course!$N$2:$N$19,MATCH($B1397,Course!$A$2:$A$19,0))),INDEX(Baseline!$B$3:$E$122,MATCH(MIN(MAX(ROUND(($F1397)/5,0)*5,5),600),Baseline!$A$3:$A$122,0),MATCH($E1397,Baseline!$B$2:$E$2,0))))))</f>
        <v/>
      </c>
      <c r="P1397" s="17" t="str">
        <f aca="false">IF($B1397="","",INDEX(Course!$N$2:$N$19,MATCH($B1397,Course!$A$2:$A$19,0)))</f>
        <v/>
      </c>
      <c r="Q1397" s="17" t="str">
        <f aca="false">IF($B1397="","",INDEX(Course!$P$2:$P$19,MATCH($B1397,Course!$A$2:$A$19,0)))</f>
        <v/>
      </c>
      <c r="R1397" s="17" t="str">
        <f aca="false">IF($C1397="","",IF(OR($C1397="G",$C1397="H"),0,IF($C1397="T",1,MIN(1,MAX(0,($N1397-Inputs!$B$8)/MAX($P1397-Inputs!$B$8,0.01))))))</f>
        <v/>
      </c>
      <c r="S1397" s="17" t="str">
        <f aca="false">IF($C1397="","",IF(OR($E1397="G",$E1397="H"),0,IF($E1397="T",1,MIN(1,MAX(0,($O1397-Inputs!$B$8)/MAX($P1397-Inputs!$B$8,0.01))))))</f>
        <v/>
      </c>
    </row>
    <row r="1398" customFormat="false" ht="15" hidden="false" customHeight="false" outlineLevel="0" collapsed="false">
      <c r="I1398" s="7" t="str">
        <f aca="false">IF($C1398="","",IF($C1398="G","PUTT",IF(AND($C1398="T",$M1398&gt;3),"OTT",IF($D1398&lt;=30,"ARG","APP"))))</f>
        <v/>
      </c>
      <c r="J1398" s="17" t="str">
        <f aca="false">IF($C1398="","",$N1398+$Q1398*$R1398)</f>
        <v/>
      </c>
      <c r="K1398" s="17" t="str">
        <f aca="false">IF($C1398="","",$O1398+$Q1398*$S1398)</f>
        <v/>
      </c>
      <c r="L1398" s="17" t="str">
        <f aca="false">IF($C1398="","",$J1398-$K1398-1-N($G1398))</f>
        <v/>
      </c>
      <c r="M1398" s="7" t="str">
        <f aca="false">IF($B1398="","",INDEX(Course!$B$2:$B$19,MATCH($B1398,Course!$A$2:$A$19,0)))</f>
        <v/>
      </c>
      <c r="N1398" s="17" t="str">
        <f aca="false">IF($C1398="","",IF($C1398="H",0,IF($C1398="G",INDEX(Baseline!$I$3:$I$102,MIN(MAX(ROUND($D1398,0),1),100)),IF($C1398="T",IF($M1398=3,INDEX(Baseline!$B$3:$B$122,MATCH(MIN(MAX(ROUND(($D1398)/5,0)*5,5),600),Baseline!$A$3:$A$122,0))-Inputs!$B$9,INDEX(Course!$N$2:$N$19,MATCH($B1398,Course!$A$2:$A$19,0))),INDEX(Baseline!$B$3:$E$122,MATCH(MIN(MAX(ROUND(($D1398)/5,0)*5,5),600),Baseline!$A$3:$A$122,0),MATCH($C1398,Baseline!$B$2:$E$2,0))))))</f>
        <v/>
      </c>
      <c r="O1398" s="17" t="str">
        <f aca="false">IF($C1398="","",IF($E1398="H",0,IF($E1398="G",INDEX(Baseline!$I$3:$I$102,MIN(MAX(ROUND($F1398,0),1),100)),IF($E1398="T",IF($M1398=3,INDEX(Baseline!$B$3:$B$122,MATCH(MIN(MAX(ROUND(($F1398)/5,0)*5,5),600),Baseline!$A$3:$A$122,0))-Inputs!$B$9,INDEX(Course!$N$2:$N$19,MATCH($B1398,Course!$A$2:$A$19,0))),INDEX(Baseline!$B$3:$E$122,MATCH(MIN(MAX(ROUND(($F1398)/5,0)*5,5),600),Baseline!$A$3:$A$122,0),MATCH($E1398,Baseline!$B$2:$E$2,0))))))</f>
        <v/>
      </c>
      <c r="P1398" s="17" t="str">
        <f aca="false">IF($B1398="","",INDEX(Course!$N$2:$N$19,MATCH($B1398,Course!$A$2:$A$19,0)))</f>
        <v/>
      </c>
      <c r="Q1398" s="17" t="str">
        <f aca="false">IF($B1398="","",INDEX(Course!$P$2:$P$19,MATCH($B1398,Course!$A$2:$A$19,0)))</f>
        <v/>
      </c>
      <c r="R1398" s="17" t="str">
        <f aca="false">IF($C1398="","",IF(OR($C1398="G",$C1398="H"),0,IF($C1398="T",1,MIN(1,MAX(0,($N1398-Inputs!$B$8)/MAX($P1398-Inputs!$B$8,0.01))))))</f>
        <v/>
      </c>
      <c r="S1398" s="17" t="str">
        <f aca="false">IF($C1398="","",IF(OR($E1398="G",$E1398="H"),0,IF($E1398="T",1,MIN(1,MAX(0,($O1398-Inputs!$B$8)/MAX($P1398-Inputs!$B$8,0.01))))))</f>
        <v/>
      </c>
    </row>
    <row r="1399" customFormat="false" ht="15" hidden="false" customHeight="false" outlineLevel="0" collapsed="false">
      <c r="I1399" s="7" t="str">
        <f aca="false">IF($C1399="","",IF($C1399="G","PUTT",IF(AND($C1399="T",$M1399&gt;3),"OTT",IF($D1399&lt;=30,"ARG","APP"))))</f>
        <v/>
      </c>
      <c r="J1399" s="17" t="str">
        <f aca="false">IF($C1399="","",$N1399+$Q1399*$R1399)</f>
        <v/>
      </c>
      <c r="K1399" s="17" t="str">
        <f aca="false">IF($C1399="","",$O1399+$Q1399*$S1399)</f>
        <v/>
      </c>
      <c r="L1399" s="17" t="str">
        <f aca="false">IF($C1399="","",$J1399-$K1399-1-N($G1399))</f>
        <v/>
      </c>
      <c r="M1399" s="7" t="str">
        <f aca="false">IF($B1399="","",INDEX(Course!$B$2:$B$19,MATCH($B1399,Course!$A$2:$A$19,0)))</f>
        <v/>
      </c>
      <c r="N1399" s="17" t="str">
        <f aca="false">IF($C1399="","",IF($C1399="H",0,IF($C1399="G",INDEX(Baseline!$I$3:$I$102,MIN(MAX(ROUND($D1399,0),1),100)),IF($C1399="T",IF($M1399=3,INDEX(Baseline!$B$3:$B$122,MATCH(MIN(MAX(ROUND(($D1399)/5,0)*5,5),600),Baseline!$A$3:$A$122,0))-Inputs!$B$9,INDEX(Course!$N$2:$N$19,MATCH($B1399,Course!$A$2:$A$19,0))),INDEX(Baseline!$B$3:$E$122,MATCH(MIN(MAX(ROUND(($D1399)/5,0)*5,5),600),Baseline!$A$3:$A$122,0),MATCH($C1399,Baseline!$B$2:$E$2,0))))))</f>
        <v/>
      </c>
      <c r="O1399" s="17" t="str">
        <f aca="false">IF($C1399="","",IF($E1399="H",0,IF($E1399="G",INDEX(Baseline!$I$3:$I$102,MIN(MAX(ROUND($F1399,0),1),100)),IF($E1399="T",IF($M1399=3,INDEX(Baseline!$B$3:$B$122,MATCH(MIN(MAX(ROUND(($F1399)/5,0)*5,5),600),Baseline!$A$3:$A$122,0))-Inputs!$B$9,INDEX(Course!$N$2:$N$19,MATCH($B1399,Course!$A$2:$A$19,0))),INDEX(Baseline!$B$3:$E$122,MATCH(MIN(MAX(ROUND(($F1399)/5,0)*5,5),600),Baseline!$A$3:$A$122,0),MATCH($E1399,Baseline!$B$2:$E$2,0))))))</f>
        <v/>
      </c>
      <c r="P1399" s="17" t="str">
        <f aca="false">IF($B1399="","",INDEX(Course!$N$2:$N$19,MATCH($B1399,Course!$A$2:$A$19,0)))</f>
        <v/>
      </c>
      <c r="Q1399" s="17" t="str">
        <f aca="false">IF($B1399="","",INDEX(Course!$P$2:$P$19,MATCH($B1399,Course!$A$2:$A$19,0)))</f>
        <v/>
      </c>
      <c r="R1399" s="17" t="str">
        <f aca="false">IF($C1399="","",IF(OR($C1399="G",$C1399="H"),0,IF($C1399="T",1,MIN(1,MAX(0,($N1399-Inputs!$B$8)/MAX($P1399-Inputs!$B$8,0.01))))))</f>
        <v/>
      </c>
      <c r="S1399" s="17" t="str">
        <f aca="false">IF($C1399="","",IF(OR($E1399="G",$E1399="H"),0,IF($E1399="T",1,MIN(1,MAX(0,($O1399-Inputs!$B$8)/MAX($P1399-Inputs!$B$8,0.01))))))</f>
        <v/>
      </c>
    </row>
    <row r="1400" customFormat="false" ht="15" hidden="false" customHeight="false" outlineLevel="0" collapsed="false">
      <c r="I1400" s="7" t="str">
        <f aca="false">IF($C1400="","",IF($C1400="G","PUTT",IF(AND($C1400="T",$M1400&gt;3),"OTT",IF($D1400&lt;=30,"ARG","APP"))))</f>
        <v/>
      </c>
      <c r="J1400" s="17" t="str">
        <f aca="false">IF($C1400="","",$N1400+$Q1400*$R1400)</f>
        <v/>
      </c>
      <c r="K1400" s="17" t="str">
        <f aca="false">IF($C1400="","",$O1400+$Q1400*$S1400)</f>
        <v/>
      </c>
      <c r="L1400" s="17" t="str">
        <f aca="false">IF($C1400="","",$J1400-$K1400-1-N($G1400))</f>
        <v/>
      </c>
      <c r="M1400" s="7" t="str">
        <f aca="false">IF($B1400="","",INDEX(Course!$B$2:$B$19,MATCH($B1400,Course!$A$2:$A$19,0)))</f>
        <v/>
      </c>
      <c r="N1400" s="17" t="str">
        <f aca="false">IF($C1400="","",IF($C1400="H",0,IF($C1400="G",INDEX(Baseline!$I$3:$I$102,MIN(MAX(ROUND($D1400,0),1),100)),IF($C1400="T",IF($M1400=3,INDEX(Baseline!$B$3:$B$122,MATCH(MIN(MAX(ROUND(($D1400)/5,0)*5,5),600),Baseline!$A$3:$A$122,0))-Inputs!$B$9,INDEX(Course!$N$2:$N$19,MATCH($B1400,Course!$A$2:$A$19,0))),INDEX(Baseline!$B$3:$E$122,MATCH(MIN(MAX(ROUND(($D1400)/5,0)*5,5),600),Baseline!$A$3:$A$122,0),MATCH($C1400,Baseline!$B$2:$E$2,0))))))</f>
        <v/>
      </c>
      <c r="O1400" s="17" t="str">
        <f aca="false">IF($C1400="","",IF($E1400="H",0,IF($E1400="G",INDEX(Baseline!$I$3:$I$102,MIN(MAX(ROUND($F1400,0),1),100)),IF($E1400="T",IF($M1400=3,INDEX(Baseline!$B$3:$B$122,MATCH(MIN(MAX(ROUND(($F1400)/5,0)*5,5),600),Baseline!$A$3:$A$122,0))-Inputs!$B$9,INDEX(Course!$N$2:$N$19,MATCH($B1400,Course!$A$2:$A$19,0))),INDEX(Baseline!$B$3:$E$122,MATCH(MIN(MAX(ROUND(($F1400)/5,0)*5,5),600),Baseline!$A$3:$A$122,0),MATCH($E1400,Baseline!$B$2:$E$2,0))))))</f>
        <v/>
      </c>
      <c r="P1400" s="17" t="str">
        <f aca="false">IF($B1400="","",INDEX(Course!$N$2:$N$19,MATCH($B1400,Course!$A$2:$A$19,0)))</f>
        <v/>
      </c>
      <c r="Q1400" s="17" t="str">
        <f aca="false">IF($B1400="","",INDEX(Course!$P$2:$P$19,MATCH($B1400,Course!$A$2:$A$19,0)))</f>
        <v/>
      </c>
      <c r="R1400" s="17" t="str">
        <f aca="false">IF($C1400="","",IF(OR($C1400="G",$C1400="H"),0,IF($C1400="T",1,MIN(1,MAX(0,($N1400-Inputs!$B$8)/MAX($P1400-Inputs!$B$8,0.01))))))</f>
        <v/>
      </c>
      <c r="S1400" s="17" t="str">
        <f aca="false">IF($C1400="","",IF(OR($E1400="G",$E1400="H"),0,IF($E1400="T",1,MIN(1,MAX(0,($O1400-Inputs!$B$8)/MAX($P1400-Inputs!$B$8,0.01))))))</f>
        <v/>
      </c>
    </row>
    <row r="1401" customFormat="false" ht="15" hidden="false" customHeight="false" outlineLevel="0" collapsed="false">
      <c r="I1401" s="7" t="str">
        <f aca="false">IF($C1401="","",IF($C1401="G","PUTT",IF(AND($C1401="T",$M1401&gt;3),"OTT",IF($D1401&lt;=30,"ARG","APP"))))</f>
        <v/>
      </c>
      <c r="J1401" s="17" t="str">
        <f aca="false">IF($C1401="","",$N1401+$Q1401*$R1401)</f>
        <v/>
      </c>
      <c r="K1401" s="17" t="str">
        <f aca="false">IF($C1401="","",$O1401+$Q1401*$S1401)</f>
        <v/>
      </c>
      <c r="L1401" s="17" t="str">
        <f aca="false">IF($C1401="","",$J1401-$K1401-1-N($G1401))</f>
        <v/>
      </c>
      <c r="M1401" s="7" t="str">
        <f aca="false">IF($B1401="","",INDEX(Course!$B$2:$B$19,MATCH($B1401,Course!$A$2:$A$19,0)))</f>
        <v/>
      </c>
      <c r="N1401" s="17" t="str">
        <f aca="false">IF($C1401="","",IF($C1401="H",0,IF($C1401="G",INDEX(Baseline!$I$3:$I$102,MIN(MAX(ROUND($D1401,0),1),100)),IF($C1401="T",IF($M1401=3,INDEX(Baseline!$B$3:$B$122,MATCH(MIN(MAX(ROUND(($D1401)/5,0)*5,5),600),Baseline!$A$3:$A$122,0))-Inputs!$B$9,INDEX(Course!$N$2:$N$19,MATCH($B1401,Course!$A$2:$A$19,0))),INDEX(Baseline!$B$3:$E$122,MATCH(MIN(MAX(ROUND(($D1401)/5,0)*5,5),600),Baseline!$A$3:$A$122,0),MATCH($C1401,Baseline!$B$2:$E$2,0))))))</f>
        <v/>
      </c>
      <c r="O1401" s="17" t="str">
        <f aca="false">IF($C1401="","",IF($E1401="H",0,IF($E1401="G",INDEX(Baseline!$I$3:$I$102,MIN(MAX(ROUND($F1401,0),1),100)),IF($E1401="T",IF($M1401=3,INDEX(Baseline!$B$3:$B$122,MATCH(MIN(MAX(ROUND(($F1401)/5,0)*5,5),600),Baseline!$A$3:$A$122,0))-Inputs!$B$9,INDEX(Course!$N$2:$N$19,MATCH($B1401,Course!$A$2:$A$19,0))),INDEX(Baseline!$B$3:$E$122,MATCH(MIN(MAX(ROUND(($F1401)/5,0)*5,5),600),Baseline!$A$3:$A$122,0),MATCH($E1401,Baseline!$B$2:$E$2,0))))))</f>
        <v/>
      </c>
      <c r="P1401" s="17" t="str">
        <f aca="false">IF($B1401="","",INDEX(Course!$N$2:$N$19,MATCH($B1401,Course!$A$2:$A$19,0)))</f>
        <v/>
      </c>
      <c r="Q1401" s="17" t="str">
        <f aca="false">IF($B1401="","",INDEX(Course!$P$2:$P$19,MATCH($B1401,Course!$A$2:$A$19,0)))</f>
        <v/>
      </c>
      <c r="R1401" s="17" t="str">
        <f aca="false">IF($C1401="","",IF(OR($C1401="G",$C1401="H"),0,IF($C1401="T",1,MIN(1,MAX(0,($N1401-Inputs!$B$8)/MAX($P1401-Inputs!$B$8,0.01))))))</f>
        <v/>
      </c>
      <c r="S1401" s="17" t="str">
        <f aca="false">IF($C1401="","",IF(OR($E1401="G",$E1401="H"),0,IF($E1401="T",1,MIN(1,MAX(0,($O1401-Inputs!$B$8)/MAX($P1401-Inputs!$B$8,0.01))))))</f>
        <v/>
      </c>
    </row>
    <row r="1402" customFormat="false" ht="15" hidden="false" customHeight="false" outlineLevel="0" collapsed="false">
      <c r="I1402" s="7" t="str">
        <f aca="false">IF($C1402="","",IF($C1402="G","PUTT",IF(AND($C1402="T",$M1402&gt;3),"OTT",IF($D1402&lt;=30,"ARG","APP"))))</f>
        <v/>
      </c>
      <c r="J1402" s="17" t="str">
        <f aca="false">IF($C1402="","",$N1402+$Q1402*$R1402)</f>
        <v/>
      </c>
      <c r="K1402" s="17" t="str">
        <f aca="false">IF($C1402="","",$O1402+$Q1402*$S1402)</f>
        <v/>
      </c>
      <c r="L1402" s="17" t="str">
        <f aca="false">IF($C1402="","",$J1402-$K1402-1-N($G1402))</f>
        <v/>
      </c>
      <c r="M1402" s="7" t="str">
        <f aca="false">IF($B1402="","",INDEX(Course!$B$2:$B$19,MATCH($B1402,Course!$A$2:$A$19,0)))</f>
        <v/>
      </c>
      <c r="N1402" s="17" t="str">
        <f aca="false">IF($C1402="","",IF($C1402="H",0,IF($C1402="G",INDEX(Baseline!$I$3:$I$102,MIN(MAX(ROUND($D1402,0),1),100)),IF($C1402="T",IF($M1402=3,INDEX(Baseline!$B$3:$B$122,MATCH(MIN(MAX(ROUND(($D1402)/5,0)*5,5),600),Baseline!$A$3:$A$122,0))-Inputs!$B$9,INDEX(Course!$N$2:$N$19,MATCH($B1402,Course!$A$2:$A$19,0))),INDEX(Baseline!$B$3:$E$122,MATCH(MIN(MAX(ROUND(($D1402)/5,0)*5,5),600),Baseline!$A$3:$A$122,0),MATCH($C1402,Baseline!$B$2:$E$2,0))))))</f>
        <v/>
      </c>
      <c r="O1402" s="17" t="str">
        <f aca="false">IF($C1402="","",IF($E1402="H",0,IF($E1402="G",INDEX(Baseline!$I$3:$I$102,MIN(MAX(ROUND($F1402,0),1),100)),IF($E1402="T",IF($M1402=3,INDEX(Baseline!$B$3:$B$122,MATCH(MIN(MAX(ROUND(($F1402)/5,0)*5,5),600),Baseline!$A$3:$A$122,0))-Inputs!$B$9,INDEX(Course!$N$2:$N$19,MATCH($B1402,Course!$A$2:$A$19,0))),INDEX(Baseline!$B$3:$E$122,MATCH(MIN(MAX(ROUND(($F1402)/5,0)*5,5),600),Baseline!$A$3:$A$122,0),MATCH($E1402,Baseline!$B$2:$E$2,0))))))</f>
        <v/>
      </c>
      <c r="P1402" s="17" t="str">
        <f aca="false">IF($B1402="","",INDEX(Course!$N$2:$N$19,MATCH($B1402,Course!$A$2:$A$19,0)))</f>
        <v/>
      </c>
      <c r="Q1402" s="17" t="str">
        <f aca="false">IF($B1402="","",INDEX(Course!$P$2:$P$19,MATCH($B1402,Course!$A$2:$A$19,0)))</f>
        <v/>
      </c>
      <c r="R1402" s="17" t="str">
        <f aca="false">IF($C1402="","",IF(OR($C1402="G",$C1402="H"),0,IF($C1402="T",1,MIN(1,MAX(0,($N1402-Inputs!$B$8)/MAX($P1402-Inputs!$B$8,0.01))))))</f>
        <v/>
      </c>
      <c r="S1402" s="17" t="str">
        <f aca="false">IF($C1402="","",IF(OR($E1402="G",$E1402="H"),0,IF($E1402="T",1,MIN(1,MAX(0,($O1402-Inputs!$B$8)/MAX($P1402-Inputs!$B$8,0.01))))))</f>
        <v/>
      </c>
    </row>
    <row r="1403" customFormat="false" ht="15" hidden="false" customHeight="false" outlineLevel="0" collapsed="false">
      <c r="I1403" s="7" t="str">
        <f aca="false">IF($C1403="","",IF($C1403="G","PUTT",IF(AND($C1403="T",$M1403&gt;3),"OTT",IF($D1403&lt;=30,"ARG","APP"))))</f>
        <v/>
      </c>
      <c r="J1403" s="17" t="str">
        <f aca="false">IF($C1403="","",$N1403+$Q1403*$R1403)</f>
        <v/>
      </c>
      <c r="K1403" s="17" t="str">
        <f aca="false">IF($C1403="","",$O1403+$Q1403*$S1403)</f>
        <v/>
      </c>
      <c r="L1403" s="17" t="str">
        <f aca="false">IF($C1403="","",$J1403-$K1403-1-N($G1403))</f>
        <v/>
      </c>
      <c r="M1403" s="7" t="str">
        <f aca="false">IF($B1403="","",INDEX(Course!$B$2:$B$19,MATCH($B1403,Course!$A$2:$A$19,0)))</f>
        <v/>
      </c>
      <c r="N1403" s="17" t="str">
        <f aca="false">IF($C1403="","",IF($C1403="H",0,IF($C1403="G",INDEX(Baseline!$I$3:$I$102,MIN(MAX(ROUND($D1403,0),1),100)),IF($C1403="T",IF($M1403=3,INDEX(Baseline!$B$3:$B$122,MATCH(MIN(MAX(ROUND(($D1403)/5,0)*5,5),600),Baseline!$A$3:$A$122,0))-Inputs!$B$9,INDEX(Course!$N$2:$N$19,MATCH($B1403,Course!$A$2:$A$19,0))),INDEX(Baseline!$B$3:$E$122,MATCH(MIN(MAX(ROUND(($D1403)/5,0)*5,5),600),Baseline!$A$3:$A$122,0),MATCH($C1403,Baseline!$B$2:$E$2,0))))))</f>
        <v/>
      </c>
      <c r="O1403" s="17" t="str">
        <f aca="false">IF($C1403="","",IF($E1403="H",0,IF($E1403="G",INDEX(Baseline!$I$3:$I$102,MIN(MAX(ROUND($F1403,0),1),100)),IF($E1403="T",IF($M1403=3,INDEX(Baseline!$B$3:$B$122,MATCH(MIN(MAX(ROUND(($F1403)/5,0)*5,5),600),Baseline!$A$3:$A$122,0))-Inputs!$B$9,INDEX(Course!$N$2:$N$19,MATCH($B1403,Course!$A$2:$A$19,0))),INDEX(Baseline!$B$3:$E$122,MATCH(MIN(MAX(ROUND(($F1403)/5,0)*5,5),600),Baseline!$A$3:$A$122,0),MATCH($E1403,Baseline!$B$2:$E$2,0))))))</f>
        <v/>
      </c>
      <c r="P1403" s="17" t="str">
        <f aca="false">IF($B1403="","",INDEX(Course!$N$2:$N$19,MATCH($B1403,Course!$A$2:$A$19,0)))</f>
        <v/>
      </c>
      <c r="Q1403" s="17" t="str">
        <f aca="false">IF($B1403="","",INDEX(Course!$P$2:$P$19,MATCH($B1403,Course!$A$2:$A$19,0)))</f>
        <v/>
      </c>
      <c r="R1403" s="17" t="str">
        <f aca="false">IF($C1403="","",IF(OR($C1403="G",$C1403="H"),0,IF($C1403="T",1,MIN(1,MAX(0,($N1403-Inputs!$B$8)/MAX($P1403-Inputs!$B$8,0.01))))))</f>
        <v/>
      </c>
      <c r="S1403" s="17" t="str">
        <f aca="false">IF($C1403="","",IF(OR($E1403="G",$E1403="H"),0,IF($E1403="T",1,MIN(1,MAX(0,($O1403-Inputs!$B$8)/MAX($P1403-Inputs!$B$8,0.01))))))</f>
        <v/>
      </c>
    </row>
    <row r="1404" customFormat="false" ht="15" hidden="false" customHeight="false" outlineLevel="0" collapsed="false">
      <c r="I1404" s="7" t="str">
        <f aca="false">IF($C1404="","",IF($C1404="G","PUTT",IF(AND($C1404="T",$M1404&gt;3),"OTT",IF($D1404&lt;=30,"ARG","APP"))))</f>
        <v/>
      </c>
      <c r="J1404" s="17" t="str">
        <f aca="false">IF($C1404="","",$N1404+$Q1404*$R1404)</f>
        <v/>
      </c>
      <c r="K1404" s="17" t="str">
        <f aca="false">IF($C1404="","",$O1404+$Q1404*$S1404)</f>
        <v/>
      </c>
      <c r="L1404" s="17" t="str">
        <f aca="false">IF($C1404="","",$J1404-$K1404-1-N($G1404))</f>
        <v/>
      </c>
      <c r="M1404" s="7" t="str">
        <f aca="false">IF($B1404="","",INDEX(Course!$B$2:$B$19,MATCH($B1404,Course!$A$2:$A$19,0)))</f>
        <v/>
      </c>
      <c r="N1404" s="17" t="str">
        <f aca="false">IF($C1404="","",IF($C1404="H",0,IF($C1404="G",INDEX(Baseline!$I$3:$I$102,MIN(MAX(ROUND($D1404,0),1),100)),IF($C1404="T",IF($M1404=3,INDEX(Baseline!$B$3:$B$122,MATCH(MIN(MAX(ROUND(($D1404)/5,0)*5,5),600),Baseline!$A$3:$A$122,0))-Inputs!$B$9,INDEX(Course!$N$2:$N$19,MATCH($B1404,Course!$A$2:$A$19,0))),INDEX(Baseline!$B$3:$E$122,MATCH(MIN(MAX(ROUND(($D1404)/5,0)*5,5),600),Baseline!$A$3:$A$122,0),MATCH($C1404,Baseline!$B$2:$E$2,0))))))</f>
        <v/>
      </c>
      <c r="O1404" s="17" t="str">
        <f aca="false">IF($C1404="","",IF($E1404="H",0,IF($E1404="G",INDEX(Baseline!$I$3:$I$102,MIN(MAX(ROUND($F1404,0),1),100)),IF($E1404="T",IF($M1404=3,INDEX(Baseline!$B$3:$B$122,MATCH(MIN(MAX(ROUND(($F1404)/5,0)*5,5),600),Baseline!$A$3:$A$122,0))-Inputs!$B$9,INDEX(Course!$N$2:$N$19,MATCH($B1404,Course!$A$2:$A$19,0))),INDEX(Baseline!$B$3:$E$122,MATCH(MIN(MAX(ROUND(($F1404)/5,0)*5,5),600),Baseline!$A$3:$A$122,0),MATCH($E1404,Baseline!$B$2:$E$2,0))))))</f>
        <v/>
      </c>
      <c r="P1404" s="17" t="str">
        <f aca="false">IF($B1404="","",INDEX(Course!$N$2:$N$19,MATCH($B1404,Course!$A$2:$A$19,0)))</f>
        <v/>
      </c>
      <c r="Q1404" s="17" t="str">
        <f aca="false">IF($B1404="","",INDEX(Course!$P$2:$P$19,MATCH($B1404,Course!$A$2:$A$19,0)))</f>
        <v/>
      </c>
      <c r="R1404" s="17" t="str">
        <f aca="false">IF($C1404="","",IF(OR($C1404="G",$C1404="H"),0,IF($C1404="T",1,MIN(1,MAX(0,($N1404-Inputs!$B$8)/MAX($P1404-Inputs!$B$8,0.01))))))</f>
        <v/>
      </c>
      <c r="S1404" s="17" t="str">
        <f aca="false">IF($C1404="","",IF(OR($E1404="G",$E1404="H"),0,IF($E1404="T",1,MIN(1,MAX(0,($O1404-Inputs!$B$8)/MAX($P1404-Inputs!$B$8,0.01))))))</f>
        <v/>
      </c>
    </row>
    <row r="1405" customFormat="false" ht="15" hidden="false" customHeight="false" outlineLevel="0" collapsed="false">
      <c r="I1405" s="7" t="str">
        <f aca="false">IF($C1405="","",IF($C1405="G","PUTT",IF(AND($C1405="T",$M1405&gt;3),"OTT",IF($D1405&lt;=30,"ARG","APP"))))</f>
        <v/>
      </c>
      <c r="J1405" s="17" t="str">
        <f aca="false">IF($C1405="","",$N1405+$Q1405*$R1405)</f>
        <v/>
      </c>
      <c r="K1405" s="17" t="str">
        <f aca="false">IF($C1405="","",$O1405+$Q1405*$S1405)</f>
        <v/>
      </c>
      <c r="L1405" s="17" t="str">
        <f aca="false">IF($C1405="","",$J1405-$K1405-1-N($G1405))</f>
        <v/>
      </c>
      <c r="M1405" s="7" t="str">
        <f aca="false">IF($B1405="","",INDEX(Course!$B$2:$B$19,MATCH($B1405,Course!$A$2:$A$19,0)))</f>
        <v/>
      </c>
      <c r="N1405" s="17" t="str">
        <f aca="false">IF($C1405="","",IF($C1405="H",0,IF($C1405="G",INDEX(Baseline!$I$3:$I$102,MIN(MAX(ROUND($D1405,0),1),100)),IF($C1405="T",IF($M1405=3,INDEX(Baseline!$B$3:$B$122,MATCH(MIN(MAX(ROUND(($D1405)/5,0)*5,5),600),Baseline!$A$3:$A$122,0))-Inputs!$B$9,INDEX(Course!$N$2:$N$19,MATCH($B1405,Course!$A$2:$A$19,0))),INDEX(Baseline!$B$3:$E$122,MATCH(MIN(MAX(ROUND(($D1405)/5,0)*5,5),600),Baseline!$A$3:$A$122,0),MATCH($C1405,Baseline!$B$2:$E$2,0))))))</f>
        <v/>
      </c>
      <c r="O1405" s="17" t="str">
        <f aca="false">IF($C1405="","",IF($E1405="H",0,IF($E1405="G",INDEX(Baseline!$I$3:$I$102,MIN(MAX(ROUND($F1405,0),1),100)),IF($E1405="T",IF($M1405=3,INDEX(Baseline!$B$3:$B$122,MATCH(MIN(MAX(ROUND(($F1405)/5,0)*5,5),600),Baseline!$A$3:$A$122,0))-Inputs!$B$9,INDEX(Course!$N$2:$N$19,MATCH($B1405,Course!$A$2:$A$19,0))),INDEX(Baseline!$B$3:$E$122,MATCH(MIN(MAX(ROUND(($F1405)/5,0)*5,5),600),Baseline!$A$3:$A$122,0),MATCH($E1405,Baseline!$B$2:$E$2,0))))))</f>
        <v/>
      </c>
      <c r="P1405" s="17" t="str">
        <f aca="false">IF($B1405="","",INDEX(Course!$N$2:$N$19,MATCH($B1405,Course!$A$2:$A$19,0)))</f>
        <v/>
      </c>
      <c r="Q1405" s="17" t="str">
        <f aca="false">IF($B1405="","",INDEX(Course!$P$2:$P$19,MATCH($B1405,Course!$A$2:$A$19,0)))</f>
        <v/>
      </c>
      <c r="R1405" s="17" t="str">
        <f aca="false">IF($C1405="","",IF(OR($C1405="G",$C1405="H"),0,IF($C1405="T",1,MIN(1,MAX(0,($N1405-Inputs!$B$8)/MAX($P1405-Inputs!$B$8,0.01))))))</f>
        <v/>
      </c>
      <c r="S1405" s="17" t="str">
        <f aca="false">IF($C1405="","",IF(OR($E1405="G",$E1405="H"),0,IF($E1405="T",1,MIN(1,MAX(0,($O1405-Inputs!$B$8)/MAX($P1405-Inputs!$B$8,0.01))))))</f>
        <v/>
      </c>
    </row>
    <row r="1406" customFormat="false" ht="15" hidden="false" customHeight="false" outlineLevel="0" collapsed="false">
      <c r="I1406" s="7" t="str">
        <f aca="false">IF($C1406="","",IF($C1406="G","PUTT",IF(AND($C1406="T",$M1406&gt;3),"OTT",IF($D1406&lt;=30,"ARG","APP"))))</f>
        <v/>
      </c>
      <c r="J1406" s="17" t="str">
        <f aca="false">IF($C1406="","",$N1406+$Q1406*$R1406)</f>
        <v/>
      </c>
      <c r="K1406" s="17" t="str">
        <f aca="false">IF($C1406="","",$O1406+$Q1406*$S1406)</f>
        <v/>
      </c>
      <c r="L1406" s="17" t="str">
        <f aca="false">IF($C1406="","",$J1406-$K1406-1-N($G1406))</f>
        <v/>
      </c>
      <c r="M1406" s="7" t="str">
        <f aca="false">IF($B1406="","",INDEX(Course!$B$2:$B$19,MATCH($B1406,Course!$A$2:$A$19,0)))</f>
        <v/>
      </c>
      <c r="N1406" s="17" t="str">
        <f aca="false">IF($C1406="","",IF($C1406="H",0,IF($C1406="G",INDEX(Baseline!$I$3:$I$102,MIN(MAX(ROUND($D1406,0),1),100)),IF($C1406="T",IF($M1406=3,INDEX(Baseline!$B$3:$B$122,MATCH(MIN(MAX(ROUND(($D1406)/5,0)*5,5),600),Baseline!$A$3:$A$122,0))-Inputs!$B$9,INDEX(Course!$N$2:$N$19,MATCH($B1406,Course!$A$2:$A$19,0))),INDEX(Baseline!$B$3:$E$122,MATCH(MIN(MAX(ROUND(($D1406)/5,0)*5,5),600),Baseline!$A$3:$A$122,0),MATCH($C1406,Baseline!$B$2:$E$2,0))))))</f>
        <v/>
      </c>
      <c r="O1406" s="17" t="str">
        <f aca="false">IF($C1406="","",IF($E1406="H",0,IF($E1406="G",INDEX(Baseline!$I$3:$I$102,MIN(MAX(ROUND($F1406,0),1),100)),IF($E1406="T",IF($M1406=3,INDEX(Baseline!$B$3:$B$122,MATCH(MIN(MAX(ROUND(($F1406)/5,0)*5,5),600),Baseline!$A$3:$A$122,0))-Inputs!$B$9,INDEX(Course!$N$2:$N$19,MATCH($B1406,Course!$A$2:$A$19,0))),INDEX(Baseline!$B$3:$E$122,MATCH(MIN(MAX(ROUND(($F1406)/5,0)*5,5),600),Baseline!$A$3:$A$122,0),MATCH($E1406,Baseline!$B$2:$E$2,0))))))</f>
        <v/>
      </c>
      <c r="P1406" s="17" t="str">
        <f aca="false">IF($B1406="","",INDEX(Course!$N$2:$N$19,MATCH($B1406,Course!$A$2:$A$19,0)))</f>
        <v/>
      </c>
      <c r="Q1406" s="17" t="str">
        <f aca="false">IF($B1406="","",INDEX(Course!$P$2:$P$19,MATCH($B1406,Course!$A$2:$A$19,0)))</f>
        <v/>
      </c>
      <c r="R1406" s="17" t="str">
        <f aca="false">IF($C1406="","",IF(OR($C1406="G",$C1406="H"),0,IF($C1406="T",1,MIN(1,MAX(0,($N1406-Inputs!$B$8)/MAX($P1406-Inputs!$B$8,0.01))))))</f>
        <v/>
      </c>
      <c r="S1406" s="17" t="str">
        <f aca="false">IF($C1406="","",IF(OR($E1406="G",$E1406="H"),0,IF($E1406="T",1,MIN(1,MAX(0,($O1406-Inputs!$B$8)/MAX($P1406-Inputs!$B$8,0.01))))))</f>
        <v/>
      </c>
    </row>
    <row r="1407" customFormat="false" ht="15" hidden="false" customHeight="false" outlineLevel="0" collapsed="false">
      <c r="I1407" s="7" t="str">
        <f aca="false">IF($C1407="","",IF($C1407="G","PUTT",IF(AND($C1407="T",$M1407&gt;3),"OTT",IF($D1407&lt;=30,"ARG","APP"))))</f>
        <v/>
      </c>
      <c r="J1407" s="17" t="str">
        <f aca="false">IF($C1407="","",$N1407+$Q1407*$R1407)</f>
        <v/>
      </c>
      <c r="K1407" s="17" t="str">
        <f aca="false">IF($C1407="","",$O1407+$Q1407*$S1407)</f>
        <v/>
      </c>
      <c r="L1407" s="17" t="str">
        <f aca="false">IF($C1407="","",$J1407-$K1407-1-N($G1407))</f>
        <v/>
      </c>
      <c r="M1407" s="7" t="str">
        <f aca="false">IF($B1407="","",INDEX(Course!$B$2:$B$19,MATCH($B1407,Course!$A$2:$A$19,0)))</f>
        <v/>
      </c>
      <c r="N1407" s="17" t="str">
        <f aca="false">IF($C1407="","",IF($C1407="H",0,IF($C1407="G",INDEX(Baseline!$I$3:$I$102,MIN(MAX(ROUND($D1407,0),1),100)),IF($C1407="T",IF($M1407=3,INDEX(Baseline!$B$3:$B$122,MATCH(MIN(MAX(ROUND(($D1407)/5,0)*5,5),600),Baseline!$A$3:$A$122,0))-Inputs!$B$9,INDEX(Course!$N$2:$N$19,MATCH($B1407,Course!$A$2:$A$19,0))),INDEX(Baseline!$B$3:$E$122,MATCH(MIN(MAX(ROUND(($D1407)/5,0)*5,5),600),Baseline!$A$3:$A$122,0),MATCH($C1407,Baseline!$B$2:$E$2,0))))))</f>
        <v/>
      </c>
      <c r="O1407" s="17" t="str">
        <f aca="false">IF($C1407="","",IF($E1407="H",0,IF($E1407="G",INDEX(Baseline!$I$3:$I$102,MIN(MAX(ROUND($F1407,0),1),100)),IF($E1407="T",IF($M1407=3,INDEX(Baseline!$B$3:$B$122,MATCH(MIN(MAX(ROUND(($F1407)/5,0)*5,5),600),Baseline!$A$3:$A$122,0))-Inputs!$B$9,INDEX(Course!$N$2:$N$19,MATCH($B1407,Course!$A$2:$A$19,0))),INDEX(Baseline!$B$3:$E$122,MATCH(MIN(MAX(ROUND(($F1407)/5,0)*5,5),600),Baseline!$A$3:$A$122,0),MATCH($E1407,Baseline!$B$2:$E$2,0))))))</f>
        <v/>
      </c>
      <c r="P1407" s="17" t="str">
        <f aca="false">IF($B1407="","",INDEX(Course!$N$2:$N$19,MATCH($B1407,Course!$A$2:$A$19,0)))</f>
        <v/>
      </c>
      <c r="Q1407" s="17" t="str">
        <f aca="false">IF($B1407="","",INDEX(Course!$P$2:$P$19,MATCH($B1407,Course!$A$2:$A$19,0)))</f>
        <v/>
      </c>
      <c r="R1407" s="17" t="str">
        <f aca="false">IF($C1407="","",IF(OR($C1407="G",$C1407="H"),0,IF($C1407="T",1,MIN(1,MAX(0,($N1407-Inputs!$B$8)/MAX($P1407-Inputs!$B$8,0.01))))))</f>
        <v/>
      </c>
      <c r="S1407" s="17" t="str">
        <f aca="false">IF($C1407="","",IF(OR($E1407="G",$E1407="H"),0,IF($E1407="T",1,MIN(1,MAX(0,($O1407-Inputs!$B$8)/MAX($P1407-Inputs!$B$8,0.01))))))</f>
        <v/>
      </c>
    </row>
    <row r="1408" customFormat="false" ht="15" hidden="false" customHeight="false" outlineLevel="0" collapsed="false">
      <c r="I1408" s="7" t="str">
        <f aca="false">IF($C1408="","",IF($C1408="G","PUTT",IF(AND($C1408="T",$M1408&gt;3),"OTT",IF($D1408&lt;=30,"ARG","APP"))))</f>
        <v/>
      </c>
      <c r="J1408" s="17" t="str">
        <f aca="false">IF($C1408="","",$N1408+$Q1408*$R1408)</f>
        <v/>
      </c>
      <c r="K1408" s="17" t="str">
        <f aca="false">IF($C1408="","",$O1408+$Q1408*$S1408)</f>
        <v/>
      </c>
      <c r="L1408" s="17" t="str">
        <f aca="false">IF($C1408="","",$J1408-$K1408-1-N($G1408))</f>
        <v/>
      </c>
      <c r="M1408" s="7" t="str">
        <f aca="false">IF($B1408="","",INDEX(Course!$B$2:$B$19,MATCH($B1408,Course!$A$2:$A$19,0)))</f>
        <v/>
      </c>
      <c r="N1408" s="17" t="str">
        <f aca="false">IF($C1408="","",IF($C1408="H",0,IF($C1408="G",INDEX(Baseline!$I$3:$I$102,MIN(MAX(ROUND($D1408,0),1),100)),IF($C1408="T",IF($M1408=3,INDEX(Baseline!$B$3:$B$122,MATCH(MIN(MAX(ROUND(($D1408)/5,0)*5,5),600),Baseline!$A$3:$A$122,0))-Inputs!$B$9,INDEX(Course!$N$2:$N$19,MATCH($B1408,Course!$A$2:$A$19,0))),INDEX(Baseline!$B$3:$E$122,MATCH(MIN(MAX(ROUND(($D1408)/5,0)*5,5),600),Baseline!$A$3:$A$122,0),MATCH($C1408,Baseline!$B$2:$E$2,0))))))</f>
        <v/>
      </c>
      <c r="O1408" s="17" t="str">
        <f aca="false">IF($C1408="","",IF($E1408="H",0,IF($E1408="G",INDEX(Baseline!$I$3:$I$102,MIN(MAX(ROUND($F1408,0),1),100)),IF($E1408="T",IF($M1408=3,INDEX(Baseline!$B$3:$B$122,MATCH(MIN(MAX(ROUND(($F1408)/5,0)*5,5),600),Baseline!$A$3:$A$122,0))-Inputs!$B$9,INDEX(Course!$N$2:$N$19,MATCH($B1408,Course!$A$2:$A$19,0))),INDEX(Baseline!$B$3:$E$122,MATCH(MIN(MAX(ROUND(($F1408)/5,0)*5,5),600),Baseline!$A$3:$A$122,0),MATCH($E1408,Baseline!$B$2:$E$2,0))))))</f>
        <v/>
      </c>
      <c r="P1408" s="17" t="str">
        <f aca="false">IF($B1408="","",INDEX(Course!$N$2:$N$19,MATCH($B1408,Course!$A$2:$A$19,0)))</f>
        <v/>
      </c>
      <c r="Q1408" s="17" t="str">
        <f aca="false">IF($B1408="","",INDEX(Course!$P$2:$P$19,MATCH($B1408,Course!$A$2:$A$19,0)))</f>
        <v/>
      </c>
      <c r="R1408" s="17" t="str">
        <f aca="false">IF($C1408="","",IF(OR($C1408="G",$C1408="H"),0,IF($C1408="T",1,MIN(1,MAX(0,($N1408-Inputs!$B$8)/MAX($P1408-Inputs!$B$8,0.01))))))</f>
        <v/>
      </c>
      <c r="S1408" s="17" t="str">
        <f aca="false">IF($C1408="","",IF(OR($E1408="G",$E1408="H"),0,IF($E1408="T",1,MIN(1,MAX(0,($O1408-Inputs!$B$8)/MAX($P1408-Inputs!$B$8,0.01))))))</f>
        <v/>
      </c>
    </row>
    <row r="1409" customFormat="false" ht="15" hidden="false" customHeight="false" outlineLevel="0" collapsed="false">
      <c r="I1409" s="7" t="str">
        <f aca="false">IF($C1409="","",IF($C1409="G","PUTT",IF(AND($C1409="T",$M1409&gt;3),"OTT",IF($D1409&lt;=30,"ARG","APP"))))</f>
        <v/>
      </c>
      <c r="J1409" s="17" t="str">
        <f aca="false">IF($C1409="","",$N1409+$Q1409*$R1409)</f>
        <v/>
      </c>
      <c r="K1409" s="17" t="str">
        <f aca="false">IF($C1409="","",$O1409+$Q1409*$S1409)</f>
        <v/>
      </c>
      <c r="L1409" s="17" t="str">
        <f aca="false">IF($C1409="","",$J1409-$K1409-1-N($G1409))</f>
        <v/>
      </c>
      <c r="M1409" s="7" t="str">
        <f aca="false">IF($B1409="","",INDEX(Course!$B$2:$B$19,MATCH($B1409,Course!$A$2:$A$19,0)))</f>
        <v/>
      </c>
      <c r="N1409" s="17" t="str">
        <f aca="false">IF($C1409="","",IF($C1409="H",0,IF($C1409="G",INDEX(Baseline!$I$3:$I$102,MIN(MAX(ROUND($D1409,0),1),100)),IF($C1409="T",IF($M1409=3,INDEX(Baseline!$B$3:$B$122,MATCH(MIN(MAX(ROUND(($D1409)/5,0)*5,5),600),Baseline!$A$3:$A$122,0))-Inputs!$B$9,INDEX(Course!$N$2:$N$19,MATCH($B1409,Course!$A$2:$A$19,0))),INDEX(Baseline!$B$3:$E$122,MATCH(MIN(MAX(ROUND(($D1409)/5,0)*5,5),600),Baseline!$A$3:$A$122,0),MATCH($C1409,Baseline!$B$2:$E$2,0))))))</f>
        <v/>
      </c>
      <c r="O1409" s="17" t="str">
        <f aca="false">IF($C1409="","",IF($E1409="H",0,IF($E1409="G",INDEX(Baseline!$I$3:$I$102,MIN(MAX(ROUND($F1409,0),1),100)),IF($E1409="T",IF($M1409=3,INDEX(Baseline!$B$3:$B$122,MATCH(MIN(MAX(ROUND(($F1409)/5,0)*5,5),600),Baseline!$A$3:$A$122,0))-Inputs!$B$9,INDEX(Course!$N$2:$N$19,MATCH($B1409,Course!$A$2:$A$19,0))),INDEX(Baseline!$B$3:$E$122,MATCH(MIN(MAX(ROUND(($F1409)/5,0)*5,5),600),Baseline!$A$3:$A$122,0),MATCH($E1409,Baseline!$B$2:$E$2,0))))))</f>
        <v/>
      </c>
      <c r="P1409" s="17" t="str">
        <f aca="false">IF($B1409="","",INDEX(Course!$N$2:$N$19,MATCH($B1409,Course!$A$2:$A$19,0)))</f>
        <v/>
      </c>
      <c r="Q1409" s="17" t="str">
        <f aca="false">IF($B1409="","",INDEX(Course!$P$2:$P$19,MATCH($B1409,Course!$A$2:$A$19,0)))</f>
        <v/>
      </c>
      <c r="R1409" s="17" t="str">
        <f aca="false">IF($C1409="","",IF(OR($C1409="G",$C1409="H"),0,IF($C1409="T",1,MIN(1,MAX(0,($N1409-Inputs!$B$8)/MAX($P1409-Inputs!$B$8,0.01))))))</f>
        <v/>
      </c>
      <c r="S1409" s="17" t="str">
        <f aca="false">IF($C1409="","",IF(OR($E1409="G",$E1409="H"),0,IF($E1409="T",1,MIN(1,MAX(0,($O1409-Inputs!$B$8)/MAX($P1409-Inputs!$B$8,0.01))))))</f>
        <v/>
      </c>
    </row>
    <row r="1410" customFormat="false" ht="15" hidden="false" customHeight="false" outlineLevel="0" collapsed="false">
      <c r="I1410" s="7" t="str">
        <f aca="false">IF($C1410="","",IF($C1410="G","PUTT",IF(AND($C1410="T",$M1410&gt;3),"OTT",IF($D1410&lt;=30,"ARG","APP"))))</f>
        <v/>
      </c>
      <c r="J1410" s="17" t="str">
        <f aca="false">IF($C1410="","",$N1410+$Q1410*$R1410)</f>
        <v/>
      </c>
      <c r="K1410" s="17" t="str">
        <f aca="false">IF($C1410="","",$O1410+$Q1410*$S1410)</f>
        <v/>
      </c>
      <c r="L1410" s="17" t="str">
        <f aca="false">IF($C1410="","",$J1410-$K1410-1-N($G1410))</f>
        <v/>
      </c>
      <c r="M1410" s="7" t="str">
        <f aca="false">IF($B1410="","",INDEX(Course!$B$2:$B$19,MATCH($B1410,Course!$A$2:$A$19,0)))</f>
        <v/>
      </c>
      <c r="N1410" s="17" t="str">
        <f aca="false">IF($C1410="","",IF($C1410="H",0,IF($C1410="G",INDEX(Baseline!$I$3:$I$102,MIN(MAX(ROUND($D1410,0),1),100)),IF($C1410="T",IF($M1410=3,INDEX(Baseline!$B$3:$B$122,MATCH(MIN(MAX(ROUND(($D1410)/5,0)*5,5),600),Baseline!$A$3:$A$122,0))-Inputs!$B$9,INDEX(Course!$N$2:$N$19,MATCH($B1410,Course!$A$2:$A$19,0))),INDEX(Baseline!$B$3:$E$122,MATCH(MIN(MAX(ROUND(($D1410)/5,0)*5,5),600),Baseline!$A$3:$A$122,0),MATCH($C1410,Baseline!$B$2:$E$2,0))))))</f>
        <v/>
      </c>
      <c r="O1410" s="17" t="str">
        <f aca="false">IF($C1410="","",IF($E1410="H",0,IF($E1410="G",INDEX(Baseline!$I$3:$I$102,MIN(MAX(ROUND($F1410,0),1),100)),IF($E1410="T",IF($M1410=3,INDEX(Baseline!$B$3:$B$122,MATCH(MIN(MAX(ROUND(($F1410)/5,0)*5,5),600),Baseline!$A$3:$A$122,0))-Inputs!$B$9,INDEX(Course!$N$2:$N$19,MATCH($B1410,Course!$A$2:$A$19,0))),INDEX(Baseline!$B$3:$E$122,MATCH(MIN(MAX(ROUND(($F1410)/5,0)*5,5),600),Baseline!$A$3:$A$122,0),MATCH($E1410,Baseline!$B$2:$E$2,0))))))</f>
        <v/>
      </c>
      <c r="P1410" s="17" t="str">
        <f aca="false">IF($B1410="","",INDEX(Course!$N$2:$N$19,MATCH($B1410,Course!$A$2:$A$19,0)))</f>
        <v/>
      </c>
      <c r="Q1410" s="17" t="str">
        <f aca="false">IF($B1410="","",INDEX(Course!$P$2:$P$19,MATCH($B1410,Course!$A$2:$A$19,0)))</f>
        <v/>
      </c>
      <c r="R1410" s="17" t="str">
        <f aca="false">IF($C1410="","",IF(OR($C1410="G",$C1410="H"),0,IF($C1410="T",1,MIN(1,MAX(0,($N1410-Inputs!$B$8)/MAX($P1410-Inputs!$B$8,0.01))))))</f>
        <v/>
      </c>
      <c r="S1410" s="17" t="str">
        <f aca="false">IF($C1410="","",IF(OR($E1410="G",$E1410="H"),0,IF($E1410="T",1,MIN(1,MAX(0,($O1410-Inputs!$B$8)/MAX($P1410-Inputs!$B$8,0.01))))))</f>
        <v/>
      </c>
    </row>
    <row r="1411" customFormat="false" ht="15" hidden="false" customHeight="false" outlineLevel="0" collapsed="false">
      <c r="I1411" s="7" t="str">
        <f aca="false">IF($C1411="","",IF($C1411="G","PUTT",IF(AND($C1411="T",$M1411&gt;3),"OTT",IF($D1411&lt;=30,"ARG","APP"))))</f>
        <v/>
      </c>
      <c r="J1411" s="17" t="str">
        <f aca="false">IF($C1411="","",$N1411+$Q1411*$R1411)</f>
        <v/>
      </c>
      <c r="K1411" s="17" t="str">
        <f aca="false">IF($C1411="","",$O1411+$Q1411*$S1411)</f>
        <v/>
      </c>
      <c r="L1411" s="17" t="str">
        <f aca="false">IF($C1411="","",$J1411-$K1411-1-N($G1411))</f>
        <v/>
      </c>
      <c r="M1411" s="7" t="str">
        <f aca="false">IF($B1411="","",INDEX(Course!$B$2:$B$19,MATCH($B1411,Course!$A$2:$A$19,0)))</f>
        <v/>
      </c>
      <c r="N1411" s="17" t="str">
        <f aca="false">IF($C1411="","",IF($C1411="H",0,IF($C1411="G",INDEX(Baseline!$I$3:$I$102,MIN(MAX(ROUND($D1411,0),1),100)),IF($C1411="T",IF($M1411=3,INDEX(Baseline!$B$3:$B$122,MATCH(MIN(MAX(ROUND(($D1411)/5,0)*5,5),600),Baseline!$A$3:$A$122,0))-Inputs!$B$9,INDEX(Course!$N$2:$N$19,MATCH($B1411,Course!$A$2:$A$19,0))),INDEX(Baseline!$B$3:$E$122,MATCH(MIN(MAX(ROUND(($D1411)/5,0)*5,5),600),Baseline!$A$3:$A$122,0),MATCH($C1411,Baseline!$B$2:$E$2,0))))))</f>
        <v/>
      </c>
      <c r="O1411" s="17" t="str">
        <f aca="false">IF($C1411="","",IF($E1411="H",0,IF($E1411="G",INDEX(Baseline!$I$3:$I$102,MIN(MAX(ROUND($F1411,0),1),100)),IF($E1411="T",IF($M1411=3,INDEX(Baseline!$B$3:$B$122,MATCH(MIN(MAX(ROUND(($F1411)/5,0)*5,5),600),Baseline!$A$3:$A$122,0))-Inputs!$B$9,INDEX(Course!$N$2:$N$19,MATCH($B1411,Course!$A$2:$A$19,0))),INDEX(Baseline!$B$3:$E$122,MATCH(MIN(MAX(ROUND(($F1411)/5,0)*5,5),600),Baseline!$A$3:$A$122,0),MATCH($E1411,Baseline!$B$2:$E$2,0))))))</f>
        <v/>
      </c>
      <c r="P1411" s="17" t="str">
        <f aca="false">IF($B1411="","",INDEX(Course!$N$2:$N$19,MATCH($B1411,Course!$A$2:$A$19,0)))</f>
        <v/>
      </c>
      <c r="Q1411" s="17" t="str">
        <f aca="false">IF($B1411="","",INDEX(Course!$P$2:$P$19,MATCH($B1411,Course!$A$2:$A$19,0)))</f>
        <v/>
      </c>
      <c r="R1411" s="17" t="str">
        <f aca="false">IF($C1411="","",IF(OR($C1411="G",$C1411="H"),0,IF($C1411="T",1,MIN(1,MAX(0,($N1411-Inputs!$B$8)/MAX($P1411-Inputs!$B$8,0.01))))))</f>
        <v/>
      </c>
      <c r="S1411" s="17" t="str">
        <f aca="false">IF($C1411="","",IF(OR($E1411="G",$E1411="H"),0,IF($E1411="T",1,MIN(1,MAX(0,($O1411-Inputs!$B$8)/MAX($P1411-Inputs!$B$8,0.01))))))</f>
        <v/>
      </c>
    </row>
    <row r="1412" customFormat="false" ht="15" hidden="false" customHeight="false" outlineLevel="0" collapsed="false">
      <c r="I1412" s="7" t="str">
        <f aca="false">IF($C1412="","",IF($C1412="G","PUTT",IF(AND($C1412="T",$M1412&gt;3),"OTT",IF($D1412&lt;=30,"ARG","APP"))))</f>
        <v/>
      </c>
      <c r="J1412" s="17" t="str">
        <f aca="false">IF($C1412="","",$N1412+$Q1412*$R1412)</f>
        <v/>
      </c>
      <c r="K1412" s="17" t="str">
        <f aca="false">IF($C1412="","",$O1412+$Q1412*$S1412)</f>
        <v/>
      </c>
      <c r="L1412" s="17" t="str">
        <f aca="false">IF($C1412="","",$J1412-$K1412-1-N($G1412))</f>
        <v/>
      </c>
      <c r="M1412" s="7" t="str">
        <f aca="false">IF($B1412="","",INDEX(Course!$B$2:$B$19,MATCH($B1412,Course!$A$2:$A$19,0)))</f>
        <v/>
      </c>
      <c r="N1412" s="17" t="str">
        <f aca="false">IF($C1412="","",IF($C1412="H",0,IF($C1412="G",INDEX(Baseline!$I$3:$I$102,MIN(MAX(ROUND($D1412,0),1),100)),IF($C1412="T",IF($M1412=3,INDEX(Baseline!$B$3:$B$122,MATCH(MIN(MAX(ROUND(($D1412)/5,0)*5,5),600),Baseline!$A$3:$A$122,0))-Inputs!$B$9,INDEX(Course!$N$2:$N$19,MATCH($B1412,Course!$A$2:$A$19,0))),INDEX(Baseline!$B$3:$E$122,MATCH(MIN(MAX(ROUND(($D1412)/5,0)*5,5),600),Baseline!$A$3:$A$122,0),MATCH($C1412,Baseline!$B$2:$E$2,0))))))</f>
        <v/>
      </c>
      <c r="O1412" s="17" t="str">
        <f aca="false">IF($C1412="","",IF($E1412="H",0,IF($E1412="G",INDEX(Baseline!$I$3:$I$102,MIN(MAX(ROUND($F1412,0),1),100)),IF($E1412="T",IF($M1412=3,INDEX(Baseline!$B$3:$B$122,MATCH(MIN(MAX(ROUND(($F1412)/5,0)*5,5),600),Baseline!$A$3:$A$122,0))-Inputs!$B$9,INDEX(Course!$N$2:$N$19,MATCH($B1412,Course!$A$2:$A$19,0))),INDEX(Baseline!$B$3:$E$122,MATCH(MIN(MAX(ROUND(($F1412)/5,0)*5,5),600),Baseline!$A$3:$A$122,0),MATCH($E1412,Baseline!$B$2:$E$2,0))))))</f>
        <v/>
      </c>
      <c r="P1412" s="17" t="str">
        <f aca="false">IF($B1412="","",INDEX(Course!$N$2:$N$19,MATCH($B1412,Course!$A$2:$A$19,0)))</f>
        <v/>
      </c>
      <c r="Q1412" s="17" t="str">
        <f aca="false">IF($B1412="","",INDEX(Course!$P$2:$P$19,MATCH($B1412,Course!$A$2:$A$19,0)))</f>
        <v/>
      </c>
      <c r="R1412" s="17" t="str">
        <f aca="false">IF($C1412="","",IF(OR($C1412="G",$C1412="H"),0,IF($C1412="T",1,MIN(1,MAX(0,($N1412-Inputs!$B$8)/MAX($P1412-Inputs!$B$8,0.01))))))</f>
        <v/>
      </c>
      <c r="S1412" s="17" t="str">
        <f aca="false">IF($C1412="","",IF(OR($E1412="G",$E1412="H"),0,IF($E1412="T",1,MIN(1,MAX(0,($O1412-Inputs!$B$8)/MAX($P1412-Inputs!$B$8,0.01))))))</f>
        <v/>
      </c>
    </row>
    <row r="1413" customFormat="false" ht="15" hidden="false" customHeight="false" outlineLevel="0" collapsed="false">
      <c r="I1413" s="7" t="str">
        <f aca="false">IF($C1413="","",IF($C1413="G","PUTT",IF(AND($C1413="T",$M1413&gt;3),"OTT",IF($D1413&lt;=30,"ARG","APP"))))</f>
        <v/>
      </c>
      <c r="J1413" s="17" t="str">
        <f aca="false">IF($C1413="","",$N1413+$Q1413*$R1413)</f>
        <v/>
      </c>
      <c r="K1413" s="17" t="str">
        <f aca="false">IF($C1413="","",$O1413+$Q1413*$S1413)</f>
        <v/>
      </c>
      <c r="L1413" s="17" t="str">
        <f aca="false">IF($C1413="","",$J1413-$K1413-1-N($G1413))</f>
        <v/>
      </c>
      <c r="M1413" s="7" t="str">
        <f aca="false">IF($B1413="","",INDEX(Course!$B$2:$B$19,MATCH($B1413,Course!$A$2:$A$19,0)))</f>
        <v/>
      </c>
      <c r="N1413" s="17" t="str">
        <f aca="false">IF($C1413="","",IF($C1413="H",0,IF($C1413="G",INDEX(Baseline!$I$3:$I$102,MIN(MAX(ROUND($D1413,0),1),100)),IF($C1413="T",IF($M1413=3,INDEX(Baseline!$B$3:$B$122,MATCH(MIN(MAX(ROUND(($D1413)/5,0)*5,5),600),Baseline!$A$3:$A$122,0))-Inputs!$B$9,INDEX(Course!$N$2:$N$19,MATCH($B1413,Course!$A$2:$A$19,0))),INDEX(Baseline!$B$3:$E$122,MATCH(MIN(MAX(ROUND(($D1413)/5,0)*5,5),600),Baseline!$A$3:$A$122,0),MATCH($C1413,Baseline!$B$2:$E$2,0))))))</f>
        <v/>
      </c>
      <c r="O1413" s="17" t="str">
        <f aca="false">IF($C1413="","",IF($E1413="H",0,IF($E1413="G",INDEX(Baseline!$I$3:$I$102,MIN(MAX(ROUND($F1413,0),1),100)),IF($E1413="T",IF($M1413=3,INDEX(Baseline!$B$3:$B$122,MATCH(MIN(MAX(ROUND(($F1413)/5,0)*5,5),600),Baseline!$A$3:$A$122,0))-Inputs!$B$9,INDEX(Course!$N$2:$N$19,MATCH($B1413,Course!$A$2:$A$19,0))),INDEX(Baseline!$B$3:$E$122,MATCH(MIN(MAX(ROUND(($F1413)/5,0)*5,5),600),Baseline!$A$3:$A$122,0),MATCH($E1413,Baseline!$B$2:$E$2,0))))))</f>
        <v/>
      </c>
      <c r="P1413" s="17" t="str">
        <f aca="false">IF($B1413="","",INDEX(Course!$N$2:$N$19,MATCH($B1413,Course!$A$2:$A$19,0)))</f>
        <v/>
      </c>
      <c r="Q1413" s="17" t="str">
        <f aca="false">IF($B1413="","",INDEX(Course!$P$2:$P$19,MATCH($B1413,Course!$A$2:$A$19,0)))</f>
        <v/>
      </c>
      <c r="R1413" s="17" t="str">
        <f aca="false">IF($C1413="","",IF(OR($C1413="G",$C1413="H"),0,IF($C1413="T",1,MIN(1,MAX(0,($N1413-Inputs!$B$8)/MAX($P1413-Inputs!$B$8,0.01))))))</f>
        <v/>
      </c>
      <c r="S1413" s="17" t="str">
        <f aca="false">IF($C1413="","",IF(OR($E1413="G",$E1413="H"),0,IF($E1413="T",1,MIN(1,MAX(0,($O1413-Inputs!$B$8)/MAX($P1413-Inputs!$B$8,0.01))))))</f>
        <v/>
      </c>
    </row>
    <row r="1414" customFormat="false" ht="15" hidden="false" customHeight="false" outlineLevel="0" collapsed="false">
      <c r="I1414" s="7" t="str">
        <f aca="false">IF($C1414="","",IF($C1414="G","PUTT",IF(AND($C1414="T",$M1414&gt;3),"OTT",IF($D1414&lt;=30,"ARG","APP"))))</f>
        <v/>
      </c>
      <c r="J1414" s="17" t="str">
        <f aca="false">IF($C1414="","",$N1414+$Q1414*$R1414)</f>
        <v/>
      </c>
      <c r="K1414" s="17" t="str">
        <f aca="false">IF($C1414="","",$O1414+$Q1414*$S1414)</f>
        <v/>
      </c>
      <c r="L1414" s="17" t="str">
        <f aca="false">IF($C1414="","",$J1414-$K1414-1-N($G1414))</f>
        <v/>
      </c>
      <c r="M1414" s="7" t="str">
        <f aca="false">IF($B1414="","",INDEX(Course!$B$2:$B$19,MATCH($B1414,Course!$A$2:$A$19,0)))</f>
        <v/>
      </c>
      <c r="N1414" s="17" t="str">
        <f aca="false">IF($C1414="","",IF($C1414="H",0,IF($C1414="G",INDEX(Baseline!$I$3:$I$102,MIN(MAX(ROUND($D1414,0),1),100)),IF($C1414="T",IF($M1414=3,INDEX(Baseline!$B$3:$B$122,MATCH(MIN(MAX(ROUND(($D1414)/5,0)*5,5),600),Baseline!$A$3:$A$122,0))-Inputs!$B$9,INDEX(Course!$N$2:$N$19,MATCH($B1414,Course!$A$2:$A$19,0))),INDEX(Baseline!$B$3:$E$122,MATCH(MIN(MAX(ROUND(($D1414)/5,0)*5,5),600),Baseline!$A$3:$A$122,0),MATCH($C1414,Baseline!$B$2:$E$2,0))))))</f>
        <v/>
      </c>
      <c r="O1414" s="17" t="str">
        <f aca="false">IF($C1414="","",IF($E1414="H",0,IF($E1414="G",INDEX(Baseline!$I$3:$I$102,MIN(MAX(ROUND($F1414,0),1),100)),IF($E1414="T",IF($M1414=3,INDEX(Baseline!$B$3:$B$122,MATCH(MIN(MAX(ROUND(($F1414)/5,0)*5,5),600),Baseline!$A$3:$A$122,0))-Inputs!$B$9,INDEX(Course!$N$2:$N$19,MATCH($B1414,Course!$A$2:$A$19,0))),INDEX(Baseline!$B$3:$E$122,MATCH(MIN(MAX(ROUND(($F1414)/5,0)*5,5),600),Baseline!$A$3:$A$122,0),MATCH($E1414,Baseline!$B$2:$E$2,0))))))</f>
        <v/>
      </c>
      <c r="P1414" s="17" t="str">
        <f aca="false">IF($B1414="","",INDEX(Course!$N$2:$N$19,MATCH($B1414,Course!$A$2:$A$19,0)))</f>
        <v/>
      </c>
      <c r="Q1414" s="17" t="str">
        <f aca="false">IF($B1414="","",INDEX(Course!$P$2:$P$19,MATCH($B1414,Course!$A$2:$A$19,0)))</f>
        <v/>
      </c>
      <c r="R1414" s="17" t="str">
        <f aca="false">IF($C1414="","",IF(OR($C1414="G",$C1414="H"),0,IF($C1414="T",1,MIN(1,MAX(0,($N1414-Inputs!$B$8)/MAX($P1414-Inputs!$B$8,0.01))))))</f>
        <v/>
      </c>
      <c r="S1414" s="17" t="str">
        <f aca="false">IF($C1414="","",IF(OR($E1414="G",$E1414="H"),0,IF($E1414="T",1,MIN(1,MAX(0,($O1414-Inputs!$B$8)/MAX($P1414-Inputs!$B$8,0.01))))))</f>
        <v/>
      </c>
    </row>
    <row r="1415" customFormat="false" ht="15" hidden="false" customHeight="false" outlineLevel="0" collapsed="false">
      <c r="I1415" s="7" t="str">
        <f aca="false">IF($C1415="","",IF($C1415="G","PUTT",IF(AND($C1415="T",$M1415&gt;3),"OTT",IF($D1415&lt;=30,"ARG","APP"))))</f>
        <v/>
      </c>
      <c r="J1415" s="17" t="str">
        <f aca="false">IF($C1415="","",$N1415+$Q1415*$R1415)</f>
        <v/>
      </c>
      <c r="K1415" s="17" t="str">
        <f aca="false">IF($C1415="","",$O1415+$Q1415*$S1415)</f>
        <v/>
      </c>
      <c r="L1415" s="17" t="str">
        <f aca="false">IF($C1415="","",$J1415-$K1415-1-N($G1415))</f>
        <v/>
      </c>
      <c r="M1415" s="7" t="str">
        <f aca="false">IF($B1415="","",INDEX(Course!$B$2:$B$19,MATCH($B1415,Course!$A$2:$A$19,0)))</f>
        <v/>
      </c>
      <c r="N1415" s="17" t="str">
        <f aca="false">IF($C1415="","",IF($C1415="H",0,IF($C1415="G",INDEX(Baseline!$I$3:$I$102,MIN(MAX(ROUND($D1415,0),1),100)),IF($C1415="T",IF($M1415=3,INDEX(Baseline!$B$3:$B$122,MATCH(MIN(MAX(ROUND(($D1415)/5,0)*5,5),600),Baseline!$A$3:$A$122,0))-Inputs!$B$9,INDEX(Course!$N$2:$N$19,MATCH($B1415,Course!$A$2:$A$19,0))),INDEX(Baseline!$B$3:$E$122,MATCH(MIN(MAX(ROUND(($D1415)/5,0)*5,5),600),Baseline!$A$3:$A$122,0),MATCH($C1415,Baseline!$B$2:$E$2,0))))))</f>
        <v/>
      </c>
      <c r="O1415" s="17" t="str">
        <f aca="false">IF($C1415="","",IF($E1415="H",0,IF($E1415="G",INDEX(Baseline!$I$3:$I$102,MIN(MAX(ROUND($F1415,0),1),100)),IF($E1415="T",IF($M1415=3,INDEX(Baseline!$B$3:$B$122,MATCH(MIN(MAX(ROUND(($F1415)/5,0)*5,5),600),Baseline!$A$3:$A$122,0))-Inputs!$B$9,INDEX(Course!$N$2:$N$19,MATCH($B1415,Course!$A$2:$A$19,0))),INDEX(Baseline!$B$3:$E$122,MATCH(MIN(MAX(ROUND(($F1415)/5,0)*5,5),600),Baseline!$A$3:$A$122,0),MATCH($E1415,Baseline!$B$2:$E$2,0))))))</f>
        <v/>
      </c>
      <c r="P1415" s="17" t="str">
        <f aca="false">IF($B1415="","",INDEX(Course!$N$2:$N$19,MATCH($B1415,Course!$A$2:$A$19,0)))</f>
        <v/>
      </c>
      <c r="Q1415" s="17" t="str">
        <f aca="false">IF($B1415="","",INDEX(Course!$P$2:$P$19,MATCH($B1415,Course!$A$2:$A$19,0)))</f>
        <v/>
      </c>
      <c r="R1415" s="17" t="str">
        <f aca="false">IF($C1415="","",IF(OR($C1415="G",$C1415="H"),0,IF($C1415="T",1,MIN(1,MAX(0,($N1415-Inputs!$B$8)/MAX($P1415-Inputs!$B$8,0.01))))))</f>
        <v/>
      </c>
      <c r="S1415" s="17" t="str">
        <f aca="false">IF($C1415="","",IF(OR($E1415="G",$E1415="H"),0,IF($E1415="T",1,MIN(1,MAX(0,($O1415-Inputs!$B$8)/MAX($P1415-Inputs!$B$8,0.01))))))</f>
        <v/>
      </c>
    </row>
    <row r="1416" customFormat="false" ht="15" hidden="false" customHeight="false" outlineLevel="0" collapsed="false">
      <c r="I1416" s="7" t="str">
        <f aca="false">IF($C1416="","",IF($C1416="G","PUTT",IF(AND($C1416="T",$M1416&gt;3),"OTT",IF($D1416&lt;=30,"ARG","APP"))))</f>
        <v/>
      </c>
      <c r="J1416" s="17" t="str">
        <f aca="false">IF($C1416="","",$N1416+$Q1416*$R1416)</f>
        <v/>
      </c>
      <c r="K1416" s="17" t="str">
        <f aca="false">IF($C1416="","",$O1416+$Q1416*$S1416)</f>
        <v/>
      </c>
      <c r="L1416" s="17" t="str">
        <f aca="false">IF($C1416="","",$J1416-$K1416-1-N($G1416))</f>
        <v/>
      </c>
      <c r="M1416" s="7" t="str">
        <f aca="false">IF($B1416="","",INDEX(Course!$B$2:$B$19,MATCH($B1416,Course!$A$2:$A$19,0)))</f>
        <v/>
      </c>
      <c r="N1416" s="17" t="str">
        <f aca="false">IF($C1416="","",IF($C1416="H",0,IF($C1416="G",INDEX(Baseline!$I$3:$I$102,MIN(MAX(ROUND($D1416,0),1),100)),IF($C1416="T",IF($M1416=3,INDEX(Baseline!$B$3:$B$122,MATCH(MIN(MAX(ROUND(($D1416)/5,0)*5,5),600),Baseline!$A$3:$A$122,0))-Inputs!$B$9,INDEX(Course!$N$2:$N$19,MATCH($B1416,Course!$A$2:$A$19,0))),INDEX(Baseline!$B$3:$E$122,MATCH(MIN(MAX(ROUND(($D1416)/5,0)*5,5),600),Baseline!$A$3:$A$122,0),MATCH($C1416,Baseline!$B$2:$E$2,0))))))</f>
        <v/>
      </c>
      <c r="O1416" s="17" t="str">
        <f aca="false">IF($C1416="","",IF($E1416="H",0,IF($E1416="G",INDEX(Baseline!$I$3:$I$102,MIN(MAX(ROUND($F1416,0),1),100)),IF($E1416="T",IF($M1416=3,INDEX(Baseline!$B$3:$B$122,MATCH(MIN(MAX(ROUND(($F1416)/5,0)*5,5),600),Baseline!$A$3:$A$122,0))-Inputs!$B$9,INDEX(Course!$N$2:$N$19,MATCH($B1416,Course!$A$2:$A$19,0))),INDEX(Baseline!$B$3:$E$122,MATCH(MIN(MAX(ROUND(($F1416)/5,0)*5,5),600),Baseline!$A$3:$A$122,0),MATCH($E1416,Baseline!$B$2:$E$2,0))))))</f>
        <v/>
      </c>
      <c r="P1416" s="17" t="str">
        <f aca="false">IF($B1416="","",INDEX(Course!$N$2:$N$19,MATCH($B1416,Course!$A$2:$A$19,0)))</f>
        <v/>
      </c>
      <c r="Q1416" s="17" t="str">
        <f aca="false">IF($B1416="","",INDEX(Course!$P$2:$P$19,MATCH($B1416,Course!$A$2:$A$19,0)))</f>
        <v/>
      </c>
      <c r="R1416" s="17" t="str">
        <f aca="false">IF($C1416="","",IF(OR($C1416="G",$C1416="H"),0,IF($C1416="T",1,MIN(1,MAX(0,($N1416-Inputs!$B$8)/MAX($P1416-Inputs!$B$8,0.01))))))</f>
        <v/>
      </c>
      <c r="S1416" s="17" t="str">
        <f aca="false">IF($C1416="","",IF(OR($E1416="G",$E1416="H"),0,IF($E1416="T",1,MIN(1,MAX(0,($O1416-Inputs!$B$8)/MAX($P1416-Inputs!$B$8,0.01))))))</f>
        <v/>
      </c>
    </row>
    <row r="1417" customFormat="false" ht="15" hidden="false" customHeight="false" outlineLevel="0" collapsed="false">
      <c r="I1417" s="7" t="str">
        <f aca="false">IF($C1417="","",IF($C1417="G","PUTT",IF(AND($C1417="T",$M1417&gt;3),"OTT",IF($D1417&lt;=30,"ARG","APP"))))</f>
        <v/>
      </c>
      <c r="J1417" s="17" t="str">
        <f aca="false">IF($C1417="","",$N1417+$Q1417*$R1417)</f>
        <v/>
      </c>
      <c r="K1417" s="17" t="str">
        <f aca="false">IF($C1417="","",$O1417+$Q1417*$S1417)</f>
        <v/>
      </c>
      <c r="L1417" s="17" t="str">
        <f aca="false">IF($C1417="","",$J1417-$K1417-1-N($G1417))</f>
        <v/>
      </c>
      <c r="M1417" s="7" t="str">
        <f aca="false">IF($B1417="","",INDEX(Course!$B$2:$B$19,MATCH($B1417,Course!$A$2:$A$19,0)))</f>
        <v/>
      </c>
      <c r="N1417" s="17" t="str">
        <f aca="false">IF($C1417="","",IF($C1417="H",0,IF($C1417="G",INDEX(Baseline!$I$3:$I$102,MIN(MAX(ROUND($D1417,0),1),100)),IF($C1417="T",IF($M1417=3,INDEX(Baseline!$B$3:$B$122,MATCH(MIN(MAX(ROUND(($D1417)/5,0)*5,5),600),Baseline!$A$3:$A$122,0))-Inputs!$B$9,INDEX(Course!$N$2:$N$19,MATCH($B1417,Course!$A$2:$A$19,0))),INDEX(Baseline!$B$3:$E$122,MATCH(MIN(MAX(ROUND(($D1417)/5,0)*5,5),600),Baseline!$A$3:$A$122,0),MATCH($C1417,Baseline!$B$2:$E$2,0))))))</f>
        <v/>
      </c>
      <c r="O1417" s="17" t="str">
        <f aca="false">IF($C1417="","",IF($E1417="H",0,IF($E1417="G",INDEX(Baseline!$I$3:$I$102,MIN(MAX(ROUND($F1417,0),1),100)),IF($E1417="T",IF($M1417=3,INDEX(Baseline!$B$3:$B$122,MATCH(MIN(MAX(ROUND(($F1417)/5,0)*5,5),600),Baseline!$A$3:$A$122,0))-Inputs!$B$9,INDEX(Course!$N$2:$N$19,MATCH($B1417,Course!$A$2:$A$19,0))),INDEX(Baseline!$B$3:$E$122,MATCH(MIN(MAX(ROUND(($F1417)/5,0)*5,5),600),Baseline!$A$3:$A$122,0),MATCH($E1417,Baseline!$B$2:$E$2,0))))))</f>
        <v/>
      </c>
      <c r="P1417" s="17" t="str">
        <f aca="false">IF($B1417="","",INDEX(Course!$N$2:$N$19,MATCH($B1417,Course!$A$2:$A$19,0)))</f>
        <v/>
      </c>
      <c r="Q1417" s="17" t="str">
        <f aca="false">IF($B1417="","",INDEX(Course!$P$2:$P$19,MATCH($B1417,Course!$A$2:$A$19,0)))</f>
        <v/>
      </c>
      <c r="R1417" s="17" t="str">
        <f aca="false">IF($C1417="","",IF(OR($C1417="G",$C1417="H"),0,IF($C1417="T",1,MIN(1,MAX(0,($N1417-Inputs!$B$8)/MAX($P1417-Inputs!$B$8,0.01))))))</f>
        <v/>
      </c>
      <c r="S1417" s="17" t="str">
        <f aca="false">IF($C1417="","",IF(OR($E1417="G",$E1417="H"),0,IF($E1417="T",1,MIN(1,MAX(0,($O1417-Inputs!$B$8)/MAX($P1417-Inputs!$B$8,0.01))))))</f>
        <v/>
      </c>
    </row>
    <row r="1418" customFormat="false" ht="15" hidden="false" customHeight="false" outlineLevel="0" collapsed="false">
      <c r="I1418" s="7" t="str">
        <f aca="false">IF($C1418="","",IF($C1418="G","PUTT",IF(AND($C1418="T",$M1418&gt;3),"OTT",IF($D1418&lt;=30,"ARG","APP"))))</f>
        <v/>
      </c>
      <c r="J1418" s="17" t="str">
        <f aca="false">IF($C1418="","",$N1418+$Q1418*$R1418)</f>
        <v/>
      </c>
      <c r="K1418" s="17" t="str">
        <f aca="false">IF($C1418="","",$O1418+$Q1418*$S1418)</f>
        <v/>
      </c>
      <c r="L1418" s="17" t="str">
        <f aca="false">IF($C1418="","",$J1418-$K1418-1-N($G1418))</f>
        <v/>
      </c>
      <c r="M1418" s="7" t="str">
        <f aca="false">IF($B1418="","",INDEX(Course!$B$2:$B$19,MATCH($B1418,Course!$A$2:$A$19,0)))</f>
        <v/>
      </c>
      <c r="N1418" s="17" t="str">
        <f aca="false">IF($C1418="","",IF($C1418="H",0,IF($C1418="G",INDEX(Baseline!$I$3:$I$102,MIN(MAX(ROUND($D1418,0),1),100)),IF($C1418="T",IF($M1418=3,INDEX(Baseline!$B$3:$B$122,MATCH(MIN(MAX(ROUND(($D1418)/5,0)*5,5),600),Baseline!$A$3:$A$122,0))-Inputs!$B$9,INDEX(Course!$N$2:$N$19,MATCH($B1418,Course!$A$2:$A$19,0))),INDEX(Baseline!$B$3:$E$122,MATCH(MIN(MAX(ROUND(($D1418)/5,0)*5,5),600),Baseline!$A$3:$A$122,0),MATCH($C1418,Baseline!$B$2:$E$2,0))))))</f>
        <v/>
      </c>
      <c r="O1418" s="17" t="str">
        <f aca="false">IF($C1418="","",IF($E1418="H",0,IF($E1418="G",INDEX(Baseline!$I$3:$I$102,MIN(MAX(ROUND($F1418,0),1),100)),IF($E1418="T",IF($M1418=3,INDEX(Baseline!$B$3:$B$122,MATCH(MIN(MAX(ROUND(($F1418)/5,0)*5,5),600),Baseline!$A$3:$A$122,0))-Inputs!$B$9,INDEX(Course!$N$2:$N$19,MATCH($B1418,Course!$A$2:$A$19,0))),INDEX(Baseline!$B$3:$E$122,MATCH(MIN(MAX(ROUND(($F1418)/5,0)*5,5),600),Baseline!$A$3:$A$122,0),MATCH($E1418,Baseline!$B$2:$E$2,0))))))</f>
        <v/>
      </c>
      <c r="P1418" s="17" t="str">
        <f aca="false">IF($B1418="","",INDEX(Course!$N$2:$N$19,MATCH($B1418,Course!$A$2:$A$19,0)))</f>
        <v/>
      </c>
      <c r="Q1418" s="17" t="str">
        <f aca="false">IF($B1418="","",INDEX(Course!$P$2:$P$19,MATCH($B1418,Course!$A$2:$A$19,0)))</f>
        <v/>
      </c>
      <c r="R1418" s="17" t="str">
        <f aca="false">IF($C1418="","",IF(OR($C1418="G",$C1418="H"),0,IF($C1418="T",1,MIN(1,MAX(0,($N1418-Inputs!$B$8)/MAX($P1418-Inputs!$B$8,0.01))))))</f>
        <v/>
      </c>
      <c r="S1418" s="17" t="str">
        <f aca="false">IF($C1418="","",IF(OR($E1418="G",$E1418="H"),0,IF($E1418="T",1,MIN(1,MAX(0,($O1418-Inputs!$B$8)/MAX($P1418-Inputs!$B$8,0.01))))))</f>
        <v/>
      </c>
    </row>
    <row r="1419" customFormat="false" ht="15" hidden="false" customHeight="false" outlineLevel="0" collapsed="false">
      <c r="I1419" s="7" t="str">
        <f aca="false">IF($C1419="","",IF($C1419="G","PUTT",IF(AND($C1419="T",$M1419&gt;3),"OTT",IF($D1419&lt;=30,"ARG","APP"))))</f>
        <v/>
      </c>
      <c r="J1419" s="17" t="str">
        <f aca="false">IF($C1419="","",$N1419+$Q1419*$R1419)</f>
        <v/>
      </c>
      <c r="K1419" s="17" t="str">
        <f aca="false">IF($C1419="","",$O1419+$Q1419*$S1419)</f>
        <v/>
      </c>
      <c r="L1419" s="17" t="str">
        <f aca="false">IF($C1419="","",$J1419-$K1419-1-N($G1419))</f>
        <v/>
      </c>
      <c r="M1419" s="7" t="str">
        <f aca="false">IF($B1419="","",INDEX(Course!$B$2:$B$19,MATCH($B1419,Course!$A$2:$A$19,0)))</f>
        <v/>
      </c>
      <c r="N1419" s="17" t="str">
        <f aca="false">IF($C1419="","",IF($C1419="H",0,IF($C1419="G",INDEX(Baseline!$I$3:$I$102,MIN(MAX(ROUND($D1419,0),1),100)),IF($C1419="T",IF($M1419=3,INDEX(Baseline!$B$3:$B$122,MATCH(MIN(MAX(ROUND(($D1419)/5,0)*5,5),600),Baseline!$A$3:$A$122,0))-Inputs!$B$9,INDEX(Course!$N$2:$N$19,MATCH($B1419,Course!$A$2:$A$19,0))),INDEX(Baseline!$B$3:$E$122,MATCH(MIN(MAX(ROUND(($D1419)/5,0)*5,5),600),Baseline!$A$3:$A$122,0),MATCH($C1419,Baseline!$B$2:$E$2,0))))))</f>
        <v/>
      </c>
      <c r="O1419" s="17" t="str">
        <f aca="false">IF($C1419="","",IF($E1419="H",0,IF($E1419="G",INDEX(Baseline!$I$3:$I$102,MIN(MAX(ROUND($F1419,0),1),100)),IF($E1419="T",IF($M1419=3,INDEX(Baseline!$B$3:$B$122,MATCH(MIN(MAX(ROUND(($F1419)/5,0)*5,5),600),Baseline!$A$3:$A$122,0))-Inputs!$B$9,INDEX(Course!$N$2:$N$19,MATCH($B1419,Course!$A$2:$A$19,0))),INDEX(Baseline!$B$3:$E$122,MATCH(MIN(MAX(ROUND(($F1419)/5,0)*5,5),600),Baseline!$A$3:$A$122,0),MATCH($E1419,Baseline!$B$2:$E$2,0))))))</f>
        <v/>
      </c>
      <c r="P1419" s="17" t="str">
        <f aca="false">IF($B1419="","",INDEX(Course!$N$2:$N$19,MATCH($B1419,Course!$A$2:$A$19,0)))</f>
        <v/>
      </c>
      <c r="Q1419" s="17" t="str">
        <f aca="false">IF($B1419="","",INDEX(Course!$P$2:$P$19,MATCH($B1419,Course!$A$2:$A$19,0)))</f>
        <v/>
      </c>
      <c r="R1419" s="17" t="str">
        <f aca="false">IF($C1419="","",IF(OR($C1419="G",$C1419="H"),0,IF($C1419="T",1,MIN(1,MAX(0,($N1419-Inputs!$B$8)/MAX($P1419-Inputs!$B$8,0.01))))))</f>
        <v/>
      </c>
      <c r="S1419" s="17" t="str">
        <f aca="false">IF($C1419="","",IF(OR($E1419="G",$E1419="H"),0,IF($E1419="T",1,MIN(1,MAX(0,($O1419-Inputs!$B$8)/MAX($P1419-Inputs!$B$8,0.01))))))</f>
        <v/>
      </c>
    </row>
    <row r="1420" customFormat="false" ht="15" hidden="false" customHeight="false" outlineLevel="0" collapsed="false">
      <c r="I1420" s="7" t="str">
        <f aca="false">IF($C1420="","",IF($C1420="G","PUTT",IF(AND($C1420="T",$M1420&gt;3),"OTT",IF($D1420&lt;=30,"ARG","APP"))))</f>
        <v/>
      </c>
      <c r="J1420" s="17" t="str">
        <f aca="false">IF($C1420="","",$N1420+$Q1420*$R1420)</f>
        <v/>
      </c>
      <c r="K1420" s="17" t="str">
        <f aca="false">IF($C1420="","",$O1420+$Q1420*$S1420)</f>
        <v/>
      </c>
      <c r="L1420" s="17" t="str">
        <f aca="false">IF($C1420="","",$J1420-$K1420-1-N($G1420))</f>
        <v/>
      </c>
      <c r="M1420" s="7" t="str">
        <f aca="false">IF($B1420="","",INDEX(Course!$B$2:$B$19,MATCH($B1420,Course!$A$2:$A$19,0)))</f>
        <v/>
      </c>
      <c r="N1420" s="17" t="str">
        <f aca="false">IF($C1420="","",IF($C1420="H",0,IF($C1420="G",INDEX(Baseline!$I$3:$I$102,MIN(MAX(ROUND($D1420,0),1),100)),IF($C1420="T",IF($M1420=3,INDEX(Baseline!$B$3:$B$122,MATCH(MIN(MAX(ROUND(($D1420)/5,0)*5,5),600),Baseline!$A$3:$A$122,0))-Inputs!$B$9,INDEX(Course!$N$2:$N$19,MATCH($B1420,Course!$A$2:$A$19,0))),INDEX(Baseline!$B$3:$E$122,MATCH(MIN(MAX(ROUND(($D1420)/5,0)*5,5),600),Baseline!$A$3:$A$122,0),MATCH($C1420,Baseline!$B$2:$E$2,0))))))</f>
        <v/>
      </c>
      <c r="O1420" s="17" t="str">
        <f aca="false">IF($C1420="","",IF($E1420="H",0,IF($E1420="G",INDEX(Baseline!$I$3:$I$102,MIN(MAX(ROUND($F1420,0),1),100)),IF($E1420="T",IF($M1420=3,INDEX(Baseline!$B$3:$B$122,MATCH(MIN(MAX(ROUND(($F1420)/5,0)*5,5),600),Baseline!$A$3:$A$122,0))-Inputs!$B$9,INDEX(Course!$N$2:$N$19,MATCH($B1420,Course!$A$2:$A$19,0))),INDEX(Baseline!$B$3:$E$122,MATCH(MIN(MAX(ROUND(($F1420)/5,0)*5,5),600),Baseline!$A$3:$A$122,0),MATCH($E1420,Baseline!$B$2:$E$2,0))))))</f>
        <v/>
      </c>
      <c r="P1420" s="17" t="str">
        <f aca="false">IF($B1420="","",INDEX(Course!$N$2:$N$19,MATCH($B1420,Course!$A$2:$A$19,0)))</f>
        <v/>
      </c>
      <c r="Q1420" s="17" t="str">
        <f aca="false">IF($B1420="","",INDEX(Course!$P$2:$P$19,MATCH($B1420,Course!$A$2:$A$19,0)))</f>
        <v/>
      </c>
      <c r="R1420" s="17" t="str">
        <f aca="false">IF($C1420="","",IF(OR($C1420="G",$C1420="H"),0,IF($C1420="T",1,MIN(1,MAX(0,($N1420-Inputs!$B$8)/MAX($P1420-Inputs!$B$8,0.01))))))</f>
        <v/>
      </c>
      <c r="S1420" s="17" t="str">
        <f aca="false">IF($C1420="","",IF(OR($E1420="G",$E1420="H"),0,IF($E1420="T",1,MIN(1,MAX(0,($O1420-Inputs!$B$8)/MAX($P1420-Inputs!$B$8,0.01))))))</f>
        <v/>
      </c>
    </row>
    <row r="1421" customFormat="false" ht="15" hidden="false" customHeight="false" outlineLevel="0" collapsed="false">
      <c r="I1421" s="7" t="str">
        <f aca="false">IF($C1421="","",IF($C1421="G","PUTT",IF(AND($C1421="T",$M1421&gt;3),"OTT",IF($D1421&lt;=30,"ARG","APP"))))</f>
        <v/>
      </c>
      <c r="J1421" s="17" t="str">
        <f aca="false">IF($C1421="","",$N1421+$Q1421*$R1421)</f>
        <v/>
      </c>
      <c r="K1421" s="17" t="str">
        <f aca="false">IF($C1421="","",$O1421+$Q1421*$S1421)</f>
        <v/>
      </c>
      <c r="L1421" s="17" t="str">
        <f aca="false">IF($C1421="","",$J1421-$K1421-1-N($G1421))</f>
        <v/>
      </c>
      <c r="M1421" s="7" t="str">
        <f aca="false">IF($B1421="","",INDEX(Course!$B$2:$B$19,MATCH($B1421,Course!$A$2:$A$19,0)))</f>
        <v/>
      </c>
      <c r="N1421" s="17" t="str">
        <f aca="false">IF($C1421="","",IF($C1421="H",0,IF($C1421="G",INDEX(Baseline!$I$3:$I$102,MIN(MAX(ROUND($D1421,0),1),100)),IF($C1421="T",IF($M1421=3,INDEX(Baseline!$B$3:$B$122,MATCH(MIN(MAX(ROUND(($D1421)/5,0)*5,5),600),Baseline!$A$3:$A$122,0))-Inputs!$B$9,INDEX(Course!$N$2:$N$19,MATCH($B1421,Course!$A$2:$A$19,0))),INDEX(Baseline!$B$3:$E$122,MATCH(MIN(MAX(ROUND(($D1421)/5,0)*5,5),600),Baseline!$A$3:$A$122,0),MATCH($C1421,Baseline!$B$2:$E$2,0))))))</f>
        <v/>
      </c>
      <c r="O1421" s="17" t="str">
        <f aca="false">IF($C1421="","",IF($E1421="H",0,IF($E1421="G",INDEX(Baseline!$I$3:$I$102,MIN(MAX(ROUND($F1421,0),1),100)),IF($E1421="T",IF($M1421=3,INDEX(Baseline!$B$3:$B$122,MATCH(MIN(MAX(ROUND(($F1421)/5,0)*5,5),600),Baseline!$A$3:$A$122,0))-Inputs!$B$9,INDEX(Course!$N$2:$N$19,MATCH($B1421,Course!$A$2:$A$19,0))),INDEX(Baseline!$B$3:$E$122,MATCH(MIN(MAX(ROUND(($F1421)/5,0)*5,5),600),Baseline!$A$3:$A$122,0),MATCH($E1421,Baseline!$B$2:$E$2,0))))))</f>
        <v/>
      </c>
      <c r="P1421" s="17" t="str">
        <f aca="false">IF($B1421="","",INDEX(Course!$N$2:$N$19,MATCH($B1421,Course!$A$2:$A$19,0)))</f>
        <v/>
      </c>
      <c r="Q1421" s="17" t="str">
        <f aca="false">IF($B1421="","",INDEX(Course!$P$2:$P$19,MATCH($B1421,Course!$A$2:$A$19,0)))</f>
        <v/>
      </c>
      <c r="R1421" s="17" t="str">
        <f aca="false">IF($C1421="","",IF(OR($C1421="G",$C1421="H"),0,IF($C1421="T",1,MIN(1,MAX(0,($N1421-Inputs!$B$8)/MAX($P1421-Inputs!$B$8,0.01))))))</f>
        <v/>
      </c>
      <c r="S1421" s="17" t="str">
        <f aca="false">IF($C1421="","",IF(OR($E1421="G",$E1421="H"),0,IF($E1421="T",1,MIN(1,MAX(0,($O1421-Inputs!$B$8)/MAX($P1421-Inputs!$B$8,0.01))))))</f>
        <v/>
      </c>
    </row>
    <row r="1422" customFormat="false" ht="15" hidden="false" customHeight="false" outlineLevel="0" collapsed="false">
      <c r="I1422" s="7" t="str">
        <f aca="false">IF($C1422="","",IF($C1422="G","PUTT",IF(AND($C1422="T",$M1422&gt;3),"OTT",IF($D1422&lt;=30,"ARG","APP"))))</f>
        <v/>
      </c>
      <c r="J1422" s="17" t="str">
        <f aca="false">IF($C1422="","",$N1422+$Q1422*$R1422)</f>
        <v/>
      </c>
      <c r="K1422" s="17" t="str">
        <f aca="false">IF($C1422="","",$O1422+$Q1422*$S1422)</f>
        <v/>
      </c>
      <c r="L1422" s="17" t="str">
        <f aca="false">IF($C1422="","",$J1422-$K1422-1-N($G1422))</f>
        <v/>
      </c>
      <c r="M1422" s="7" t="str">
        <f aca="false">IF($B1422="","",INDEX(Course!$B$2:$B$19,MATCH($B1422,Course!$A$2:$A$19,0)))</f>
        <v/>
      </c>
      <c r="N1422" s="17" t="str">
        <f aca="false">IF($C1422="","",IF($C1422="H",0,IF($C1422="G",INDEX(Baseline!$I$3:$I$102,MIN(MAX(ROUND($D1422,0),1),100)),IF($C1422="T",IF($M1422=3,INDEX(Baseline!$B$3:$B$122,MATCH(MIN(MAX(ROUND(($D1422)/5,0)*5,5),600),Baseline!$A$3:$A$122,0))-Inputs!$B$9,INDEX(Course!$N$2:$N$19,MATCH($B1422,Course!$A$2:$A$19,0))),INDEX(Baseline!$B$3:$E$122,MATCH(MIN(MAX(ROUND(($D1422)/5,0)*5,5),600),Baseline!$A$3:$A$122,0),MATCH($C1422,Baseline!$B$2:$E$2,0))))))</f>
        <v/>
      </c>
      <c r="O1422" s="17" t="str">
        <f aca="false">IF($C1422="","",IF($E1422="H",0,IF($E1422="G",INDEX(Baseline!$I$3:$I$102,MIN(MAX(ROUND($F1422,0),1),100)),IF($E1422="T",IF($M1422=3,INDEX(Baseline!$B$3:$B$122,MATCH(MIN(MAX(ROUND(($F1422)/5,0)*5,5),600),Baseline!$A$3:$A$122,0))-Inputs!$B$9,INDEX(Course!$N$2:$N$19,MATCH($B1422,Course!$A$2:$A$19,0))),INDEX(Baseline!$B$3:$E$122,MATCH(MIN(MAX(ROUND(($F1422)/5,0)*5,5),600),Baseline!$A$3:$A$122,0),MATCH($E1422,Baseline!$B$2:$E$2,0))))))</f>
        <v/>
      </c>
      <c r="P1422" s="17" t="str">
        <f aca="false">IF($B1422="","",INDEX(Course!$N$2:$N$19,MATCH($B1422,Course!$A$2:$A$19,0)))</f>
        <v/>
      </c>
      <c r="Q1422" s="17" t="str">
        <f aca="false">IF($B1422="","",INDEX(Course!$P$2:$P$19,MATCH($B1422,Course!$A$2:$A$19,0)))</f>
        <v/>
      </c>
      <c r="R1422" s="17" t="str">
        <f aca="false">IF($C1422="","",IF(OR($C1422="G",$C1422="H"),0,IF($C1422="T",1,MIN(1,MAX(0,($N1422-Inputs!$B$8)/MAX($P1422-Inputs!$B$8,0.01))))))</f>
        <v/>
      </c>
      <c r="S1422" s="17" t="str">
        <f aca="false">IF($C1422="","",IF(OR($E1422="G",$E1422="H"),0,IF($E1422="T",1,MIN(1,MAX(0,($O1422-Inputs!$B$8)/MAX($P1422-Inputs!$B$8,0.01))))))</f>
        <v/>
      </c>
    </row>
    <row r="1423" customFormat="false" ht="15" hidden="false" customHeight="false" outlineLevel="0" collapsed="false">
      <c r="I1423" s="7" t="str">
        <f aca="false">IF($C1423="","",IF($C1423="G","PUTT",IF(AND($C1423="T",$M1423&gt;3),"OTT",IF($D1423&lt;=30,"ARG","APP"))))</f>
        <v/>
      </c>
      <c r="J1423" s="17" t="str">
        <f aca="false">IF($C1423="","",$N1423+$Q1423*$R1423)</f>
        <v/>
      </c>
      <c r="K1423" s="17" t="str">
        <f aca="false">IF($C1423="","",$O1423+$Q1423*$S1423)</f>
        <v/>
      </c>
      <c r="L1423" s="17" t="str">
        <f aca="false">IF($C1423="","",$J1423-$K1423-1-N($G1423))</f>
        <v/>
      </c>
      <c r="M1423" s="7" t="str">
        <f aca="false">IF($B1423="","",INDEX(Course!$B$2:$B$19,MATCH($B1423,Course!$A$2:$A$19,0)))</f>
        <v/>
      </c>
      <c r="N1423" s="17" t="str">
        <f aca="false">IF($C1423="","",IF($C1423="H",0,IF($C1423="G",INDEX(Baseline!$I$3:$I$102,MIN(MAX(ROUND($D1423,0),1),100)),IF($C1423="T",IF($M1423=3,INDEX(Baseline!$B$3:$B$122,MATCH(MIN(MAX(ROUND(($D1423)/5,0)*5,5),600),Baseline!$A$3:$A$122,0))-Inputs!$B$9,INDEX(Course!$N$2:$N$19,MATCH($B1423,Course!$A$2:$A$19,0))),INDEX(Baseline!$B$3:$E$122,MATCH(MIN(MAX(ROUND(($D1423)/5,0)*5,5),600),Baseline!$A$3:$A$122,0),MATCH($C1423,Baseline!$B$2:$E$2,0))))))</f>
        <v/>
      </c>
      <c r="O1423" s="17" t="str">
        <f aca="false">IF($C1423="","",IF($E1423="H",0,IF($E1423="G",INDEX(Baseline!$I$3:$I$102,MIN(MAX(ROUND($F1423,0),1),100)),IF($E1423="T",IF($M1423=3,INDEX(Baseline!$B$3:$B$122,MATCH(MIN(MAX(ROUND(($F1423)/5,0)*5,5),600),Baseline!$A$3:$A$122,0))-Inputs!$B$9,INDEX(Course!$N$2:$N$19,MATCH($B1423,Course!$A$2:$A$19,0))),INDEX(Baseline!$B$3:$E$122,MATCH(MIN(MAX(ROUND(($F1423)/5,0)*5,5),600),Baseline!$A$3:$A$122,0),MATCH($E1423,Baseline!$B$2:$E$2,0))))))</f>
        <v/>
      </c>
      <c r="P1423" s="17" t="str">
        <f aca="false">IF($B1423="","",INDEX(Course!$N$2:$N$19,MATCH($B1423,Course!$A$2:$A$19,0)))</f>
        <v/>
      </c>
      <c r="Q1423" s="17" t="str">
        <f aca="false">IF($B1423="","",INDEX(Course!$P$2:$P$19,MATCH($B1423,Course!$A$2:$A$19,0)))</f>
        <v/>
      </c>
      <c r="R1423" s="17" t="str">
        <f aca="false">IF($C1423="","",IF(OR($C1423="G",$C1423="H"),0,IF($C1423="T",1,MIN(1,MAX(0,($N1423-Inputs!$B$8)/MAX($P1423-Inputs!$B$8,0.01))))))</f>
        <v/>
      </c>
      <c r="S1423" s="17" t="str">
        <f aca="false">IF($C1423="","",IF(OR($E1423="G",$E1423="H"),0,IF($E1423="T",1,MIN(1,MAX(0,($O1423-Inputs!$B$8)/MAX($P1423-Inputs!$B$8,0.01))))))</f>
        <v/>
      </c>
    </row>
    <row r="1424" customFormat="false" ht="15" hidden="false" customHeight="false" outlineLevel="0" collapsed="false">
      <c r="I1424" s="7" t="str">
        <f aca="false">IF($C1424="","",IF($C1424="G","PUTT",IF(AND($C1424="T",$M1424&gt;3),"OTT",IF($D1424&lt;=30,"ARG","APP"))))</f>
        <v/>
      </c>
      <c r="J1424" s="17" t="str">
        <f aca="false">IF($C1424="","",$N1424+$Q1424*$R1424)</f>
        <v/>
      </c>
      <c r="K1424" s="17" t="str">
        <f aca="false">IF($C1424="","",$O1424+$Q1424*$S1424)</f>
        <v/>
      </c>
      <c r="L1424" s="17" t="str">
        <f aca="false">IF($C1424="","",$J1424-$K1424-1-N($G1424))</f>
        <v/>
      </c>
      <c r="M1424" s="7" t="str">
        <f aca="false">IF($B1424="","",INDEX(Course!$B$2:$B$19,MATCH($B1424,Course!$A$2:$A$19,0)))</f>
        <v/>
      </c>
      <c r="N1424" s="17" t="str">
        <f aca="false">IF($C1424="","",IF($C1424="H",0,IF($C1424="G",INDEX(Baseline!$I$3:$I$102,MIN(MAX(ROUND($D1424,0),1),100)),IF($C1424="T",IF($M1424=3,INDEX(Baseline!$B$3:$B$122,MATCH(MIN(MAX(ROUND(($D1424)/5,0)*5,5),600),Baseline!$A$3:$A$122,0))-Inputs!$B$9,INDEX(Course!$N$2:$N$19,MATCH($B1424,Course!$A$2:$A$19,0))),INDEX(Baseline!$B$3:$E$122,MATCH(MIN(MAX(ROUND(($D1424)/5,0)*5,5),600),Baseline!$A$3:$A$122,0),MATCH($C1424,Baseline!$B$2:$E$2,0))))))</f>
        <v/>
      </c>
      <c r="O1424" s="17" t="str">
        <f aca="false">IF($C1424="","",IF($E1424="H",0,IF($E1424="G",INDEX(Baseline!$I$3:$I$102,MIN(MAX(ROUND($F1424,0),1),100)),IF($E1424="T",IF($M1424=3,INDEX(Baseline!$B$3:$B$122,MATCH(MIN(MAX(ROUND(($F1424)/5,0)*5,5),600),Baseline!$A$3:$A$122,0))-Inputs!$B$9,INDEX(Course!$N$2:$N$19,MATCH($B1424,Course!$A$2:$A$19,0))),INDEX(Baseline!$B$3:$E$122,MATCH(MIN(MAX(ROUND(($F1424)/5,0)*5,5),600),Baseline!$A$3:$A$122,0),MATCH($E1424,Baseline!$B$2:$E$2,0))))))</f>
        <v/>
      </c>
      <c r="P1424" s="17" t="str">
        <f aca="false">IF($B1424="","",INDEX(Course!$N$2:$N$19,MATCH($B1424,Course!$A$2:$A$19,0)))</f>
        <v/>
      </c>
      <c r="Q1424" s="17" t="str">
        <f aca="false">IF($B1424="","",INDEX(Course!$P$2:$P$19,MATCH($B1424,Course!$A$2:$A$19,0)))</f>
        <v/>
      </c>
      <c r="R1424" s="17" t="str">
        <f aca="false">IF($C1424="","",IF(OR($C1424="G",$C1424="H"),0,IF($C1424="T",1,MIN(1,MAX(0,($N1424-Inputs!$B$8)/MAX($P1424-Inputs!$B$8,0.01))))))</f>
        <v/>
      </c>
      <c r="S1424" s="17" t="str">
        <f aca="false">IF($C1424="","",IF(OR($E1424="G",$E1424="H"),0,IF($E1424="T",1,MIN(1,MAX(0,($O1424-Inputs!$B$8)/MAX($P1424-Inputs!$B$8,0.01))))))</f>
        <v/>
      </c>
    </row>
    <row r="1425" customFormat="false" ht="15" hidden="false" customHeight="false" outlineLevel="0" collapsed="false">
      <c r="I1425" s="7" t="str">
        <f aca="false">IF($C1425="","",IF($C1425="G","PUTT",IF(AND($C1425="T",$M1425&gt;3),"OTT",IF($D1425&lt;=30,"ARG","APP"))))</f>
        <v/>
      </c>
      <c r="J1425" s="17" t="str">
        <f aca="false">IF($C1425="","",$N1425+$Q1425*$R1425)</f>
        <v/>
      </c>
      <c r="K1425" s="17" t="str">
        <f aca="false">IF($C1425="","",$O1425+$Q1425*$S1425)</f>
        <v/>
      </c>
      <c r="L1425" s="17" t="str">
        <f aca="false">IF($C1425="","",$J1425-$K1425-1-N($G1425))</f>
        <v/>
      </c>
      <c r="M1425" s="7" t="str">
        <f aca="false">IF($B1425="","",INDEX(Course!$B$2:$B$19,MATCH($B1425,Course!$A$2:$A$19,0)))</f>
        <v/>
      </c>
      <c r="N1425" s="17" t="str">
        <f aca="false">IF($C1425="","",IF($C1425="H",0,IF($C1425="G",INDEX(Baseline!$I$3:$I$102,MIN(MAX(ROUND($D1425,0),1),100)),IF($C1425="T",IF($M1425=3,INDEX(Baseline!$B$3:$B$122,MATCH(MIN(MAX(ROUND(($D1425)/5,0)*5,5),600),Baseline!$A$3:$A$122,0))-Inputs!$B$9,INDEX(Course!$N$2:$N$19,MATCH($B1425,Course!$A$2:$A$19,0))),INDEX(Baseline!$B$3:$E$122,MATCH(MIN(MAX(ROUND(($D1425)/5,0)*5,5),600),Baseline!$A$3:$A$122,0),MATCH($C1425,Baseline!$B$2:$E$2,0))))))</f>
        <v/>
      </c>
      <c r="O1425" s="17" t="str">
        <f aca="false">IF($C1425="","",IF($E1425="H",0,IF($E1425="G",INDEX(Baseline!$I$3:$I$102,MIN(MAX(ROUND($F1425,0),1),100)),IF($E1425="T",IF($M1425=3,INDEX(Baseline!$B$3:$B$122,MATCH(MIN(MAX(ROUND(($F1425)/5,0)*5,5),600),Baseline!$A$3:$A$122,0))-Inputs!$B$9,INDEX(Course!$N$2:$N$19,MATCH($B1425,Course!$A$2:$A$19,0))),INDEX(Baseline!$B$3:$E$122,MATCH(MIN(MAX(ROUND(($F1425)/5,0)*5,5),600),Baseline!$A$3:$A$122,0),MATCH($E1425,Baseline!$B$2:$E$2,0))))))</f>
        <v/>
      </c>
      <c r="P1425" s="17" t="str">
        <f aca="false">IF($B1425="","",INDEX(Course!$N$2:$N$19,MATCH($B1425,Course!$A$2:$A$19,0)))</f>
        <v/>
      </c>
      <c r="Q1425" s="17" t="str">
        <f aca="false">IF($B1425="","",INDEX(Course!$P$2:$P$19,MATCH($B1425,Course!$A$2:$A$19,0)))</f>
        <v/>
      </c>
      <c r="R1425" s="17" t="str">
        <f aca="false">IF($C1425="","",IF(OR($C1425="G",$C1425="H"),0,IF($C1425="T",1,MIN(1,MAX(0,($N1425-Inputs!$B$8)/MAX($P1425-Inputs!$B$8,0.01))))))</f>
        <v/>
      </c>
      <c r="S1425" s="17" t="str">
        <f aca="false">IF($C1425="","",IF(OR($E1425="G",$E1425="H"),0,IF($E1425="T",1,MIN(1,MAX(0,($O1425-Inputs!$B$8)/MAX($P1425-Inputs!$B$8,0.01))))))</f>
        <v/>
      </c>
    </row>
    <row r="1426" customFormat="false" ht="15" hidden="false" customHeight="false" outlineLevel="0" collapsed="false">
      <c r="I1426" s="7" t="str">
        <f aca="false">IF($C1426="","",IF($C1426="G","PUTT",IF(AND($C1426="T",$M1426&gt;3),"OTT",IF($D1426&lt;=30,"ARG","APP"))))</f>
        <v/>
      </c>
      <c r="J1426" s="17" t="str">
        <f aca="false">IF($C1426="","",$N1426+$Q1426*$R1426)</f>
        <v/>
      </c>
      <c r="K1426" s="17" t="str">
        <f aca="false">IF($C1426="","",$O1426+$Q1426*$S1426)</f>
        <v/>
      </c>
      <c r="L1426" s="17" t="str">
        <f aca="false">IF($C1426="","",$J1426-$K1426-1-N($G1426))</f>
        <v/>
      </c>
      <c r="M1426" s="7" t="str">
        <f aca="false">IF($B1426="","",INDEX(Course!$B$2:$B$19,MATCH($B1426,Course!$A$2:$A$19,0)))</f>
        <v/>
      </c>
      <c r="N1426" s="17" t="str">
        <f aca="false">IF($C1426="","",IF($C1426="H",0,IF($C1426="G",INDEX(Baseline!$I$3:$I$102,MIN(MAX(ROUND($D1426,0),1),100)),IF($C1426="T",IF($M1426=3,INDEX(Baseline!$B$3:$B$122,MATCH(MIN(MAX(ROUND(($D1426)/5,0)*5,5),600),Baseline!$A$3:$A$122,0))-Inputs!$B$9,INDEX(Course!$N$2:$N$19,MATCH($B1426,Course!$A$2:$A$19,0))),INDEX(Baseline!$B$3:$E$122,MATCH(MIN(MAX(ROUND(($D1426)/5,0)*5,5),600),Baseline!$A$3:$A$122,0),MATCH($C1426,Baseline!$B$2:$E$2,0))))))</f>
        <v/>
      </c>
      <c r="O1426" s="17" t="str">
        <f aca="false">IF($C1426="","",IF($E1426="H",0,IF($E1426="G",INDEX(Baseline!$I$3:$I$102,MIN(MAX(ROUND($F1426,0),1),100)),IF($E1426="T",IF($M1426=3,INDEX(Baseline!$B$3:$B$122,MATCH(MIN(MAX(ROUND(($F1426)/5,0)*5,5),600),Baseline!$A$3:$A$122,0))-Inputs!$B$9,INDEX(Course!$N$2:$N$19,MATCH($B1426,Course!$A$2:$A$19,0))),INDEX(Baseline!$B$3:$E$122,MATCH(MIN(MAX(ROUND(($F1426)/5,0)*5,5),600),Baseline!$A$3:$A$122,0),MATCH($E1426,Baseline!$B$2:$E$2,0))))))</f>
        <v/>
      </c>
      <c r="P1426" s="17" t="str">
        <f aca="false">IF($B1426="","",INDEX(Course!$N$2:$N$19,MATCH($B1426,Course!$A$2:$A$19,0)))</f>
        <v/>
      </c>
      <c r="Q1426" s="17" t="str">
        <f aca="false">IF($B1426="","",INDEX(Course!$P$2:$P$19,MATCH($B1426,Course!$A$2:$A$19,0)))</f>
        <v/>
      </c>
      <c r="R1426" s="17" t="str">
        <f aca="false">IF($C1426="","",IF(OR($C1426="G",$C1426="H"),0,IF($C1426="T",1,MIN(1,MAX(0,($N1426-Inputs!$B$8)/MAX($P1426-Inputs!$B$8,0.01))))))</f>
        <v/>
      </c>
      <c r="S1426" s="17" t="str">
        <f aca="false">IF($C1426="","",IF(OR($E1426="G",$E1426="H"),0,IF($E1426="T",1,MIN(1,MAX(0,($O1426-Inputs!$B$8)/MAX($P1426-Inputs!$B$8,0.01))))))</f>
        <v/>
      </c>
    </row>
    <row r="1427" customFormat="false" ht="15" hidden="false" customHeight="false" outlineLevel="0" collapsed="false">
      <c r="I1427" s="7" t="str">
        <f aca="false">IF($C1427="","",IF($C1427="G","PUTT",IF(AND($C1427="T",$M1427&gt;3),"OTT",IF($D1427&lt;=30,"ARG","APP"))))</f>
        <v/>
      </c>
      <c r="J1427" s="17" t="str">
        <f aca="false">IF($C1427="","",$N1427+$Q1427*$R1427)</f>
        <v/>
      </c>
      <c r="K1427" s="17" t="str">
        <f aca="false">IF($C1427="","",$O1427+$Q1427*$S1427)</f>
        <v/>
      </c>
      <c r="L1427" s="17" t="str">
        <f aca="false">IF($C1427="","",$J1427-$K1427-1-N($G1427))</f>
        <v/>
      </c>
      <c r="M1427" s="7" t="str">
        <f aca="false">IF($B1427="","",INDEX(Course!$B$2:$B$19,MATCH($B1427,Course!$A$2:$A$19,0)))</f>
        <v/>
      </c>
      <c r="N1427" s="17" t="str">
        <f aca="false">IF($C1427="","",IF($C1427="H",0,IF($C1427="G",INDEX(Baseline!$I$3:$I$102,MIN(MAX(ROUND($D1427,0),1),100)),IF($C1427="T",IF($M1427=3,INDEX(Baseline!$B$3:$B$122,MATCH(MIN(MAX(ROUND(($D1427)/5,0)*5,5),600),Baseline!$A$3:$A$122,0))-Inputs!$B$9,INDEX(Course!$N$2:$N$19,MATCH($B1427,Course!$A$2:$A$19,0))),INDEX(Baseline!$B$3:$E$122,MATCH(MIN(MAX(ROUND(($D1427)/5,0)*5,5),600),Baseline!$A$3:$A$122,0),MATCH($C1427,Baseline!$B$2:$E$2,0))))))</f>
        <v/>
      </c>
      <c r="O1427" s="17" t="str">
        <f aca="false">IF($C1427="","",IF($E1427="H",0,IF($E1427="G",INDEX(Baseline!$I$3:$I$102,MIN(MAX(ROUND($F1427,0),1),100)),IF($E1427="T",IF($M1427=3,INDEX(Baseline!$B$3:$B$122,MATCH(MIN(MAX(ROUND(($F1427)/5,0)*5,5),600),Baseline!$A$3:$A$122,0))-Inputs!$B$9,INDEX(Course!$N$2:$N$19,MATCH($B1427,Course!$A$2:$A$19,0))),INDEX(Baseline!$B$3:$E$122,MATCH(MIN(MAX(ROUND(($F1427)/5,0)*5,5),600),Baseline!$A$3:$A$122,0),MATCH($E1427,Baseline!$B$2:$E$2,0))))))</f>
        <v/>
      </c>
      <c r="P1427" s="17" t="str">
        <f aca="false">IF($B1427="","",INDEX(Course!$N$2:$N$19,MATCH($B1427,Course!$A$2:$A$19,0)))</f>
        <v/>
      </c>
      <c r="Q1427" s="17" t="str">
        <f aca="false">IF($B1427="","",INDEX(Course!$P$2:$P$19,MATCH($B1427,Course!$A$2:$A$19,0)))</f>
        <v/>
      </c>
      <c r="R1427" s="17" t="str">
        <f aca="false">IF($C1427="","",IF(OR($C1427="G",$C1427="H"),0,IF($C1427="T",1,MIN(1,MAX(0,($N1427-Inputs!$B$8)/MAX($P1427-Inputs!$B$8,0.01))))))</f>
        <v/>
      </c>
      <c r="S1427" s="17" t="str">
        <f aca="false">IF($C1427="","",IF(OR($E1427="G",$E1427="H"),0,IF($E1427="T",1,MIN(1,MAX(0,($O1427-Inputs!$B$8)/MAX($P1427-Inputs!$B$8,0.01))))))</f>
        <v/>
      </c>
    </row>
    <row r="1428" customFormat="false" ht="15" hidden="false" customHeight="false" outlineLevel="0" collapsed="false">
      <c r="I1428" s="7" t="str">
        <f aca="false">IF($C1428="","",IF($C1428="G","PUTT",IF(AND($C1428="T",$M1428&gt;3),"OTT",IF($D1428&lt;=30,"ARG","APP"))))</f>
        <v/>
      </c>
      <c r="J1428" s="17" t="str">
        <f aca="false">IF($C1428="","",$N1428+$Q1428*$R1428)</f>
        <v/>
      </c>
      <c r="K1428" s="17" t="str">
        <f aca="false">IF($C1428="","",$O1428+$Q1428*$S1428)</f>
        <v/>
      </c>
      <c r="L1428" s="17" t="str">
        <f aca="false">IF($C1428="","",$J1428-$K1428-1-N($G1428))</f>
        <v/>
      </c>
      <c r="M1428" s="7" t="str">
        <f aca="false">IF($B1428="","",INDEX(Course!$B$2:$B$19,MATCH($B1428,Course!$A$2:$A$19,0)))</f>
        <v/>
      </c>
      <c r="N1428" s="17" t="str">
        <f aca="false">IF($C1428="","",IF($C1428="H",0,IF($C1428="G",INDEX(Baseline!$I$3:$I$102,MIN(MAX(ROUND($D1428,0),1),100)),IF($C1428="T",IF($M1428=3,INDEX(Baseline!$B$3:$B$122,MATCH(MIN(MAX(ROUND(($D1428)/5,0)*5,5),600),Baseline!$A$3:$A$122,0))-Inputs!$B$9,INDEX(Course!$N$2:$N$19,MATCH($B1428,Course!$A$2:$A$19,0))),INDEX(Baseline!$B$3:$E$122,MATCH(MIN(MAX(ROUND(($D1428)/5,0)*5,5),600),Baseline!$A$3:$A$122,0),MATCH($C1428,Baseline!$B$2:$E$2,0))))))</f>
        <v/>
      </c>
      <c r="O1428" s="17" t="str">
        <f aca="false">IF($C1428="","",IF($E1428="H",0,IF($E1428="G",INDEX(Baseline!$I$3:$I$102,MIN(MAX(ROUND($F1428,0),1),100)),IF($E1428="T",IF($M1428=3,INDEX(Baseline!$B$3:$B$122,MATCH(MIN(MAX(ROUND(($F1428)/5,0)*5,5),600),Baseline!$A$3:$A$122,0))-Inputs!$B$9,INDEX(Course!$N$2:$N$19,MATCH($B1428,Course!$A$2:$A$19,0))),INDEX(Baseline!$B$3:$E$122,MATCH(MIN(MAX(ROUND(($F1428)/5,0)*5,5),600),Baseline!$A$3:$A$122,0),MATCH($E1428,Baseline!$B$2:$E$2,0))))))</f>
        <v/>
      </c>
      <c r="P1428" s="17" t="str">
        <f aca="false">IF($B1428="","",INDEX(Course!$N$2:$N$19,MATCH($B1428,Course!$A$2:$A$19,0)))</f>
        <v/>
      </c>
      <c r="Q1428" s="17" t="str">
        <f aca="false">IF($B1428="","",INDEX(Course!$P$2:$P$19,MATCH($B1428,Course!$A$2:$A$19,0)))</f>
        <v/>
      </c>
      <c r="R1428" s="17" t="str">
        <f aca="false">IF($C1428="","",IF(OR($C1428="G",$C1428="H"),0,IF($C1428="T",1,MIN(1,MAX(0,($N1428-Inputs!$B$8)/MAX($P1428-Inputs!$B$8,0.01))))))</f>
        <v/>
      </c>
      <c r="S1428" s="17" t="str">
        <f aca="false">IF($C1428="","",IF(OR($E1428="G",$E1428="H"),0,IF($E1428="T",1,MIN(1,MAX(0,($O1428-Inputs!$B$8)/MAX($P1428-Inputs!$B$8,0.01))))))</f>
        <v/>
      </c>
    </row>
    <row r="1429" customFormat="false" ht="15" hidden="false" customHeight="false" outlineLevel="0" collapsed="false">
      <c r="I1429" s="7" t="str">
        <f aca="false">IF($C1429="","",IF($C1429="G","PUTT",IF(AND($C1429="T",$M1429&gt;3),"OTT",IF($D1429&lt;=30,"ARG","APP"))))</f>
        <v/>
      </c>
      <c r="J1429" s="17" t="str">
        <f aca="false">IF($C1429="","",$N1429+$Q1429*$R1429)</f>
        <v/>
      </c>
      <c r="K1429" s="17" t="str">
        <f aca="false">IF($C1429="","",$O1429+$Q1429*$S1429)</f>
        <v/>
      </c>
      <c r="L1429" s="17" t="str">
        <f aca="false">IF($C1429="","",$J1429-$K1429-1-N($G1429))</f>
        <v/>
      </c>
      <c r="M1429" s="7" t="str">
        <f aca="false">IF($B1429="","",INDEX(Course!$B$2:$B$19,MATCH($B1429,Course!$A$2:$A$19,0)))</f>
        <v/>
      </c>
      <c r="N1429" s="17" t="str">
        <f aca="false">IF($C1429="","",IF($C1429="H",0,IF($C1429="G",INDEX(Baseline!$I$3:$I$102,MIN(MAX(ROUND($D1429,0),1),100)),IF($C1429="T",IF($M1429=3,INDEX(Baseline!$B$3:$B$122,MATCH(MIN(MAX(ROUND(($D1429)/5,0)*5,5),600),Baseline!$A$3:$A$122,0))-Inputs!$B$9,INDEX(Course!$N$2:$N$19,MATCH($B1429,Course!$A$2:$A$19,0))),INDEX(Baseline!$B$3:$E$122,MATCH(MIN(MAX(ROUND(($D1429)/5,0)*5,5),600),Baseline!$A$3:$A$122,0),MATCH($C1429,Baseline!$B$2:$E$2,0))))))</f>
        <v/>
      </c>
      <c r="O1429" s="17" t="str">
        <f aca="false">IF($C1429="","",IF($E1429="H",0,IF($E1429="G",INDEX(Baseline!$I$3:$I$102,MIN(MAX(ROUND($F1429,0),1),100)),IF($E1429="T",IF($M1429=3,INDEX(Baseline!$B$3:$B$122,MATCH(MIN(MAX(ROUND(($F1429)/5,0)*5,5),600),Baseline!$A$3:$A$122,0))-Inputs!$B$9,INDEX(Course!$N$2:$N$19,MATCH($B1429,Course!$A$2:$A$19,0))),INDEX(Baseline!$B$3:$E$122,MATCH(MIN(MAX(ROUND(($F1429)/5,0)*5,5),600),Baseline!$A$3:$A$122,0),MATCH($E1429,Baseline!$B$2:$E$2,0))))))</f>
        <v/>
      </c>
      <c r="P1429" s="17" t="str">
        <f aca="false">IF($B1429="","",INDEX(Course!$N$2:$N$19,MATCH($B1429,Course!$A$2:$A$19,0)))</f>
        <v/>
      </c>
      <c r="Q1429" s="17" t="str">
        <f aca="false">IF($B1429="","",INDEX(Course!$P$2:$P$19,MATCH($B1429,Course!$A$2:$A$19,0)))</f>
        <v/>
      </c>
      <c r="R1429" s="17" t="str">
        <f aca="false">IF($C1429="","",IF(OR($C1429="G",$C1429="H"),0,IF($C1429="T",1,MIN(1,MAX(0,($N1429-Inputs!$B$8)/MAX($P1429-Inputs!$B$8,0.01))))))</f>
        <v/>
      </c>
      <c r="S1429" s="17" t="str">
        <f aca="false">IF($C1429="","",IF(OR($E1429="G",$E1429="H"),0,IF($E1429="T",1,MIN(1,MAX(0,($O1429-Inputs!$B$8)/MAX($P1429-Inputs!$B$8,0.01))))))</f>
        <v/>
      </c>
    </row>
    <row r="1430" customFormat="false" ht="15" hidden="false" customHeight="false" outlineLevel="0" collapsed="false">
      <c r="I1430" s="7" t="str">
        <f aca="false">IF($C1430="","",IF($C1430="G","PUTT",IF(AND($C1430="T",$M1430&gt;3),"OTT",IF($D1430&lt;=30,"ARG","APP"))))</f>
        <v/>
      </c>
      <c r="J1430" s="17" t="str">
        <f aca="false">IF($C1430="","",$N1430+$Q1430*$R1430)</f>
        <v/>
      </c>
      <c r="K1430" s="17" t="str">
        <f aca="false">IF($C1430="","",$O1430+$Q1430*$S1430)</f>
        <v/>
      </c>
      <c r="L1430" s="17" t="str">
        <f aca="false">IF($C1430="","",$J1430-$K1430-1-N($G1430))</f>
        <v/>
      </c>
      <c r="M1430" s="7" t="str">
        <f aca="false">IF($B1430="","",INDEX(Course!$B$2:$B$19,MATCH($B1430,Course!$A$2:$A$19,0)))</f>
        <v/>
      </c>
      <c r="N1430" s="17" t="str">
        <f aca="false">IF($C1430="","",IF($C1430="H",0,IF($C1430="G",INDEX(Baseline!$I$3:$I$102,MIN(MAX(ROUND($D1430,0),1),100)),IF($C1430="T",IF($M1430=3,INDEX(Baseline!$B$3:$B$122,MATCH(MIN(MAX(ROUND(($D1430)/5,0)*5,5),600),Baseline!$A$3:$A$122,0))-Inputs!$B$9,INDEX(Course!$N$2:$N$19,MATCH($B1430,Course!$A$2:$A$19,0))),INDEX(Baseline!$B$3:$E$122,MATCH(MIN(MAX(ROUND(($D1430)/5,0)*5,5),600),Baseline!$A$3:$A$122,0),MATCH($C1430,Baseline!$B$2:$E$2,0))))))</f>
        <v/>
      </c>
      <c r="O1430" s="17" t="str">
        <f aca="false">IF($C1430="","",IF($E1430="H",0,IF($E1430="G",INDEX(Baseline!$I$3:$I$102,MIN(MAX(ROUND($F1430,0),1),100)),IF($E1430="T",IF($M1430=3,INDEX(Baseline!$B$3:$B$122,MATCH(MIN(MAX(ROUND(($F1430)/5,0)*5,5),600),Baseline!$A$3:$A$122,0))-Inputs!$B$9,INDEX(Course!$N$2:$N$19,MATCH($B1430,Course!$A$2:$A$19,0))),INDEX(Baseline!$B$3:$E$122,MATCH(MIN(MAX(ROUND(($F1430)/5,0)*5,5),600),Baseline!$A$3:$A$122,0),MATCH($E1430,Baseline!$B$2:$E$2,0))))))</f>
        <v/>
      </c>
      <c r="P1430" s="17" t="str">
        <f aca="false">IF($B1430="","",INDEX(Course!$N$2:$N$19,MATCH($B1430,Course!$A$2:$A$19,0)))</f>
        <v/>
      </c>
      <c r="Q1430" s="17" t="str">
        <f aca="false">IF($B1430="","",INDEX(Course!$P$2:$P$19,MATCH($B1430,Course!$A$2:$A$19,0)))</f>
        <v/>
      </c>
      <c r="R1430" s="17" t="str">
        <f aca="false">IF($C1430="","",IF(OR($C1430="G",$C1430="H"),0,IF($C1430="T",1,MIN(1,MAX(0,($N1430-Inputs!$B$8)/MAX($P1430-Inputs!$B$8,0.01))))))</f>
        <v/>
      </c>
      <c r="S1430" s="17" t="str">
        <f aca="false">IF($C1430="","",IF(OR($E1430="G",$E1430="H"),0,IF($E1430="T",1,MIN(1,MAX(0,($O1430-Inputs!$B$8)/MAX($P1430-Inputs!$B$8,0.01))))))</f>
        <v/>
      </c>
    </row>
    <row r="1431" customFormat="false" ht="15" hidden="false" customHeight="false" outlineLevel="0" collapsed="false">
      <c r="I1431" s="7" t="str">
        <f aca="false">IF($C1431="","",IF($C1431="G","PUTT",IF(AND($C1431="T",$M1431&gt;3),"OTT",IF($D1431&lt;=30,"ARG","APP"))))</f>
        <v/>
      </c>
      <c r="J1431" s="17" t="str">
        <f aca="false">IF($C1431="","",$N1431+$Q1431*$R1431)</f>
        <v/>
      </c>
      <c r="K1431" s="17" t="str">
        <f aca="false">IF($C1431="","",$O1431+$Q1431*$S1431)</f>
        <v/>
      </c>
      <c r="L1431" s="17" t="str">
        <f aca="false">IF($C1431="","",$J1431-$K1431-1-N($G1431))</f>
        <v/>
      </c>
      <c r="M1431" s="7" t="str">
        <f aca="false">IF($B1431="","",INDEX(Course!$B$2:$B$19,MATCH($B1431,Course!$A$2:$A$19,0)))</f>
        <v/>
      </c>
      <c r="N1431" s="17" t="str">
        <f aca="false">IF($C1431="","",IF($C1431="H",0,IF($C1431="G",INDEX(Baseline!$I$3:$I$102,MIN(MAX(ROUND($D1431,0),1),100)),IF($C1431="T",IF($M1431=3,INDEX(Baseline!$B$3:$B$122,MATCH(MIN(MAX(ROUND(($D1431)/5,0)*5,5),600),Baseline!$A$3:$A$122,0))-Inputs!$B$9,INDEX(Course!$N$2:$N$19,MATCH($B1431,Course!$A$2:$A$19,0))),INDEX(Baseline!$B$3:$E$122,MATCH(MIN(MAX(ROUND(($D1431)/5,0)*5,5),600),Baseline!$A$3:$A$122,0),MATCH($C1431,Baseline!$B$2:$E$2,0))))))</f>
        <v/>
      </c>
      <c r="O1431" s="17" t="str">
        <f aca="false">IF($C1431="","",IF($E1431="H",0,IF($E1431="G",INDEX(Baseline!$I$3:$I$102,MIN(MAX(ROUND($F1431,0),1),100)),IF($E1431="T",IF($M1431=3,INDEX(Baseline!$B$3:$B$122,MATCH(MIN(MAX(ROUND(($F1431)/5,0)*5,5),600),Baseline!$A$3:$A$122,0))-Inputs!$B$9,INDEX(Course!$N$2:$N$19,MATCH($B1431,Course!$A$2:$A$19,0))),INDEX(Baseline!$B$3:$E$122,MATCH(MIN(MAX(ROUND(($F1431)/5,0)*5,5),600),Baseline!$A$3:$A$122,0),MATCH($E1431,Baseline!$B$2:$E$2,0))))))</f>
        <v/>
      </c>
      <c r="P1431" s="17" t="str">
        <f aca="false">IF($B1431="","",INDEX(Course!$N$2:$N$19,MATCH($B1431,Course!$A$2:$A$19,0)))</f>
        <v/>
      </c>
      <c r="Q1431" s="17" t="str">
        <f aca="false">IF($B1431="","",INDEX(Course!$P$2:$P$19,MATCH($B1431,Course!$A$2:$A$19,0)))</f>
        <v/>
      </c>
      <c r="R1431" s="17" t="str">
        <f aca="false">IF($C1431="","",IF(OR($C1431="G",$C1431="H"),0,IF($C1431="T",1,MIN(1,MAX(0,($N1431-Inputs!$B$8)/MAX($P1431-Inputs!$B$8,0.01))))))</f>
        <v/>
      </c>
      <c r="S1431" s="17" t="str">
        <f aca="false">IF($C1431="","",IF(OR($E1431="G",$E1431="H"),0,IF($E1431="T",1,MIN(1,MAX(0,($O1431-Inputs!$B$8)/MAX($P1431-Inputs!$B$8,0.01))))))</f>
        <v/>
      </c>
    </row>
    <row r="1432" customFormat="false" ht="15" hidden="false" customHeight="false" outlineLevel="0" collapsed="false">
      <c r="I1432" s="7" t="str">
        <f aca="false">IF($C1432="","",IF($C1432="G","PUTT",IF(AND($C1432="T",$M1432&gt;3),"OTT",IF($D1432&lt;=30,"ARG","APP"))))</f>
        <v/>
      </c>
      <c r="J1432" s="17" t="str">
        <f aca="false">IF($C1432="","",$N1432+$Q1432*$R1432)</f>
        <v/>
      </c>
      <c r="K1432" s="17" t="str">
        <f aca="false">IF($C1432="","",$O1432+$Q1432*$S1432)</f>
        <v/>
      </c>
      <c r="L1432" s="17" t="str">
        <f aca="false">IF($C1432="","",$J1432-$K1432-1-N($G1432))</f>
        <v/>
      </c>
      <c r="M1432" s="7" t="str">
        <f aca="false">IF($B1432="","",INDEX(Course!$B$2:$B$19,MATCH($B1432,Course!$A$2:$A$19,0)))</f>
        <v/>
      </c>
      <c r="N1432" s="17" t="str">
        <f aca="false">IF($C1432="","",IF($C1432="H",0,IF($C1432="G",INDEX(Baseline!$I$3:$I$102,MIN(MAX(ROUND($D1432,0),1),100)),IF($C1432="T",IF($M1432=3,INDEX(Baseline!$B$3:$B$122,MATCH(MIN(MAX(ROUND(($D1432)/5,0)*5,5),600),Baseline!$A$3:$A$122,0))-Inputs!$B$9,INDEX(Course!$N$2:$N$19,MATCH($B1432,Course!$A$2:$A$19,0))),INDEX(Baseline!$B$3:$E$122,MATCH(MIN(MAX(ROUND(($D1432)/5,0)*5,5),600),Baseline!$A$3:$A$122,0),MATCH($C1432,Baseline!$B$2:$E$2,0))))))</f>
        <v/>
      </c>
      <c r="O1432" s="17" t="str">
        <f aca="false">IF($C1432="","",IF($E1432="H",0,IF($E1432="G",INDEX(Baseline!$I$3:$I$102,MIN(MAX(ROUND($F1432,0),1),100)),IF($E1432="T",IF($M1432=3,INDEX(Baseline!$B$3:$B$122,MATCH(MIN(MAX(ROUND(($F1432)/5,0)*5,5),600),Baseline!$A$3:$A$122,0))-Inputs!$B$9,INDEX(Course!$N$2:$N$19,MATCH($B1432,Course!$A$2:$A$19,0))),INDEX(Baseline!$B$3:$E$122,MATCH(MIN(MAX(ROUND(($F1432)/5,0)*5,5),600),Baseline!$A$3:$A$122,0),MATCH($E1432,Baseline!$B$2:$E$2,0))))))</f>
        <v/>
      </c>
      <c r="P1432" s="17" t="str">
        <f aca="false">IF($B1432="","",INDEX(Course!$N$2:$N$19,MATCH($B1432,Course!$A$2:$A$19,0)))</f>
        <v/>
      </c>
      <c r="Q1432" s="17" t="str">
        <f aca="false">IF($B1432="","",INDEX(Course!$P$2:$P$19,MATCH($B1432,Course!$A$2:$A$19,0)))</f>
        <v/>
      </c>
      <c r="R1432" s="17" t="str">
        <f aca="false">IF($C1432="","",IF(OR($C1432="G",$C1432="H"),0,IF($C1432="T",1,MIN(1,MAX(0,($N1432-Inputs!$B$8)/MAX($P1432-Inputs!$B$8,0.01))))))</f>
        <v/>
      </c>
      <c r="S1432" s="17" t="str">
        <f aca="false">IF($C1432="","",IF(OR($E1432="G",$E1432="H"),0,IF($E1432="T",1,MIN(1,MAX(0,($O1432-Inputs!$B$8)/MAX($P1432-Inputs!$B$8,0.01))))))</f>
        <v/>
      </c>
    </row>
    <row r="1433" customFormat="false" ht="15" hidden="false" customHeight="false" outlineLevel="0" collapsed="false">
      <c r="I1433" s="7" t="str">
        <f aca="false">IF($C1433="","",IF($C1433="G","PUTT",IF(AND($C1433="T",$M1433&gt;3),"OTT",IF($D1433&lt;=30,"ARG","APP"))))</f>
        <v/>
      </c>
      <c r="J1433" s="17" t="str">
        <f aca="false">IF($C1433="","",$N1433+$Q1433*$R1433)</f>
        <v/>
      </c>
      <c r="K1433" s="17" t="str">
        <f aca="false">IF($C1433="","",$O1433+$Q1433*$S1433)</f>
        <v/>
      </c>
      <c r="L1433" s="17" t="str">
        <f aca="false">IF($C1433="","",$J1433-$K1433-1-N($G1433))</f>
        <v/>
      </c>
      <c r="M1433" s="7" t="str">
        <f aca="false">IF($B1433="","",INDEX(Course!$B$2:$B$19,MATCH($B1433,Course!$A$2:$A$19,0)))</f>
        <v/>
      </c>
      <c r="N1433" s="17" t="str">
        <f aca="false">IF($C1433="","",IF($C1433="H",0,IF($C1433="G",INDEX(Baseline!$I$3:$I$102,MIN(MAX(ROUND($D1433,0),1),100)),IF($C1433="T",IF($M1433=3,INDEX(Baseline!$B$3:$B$122,MATCH(MIN(MAX(ROUND(($D1433)/5,0)*5,5),600),Baseline!$A$3:$A$122,0))-Inputs!$B$9,INDEX(Course!$N$2:$N$19,MATCH($B1433,Course!$A$2:$A$19,0))),INDEX(Baseline!$B$3:$E$122,MATCH(MIN(MAX(ROUND(($D1433)/5,0)*5,5),600),Baseline!$A$3:$A$122,0),MATCH($C1433,Baseline!$B$2:$E$2,0))))))</f>
        <v/>
      </c>
      <c r="O1433" s="17" t="str">
        <f aca="false">IF($C1433="","",IF($E1433="H",0,IF($E1433="G",INDEX(Baseline!$I$3:$I$102,MIN(MAX(ROUND($F1433,0),1),100)),IF($E1433="T",IF($M1433=3,INDEX(Baseline!$B$3:$B$122,MATCH(MIN(MAX(ROUND(($F1433)/5,0)*5,5),600),Baseline!$A$3:$A$122,0))-Inputs!$B$9,INDEX(Course!$N$2:$N$19,MATCH($B1433,Course!$A$2:$A$19,0))),INDEX(Baseline!$B$3:$E$122,MATCH(MIN(MAX(ROUND(($F1433)/5,0)*5,5),600),Baseline!$A$3:$A$122,0),MATCH($E1433,Baseline!$B$2:$E$2,0))))))</f>
        <v/>
      </c>
      <c r="P1433" s="17" t="str">
        <f aca="false">IF($B1433="","",INDEX(Course!$N$2:$N$19,MATCH($B1433,Course!$A$2:$A$19,0)))</f>
        <v/>
      </c>
      <c r="Q1433" s="17" t="str">
        <f aca="false">IF($B1433="","",INDEX(Course!$P$2:$P$19,MATCH($B1433,Course!$A$2:$A$19,0)))</f>
        <v/>
      </c>
      <c r="R1433" s="17" t="str">
        <f aca="false">IF($C1433="","",IF(OR($C1433="G",$C1433="H"),0,IF($C1433="T",1,MIN(1,MAX(0,($N1433-Inputs!$B$8)/MAX($P1433-Inputs!$B$8,0.01))))))</f>
        <v/>
      </c>
      <c r="S1433" s="17" t="str">
        <f aca="false">IF($C1433="","",IF(OR($E1433="G",$E1433="H"),0,IF($E1433="T",1,MIN(1,MAX(0,($O1433-Inputs!$B$8)/MAX($P1433-Inputs!$B$8,0.01))))))</f>
        <v/>
      </c>
    </row>
    <row r="1434" customFormat="false" ht="15" hidden="false" customHeight="false" outlineLevel="0" collapsed="false">
      <c r="I1434" s="7" t="str">
        <f aca="false">IF($C1434="","",IF($C1434="G","PUTT",IF(AND($C1434="T",$M1434&gt;3),"OTT",IF($D1434&lt;=30,"ARG","APP"))))</f>
        <v/>
      </c>
      <c r="J1434" s="17" t="str">
        <f aca="false">IF($C1434="","",$N1434+$Q1434*$R1434)</f>
        <v/>
      </c>
      <c r="K1434" s="17" t="str">
        <f aca="false">IF($C1434="","",$O1434+$Q1434*$S1434)</f>
        <v/>
      </c>
      <c r="L1434" s="17" t="str">
        <f aca="false">IF($C1434="","",$J1434-$K1434-1-N($G1434))</f>
        <v/>
      </c>
      <c r="M1434" s="7" t="str">
        <f aca="false">IF($B1434="","",INDEX(Course!$B$2:$B$19,MATCH($B1434,Course!$A$2:$A$19,0)))</f>
        <v/>
      </c>
      <c r="N1434" s="17" t="str">
        <f aca="false">IF($C1434="","",IF($C1434="H",0,IF($C1434="G",INDEX(Baseline!$I$3:$I$102,MIN(MAX(ROUND($D1434,0),1),100)),IF($C1434="T",IF($M1434=3,INDEX(Baseline!$B$3:$B$122,MATCH(MIN(MAX(ROUND(($D1434)/5,0)*5,5),600),Baseline!$A$3:$A$122,0))-Inputs!$B$9,INDEX(Course!$N$2:$N$19,MATCH($B1434,Course!$A$2:$A$19,0))),INDEX(Baseline!$B$3:$E$122,MATCH(MIN(MAX(ROUND(($D1434)/5,0)*5,5),600),Baseline!$A$3:$A$122,0),MATCH($C1434,Baseline!$B$2:$E$2,0))))))</f>
        <v/>
      </c>
      <c r="O1434" s="17" t="str">
        <f aca="false">IF($C1434="","",IF($E1434="H",0,IF($E1434="G",INDEX(Baseline!$I$3:$I$102,MIN(MAX(ROUND($F1434,0),1),100)),IF($E1434="T",IF($M1434=3,INDEX(Baseline!$B$3:$B$122,MATCH(MIN(MAX(ROUND(($F1434)/5,0)*5,5),600),Baseline!$A$3:$A$122,0))-Inputs!$B$9,INDEX(Course!$N$2:$N$19,MATCH($B1434,Course!$A$2:$A$19,0))),INDEX(Baseline!$B$3:$E$122,MATCH(MIN(MAX(ROUND(($F1434)/5,0)*5,5),600),Baseline!$A$3:$A$122,0),MATCH($E1434,Baseline!$B$2:$E$2,0))))))</f>
        <v/>
      </c>
      <c r="P1434" s="17" t="str">
        <f aca="false">IF($B1434="","",INDEX(Course!$N$2:$N$19,MATCH($B1434,Course!$A$2:$A$19,0)))</f>
        <v/>
      </c>
      <c r="Q1434" s="17" t="str">
        <f aca="false">IF($B1434="","",INDEX(Course!$P$2:$P$19,MATCH($B1434,Course!$A$2:$A$19,0)))</f>
        <v/>
      </c>
      <c r="R1434" s="17" t="str">
        <f aca="false">IF($C1434="","",IF(OR($C1434="G",$C1434="H"),0,IF($C1434="T",1,MIN(1,MAX(0,($N1434-Inputs!$B$8)/MAX($P1434-Inputs!$B$8,0.01))))))</f>
        <v/>
      </c>
      <c r="S1434" s="17" t="str">
        <f aca="false">IF($C1434="","",IF(OR($E1434="G",$E1434="H"),0,IF($E1434="T",1,MIN(1,MAX(0,($O1434-Inputs!$B$8)/MAX($P1434-Inputs!$B$8,0.01))))))</f>
        <v/>
      </c>
    </row>
    <row r="1435" customFormat="false" ht="15" hidden="false" customHeight="false" outlineLevel="0" collapsed="false">
      <c r="I1435" s="7" t="str">
        <f aca="false">IF($C1435="","",IF($C1435="G","PUTT",IF(AND($C1435="T",$M1435&gt;3),"OTT",IF($D1435&lt;=30,"ARG","APP"))))</f>
        <v/>
      </c>
      <c r="J1435" s="17" t="str">
        <f aca="false">IF($C1435="","",$N1435+$Q1435*$R1435)</f>
        <v/>
      </c>
      <c r="K1435" s="17" t="str">
        <f aca="false">IF($C1435="","",$O1435+$Q1435*$S1435)</f>
        <v/>
      </c>
      <c r="L1435" s="17" t="str">
        <f aca="false">IF($C1435="","",$J1435-$K1435-1-N($G1435))</f>
        <v/>
      </c>
      <c r="M1435" s="7" t="str">
        <f aca="false">IF($B1435="","",INDEX(Course!$B$2:$B$19,MATCH($B1435,Course!$A$2:$A$19,0)))</f>
        <v/>
      </c>
      <c r="N1435" s="17" t="str">
        <f aca="false">IF($C1435="","",IF($C1435="H",0,IF($C1435="G",INDEX(Baseline!$I$3:$I$102,MIN(MAX(ROUND($D1435,0),1),100)),IF($C1435="T",IF($M1435=3,INDEX(Baseline!$B$3:$B$122,MATCH(MIN(MAX(ROUND(($D1435)/5,0)*5,5),600),Baseline!$A$3:$A$122,0))-Inputs!$B$9,INDEX(Course!$N$2:$N$19,MATCH($B1435,Course!$A$2:$A$19,0))),INDEX(Baseline!$B$3:$E$122,MATCH(MIN(MAX(ROUND(($D1435)/5,0)*5,5),600),Baseline!$A$3:$A$122,0),MATCH($C1435,Baseline!$B$2:$E$2,0))))))</f>
        <v/>
      </c>
      <c r="O1435" s="17" t="str">
        <f aca="false">IF($C1435="","",IF($E1435="H",0,IF($E1435="G",INDEX(Baseline!$I$3:$I$102,MIN(MAX(ROUND($F1435,0),1),100)),IF($E1435="T",IF($M1435=3,INDEX(Baseline!$B$3:$B$122,MATCH(MIN(MAX(ROUND(($F1435)/5,0)*5,5),600),Baseline!$A$3:$A$122,0))-Inputs!$B$9,INDEX(Course!$N$2:$N$19,MATCH($B1435,Course!$A$2:$A$19,0))),INDEX(Baseline!$B$3:$E$122,MATCH(MIN(MAX(ROUND(($F1435)/5,0)*5,5),600),Baseline!$A$3:$A$122,0),MATCH($E1435,Baseline!$B$2:$E$2,0))))))</f>
        <v/>
      </c>
      <c r="P1435" s="17" t="str">
        <f aca="false">IF($B1435="","",INDEX(Course!$N$2:$N$19,MATCH($B1435,Course!$A$2:$A$19,0)))</f>
        <v/>
      </c>
      <c r="Q1435" s="17" t="str">
        <f aca="false">IF($B1435="","",INDEX(Course!$P$2:$P$19,MATCH($B1435,Course!$A$2:$A$19,0)))</f>
        <v/>
      </c>
      <c r="R1435" s="17" t="str">
        <f aca="false">IF($C1435="","",IF(OR($C1435="G",$C1435="H"),0,IF($C1435="T",1,MIN(1,MAX(0,($N1435-Inputs!$B$8)/MAX($P1435-Inputs!$B$8,0.01))))))</f>
        <v/>
      </c>
      <c r="S1435" s="17" t="str">
        <f aca="false">IF($C1435="","",IF(OR($E1435="G",$E1435="H"),0,IF($E1435="T",1,MIN(1,MAX(0,($O1435-Inputs!$B$8)/MAX($P1435-Inputs!$B$8,0.01))))))</f>
        <v/>
      </c>
    </row>
    <row r="1436" customFormat="false" ht="15" hidden="false" customHeight="false" outlineLevel="0" collapsed="false">
      <c r="I1436" s="7" t="str">
        <f aca="false">IF($C1436="","",IF($C1436="G","PUTT",IF(AND($C1436="T",$M1436&gt;3),"OTT",IF($D1436&lt;=30,"ARG","APP"))))</f>
        <v/>
      </c>
      <c r="J1436" s="17" t="str">
        <f aca="false">IF($C1436="","",$N1436+$Q1436*$R1436)</f>
        <v/>
      </c>
      <c r="K1436" s="17" t="str">
        <f aca="false">IF($C1436="","",$O1436+$Q1436*$S1436)</f>
        <v/>
      </c>
      <c r="L1436" s="17" t="str">
        <f aca="false">IF($C1436="","",$J1436-$K1436-1-N($G1436))</f>
        <v/>
      </c>
      <c r="M1436" s="7" t="str">
        <f aca="false">IF($B1436="","",INDEX(Course!$B$2:$B$19,MATCH($B1436,Course!$A$2:$A$19,0)))</f>
        <v/>
      </c>
      <c r="N1436" s="17" t="str">
        <f aca="false">IF($C1436="","",IF($C1436="H",0,IF($C1436="G",INDEX(Baseline!$I$3:$I$102,MIN(MAX(ROUND($D1436,0),1),100)),IF($C1436="T",IF($M1436=3,INDEX(Baseline!$B$3:$B$122,MATCH(MIN(MAX(ROUND(($D1436)/5,0)*5,5),600),Baseline!$A$3:$A$122,0))-Inputs!$B$9,INDEX(Course!$N$2:$N$19,MATCH($B1436,Course!$A$2:$A$19,0))),INDEX(Baseline!$B$3:$E$122,MATCH(MIN(MAX(ROUND(($D1436)/5,0)*5,5),600),Baseline!$A$3:$A$122,0),MATCH($C1436,Baseline!$B$2:$E$2,0))))))</f>
        <v/>
      </c>
      <c r="O1436" s="17" t="str">
        <f aca="false">IF($C1436="","",IF($E1436="H",0,IF($E1436="G",INDEX(Baseline!$I$3:$I$102,MIN(MAX(ROUND($F1436,0),1),100)),IF($E1436="T",IF($M1436=3,INDEX(Baseline!$B$3:$B$122,MATCH(MIN(MAX(ROUND(($F1436)/5,0)*5,5),600),Baseline!$A$3:$A$122,0))-Inputs!$B$9,INDEX(Course!$N$2:$N$19,MATCH($B1436,Course!$A$2:$A$19,0))),INDEX(Baseline!$B$3:$E$122,MATCH(MIN(MAX(ROUND(($F1436)/5,0)*5,5),600),Baseline!$A$3:$A$122,0),MATCH($E1436,Baseline!$B$2:$E$2,0))))))</f>
        <v/>
      </c>
      <c r="P1436" s="17" t="str">
        <f aca="false">IF($B1436="","",INDEX(Course!$N$2:$N$19,MATCH($B1436,Course!$A$2:$A$19,0)))</f>
        <v/>
      </c>
      <c r="Q1436" s="17" t="str">
        <f aca="false">IF($B1436="","",INDEX(Course!$P$2:$P$19,MATCH($B1436,Course!$A$2:$A$19,0)))</f>
        <v/>
      </c>
      <c r="R1436" s="17" t="str">
        <f aca="false">IF($C1436="","",IF(OR($C1436="G",$C1436="H"),0,IF($C1436="T",1,MIN(1,MAX(0,($N1436-Inputs!$B$8)/MAX($P1436-Inputs!$B$8,0.01))))))</f>
        <v/>
      </c>
      <c r="S1436" s="17" t="str">
        <f aca="false">IF($C1436="","",IF(OR($E1436="G",$E1436="H"),0,IF($E1436="T",1,MIN(1,MAX(0,($O1436-Inputs!$B$8)/MAX($P1436-Inputs!$B$8,0.01))))))</f>
        <v/>
      </c>
    </row>
    <row r="1437" customFormat="false" ht="15" hidden="false" customHeight="false" outlineLevel="0" collapsed="false">
      <c r="I1437" s="7" t="str">
        <f aca="false">IF($C1437="","",IF($C1437="G","PUTT",IF(AND($C1437="T",$M1437&gt;3),"OTT",IF($D1437&lt;=30,"ARG","APP"))))</f>
        <v/>
      </c>
      <c r="J1437" s="17" t="str">
        <f aca="false">IF($C1437="","",$N1437+$Q1437*$R1437)</f>
        <v/>
      </c>
      <c r="K1437" s="17" t="str">
        <f aca="false">IF($C1437="","",$O1437+$Q1437*$S1437)</f>
        <v/>
      </c>
      <c r="L1437" s="17" t="str">
        <f aca="false">IF($C1437="","",$J1437-$K1437-1-N($G1437))</f>
        <v/>
      </c>
      <c r="M1437" s="7" t="str">
        <f aca="false">IF($B1437="","",INDEX(Course!$B$2:$B$19,MATCH($B1437,Course!$A$2:$A$19,0)))</f>
        <v/>
      </c>
      <c r="N1437" s="17" t="str">
        <f aca="false">IF($C1437="","",IF($C1437="H",0,IF($C1437="G",INDEX(Baseline!$I$3:$I$102,MIN(MAX(ROUND($D1437,0),1),100)),IF($C1437="T",IF($M1437=3,INDEX(Baseline!$B$3:$B$122,MATCH(MIN(MAX(ROUND(($D1437)/5,0)*5,5),600),Baseline!$A$3:$A$122,0))-Inputs!$B$9,INDEX(Course!$N$2:$N$19,MATCH($B1437,Course!$A$2:$A$19,0))),INDEX(Baseline!$B$3:$E$122,MATCH(MIN(MAX(ROUND(($D1437)/5,0)*5,5),600),Baseline!$A$3:$A$122,0),MATCH($C1437,Baseline!$B$2:$E$2,0))))))</f>
        <v/>
      </c>
      <c r="O1437" s="17" t="str">
        <f aca="false">IF($C1437="","",IF($E1437="H",0,IF($E1437="G",INDEX(Baseline!$I$3:$I$102,MIN(MAX(ROUND($F1437,0),1),100)),IF($E1437="T",IF($M1437=3,INDEX(Baseline!$B$3:$B$122,MATCH(MIN(MAX(ROUND(($F1437)/5,0)*5,5),600),Baseline!$A$3:$A$122,0))-Inputs!$B$9,INDEX(Course!$N$2:$N$19,MATCH($B1437,Course!$A$2:$A$19,0))),INDEX(Baseline!$B$3:$E$122,MATCH(MIN(MAX(ROUND(($F1437)/5,0)*5,5),600),Baseline!$A$3:$A$122,0),MATCH($E1437,Baseline!$B$2:$E$2,0))))))</f>
        <v/>
      </c>
      <c r="P1437" s="17" t="str">
        <f aca="false">IF($B1437="","",INDEX(Course!$N$2:$N$19,MATCH($B1437,Course!$A$2:$A$19,0)))</f>
        <v/>
      </c>
      <c r="Q1437" s="17" t="str">
        <f aca="false">IF($B1437="","",INDEX(Course!$P$2:$P$19,MATCH($B1437,Course!$A$2:$A$19,0)))</f>
        <v/>
      </c>
      <c r="R1437" s="17" t="str">
        <f aca="false">IF($C1437="","",IF(OR($C1437="G",$C1437="H"),0,IF($C1437="T",1,MIN(1,MAX(0,($N1437-Inputs!$B$8)/MAX($P1437-Inputs!$B$8,0.01))))))</f>
        <v/>
      </c>
      <c r="S1437" s="17" t="str">
        <f aca="false">IF($C1437="","",IF(OR($E1437="G",$E1437="H"),0,IF($E1437="T",1,MIN(1,MAX(0,($O1437-Inputs!$B$8)/MAX($P1437-Inputs!$B$8,0.01))))))</f>
        <v/>
      </c>
    </row>
    <row r="1438" customFormat="false" ht="15" hidden="false" customHeight="false" outlineLevel="0" collapsed="false">
      <c r="I1438" s="7" t="str">
        <f aca="false">IF($C1438="","",IF($C1438="G","PUTT",IF(AND($C1438="T",$M1438&gt;3),"OTT",IF($D1438&lt;=30,"ARG","APP"))))</f>
        <v/>
      </c>
      <c r="J1438" s="17" t="str">
        <f aca="false">IF($C1438="","",$N1438+$Q1438*$R1438)</f>
        <v/>
      </c>
      <c r="K1438" s="17" t="str">
        <f aca="false">IF($C1438="","",$O1438+$Q1438*$S1438)</f>
        <v/>
      </c>
      <c r="L1438" s="17" t="str">
        <f aca="false">IF($C1438="","",$J1438-$K1438-1-N($G1438))</f>
        <v/>
      </c>
      <c r="M1438" s="7" t="str">
        <f aca="false">IF($B1438="","",INDEX(Course!$B$2:$B$19,MATCH($B1438,Course!$A$2:$A$19,0)))</f>
        <v/>
      </c>
      <c r="N1438" s="17" t="str">
        <f aca="false">IF($C1438="","",IF($C1438="H",0,IF($C1438="G",INDEX(Baseline!$I$3:$I$102,MIN(MAX(ROUND($D1438,0),1),100)),IF($C1438="T",IF($M1438=3,INDEX(Baseline!$B$3:$B$122,MATCH(MIN(MAX(ROUND(($D1438)/5,0)*5,5),600),Baseline!$A$3:$A$122,0))-Inputs!$B$9,INDEX(Course!$N$2:$N$19,MATCH($B1438,Course!$A$2:$A$19,0))),INDEX(Baseline!$B$3:$E$122,MATCH(MIN(MAX(ROUND(($D1438)/5,0)*5,5),600),Baseline!$A$3:$A$122,0),MATCH($C1438,Baseline!$B$2:$E$2,0))))))</f>
        <v/>
      </c>
      <c r="O1438" s="17" t="str">
        <f aca="false">IF($C1438="","",IF($E1438="H",0,IF($E1438="G",INDEX(Baseline!$I$3:$I$102,MIN(MAX(ROUND($F1438,0),1),100)),IF($E1438="T",IF($M1438=3,INDEX(Baseline!$B$3:$B$122,MATCH(MIN(MAX(ROUND(($F1438)/5,0)*5,5),600),Baseline!$A$3:$A$122,0))-Inputs!$B$9,INDEX(Course!$N$2:$N$19,MATCH($B1438,Course!$A$2:$A$19,0))),INDEX(Baseline!$B$3:$E$122,MATCH(MIN(MAX(ROUND(($F1438)/5,0)*5,5),600),Baseline!$A$3:$A$122,0),MATCH($E1438,Baseline!$B$2:$E$2,0))))))</f>
        <v/>
      </c>
      <c r="P1438" s="17" t="str">
        <f aca="false">IF($B1438="","",INDEX(Course!$N$2:$N$19,MATCH($B1438,Course!$A$2:$A$19,0)))</f>
        <v/>
      </c>
      <c r="Q1438" s="17" t="str">
        <f aca="false">IF($B1438="","",INDEX(Course!$P$2:$P$19,MATCH($B1438,Course!$A$2:$A$19,0)))</f>
        <v/>
      </c>
      <c r="R1438" s="17" t="str">
        <f aca="false">IF($C1438="","",IF(OR($C1438="G",$C1438="H"),0,IF($C1438="T",1,MIN(1,MAX(0,($N1438-Inputs!$B$8)/MAX($P1438-Inputs!$B$8,0.01))))))</f>
        <v/>
      </c>
      <c r="S1438" s="17" t="str">
        <f aca="false">IF($C1438="","",IF(OR($E1438="G",$E1438="H"),0,IF($E1438="T",1,MIN(1,MAX(0,($O1438-Inputs!$B$8)/MAX($P1438-Inputs!$B$8,0.01))))))</f>
        <v/>
      </c>
    </row>
    <row r="1439" customFormat="false" ht="15" hidden="false" customHeight="false" outlineLevel="0" collapsed="false">
      <c r="I1439" s="7" t="str">
        <f aca="false">IF($C1439="","",IF($C1439="G","PUTT",IF(AND($C1439="T",$M1439&gt;3),"OTT",IF($D1439&lt;=30,"ARG","APP"))))</f>
        <v/>
      </c>
      <c r="J1439" s="17" t="str">
        <f aca="false">IF($C1439="","",$N1439+$Q1439*$R1439)</f>
        <v/>
      </c>
      <c r="K1439" s="17" t="str">
        <f aca="false">IF($C1439="","",$O1439+$Q1439*$S1439)</f>
        <v/>
      </c>
      <c r="L1439" s="17" t="str">
        <f aca="false">IF($C1439="","",$J1439-$K1439-1-N($G1439))</f>
        <v/>
      </c>
      <c r="M1439" s="7" t="str">
        <f aca="false">IF($B1439="","",INDEX(Course!$B$2:$B$19,MATCH($B1439,Course!$A$2:$A$19,0)))</f>
        <v/>
      </c>
      <c r="N1439" s="17" t="str">
        <f aca="false">IF($C1439="","",IF($C1439="H",0,IF($C1439="G",INDEX(Baseline!$I$3:$I$102,MIN(MAX(ROUND($D1439,0),1),100)),IF($C1439="T",IF($M1439=3,INDEX(Baseline!$B$3:$B$122,MATCH(MIN(MAX(ROUND(($D1439)/5,0)*5,5),600),Baseline!$A$3:$A$122,0))-Inputs!$B$9,INDEX(Course!$N$2:$N$19,MATCH($B1439,Course!$A$2:$A$19,0))),INDEX(Baseline!$B$3:$E$122,MATCH(MIN(MAX(ROUND(($D1439)/5,0)*5,5),600),Baseline!$A$3:$A$122,0),MATCH($C1439,Baseline!$B$2:$E$2,0))))))</f>
        <v/>
      </c>
      <c r="O1439" s="17" t="str">
        <f aca="false">IF($C1439="","",IF($E1439="H",0,IF($E1439="G",INDEX(Baseline!$I$3:$I$102,MIN(MAX(ROUND($F1439,0),1),100)),IF($E1439="T",IF($M1439=3,INDEX(Baseline!$B$3:$B$122,MATCH(MIN(MAX(ROUND(($F1439)/5,0)*5,5),600),Baseline!$A$3:$A$122,0))-Inputs!$B$9,INDEX(Course!$N$2:$N$19,MATCH($B1439,Course!$A$2:$A$19,0))),INDEX(Baseline!$B$3:$E$122,MATCH(MIN(MAX(ROUND(($F1439)/5,0)*5,5),600),Baseline!$A$3:$A$122,0),MATCH($E1439,Baseline!$B$2:$E$2,0))))))</f>
        <v/>
      </c>
      <c r="P1439" s="17" t="str">
        <f aca="false">IF($B1439="","",INDEX(Course!$N$2:$N$19,MATCH($B1439,Course!$A$2:$A$19,0)))</f>
        <v/>
      </c>
      <c r="Q1439" s="17" t="str">
        <f aca="false">IF($B1439="","",INDEX(Course!$P$2:$P$19,MATCH($B1439,Course!$A$2:$A$19,0)))</f>
        <v/>
      </c>
      <c r="R1439" s="17" t="str">
        <f aca="false">IF($C1439="","",IF(OR($C1439="G",$C1439="H"),0,IF($C1439="T",1,MIN(1,MAX(0,($N1439-Inputs!$B$8)/MAX($P1439-Inputs!$B$8,0.01))))))</f>
        <v/>
      </c>
      <c r="S1439" s="17" t="str">
        <f aca="false">IF($C1439="","",IF(OR($E1439="G",$E1439="H"),0,IF($E1439="T",1,MIN(1,MAX(0,($O1439-Inputs!$B$8)/MAX($P1439-Inputs!$B$8,0.01))))))</f>
        <v/>
      </c>
    </row>
    <row r="1440" customFormat="false" ht="15" hidden="false" customHeight="false" outlineLevel="0" collapsed="false">
      <c r="I1440" s="7" t="str">
        <f aca="false">IF($C1440="","",IF($C1440="G","PUTT",IF(AND($C1440="T",$M1440&gt;3),"OTT",IF($D1440&lt;=30,"ARG","APP"))))</f>
        <v/>
      </c>
      <c r="J1440" s="17" t="str">
        <f aca="false">IF($C1440="","",$N1440+$Q1440*$R1440)</f>
        <v/>
      </c>
      <c r="K1440" s="17" t="str">
        <f aca="false">IF($C1440="","",$O1440+$Q1440*$S1440)</f>
        <v/>
      </c>
      <c r="L1440" s="17" t="str">
        <f aca="false">IF($C1440="","",$J1440-$K1440-1-N($G1440))</f>
        <v/>
      </c>
      <c r="M1440" s="7" t="str">
        <f aca="false">IF($B1440="","",INDEX(Course!$B$2:$B$19,MATCH($B1440,Course!$A$2:$A$19,0)))</f>
        <v/>
      </c>
      <c r="N1440" s="17" t="str">
        <f aca="false">IF($C1440="","",IF($C1440="H",0,IF($C1440="G",INDEX(Baseline!$I$3:$I$102,MIN(MAX(ROUND($D1440,0),1),100)),IF($C1440="T",IF($M1440=3,INDEX(Baseline!$B$3:$B$122,MATCH(MIN(MAX(ROUND(($D1440)/5,0)*5,5),600),Baseline!$A$3:$A$122,0))-Inputs!$B$9,INDEX(Course!$N$2:$N$19,MATCH($B1440,Course!$A$2:$A$19,0))),INDEX(Baseline!$B$3:$E$122,MATCH(MIN(MAX(ROUND(($D1440)/5,0)*5,5),600),Baseline!$A$3:$A$122,0),MATCH($C1440,Baseline!$B$2:$E$2,0))))))</f>
        <v/>
      </c>
      <c r="O1440" s="17" t="str">
        <f aca="false">IF($C1440="","",IF($E1440="H",0,IF($E1440="G",INDEX(Baseline!$I$3:$I$102,MIN(MAX(ROUND($F1440,0),1),100)),IF($E1440="T",IF($M1440=3,INDEX(Baseline!$B$3:$B$122,MATCH(MIN(MAX(ROUND(($F1440)/5,0)*5,5),600),Baseline!$A$3:$A$122,0))-Inputs!$B$9,INDEX(Course!$N$2:$N$19,MATCH($B1440,Course!$A$2:$A$19,0))),INDEX(Baseline!$B$3:$E$122,MATCH(MIN(MAX(ROUND(($F1440)/5,0)*5,5),600),Baseline!$A$3:$A$122,0),MATCH($E1440,Baseline!$B$2:$E$2,0))))))</f>
        <v/>
      </c>
      <c r="P1440" s="17" t="str">
        <f aca="false">IF($B1440="","",INDEX(Course!$N$2:$N$19,MATCH($B1440,Course!$A$2:$A$19,0)))</f>
        <v/>
      </c>
      <c r="Q1440" s="17" t="str">
        <f aca="false">IF($B1440="","",INDEX(Course!$P$2:$P$19,MATCH($B1440,Course!$A$2:$A$19,0)))</f>
        <v/>
      </c>
      <c r="R1440" s="17" t="str">
        <f aca="false">IF($C1440="","",IF(OR($C1440="G",$C1440="H"),0,IF($C1440="T",1,MIN(1,MAX(0,($N1440-Inputs!$B$8)/MAX($P1440-Inputs!$B$8,0.01))))))</f>
        <v/>
      </c>
      <c r="S1440" s="17" t="str">
        <f aca="false">IF($C1440="","",IF(OR($E1440="G",$E1440="H"),0,IF($E1440="T",1,MIN(1,MAX(0,($O1440-Inputs!$B$8)/MAX($P1440-Inputs!$B$8,0.01))))))</f>
        <v/>
      </c>
    </row>
    <row r="1441" customFormat="false" ht="15" hidden="false" customHeight="false" outlineLevel="0" collapsed="false">
      <c r="I1441" s="7" t="str">
        <f aca="false">IF($C1441="","",IF($C1441="G","PUTT",IF(AND($C1441="T",$M1441&gt;3),"OTT",IF($D1441&lt;=30,"ARG","APP"))))</f>
        <v/>
      </c>
      <c r="J1441" s="17" t="str">
        <f aca="false">IF($C1441="","",$N1441+$Q1441*$R1441)</f>
        <v/>
      </c>
      <c r="K1441" s="17" t="str">
        <f aca="false">IF($C1441="","",$O1441+$Q1441*$S1441)</f>
        <v/>
      </c>
      <c r="L1441" s="17" t="str">
        <f aca="false">IF($C1441="","",$J1441-$K1441-1-N($G1441))</f>
        <v/>
      </c>
      <c r="M1441" s="7" t="str">
        <f aca="false">IF($B1441="","",INDEX(Course!$B$2:$B$19,MATCH($B1441,Course!$A$2:$A$19,0)))</f>
        <v/>
      </c>
      <c r="N1441" s="17" t="str">
        <f aca="false">IF($C1441="","",IF($C1441="H",0,IF($C1441="G",INDEX(Baseline!$I$3:$I$102,MIN(MAX(ROUND($D1441,0),1),100)),IF($C1441="T",IF($M1441=3,INDEX(Baseline!$B$3:$B$122,MATCH(MIN(MAX(ROUND(($D1441)/5,0)*5,5),600),Baseline!$A$3:$A$122,0))-Inputs!$B$9,INDEX(Course!$N$2:$N$19,MATCH($B1441,Course!$A$2:$A$19,0))),INDEX(Baseline!$B$3:$E$122,MATCH(MIN(MAX(ROUND(($D1441)/5,0)*5,5),600),Baseline!$A$3:$A$122,0),MATCH($C1441,Baseline!$B$2:$E$2,0))))))</f>
        <v/>
      </c>
      <c r="O1441" s="17" t="str">
        <f aca="false">IF($C1441="","",IF($E1441="H",0,IF($E1441="G",INDEX(Baseline!$I$3:$I$102,MIN(MAX(ROUND($F1441,0),1),100)),IF($E1441="T",IF($M1441=3,INDEX(Baseline!$B$3:$B$122,MATCH(MIN(MAX(ROUND(($F1441)/5,0)*5,5),600),Baseline!$A$3:$A$122,0))-Inputs!$B$9,INDEX(Course!$N$2:$N$19,MATCH($B1441,Course!$A$2:$A$19,0))),INDEX(Baseline!$B$3:$E$122,MATCH(MIN(MAX(ROUND(($F1441)/5,0)*5,5),600),Baseline!$A$3:$A$122,0),MATCH($E1441,Baseline!$B$2:$E$2,0))))))</f>
        <v/>
      </c>
      <c r="P1441" s="17" t="str">
        <f aca="false">IF($B1441="","",INDEX(Course!$N$2:$N$19,MATCH($B1441,Course!$A$2:$A$19,0)))</f>
        <v/>
      </c>
      <c r="Q1441" s="17" t="str">
        <f aca="false">IF($B1441="","",INDEX(Course!$P$2:$P$19,MATCH($B1441,Course!$A$2:$A$19,0)))</f>
        <v/>
      </c>
      <c r="R1441" s="17" t="str">
        <f aca="false">IF($C1441="","",IF(OR($C1441="G",$C1441="H"),0,IF($C1441="T",1,MIN(1,MAX(0,($N1441-Inputs!$B$8)/MAX($P1441-Inputs!$B$8,0.01))))))</f>
        <v/>
      </c>
      <c r="S1441" s="17" t="str">
        <f aca="false">IF($C1441="","",IF(OR($E1441="G",$E1441="H"),0,IF($E1441="T",1,MIN(1,MAX(0,($O1441-Inputs!$B$8)/MAX($P1441-Inputs!$B$8,0.01))))))</f>
        <v/>
      </c>
    </row>
    <row r="1442" customFormat="false" ht="15" hidden="false" customHeight="false" outlineLevel="0" collapsed="false">
      <c r="I1442" s="7" t="str">
        <f aca="false">IF($C1442="","",IF($C1442="G","PUTT",IF(AND($C1442="T",$M1442&gt;3),"OTT",IF($D1442&lt;=30,"ARG","APP"))))</f>
        <v/>
      </c>
      <c r="J1442" s="17" t="str">
        <f aca="false">IF($C1442="","",$N1442+$Q1442*$R1442)</f>
        <v/>
      </c>
      <c r="K1442" s="17" t="str">
        <f aca="false">IF($C1442="","",$O1442+$Q1442*$S1442)</f>
        <v/>
      </c>
      <c r="L1442" s="17" t="str">
        <f aca="false">IF($C1442="","",$J1442-$K1442-1-N($G1442))</f>
        <v/>
      </c>
      <c r="M1442" s="7" t="str">
        <f aca="false">IF($B1442="","",INDEX(Course!$B$2:$B$19,MATCH($B1442,Course!$A$2:$A$19,0)))</f>
        <v/>
      </c>
      <c r="N1442" s="17" t="str">
        <f aca="false">IF($C1442="","",IF($C1442="H",0,IF($C1442="G",INDEX(Baseline!$I$3:$I$102,MIN(MAX(ROUND($D1442,0),1),100)),IF($C1442="T",IF($M1442=3,INDEX(Baseline!$B$3:$B$122,MATCH(MIN(MAX(ROUND(($D1442)/5,0)*5,5),600),Baseline!$A$3:$A$122,0))-Inputs!$B$9,INDEX(Course!$N$2:$N$19,MATCH($B1442,Course!$A$2:$A$19,0))),INDEX(Baseline!$B$3:$E$122,MATCH(MIN(MAX(ROUND(($D1442)/5,0)*5,5),600),Baseline!$A$3:$A$122,0),MATCH($C1442,Baseline!$B$2:$E$2,0))))))</f>
        <v/>
      </c>
      <c r="O1442" s="17" t="str">
        <f aca="false">IF($C1442="","",IF($E1442="H",0,IF($E1442="G",INDEX(Baseline!$I$3:$I$102,MIN(MAX(ROUND($F1442,0),1),100)),IF($E1442="T",IF($M1442=3,INDEX(Baseline!$B$3:$B$122,MATCH(MIN(MAX(ROUND(($F1442)/5,0)*5,5),600),Baseline!$A$3:$A$122,0))-Inputs!$B$9,INDEX(Course!$N$2:$N$19,MATCH($B1442,Course!$A$2:$A$19,0))),INDEX(Baseline!$B$3:$E$122,MATCH(MIN(MAX(ROUND(($F1442)/5,0)*5,5),600),Baseline!$A$3:$A$122,0),MATCH($E1442,Baseline!$B$2:$E$2,0))))))</f>
        <v/>
      </c>
      <c r="P1442" s="17" t="str">
        <f aca="false">IF($B1442="","",INDEX(Course!$N$2:$N$19,MATCH($B1442,Course!$A$2:$A$19,0)))</f>
        <v/>
      </c>
      <c r="Q1442" s="17" t="str">
        <f aca="false">IF($B1442="","",INDEX(Course!$P$2:$P$19,MATCH($B1442,Course!$A$2:$A$19,0)))</f>
        <v/>
      </c>
      <c r="R1442" s="17" t="str">
        <f aca="false">IF($C1442="","",IF(OR($C1442="G",$C1442="H"),0,IF($C1442="T",1,MIN(1,MAX(0,($N1442-Inputs!$B$8)/MAX($P1442-Inputs!$B$8,0.01))))))</f>
        <v/>
      </c>
      <c r="S1442" s="17" t="str">
        <f aca="false">IF($C1442="","",IF(OR($E1442="G",$E1442="H"),0,IF($E1442="T",1,MIN(1,MAX(0,($O1442-Inputs!$B$8)/MAX($P1442-Inputs!$B$8,0.01))))))</f>
        <v/>
      </c>
    </row>
    <row r="1443" customFormat="false" ht="15" hidden="false" customHeight="false" outlineLevel="0" collapsed="false">
      <c r="I1443" s="7" t="str">
        <f aca="false">IF($C1443="","",IF($C1443="G","PUTT",IF(AND($C1443="T",$M1443&gt;3),"OTT",IF($D1443&lt;=30,"ARG","APP"))))</f>
        <v/>
      </c>
      <c r="J1443" s="17" t="str">
        <f aca="false">IF($C1443="","",$N1443+$Q1443*$R1443)</f>
        <v/>
      </c>
      <c r="K1443" s="17" t="str">
        <f aca="false">IF($C1443="","",$O1443+$Q1443*$S1443)</f>
        <v/>
      </c>
      <c r="L1443" s="17" t="str">
        <f aca="false">IF($C1443="","",$J1443-$K1443-1-N($G1443))</f>
        <v/>
      </c>
      <c r="M1443" s="7" t="str">
        <f aca="false">IF($B1443="","",INDEX(Course!$B$2:$B$19,MATCH($B1443,Course!$A$2:$A$19,0)))</f>
        <v/>
      </c>
      <c r="N1443" s="17" t="str">
        <f aca="false">IF($C1443="","",IF($C1443="H",0,IF($C1443="G",INDEX(Baseline!$I$3:$I$102,MIN(MAX(ROUND($D1443,0),1),100)),IF($C1443="T",IF($M1443=3,INDEX(Baseline!$B$3:$B$122,MATCH(MIN(MAX(ROUND(($D1443)/5,0)*5,5),600),Baseline!$A$3:$A$122,0))-Inputs!$B$9,INDEX(Course!$N$2:$N$19,MATCH($B1443,Course!$A$2:$A$19,0))),INDEX(Baseline!$B$3:$E$122,MATCH(MIN(MAX(ROUND(($D1443)/5,0)*5,5),600),Baseline!$A$3:$A$122,0),MATCH($C1443,Baseline!$B$2:$E$2,0))))))</f>
        <v/>
      </c>
      <c r="O1443" s="17" t="str">
        <f aca="false">IF($C1443="","",IF($E1443="H",0,IF($E1443="G",INDEX(Baseline!$I$3:$I$102,MIN(MAX(ROUND($F1443,0),1),100)),IF($E1443="T",IF($M1443=3,INDEX(Baseline!$B$3:$B$122,MATCH(MIN(MAX(ROUND(($F1443)/5,0)*5,5),600),Baseline!$A$3:$A$122,0))-Inputs!$B$9,INDEX(Course!$N$2:$N$19,MATCH($B1443,Course!$A$2:$A$19,0))),INDEX(Baseline!$B$3:$E$122,MATCH(MIN(MAX(ROUND(($F1443)/5,0)*5,5),600),Baseline!$A$3:$A$122,0),MATCH($E1443,Baseline!$B$2:$E$2,0))))))</f>
        <v/>
      </c>
      <c r="P1443" s="17" t="str">
        <f aca="false">IF($B1443="","",INDEX(Course!$N$2:$N$19,MATCH($B1443,Course!$A$2:$A$19,0)))</f>
        <v/>
      </c>
      <c r="Q1443" s="17" t="str">
        <f aca="false">IF($B1443="","",INDEX(Course!$P$2:$P$19,MATCH($B1443,Course!$A$2:$A$19,0)))</f>
        <v/>
      </c>
      <c r="R1443" s="17" t="str">
        <f aca="false">IF($C1443="","",IF(OR($C1443="G",$C1443="H"),0,IF($C1443="T",1,MIN(1,MAX(0,($N1443-Inputs!$B$8)/MAX($P1443-Inputs!$B$8,0.01))))))</f>
        <v/>
      </c>
      <c r="S1443" s="17" t="str">
        <f aca="false">IF($C1443="","",IF(OR($E1443="G",$E1443="H"),0,IF($E1443="T",1,MIN(1,MAX(0,($O1443-Inputs!$B$8)/MAX($P1443-Inputs!$B$8,0.01))))))</f>
        <v/>
      </c>
    </row>
    <row r="1444" customFormat="false" ht="15" hidden="false" customHeight="false" outlineLevel="0" collapsed="false">
      <c r="I1444" s="7" t="str">
        <f aca="false">IF($C1444="","",IF($C1444="G","PUTT",IF(AND($C1444="T",$M1444&gt;3),"OTT",IF($D1444&lt;=30,"ARG","APP"))))</f>
        <v/>
      </c>
      <c r="J1444" s="17" t="str">
        <f aca="false">IF($C1444="","",$N1444+$Q1444*$R1444)</f>
        <v/>
      </c>
      <c r="K1444" s="17" t="str">
        <f aca="false">IF($C1444="","",$O1444+$Q1444*$S1444)</f>
        <v/>
      </c>
      <c r="L1444" s="17" t="str">
        <f aca="false">IF($C1444="","",$J1444-$K1444-1-N($G1444))</f>
        <v/>
      </c>
      <c r="M1444" s="7" t="str">
        <f aca="false">IF($B1444="","",INDEX(Course!$B$2:$B$19,MATCH($B1444,Course!$A$2:$A$19,0)))</f>
        <v/>
      </c>
      <c r="N1444" s="17" t="str">
        <f aca="false">IF($C1444="","",IF($C1444="H",0,IF($C1444="G",INDEX(Baseline!$I$3:$I$102,MIN(MAX(ROUND($D1444,0),1),100)),IF($C1444="T",IF($M1444=3,INDEX(Baseline!$B$3:$B$122,MATCH(MIN(MAX(ROUND(($D1444)/5,0)*5,5),600),Baseline!$A$3:$A$122,0))-Inputs!$B$9,INDEX(Course!$N$2:$N$19,MATCH($B1444,Course!$A$2:$A$19,0))),INDEX(Baseline!$B$3:$E$122,MATCH(MIN(MAX(ROUND(($D1444)/5,0)*5,5),600),Baseline!$A$3:$A$122,0),MATCH($C1444,Baseline!$B$2:$E$2,0))))))</f>
        <v/>
      </c>
      <c r="O1444" s="17" t="str">
        <f aca="false">IF($C1444="","",IF($E1444="H",0,IF($E1444="G",INDEX(Baseline!$I$3:$I$102,MIN(MAX(ROUND($F1444,0),1),100)),IF($E1444="T",IF($M1444=3,INDEX(Baseline!$B$3:$B$122,MATCH(MIN(MAX(ROUND(($F1444)/5,0)*5,5),600),Baseline!$A$3:$A$122,0))-Inputs!$B$9,INDEX(Course!$N$2:$N$19,MATCH($B1444,Course!$A$2:$A$19,0))),INDEX(Baseline!$B$3:$E$122,MATCH(MIN(MAX(ROUND(($F1444)/5,0)*5,5),600),Baseline!$A$3:$A$122,0),MATCH($E1444,Baseline!$B$2:$E$2,0))))))</f>
        <v/>
      </c>
      <c r="P1444" s="17" t="str">
        <f aca="false">IF($B1444="","",INDEX(Course!$N$2:$N$19,MATCH($B1444,Course!$A$2:$A$19,0)))</f>
        <v/>
      </c>
      <c r="Q1444" s="17" t="str">
        <f aca="false">IF($B1444="","",INDEX(Course!$P$2:$P$19,MATCH($B1444,Course!$A$2:$A$19,0)))</f>
        <v/>
      </c>
      <c r="R1444" s="17" t="str">
        <f aca="false">IF($C1444="","",IF(OR($C1444="G",$C1444="H"),0,IF($C1444="T",1,MIN(1,MAX(0,($N1444-Inputs!$B$8)/MAX($P1444-Inputs!$B$8,0.01))))))</f>
        <v/>
      </c>
      <c r="S1444" s="17" t="str">
        <f aca="false">IF($C1444="","",IF(OR($E1444="G",$E1444="H"),0,IF($E1444="T",1,MIN(1,MAX(0,($O1444-Inputs!$B$8)/MAX($P1444-Inputs!$B$8,0.01))))))</f>
        <v/>
      </c>
    </row>
    <row r="1445" customFormat="false" ht="15" hidden="false" customHeight="false" outlineLevel="0" collapsed="false">
      <c r="I1445" s="7" t="str">
        <f aca="false">IF($C1445="","",IF($C1445="G","PUTT",IF(AND($C1445="T",$M1445&gt;3),"OTT",IF($D1445&lt;=30,"ARG","APP"))))</f>
        <v/>
      </c>
      <c r="J1445" s="17" t="str">
        <f aca="false">IF($C1445="","",$N1445+$Q1445*$R1445)</f>
        <v/>
      </c>
      <c r="K1445" s="17" t="str">
        <f aca="false">IF($C1445="","",$O1445+$Q1445*$S1445)</f>
        <v/>
      </c>
      <c r="L1445" s="17" t="str">
        <f aca="false">IF($C1445="","",$J1445-$K1445-1-N($G1445))</f>
        <v/>
      </c>
      <c r="M1445" s="7" t="str">
        <f aca="false">IF($B1445="","",INDEX(Course!$B$2:$B$19,MATCH($B1445,Course!$A$2:$A$19,0)))</f>
        <v/>
      </c>
      <c r="N1445" s="17" t="str">
        <f aca="false">IF($C1445="","",IF($C1445="H",0,IF($C1445="G",INDEX(Baseline!$I$3:$I$102,MIN(MAX(ROUND($D1445,0),1),100)),IF($C1445="T",IF($M1445=3,INDEX(Baseline!$B$3:$B$122,MATCH(MIN(MAX(ROUND(($D1445)/5,0)*5,5),600),Baseline!$A$3:$A$122,0))-Inputs!$B$9,INDEX(Course!$N$2:$N$19,MATCH($B1445,Course!$A$2:$A$19,0))),INDEX(Baseline!$B$3:$E$122,MATCH(MIN(MAX(ROUND(($D1445)/5,0)*5,5),600),Baseline!$A$3:$A$122,0),MATCH($C1445,Baseline!$B$2:$E$2,0))))))</f>
        <v/>
      </c>
      <c r="O1445" s="17" t="str">
        <f aca="false">IF($C1445="","",IF($E1445="H",0,IF($E1445="G",INDEX(Baseline!$I$3:$I$102,MIN(MAX(ROUND($F1445,0),1),100)),IF($E1445="T",IF($M1445=3,INDEX(Baseline!$B$3:$B$122,MATCH(MIN(MAX(ROUND(($F1445)/5,0)*5,5),600),Baseline!$A$3:$A$122,0))-Inputs!$B$9,INDEX(Course!$N$2:$N$19,MATCH($B1445,Course!$A$2:$A$19,0))),INDEX(Baseline!$B$3:$E$122,MATCH(MIN(MAX(ROUND(($F1445)/5,0)*5,5),600),Baseline!$A$3:$A$122,0),MATCH($E1445,Baseline!$B$2:$E$2,0))))))</f>
        <v/>
      </c>
      <c r="P1445" s="17" t="str">
        <f aca="false">IF($B1445="","",INDEX(Course!$N$2:$N$19,MATCH($B1445,Course!$A$2:$A$19,0)))</f>
        <v/>
      </c>
      <c r="Q1445" s="17" t="str">
        <f aca="false">IF($B1445="","",INDEX(Course!$P$2:$P$19,MATCH($B1445,Course!$A$2:$A$19,0)))</f>
        <v/>
      </c>
      <c r="R1445" s="17" t="str">
        <f aca="false">IF($C1445="","",IF(OR($C1445="G",$C1445="H"),0,IF($C1445="T",1,MIN(1,MAX(0,($N1445-Inputs!$B$8)/MAX($P1445-Inputs!$B$8,0.01))))))</f>
        <v/>
      </c>
      <c r="S1445" s="17" t="str">
        <f aca="false">IF($C1445="","",IF(OR($E1445="G",$E1445="H"),0,IF($E1445="T",1,MIN(1,MAX(0,($O1445-Inputs!$B$8)/MAX($P1445-Inputs!$B$8,0.01))))))</f>
        <v/>
      </c>
    </row>
    <row r="1446" customFormat="false" ht="15" hidden="false" customHeight="false" outlineLevel="0" collapsed="false">
      <c r="I1446" s="7" t="str">
        <f aca="false">IF($C1446="","",IF($C1446="G","PUTT",IF(AND($C1446="T",$M1446&gt;3),"OTT",IF($D1446&lt;=30,"ARG","APP"))))</f>
        <v/>
      </c>
      <c r="J1446" s="17" t="str">
        <f aca="false">IF($C1446="","",$N1446+$Q1446*$R1446)</f>
        <v/>
      </c>
      <c r="K1446" s="17" t="str">
        <f aca="false">IF($C1446="","",$O1446+$Q1446*$S1446)</f>
        <v/>
      </c>
      <c r="L1446" s="17" t="str">
        <f aca="false">IF($C1446="","",$J1446-$K1446-1-N($G1446))</f>
        <v/>
      </c>
      <c r="M1446" s="7" t="str">
        <f aca="false">IF($B1446="","",INDEX(Course!$B$2:$B$19,MATCH($B1446,Course!$A$2:$A$19,0)))</f>
        <v/>
      </c>
      <c r="N1446" s="17" t="str">
        <f aca="false">IF($C1446="","",IF($C1446="H",0,IF($C1446="G",INDEX(Baseline!$I$3:$I$102,MIN(MAX(ROUND($D1446,0),1),100)),IF($C1446="T",IF($M1446=3,INDEX(Baseline!$B$3:$B$122,MATCH(MIN(MAX(ROUND(($D1446)/5,0)*5,5),600),Baseline!$A$3:$A$122,0))-Inputs!$B$9,INDEX(Course!$N$2:$N$19,MATCH($B1446,Course!$A$2:$A$19,0))),INDEX(Baseline!$B$3:$E$122,MATCH(MIN(MAX(ROUND(($D1446)/5,0)*5,5),600),Baseline!$A$3:$A$122,0),MATCH($C1446,Baseline!$B$2:$E$2,0))))))</f>
        <v/>
      </c>
      <c r="O1446" s="17" t="str">
        <f aca="false">IF($C1446="","",IF($E1446="H",0,IF($E1446="G",INDEX(Baseline!$I$3:$I$102,MIN(MAX(ROUND($F1446,0),1),100)),IF($E1446="T",IF($M1446=3,INDEX(Baseline!$B$3:$B$122,MATCH(MIN(MAX(ROUND(($F1446)/5,0)*5,5),600),Baseline!$A$3:$A$122,0))-Inputs!$B$9,INDEX(Course!$N$2:$N$19,MATCH($B1446,Course!$A$2:$A$19,0))),INDEX(Baseline!$B$3:$E$122,MATCH(MIN(MAX(ROUND(($F1446)/5,0)*5,5),600),Baseline!$A$3:$A$122,0),MATCH($E1446,Baseline!$B$2:$E$2,0))))))</f>
        <v/>
      </c>
      <c r="P1446" s="17" t="str">
        <f aca="false">IF($B1446="","",INDEX(Course!$N$2:$N$19,MATCH($B1446,Course!$A$2:$A$19,0)))</f>
        <v/>
      </c>
      <c r="Q1446" s="17" t="str">
        <f aca="false">IF($B1446="","",INDEX(Course!$P$2:$P$19,MATCH($B1446,Course!$A$2:$A$19,0)))</f>
        <v/>
      </c>
      <c r="R1446" s="17" t="str">
        <f aca="false">IF($C1446="","",IF(OR($C1446="G",$C1446="H"),0,IF($C1446="T",1,MIN(1,MAX(0,($N1446-Inputs!$B$8)/MAX($P1446-Inputs!$B$8,0.01))))))</f>
        <v/>
      </c>
      <c r="S1446" s="17" t="str">
        <f aca="false">IF($C1446="","",IF(OR($E1446="G",$E1446="H"),0,IF($E1446="T",1,MIN(1,MAX(0,($O1446-Inputs!$B$8)/MAX($P1446-Inputs!$B$8,0.01))))))</f>
        <v/>
      </c>
    </row>
    <row r="1447" customFormat="false" ht="15" hidden="false" customHeight="false" outlineLevel="0" collapsed="false">
      <c r="I1447" s="7" t="str">
        <f aca="false">IF($C1447="","",IF($C1447="G","PUTT",IF(AND($C1447="T",$M1447&gt;3),"OTT",IF($D1447&lt;=30,"ARG","APP"))))</f>
        <v/>
      </c>
      <c r="J1447" s="17" t="str">
        <f aca="false">IF($C1447="","",$N1447+$Q1447*$R1447)</f>
        <v/>
      </c>
      <c r="K1447" s="17" t="str">
        <f aca="false">IF($C1447="","",$O1447+$Q1447*$S1447)</f>
        <v/>
      </c>
      <c r="L1447" s="17" t="str">
        <f aca="false">IF($C1447="","",$J1447-$K1447-1-N($G1447))</f>
        <v/>
      </c>
      <c r="M1447" s="7" t="str">
        <f aca="false">IF($B1447="","",INDEX(Course!$B$2:$B$19,MATCH($B1447,Course!$A$2:$A$19,0)))</f>
        <v/>
      </c>
      <c r="N1447" s="17" t="str">
        <f aca="false">IF($C1447="","",IF($C1447="H",0,IF($C1447="G",INDEX(Baseline!$I$3:$I$102,MIN(MAX(ROUND($D1447,0),1),100)),IF($C1447="T",IF($M1447=3,INDEX(Baseline!$B$3:$B$122,MATCH(MIN(MAX(ROUND(($D1447)/5,0)*5,5),600),Baseline!$A$3:$A$122,0))-Inputs!$B$9,INDEX(Course!$N$2:$N$19,MATCH($B1447,Course!$A$2:$A$19,0))),INDEX(Baseline!$B$3:$E$122,MATCH(MIN(MAX(ROUND(($D1447)/5,0)*5,5),600),Baseline!$A$3:$A$122,0),MATCH($C1447,Baseline!$B$2:$E$2,0))))))</f>
        <v/>
      </c>
      <c r="O1447" s="17" t="str">
        <f aca="false">IF($C1447="","",IF($E1447="H",0,IF($E1447="G",INDEX(Baseline!$I$3:$I$102,MIN(MAX(ROUND($F1447,0),1),100)),IF($E1447="T",IF($M1447=3,INDEX(Baseline!$B$3:$B$122,MATCH(MIN(MAX(ROUND(($F1447)/5,0)*5,5),600),Baseline!$A$3:$A$122,0))-Inputs!$B$9,INDEX(Course!$N$2:$N$19,MATCH($B1447,Course!$A$2:$A$19,0))),INDEX(Baseline!$B$3:$E$122,MATCH(MIN(MAX(ROUND(($F1447)/5,0)*5,5),600),Baseline!$A$3:$A$122,0),MATCH($E1447,Baseline!$B$2:$E$2,0))))))</f>
        <v/>
      </c>
      <c r="P1447" s="17" t="str">
        <f aca="false">IF($B1447="","",INDEX(Course!$N$2:$N$19,MATCH($B1447,Course!$A$2:$A$19,0)))</f>
        <v/>
      </c>
      <c r="Q1447" s="17" t="str">
        <f aca="false">IF($B1447="","",INDEX(Course!$P$2:$P$19,MATCH($B1447,Course!$A$2:$A$19,0)))</f>
        <v/>
      </c>
      <c r="R1447" s="17" t="str">
        <f aca="false">IF($C1447="","",IF(OR($C1447="G",$C1447="H"),0,IF($C1447="T",1,MIN(1,MAX(0,($N1447-Inputs!$B$8)/MAX($P1447-Inputs!$B$8,0.01))))))</f>
        <v/>
      </c>
      <c r="S1447" s="17" t="str">
        <f aca="false">IF($C1447="","",IF(OR($E1447="G",$E1447="H"),0,IF($E1447="T",1,MIN(1,MAX(0,($O1447-Inputs!$B$8)/MAX($P1447-Inputs!$B$8,0.01))))))</f>
        <v/>
      </c>
    </row>
    <row r="1448" customFormat="false" ht="15" hidden="false" customHeight="false" outlineLevel="0" collapsed="false">
      <c r="I1448" s="7" t="str">
        <f aca="false">IF($C1448="","",IF($C1448="G","PUTT",IF(AND($C1448="T",$M1448&gt;3),"OTT",IF($D1448&lt;=30,"ARG","APP"))))</f>
        <v/>
      </c>
      <c r="J1448" s="17" t="str">
        <f aca="false">IF($C1448="","",$N1448+$Q1448*$R1448)</f>
        <v/>
      </c>
      <c r="K1448" s="17" t="str">
        <f aca="false">IF($C1448="","",$O1448+$Q1448*$S1448)</f>
        <v/>
      </c>
      <c r="L1448" s="17" t="str">
        <f aca="false">IF($C1448="","",$J1448-$K1448-1-N($G1448))</f>
        <v/>
      </c>
      <c r="M1448" s="7" t="str">
        <f aca="false">IF($B1448="","",INDEX(Course!$B$2:$B$19,MATCH($B1448,Course!$A$2:$A$19,0)))</f>
        <v/>
      </c>
      <c r="N1448" s="17" t="str">
        <f aca="false">IF($C1448="","",IF($C1448="H",0,IF($C1448="G",INDEX(Baseline!$I$3:$I$102,MIN(MAX(ROUND($D1448,0),1),100)),IF($C1448="T",IF($M1448=3,INDEX(Baseline!$B$3:$B$122,MATCH(MIN(MAX(ROUND(($D1448)/5,0)*5,5),600),Baseline!$A$3:$A$122,0))-Inputs!$B$9,INDEX(Course!$N$2:$N$19,MATCH($B1448,Course!$A$2:$A$19,0))),INDEX(Baseline!$B$3:$E$122,MATCH(MIN(MAX(ROUND(($D1448)/5,0)*5,5),600),Baseline!$A$3:$A$122,0),MATCH($C1448,Baseline!$B$2:$E$2,0))))))</f>
        <v/>
      </c>
      <c r="O1448" s="17" t="str">
        <f aca="false">IF($C1448="","",IF($E1448="H",0,IF($E1448="G",INDEX(Baseline!$I$3:$I$102,MIN(MAX(ROUND($F1448,0),1),100)),IF($E1448="T",IF($M1448=3,INDEX(Baseline!$B$3:$B$122,MATCH(MIN(MAX(ROUND(($F1448)/5,0)*5,5),600),Baseline!$A$3:$A$122,0))-Inputs!$B$9,INDEX(Course!$N$2:$N$19,MATCH($B1448,Course!$A$2:$A$19,0))),INDEX(Baseline!$B$3:$E$122,MATCH(MIN(MAX(ROUND(($F1448)/5,0)*5,5),600),Baseline!$A$3:$A$122,0),MATCH($E1448,Baseline!$B$2:$E$2,0))))))</f>
        <v/>
      </c>
      <c r="P1448" s="17" t="str">
        <f aca="false">IF($B1448="","",INDEX(Course!$N$2:$N$19,MATCH($B1448,Course!$A$2:$A$19,0)))</f>
        <v/>
      </c>
      <c r="Q1448" s="17" t="str">
        <f aca="false">IF($B1448="","",INDEX(Course!$P$2:$P$19,MATCH($B1448,Course!$A$2:$A$19,0)))</f>
        <v/>
      </c>
      <c r="R1448" s="17" t="str">
        <f aca="false">IF($C1448="","",IF(OR($C1448="G",$C1448="H"),0,IF($C1448="T",1,MIN(1,MAX(0,($N1448-Inputs!$B$8)/MAX($P1448-Inputs!$B$8,0.01))))))</f>
        <v/>
      </c>
      <c r="S1448" s="17" t="str">
        <f aca="false">IF($C1448="","",IF(OR($E1448="G",$E1448="H"),0,IF($E1448="T",1,MIN(1,MAX(0,($O1448-Inputs!$B$8)/MAX($P1448-Inputs!$B$8,0.01))))))</f>
        <v/>
      </c>
    </row>
    <row r="1449" customFormat="false" ht="15" hidden="false" customHeight="false" outlineLevel="0" collapsed="false">
      <c r="I1449" s="7" t="str">
        <f aca="false">IF($C1449="","",IF($C1449="G","PUTT",IF(AND($C1449="T",$M1449&gt;3),"OTT",IF($D1449&lt;=30,"ARG","APP"))))</f>
        <v/>
      </c>
      <c r="J1449" s="17" t="str">
        <f aca="false">IF($C1449="","",$N1449+$Q1449*$R1449)</f>
        <v/>
      </c>
      <c r="K1449" s="17" t="str">
        <f aca="false">IF($C1449="","",$O1449+$Q1449*$S1449)</f>
        <v/>
      </c>
      <c r="L1449" s="17" t="str">
        <f aca="false">IF($C1449="","",$J1449-$K1449-1-N($G1449))</f>
        <v/>
      </c>
      <c r="M1449" s="7" t="str">
        <f aca="false">IF($B1449="","",INDEX(Course!$B$2:$B$19,MATCH($B1449,Course!$A$2:$A$19,0)))</f>
        <v/>
      </c>
      <c r="N1449" s="17" t="str">
        <f aca="false">IF($C1449="","",IF($C1449="H",0,IF($C1449="G",INDEX(Baseline!$I$3:$I$102,MIN(MAX(ROUND($D1449,0),1),100)),IF($C1449="T",IF($M1449=3,INDEX(Baseline!$B$3:$B$122,MATCH(MIN(MAX(ROUND(($D1449)/5,0)*5,5),600),Baseline!$A$3:$A$122,0))-Inputs!$B$9,INDEX(Course!$N$2:$N$19,MATCH($B1449,Course!$A$2:$A$19,0))),INDEX(Baseline!$B$3:$E$122,MATCH(MIN(MAX(ROUND(($D1449)/5,0)*5,5),600),Baseline!$A$3:$A$122,0),MATCH($C1449,Baseline!$B$2:$E$2,0))))))</f>
        <v/>
      </c>
      <c r="O1449" s="17" t="str">
        <f aca="false">IF($C1449="","",IF($E1449="H",0,IF($E1449="G",INDEX(Baseline!$I$3:$I$102,MIN(MAX(ROUND($F1449,0),1),100)),IF($E1449="T",IF($M1449=3,INDEX(Baseline!$B$3:$B$122,MATCH(MIN(MAX(ROUND(($F1449)/5,0)*5,5),600),Baseline!$A$3:$A$122,0))-Inputs!$B$9,INDEX(Course!$N$2:$N$19,MATCH($B1449,Course!$A$2:$A$19,0))),INDEX(Baseline!$B$3:$E$122,MATCH(MIN(MAX(ROUND(($F1449)/5,0)*5,5),600),Baseline!$A$3:$A$122,0),MATCH($E1449,Baseline!$B$2:$E$2,0))))))</f>
        <v/>
      </c>
      <c r="P1449" s="17" t="str">
        <f aca="false">IF($B1449="","",INDEX(Course!$N$2:$N$19,MATCH($B1449,Course!$A$2:$A$19,0)))</f>
        <v/>
      </c>
      <c r="Q1449" s="17" t="str">
        <f aca="false">IF($B1449="","",INDEX(Course!$P$2:$P$19,MATCH($B1449,Course!$A$2:$A$19,0)))</f>
        <v/>
      </c>
      <c r="R1449" s="17" t="str">
        <f aca="false">IF($C1449="","",IF(OR($C1449="G",$C1449="H"),0,IF($C1449="T",1,MIN(1,MAX(0,($N1449-Inputs!$B$8)/MAX($P1449-Inputs!$B$8,0.01))))))</f>
        <v/>
      </c>
      <c r="S1449" s="17" t="str">
        <f aca="false">IF($C1449="","",IF(OR($E1449="G",$E1449="H"),0,IF($E1449="T",1,MIN(1,MAX(0,($O1449-Inputs!$B$8)/MAX($P1449-Inputs!$B$8,0.01))))))</f>
        <v/>
      </c>
    </row>
    <row r="1450" customFormat="false" ht="15" hidden="false" customHeight="false" outlineLevel="0" collapsed="false">
      <c r="I1450" s="7" t="str">
        <f aca="false">IF($C1450="","",IF($C1450="G","PUTT",IF(AND($C1450="T",$M1450&gt;3),"OTT",IF($D1450&lt;=30,"ARG","APP"))))</f>
        <v/>
      </c>
      <c r="J1450" s="17" t="str">
        <f aca="false">IF($C1450="","",$N1450+$Q1450*$R1450)</f>
        <v/>
      </c>
      <c r="K1450" s="17" t="str">
        <f aca="false">IF($C1450="","",$O1450+$Q1450*$S1450)</f>
        <v/>
      </c>
      <c r="L1450" s="17" t="str">
        <f aca="false">IF($C1450="","",$J1450-$K1450-1-N($G1450))</f>
        <v/>
      </c>
      <c r="M1450" s="7" t="str">
        <f aca="false">IF($B1450="","",INDEX(Course!$B$2:$B$19,MATCH($B1450,Course!$A$2:$A$19,0)))</f>
        <v/>
      </c>
      <c r="N1450" s="17" t="str">
        <f aca="false">IF($C1450="","",IF($C1450="H",0,IF($C1450="G",INDEX(Baseline!$I$3:$I$102,MIN(MAX(ROUND($D1450,0),1),100)),IF($C1450="T",IF($M1450=3,INDEX(Baseline!$B$3:$B$122,MATCH(MIN(MAX(ROUND(($D1450)/5,0)*5,5),600),Baseline!$A$3:$A$122,0))-Inputs!$B$9,INDEX(Course!$N$2:$N$19,MATCH($B1450,Course!$A$2:$A$19,0))),INDEX(Baseline!$B$3:$E$122,MATCH(MIN(MAX(ROUND(($D1450)/5,0)*5,5),600),Baseline!$A$3:$A$122,0),MATCH($C1450,Baseline!$B$2:$E$2,0))))))</f>
        <v/>
      </c>
      <c r="O1450" s="17" t="str">
        <f aca="false">IF($C1450="","",IF($E1450="H",0,IF($E1450="G",INDEX(Baseline!$I$3:$I$102,MIN(MAX(ROUND($F1450,0),1),100)),IF($E1450="T",IF($M1450=3,INDEX(Baseline!$B$3:$B$122,MATCH(MIN(MAX(ROUND(($F1450)/5,0)*5,5),600),Baseline!$A$3:$A$122,0))-Inputs!$B$9,INDEX(Course!$N$2:$N$19,MATCH($B1450,Course!$A$2:$A$19,0))),INDEX(Baseline!$B$3:$E$122,MATCH(MIN(MAX(ROUND(($F1450)/5,0)*5,5),600),Baseline!$A$3:$A$122,0),MATCH($E1450,Baseline!$B$2:$E$2,0))))))</f>
        <v/>
      </c>
      <c r="P1450" s="17" t="str">
        <f aca="false">IF($B1450="","",INDEX(Course!$N$2:$N$19,MATCH($B1450,Course!$A$2:$A$19,0)))</f>
        <v/>
      </c>
      <c r="Q1450" s="17" t="str">
        <f aca="false">IF($B1450="","",INDEX(Course!$P$2:$P$19,MATCH($B1450,Course!$A$2:$A$19,0)))</f>
        <v/>
      </c>
      <c r="R1450" s="17" t="str">
        <f aca="false">IF($C1450="","",IF(OR($C1450="G",$C1450="H"),0,IF($C1450="T",1,MIN(1,MAX(0,($N1450-Inputs!$B$8)/MAX($P1450-Inputs!$B$8,0.01))))))</f>
        <v/>
      </c>
      <c r="S1450" s="17" t="str">
        <f aca="false">IF($C1450="","",IF(OR($E1450="G",$E1450="H"),0,IF($E1450="T",1,MIN(1,MAX(0,($O1450-Inputs!$B$8)/MAX($P1450-Inputs!$B$8,0.01))))))</f>
        <v/>
      </c>
    </row>
    <row r="1451" customFormat="false" ht="15" hidden="false" customHeight="false" outlineLevel="0" collapsed="false">
      <c r="I1451" s="7" t="str">
        <f aca="false">IF($C1451="","",IF($C1451="G","PUTT",IF(AND($C1451="T",$M1451&gt;3),"OTT",IF($D1451&lt;=30,"ARG","APP"))))</f>
        <v/>
      </c>
      <c r="J1451" s="17" t="str">
        <f aca="false">IF($C1451="","",$N1451+$Q1451*$R1451)</f>
        <v/>
      </c>
      <c r="K1451" s="17" t="str">
        <f aca="false">IF($C1451="","",$O1451+$Q1451*$S1451)</f>
        <v/>
      </c>
      <c r="L1451" s="17" t="str">
        <f aca="false">IF($C1451="","",$J1451-$K1451-1-N($G1451))</f>
        <v/>
      </c>
      <c r="M1451" s="7" t="str">
        <f aca="false">IF($B1451="","",INDEX(Course!$B$2:$B$19,MATCH($B1451,Course!$A$2:$A$19,0)))</f>
        <v/>
      </c>
      <c r="N1451" s="17" t="str">
        <f aca="false">IF($C1451="","",IF($C1451="H",0,IF($C1451="G",INDEX(Baseline!$I$3:$I$102,MIN(MAX(ROUND($D1451,0),1),100)),IF($C1451="T",IF($M1451=3,INDEX(Baseline!$B$3:$B$122,MATCH(MIN(MAX(ROUND(($D1451)/5,0)*5,5),600),Baseline!$A$3:$A$122,0))-Inputs!$B$9,INDEX(Course!$N$2:$N$19,MATCH($B1451,Course!$A$2:$A$19,0))),INDEX(Baseline!$B$3:$E$122,MATCH(MIN(MAX(ROUND(($D1451)/5,0)*5,5),600),Baseline!$A$3:$A$122,0),MATCH($C1451,Baseline!$B$2:$E$2,0))))))</f>
        <v/>
      </c>
      <c r="O1451" s="17" t="str">
        <f aca="false">IF($C1451="","",IF($E1451="H",0,IF($E1451="G",INDEX(Baseline!$I$3:$I$102,MIN(MAX(ROUND($F1451,0),1),100)),IF($E1451="T",IF($M1451=3,INDEX(Baseline!$B$3:$B$122,MATCH(MIN(MAX(ROUND(($F1451)/5,0)*5,5),600),Baseline!$A$3:$A$122,0))-Inputs!$B$9,INDEX(Course!$N$2:$N$19,MATCH($B1451,Course!$A$2:$A$19,0))),INDEX(Baseline!$B$3:$E$122,MATCH(MIN(MAX(ROUND(($F1451)/5,0)*5,5),600),Baseline!$A$3:$A$122,0),MATCH($E1451,Baseline!$B$2:$E$2,0))))))</f>
        <v/>
      </c>
      <c r="P1451" s="17" t="str">
        <f aca="false">IF($B1451="","",INDEX(Course!$N$2:$N$19,MATCH($B1451,Course!$A$2:$A$19,0)))</f>
        <v/>
      </c>
      <c r="Q1451" s="17" t="str">
        <f aca="false">IF($B1451="","",INDEX(Course!$P$2:$P$19,MATCH($B1451,Course!$A$2:$A$19,0)))</f>
        <v/>
      </c>
      <c r="R1451" s="17" t="str">
        <f aca="false">IF($C1451="","",IF(OR($C1451="G",$C1451="H"),0,IF($C1451="T",1,MIN(1,MAX(0,($N1451-Inputs!$B$8)/MAX($P1451-Inputs!$B$8,0.01))))))</f>
        <v/>
      </c>
      <c r="S1451" s="17" t="str">
        <f aca="false">IF($C1451="","",IF(OR($E1451="G",$E1451="H"),0,IF($E1451="T",1,MIN(1,MAX(0,($O1451-Inputs!$B$8)/MAX($P1451-Inputs!$B$8,0.01))))))</f>
        <v/>
      </c>
    </row>
    <row r="1452" customFormat="false" ht="15" hidden="false" customHeight="false" outlineLevel="0" collapsed="false">
      <c r="I1452" s="7" t="str">
        <f aca="false">IF($C1452="","",IF($C1452="G","PUTT",IF(AND($C1452="T",$M1452&gt;3),"OTT",IF($D1452&lt;=30,"ARG","APP"))))</f>
        <v/>
      </c>
      <c r="J1452" s="17" t="str">
        <f aca="false">IF($C1452="","",$N1452+$Q1452*$R1452)</f>
        <v/>
      </c>
      <c r="K1452" s="17" t="str">
        <f aca="false">IF($C1452="","",$O1452+$Q1452*$S1452)</f>
        <v/>
      </c>
      <c r="L1452" s="17" t="str">
        <f aca="false">IF($C1452="","",$J1452-$K1452-1-N($G1452))</f>
        <v/>
      </c>
      <c r="M1452" s="7" t="str">
        <f aca="false">IF($B1452="","",INDEX(Course!$B$2:$B$19,MATCH($B1452,Course!$A$2:$A$19,0)))</f>
        <v/>
      </c>
      <c r="N1452" s="17" t="str">
        <f aca="false">IF($C1452="","",IF($C1452="H",0,IF($C1452="G",INDEX(Baseline!$I$3:$I$102,MIN(MAX(ROUND($D1452,0),1),100)),IF($C1452="T",IF($M1452=3,INDEX(Baseline!$B$3:$B$122,MATCH(MIN(MAX(ROUND(($D1452)/5,0)*5,5),600),Baseline!$A$3:$A$122,0))-Inputs!$B$9,INDEX(Course!$N$2:$N$19,MATCH($B1452,Course!$A$2:$A$19,0))),INDEX(Baseline!$B$3:$E$122,MATCH(MIN(MAX(ROUND(($D1452)/5,0)*5,5),600),Baseline!$A$3:$A$122,0),MATCH($C1452,Baseline!$B$2:$E$2,0))))))</f>
        <v/>
      </c>
      <c r="O1452" s="17" t="str">
        <f aca="false">IF($C1452="","",IF($E1452="H",0,IF($E1452="G",INDEX(Baseline!$I$3:$I$102,MIN(MAX(ROUND($F1452,0),1),100)),IF($E1452="T",IF($M1452=3,INDEX(Baseline!$B$3:$B$122,MATCH(MIN(MAX(ROUND(($F1452)/5,0)*5,5),600),Baseline!$A$3:$A$122,0))-Inputs!$B$9,INDEX(Course!$N$2:$N$19,MATCH($B1452,Course!$A$2:$A$19,0))),INDEX(Baseline!$B$3:$E$122,MATCH(MIN(MAX(ROUND(($F1452)/5,0)*5,5),600),Baseline!$A$3:$A$122,0),MATCH($E1452,Baseline!$B$2:$E$2,0))))))</f>
        <v/>
      </c>
      <c r="P1452" s="17" t="str">
        <f aca="false">IF($B1452="","",INDEX(Course!$N$2:$N$19,MATCH($B1452,Course!$A$2:$A$19,0)))</f>
        <v/>
      </c>
      <c r="Q1452" s="17" t="str">
        <f aca="false">IF($B1452="","",INDEX(Course!$P$2:$P$19,MATCH($B1452,Course!$A$2:$A$19,0)))</f>
        <v/>
      </c>
      <c r="R1452" s="17" t="str">
        <f aca="false">IF($C1452="","",IF(OR($C1452="G",$C1452="H"),0,IF($C1452="T",1,MIN(1,MAX(0,($N1452-Inputs!$B$8)/MAX($P1452-Inputs!$B$8,0.01))))))</f>
        <v/>
      </c>
      <c r="S1452" s="17" t="str">
        <f aca="false">IF($C1452="","",IF(OR($E1452="G",$E1452="H"),0,IF($E1452="T",1,MIN(1,MAX(0,($O1452-Inputs!$B$8)/MAX($P1452-Inputs!$B$8,0.01))))))</f>
        <v/>
      </c>
    </row>
    <row r="1453" customFormat="false" ht="15" hidden="false" customHeight="false" outlineLevel="0" collapsed="false">
      <c r="I1453" s="7" t="str">
        <f aca="false">IF($C1453="","",IF($C1453="G","PUTT",IF(AND($C1453="T",$M1453&gt;3),"OTT",IF($D1453&lt;=30,"ARG","APP"))))</f>
        <v/>
      </c>
      <c r="J1453" s="17" t="str">
        <f aca="false">IF($C1453="","",$N1453+$Q1453*$R1453)</f>
        <v/>
      </c>
      <c r="K1453" s="17" t="str">
        <f aca="false">IF($C1453="","",$O1453+$Q1453*$S1453)</f>
        <v/>
      </c>
      <c r="L1453" s="17" t="str">
        <f aca="false">IF($C1453="","",$J1453-$K1453-1-N($G1453))</f>
        <v/>
      </c>
      <c r="M1453" s="7" t="str">
        <f aca="false">IF($B1453="","",INDEX(Course!$B$2:$B$19,MATCH($B1453,Course!$A$2:$A$19,0)))</f>
        <v/>
      </c>
      <c r="N1453" s="17" t="str">
        <f aca="false">IF($C1453="","",IF($C1453="H",0,IF($C1453="G",INDEX(Baseline!$I$3:$I$102,MIN(MAX(ROUND($D1453,0),1),100)),IF($C1453="T",IF($M1453=3,INDEX(Baseline!$B$3:$B$122,MATCH(MIN(MAX(ROUND(($D1453)/5,0)*5,5),600),Baseline!$A$3:$A$122,0))-Inputs!$B$9,INDEX(Course!$N$2:$N$19,MATCH($B1453,Course!$A$2:$A$19,0))),INDEX(Baseline!$B$3:$E$122,MATCH(MIN(MAX(ROUND(($D1453)/5,0)*5,5),600),Baseline!$A$3:$A$122,0),MATCH($C1453,Baseline!$B$2:$E$2,0))))))</f>
        <v/>
      </c>
      <c r="O1453" s="17" t="str">
        <f aca="false">IF($C1453="","",IF($E1453="H",0,IF($E1453="G",INDEX(Baseline!$I$3:$I$102,MIN(MAX(ROUND($F1453,0),1),100)),IF($E1453="T",IF($M1453=3,INDEX(Baseline!$B$3:$B$122,MATCH(MIN(MAX(ROUND(($F1453)/5,0)*5,5),600),Baseline!$A$3:$A$122,0))-Inputs!$B$9,INDEX(Course!$N$2:$N$19,MATCH($B1453,Course!$A$2:$A$19,0))),INDEX(Baseline!$B$3:$E$122,MATCH(MIN(MAX(ROUND(($F1453)/5,0)*5,5),600),Baseline!$A$3:$A$122,0),MATCH($E1453,Baseline!$B$2:$E$2,0))))))</f>
        <v/>
      </c>
      <c r="P1453" s="17" t="str">
        <f aca="false">IF($B1453="","",INDEX(Course!$N$2:$N$19,MATCH($B1453,Course!$A$2:$A$19,0)))</f>
        <v/>
      </c>
      <c r="Q1453" s="17" t="str">
        <f aca="false">IF($B1453="","",INDEX(Course!$P$2:$P$19,MATCH($B1453,Course!$A$2:$A$19,0)))</f>
        <v/>
      </c>
      <c r="R1453" s="17" t="str">
        <f aca="false">IF($C1453="","",IF(OR($C1453="G",$C1453="H"),0,IF($C1453="T",1,MIN(1,MAX(0,($N1453-Inputs!$B$8)/MAX($P1453-Inputs!$B$8,0.01))))))</f>
        <v/>
      </c>
      <c r="S1453" s="17" t="str">
        <f aca="false">IF($C1453="","",IF(OR($E1453="G",$E1453="H"),0,IF($E1453="T",1,MIN(1,MAX(0,($O1453-Inputs!$B$8)/MAX($P1453-Inputs!$B$8,0.01))))))</f>
        <v/>
      </c>
    </row>
    <row r="1454" customFormat="false" ht="15" hidden="false" customHeight="false" outlineLevel="0" collapsed="false">
      <c r="I1454" s="7" t="str">
        <f aca="false">IF($C1454="","",IF($C1454="G","PUTT",IF(AND($C1454="T",$M1454&gt;3),"OTT",IF($D1454&lt;=30,"ARG","APP"))))</f>
        <v/>
      </c>
      <c r="J1454" s="17" t="str">
        <f aca="false">IF($C1454="","",$N1454+$Q1454*$R1454)</f>
        <v/>
      </c>
      <c r="K1454" s="17" t="str">
        <f aca="false">IF($C1454="","",$O1454+$Q1454*$S1454)</f>
        <v/>
      </c>
      <c r="L1454" s="17" t="str">
        <f aca="false">IF($C1454="","",$J1454-$K1454-1-N($G1454))</f>
        <v/>
      </c>
      <c r="M1454" s="7" t="str">
        <f aca="false">IF($B1454="","",INDEX(Course!$B$2:$B$19,MATCH($B1454,Course!$A$2:$A$19,0)))</f>
        <v/>
      </c>
      <c r="N1454" s="17" t="str">
        <f aca="false">IF($C1454="","",IF($C1454="H",0,IF($C1454="G",INDEX(Baseline!$I$3:$I$102,MIN(MAX(ROUND($D1454,0),1),100)),IF($C1454="T",IF($M1454=3,INDEX(Baseline!$B$3:$B$122,MATCH(MIN(MAX(ROUND(($D1454)/5,0)*5,5),600),Baseline!$A$3:$A$122,0))-Inputs!$B$9,INDEX(Course!$N$2:$N$19,MATCH($B1454,Course!$A$2:$A$19,0))),INDEX(Baseline!$B$3:$E$122,MATCH(MIN(MAX(ROUND(($D1454)/5,0)*5,5),600),Baseline!$A$3:$A$122,0),MATCH($C1454,Baseline!$B$2:$E$2,0))))))</f>
        <v/>
      </c>
      <c r="O1454" s="17" t="str">
        <f aca="false">IF($C1454="","",IF($E1454="H",0,IF($E1454="G",INDEX(Baseline!$I$3:$I$102,MIN(MAX(ROUND($F1454,0),1),100)),IF($E1454="T",IF($M1454=3,INDEX(Baseline!$B$3:$B$122,MATCH(MIN(MAX(ROUND(($F1454)/5,0)*5,5),600),Baseline!$A$3:$A$122,0))-Inputs!$B$9,INDEX(Course!$N$2:$N$19,MATCH($B1454,Course!$A$2:$A$19,0))),INDEX(Baseline!$B$3:$E$122,MATCH(MIN(MAX(ROUND(($F1454)/5,0)*5,5),600),Baseline!$A$3:$A$122,0),MATCH($E1454,Baseline!$B$2:$E$2,0))))))</f>
        <v/>
      </c>
      <c r="P1454" s="17" t="str">
        <f aca="false">IF($B1454="","",INDEX(Course!$N$2:$N$19,MATCH($B1454,Course!$A$2:$A$19,0)))</f>
        <v/>
      </c>
      <c r="Q1454" s="17" t="str">
        <f aca="false">IF($B1454="","",INDEX(Course!$P$2:$P$19,MATCH($B1454,Course!$A$2:$A$19,0)))</f>
        <v/>
      </c>
      <c r="R1454" s="17" t="str">
        <f aca="false">IF($C1454="","",IF(OR($C1454="G",$C1454="H"),0,IF($C1454="T",1,MIN(1,MAX(0,($N1454-Inputs!$B$8)/MAX($P1454-Inputs!$B$8,0.01))))))</f>
        <v/>
      </c>
      <c r="S1454" s="17" t="str">
        <f aca="false">IF($C1454="","",IF(OR($E1454="G",$E1454="H"),0,IF($E1454="T",1,MIN(1,MAX(0,($O1454-Inputs!$B$8)/MAX($P1454-Inputs!$B$8,0.01))))))</f>
        <v/>
      </c>
    </row>
    <row r="1455" customFormat="false" ht="15" hidden="false" customHeight="false" outlineLevel="0" collapsed="false">
      <c r="I1455" s="7" t="str">
        <f aca="false">IF($C1455="","",IF($C1455="G","PUTT",IF(AND($C1455="T",$M1455&gt;3),"OTT",IF($D1455&lt;=30,"ARG","APP"))))</f>
        <v/>
      </c>
      <c r="J1455" s="17" t="str">
        <f aca="false">IF($C1455="","",$N1455+$Q1455*$R1455)</f>
        <v/>
      </c>
      <c r="K1455" s="17" t="str">
        <f aca="false">IF($C1455="","",$O1455+$Q1455*$S1455)</f>
        <v/>
      </c>
      <c r="L1455" s="17" t="str">
        <f aca="false">IF($C1455="","",$J1455-$K1455-1-N($G1455))</f>
        <v/>
      </c>
      <c r="M1455" s="7" t="str">
        <f aca="false">IF($B1455="","",INDEX(Course!$B$2:$B$19,MATCH($B1455,Course!$A$2:$A$19,0)))</f>
        <v/>
      </c>
      <c r="N1455" s="17" t="str">
        <f aca="false">IF($C1455="","",IF($C1455="H",0,IF($C1455="G",INDEX(Baseline!$I$3:$I$102,MIN(MAX(ROUND($D1455,0),1),100)),IF($C1455="T",IF($M1455=3,INDEX(Baseline!$B$3:$B$122,MATCH(MIN(MAX(ROUND(($D1455)/5,0)*5,5),600),Baseline!$A$3:$A$122,0))-Inputs!$B$9,INDEX(Course!$N$2:$N$19,MATCH($B1455,Course!$A$2:$A$19,0))),INDEX(Baseline!$B$3:$E$122,MATCH(MIN(MAX(ROUND(($D1455)/5,0)*5,5),600),Baseline!$A$3:$A$122,0),MATCH($C1455,Baseline!$B$2:$E$2,0))))))</f>
        <v/>
      </c>
      <c r="O1455" s="17" t="str">
        <f aca="false">IF($C1455="","",IF($E1455="H",0,IF($E1455="G",INDEX(Baseline!$I$3:$I$102,MIN(MAX(ROUND($F1455,0),1),100)),IF($E1455="T",IF($M1455=3,INDEX(Baseline!$B$3:$B$122,MATCH(MIN(MAX(ROUND(($F1455)/5,0)*5,5),600),Baseline!$A$3:$A$122,0))-Inputs!$B$9,INDEX(Course!$N$2:$N$19,MATCH($B1455,Course!$A$2:$A$19,0))),INDEX(Baseline!$B$3:$E$122,MATCH(MIN(MAX(ROUND(($F1455)/5,0)*5,5),600),Baseline!$A$3:$A$122,0),MATCH($E1455,Baseline!$B$2:$E$2,0))))))</f>
        <v/>
      </c>
      <c r="P1455" s="17" t="str">
        <f aca="false">IF($B1455="","",INDEX(Course!$N$2:$N$19,MATCH($B1455,Course!$A$2:$A$19,0)))</f>
        <v/>
      </c>
      <c r="Q1455" s="17" t="str">
        <f aca="false">IF($B1455="","",INDEX(Course!$P$2:$P$19,MATCH($B1455,Course!$A$2:$A$19,0)))</f>
        <v/>
      </c>
      <c r="R1455" s="17" t="str">
        <f aca="false">IF($C1455="","",IF(OR($C1455="G",$C1455="H"),0,IF($C1455="T",1,MIN(1,MAX(0,($N1455-Inputs!$B$8)/MAX($P1455-Inputs!$B$8,0.01))))))</f>
        <v/>
      </c>
      <c r="S1455" s="17" t="str">
        <f aca="false">IF($C1455="","",IF(OR($E1455="G",$E1455="H"),0,IF($E1455="T",1,MIN(1,MAX(0,($O1455-Inputs!$B$8)/MAX($P1455-Inputs!$B$8,0.01))))))</f>
        <v/>
      </c>
    </row>
    <row r="1456" customFormat="false" ht="15" hidden="false" customHeight="false" outlineLevel="0" collapsed="false">
      <c r="I1456" s="7" t="str">
        <f aca="false">IF($C1456="","",IF($C1456="G","PUTT",IF(AND($C1456="T",$M1456&gt;3),"OTT",IF($D1456&lt;=30,"ARG","APP"))))</f>
        <v/>
      </c>
      <c r="J1456" s="17" t="str">
        <f aca="false">IF($C1456="","",$N1456+$Q1456*$R1456)</f>
        <v/>
      </c>
      <c r="K1456" s="17" t="str">
        <f aca="false">IF($C1456="","",$O1456+$Q1456*$S1456)</f>
        <v/>
      </c>
      <c r="L1456" s="17" t="str">
        <f aca="false">IF($C1456="","",$J1456-$K1456-1-N($G1456))</f>
        <v/>
      </c>
      <c r="M1456" s="7" t="str">
        <f aca="false">IF($B1456="","",INDEX(Course!$B$2:$B$19,MATCH($B1456,Course!$A$2:$A$19,0)))</f>
        <v/>
      </c>
      <c r="N1456" s="17" t="str">
        <f aca="false">IF($C1456="","",IF($C1456="H",0,IF($C1456="G",INDEX(Baseline!$I$3:$I$102,MIN(MAX(ROUND($D1456,0),1),100)),IF($C1456="T",IF($M1456=3,INDEX(Baseline!$B$3:$B$122,MATCH(MIN(MAX(ROUND(($D1456)/5,0)*5,5),600),Baseline!$A$3:$A$122,0))-Inputs!$B$9,INDEX(Course!$N$2:$N$19,MATCH($B1456,Course!$A$2:$A$19,0))),INDEX(Baseline!$B$3:$E$122,MATCH(MIN(MAX(ROUND(($D1456)/5,0)*5,5),600),Baseline!$A$3:$A$122,0),MATCH($C1456,Baseline!$B$2:$E$2,0))))))</f>
        <v/>
      </c>
      <c r="O1456" s="17" t="str">
        <f aca="false">IF($C1456="","",IF($E1456="H",0,IF($E1456="G",INDEX(Baseline!$I$3:$I$102,MIN(MAX(ROUND($F1456,0),1),100)),IF($E1456="T",IF($M1456=3,INDEX(Baseline!$B$3:$B$122,MATCH(MIN(MAX(ROUND(($F1456)/5,0)*5,5),600),Baseline!$A$3:$A$122,0))-Inputs!$B$9,INDEX(Course!$N$2:$N$19,MATCH($B1456,Course!$A$2:$A$19,0))),INDEX(Baseline!$B$3:$E$122,MATCH(MIN(MAX(ROUND(($F1456)/5,0)*5,5),600),Baseline!$A$3:$A$122,0),MATCH($E1456,Baseline!$B$2:$E$2,0))))))</f>
        <v/>
      </c>
      <c r="P1456" s="17" t="str">
        <f aca="false">IF($B1456="","",INDEX(Course!$N$2:$N$19,MATCH($B1456,Course!$A$2:$A$19,0)))</f>
        <v/>
      </c>
      <c r="Q1456" s="17" t="str">
        <f aca="false">IF($B1456="","",INDEX(Course!$P$2:$P$19,MATCH($B1456,Course!$A$2:$A$19,0)))</f>
        <v/>
      </c>
      <c r="R1456" s="17" t="str">
        <f aca="false">IF($C1456="","",IF(OR($C1456="G",$C1456="H"),0,IF($C1456="T",1,MIN(1,MAX(0,($N1456-Inputs!$B$8)/MAX($P1456-Inputs!$B$8,0.01))))))</f>
        <v/>
      </c>
      <c r="S1456" s="17" t="str">
        <f aca="false">IF($C1456="","",IF(OR($E1456="G",$E1456="H"),0,IF($E1456="T",1,MIN(1,MAX(0,($O1456-Inputs!$B$8)/MAX($P1456-Inputs!$B$8,0.01))))))</f>
        <v/>
      </c>
    </row>
    <row r="1457" customFormat="false" ht="15" hidden="false" customHeight="false" outlineLevel="0" collapsed="false">
      <c r="I1457" s="7" t="str">
        <f aca="false">IF($C1457="","",IF($C1457="G","PUTT",IF(AND($C1457="T",$M1457&gt;3),"OTT",IF($D1457&lt;=30,"ARG","APP"))))</f>
        <v/>
      </c>
      <c r="J1457" s="17" t="str">
        <f aca="false">IF($C1457="","",$N1457+$Q1457*$R1457)</f>
        <v/>
      </c>
      <c r="K1457" s="17" t="str">
        <f aca="false">IF($C1457="","",$O1457+$Q1457*$S1457)</f>
        <v/>
      </c>
      <c r="L1457" s="17" t="str">
        <f aca="false">IF($C1457="","",$J1457-$K1457-1-N($G1457))</f>
        <v/>
      </c>
      <c r="M1457" s="7" t="str">
        <f aca="false">IF($B1457="","",INDEX(Course!$B$2:$B$19,MATCH($B1457,Course!$A$2:$A$19,0)))</f>
        <v/>
      </c>
      <c r="N1457" s="17" t="str">
        <f aca="false">IF($C1457="","",IF($C1457="H",0,IF($C1457="G",INDEX(Baseline!$I$3:$I$102,MIN(MAX(ROUND($D1457,0),1),100)),IF($C1457="T",IF($M1457=3,INDEX(Baseline!$B$3:$B$122,MATCH(MIN(MAX(ROUND(($D1457)/5,0)*5,5),600),Baseline!$A$3:$A$122,0))-Inputs!$B$9,INDEX(Course!$N$2:$N$19,MATCH($B1457,Course!$A$2:$A$19,0))),INDEX(Baseline!$B$3:$E$122,MATCH(MIN(MAX(ROUND(($D1457)/5,0)*5,5),600),Baseline!$A$3:$A$122,0),MATCH($C1457,Baseline!$B$2:$E$2,0))))))</f>
        <v/>
      </c>
      <c r="O1457" s="17" t="str">
        <f aca="false">IF($C1457="","",IF($E1457="H",0,IF($E1457="G",INDEX(Baseline!$I$3:$I$102,MIN(MAX(ROUND($F1457,0),1),100)),IF($E1457="T",IF($M1457=3,INDEX(Baseline!$B$3:$B$122,MATCH(MIN(MAX(ROUND(($F1457)/5,0)*5,5),600),Baseline!$A$3:$A$122,0))-Inputs!$B$9,INDEX(Course!$N$2:$N$19,MATCH($B1457,Course!$A$2:$A$19,0))),INDEX(Baseline!$B$3:$E$122,MATCH(MIN(MAX(ROUND(($F1457)/5,0)*5,5),600),Baseline!$A$3:$A$122,0),MATCH($E1457,Baseline!$B$2:$E$2,0))))))</f>
        <v/>
      </c>
      <c r="P1457" s="17" t="str">
        <f aca="false">IF($B1457="","",INDEX(Course!$N$2:$N$19,MATCH($B1457,Course!$A$2:$A$19,0)))</f>
        <v/>
      </c>
      <c r="Q1457" s="17" t="str">
        <f aca="false">IF($B1457="","",INDEX(Course!$P$2:$P$19,MATCH($B1457,Course!$A$2:$A$19,0)))</f>
        <v/>
      </c>
      <c r="R1457" s="17" t="str">
        <f aca="false">IF($C1457="","",IF(OR($C1457="G",$C1457="H"),0,IF($C1457="T",1,MIN(1,MAX(0,($N1457-Inputs!$B$8)/MAX($P1457-Inputs!$B$8,0.01))))))</f>
        <v/>
      </c>
      <c r="S1457" s="17" t="str">
        <f aca="false">IF($C1457="","",IF(OR($E1457="G",$E1457="H"),0,IF($E1457="T",1,MIN(1,MAX(0,($O1457-Inputs!$B$8)/MAX($P1457-Inputs!$B$8,0.01))))))</f>
        <v/>
      </c>
    </row>
    <row r="1458" customFormat="false" ht="15" hidden="false" customHeight="false" outlineLevel="0" collapsed="false">
      <c r="I1458" s="7" t="str">
        <f aca="false">IF($C1458="","",IF($C1458="G","PUTT",IF(AND($C1458="T",$M1458&gt;3),"OTT",IF($D1458&lt;=30,"ARG","APP"))))</f>
        <v/>
      </c>
      <c r="J1458" s="17" t="str">
        <f aca="false">IF($C1458="","",$N1458+$Q1458*$R1458)</f>
        <v/>
      </c>
      <c r="K1458" s="17" t="str">
        <f aca="false">IF($C1458="","",$O1458+$Q1458*$S1458)</f>
        <v/>
      </c>
      <c r="L1458" s="17" t="str">
        <f aca="false">IF($C1458="","",$J1458-$K1458-1-N($G1458))</f>
        <v/>
      </c>
      <c r="M1458" s="7" t="str">
        <f aca="false">IF($B1458="","",INDEX(Course!$B$2:$B$19,MATCH($B1458,Course!$A$2:$A$19,0)))</f>
        <v/>
      </c>
      <c r="N1458" s="17" t="str">
        <f aca="false">IF($C1458="","",IF($C1458="H",0,IF($C1458="G",INDEX(Baseline!$I$3:$I$102,MIN(MAX(ROUND($D1458,0),1),100)),IF($C1458="T",IF($M1458=3,INDEX(Baseline!$B$3:$B$122,MATCH(MIN(MAX(ROUND(($D1458)/5,0)*5,5),600),Baseline!$A$3:$A$122,0))-Inputs!$B$9,INDEX(Course!$N$2:$N$19,MATCH($B1458,Course!$A$2:$A$19,0))),INDEX(Baseline!$B$3:$E$122,MATCH(MIN(MAX(ROUND(($D1458)/5,0)*5,5),600),Baseline!$A$3:$A$122,0),MATCH($C1458,Baseline!$B$2:$E$2,0))))))</f>
        <v/>
      </c>
      <c r="O1458" s="17" t="str">
        <f aca="false">IF($C1458="","",IF($E1458="H",0,IF($E1458="G",INDEX(Baseline!$I$3:$I$102,MIN(MAX(ROUND($F1458,0),1),100)),IF($E1458="T",IF($M1458=3,INDEX(Baseline!$B$3:$B$122,MATCH(MIN(MAX(ROUND(($F1458)/5,0)*5,5),600),Baseline!$A$3:$A$122,0))-Inputs!$B$9,INDEX(Course!$N$2:$N$19,MATCH($B1458,Course!$A$2:$A$19,0))),INDEX(Baseline!$B$3:$E$122,MATCH(MIN(MAX(ROUND(($F1458)/5,0)*5,5),600),Baseline!$A$3:$A$122,0),MATCH($E1458,Baseline!$B$2:$E$2,0))))))</f>
        <v/>
      </c>
      <c r="P1458" s="17" t="str">
        <f aca="false">IF($B1458="","",INDEX(Course!$N$2:$N$19,MATCH($B1458,Course!$A$2:$A$19,0)))</f>
        <v/>
      </c>
      <c r="Q1458" s="17" t="str">
        <f aca="false">IF($B1458="","",INDEX(Course!$P$2:$P$19,MATCH($B1458,Course!$A$2:$A$19,0)))</f>
        <v/>
      </c>
      <c r="R1458" s="17" t="str">
        <f aca="false">IF($C1458="","",IF(OR($C1458="G",$C1458="H"),0,IF($C1458="T",1,MIN(1,MAX(0,($N1458-Inputs!$B$8)/MAX($P1458-Inputs!$B$8,0.01))))))</f>
        <v/>
      </c>
      <c r="S1458" s="17" t="str">
        <f aca="false">IF($C1458="","",IF(OR($E1458="G",$E1458="H"),0,IF($E1458="T",1,MIN(1,MAX(0,($O1458-Inputs!$B$8)/MAX($P1458-Inputs!$B$8,0.01))))))</f>
        <v/>
      </c>
    </row>
    <row r="1459" customFormat="false" ht="15" hidden="false" customHeight="false" outlineLevel="0" collapsed="false">
      <c r="I1459" s="7" t="str">
        <f aca="false">IF($C1459="","",IF($C1459="G","PUTT",IF(AND($C1459="T",$M1459&gt;3),"OTT",IF($D1459&lt;=30,"ARG","APP"))))</f>
        <v/>
      </c>
      <c r="J1459" s="17" t="str">
        <f aca="false">IF($C1459="","",$N1459+$Q1459*$R1459)</f>
        <v/>
      </c>
      <c r="K1459" s="17" t="str">
        <f aca="false">IF($C1459="","",$O1459+$Q1459*$S1459)</f>
        <v/>
      </c>
      <c r="L1459" s="17" t="str">
        <f aca="false">IF($C1459="","",$J1459-$K1459-1-N($G1459))</f>
        <v/>
      </c>
      <c r="M1459" s="7" t="str">
        <f aca="false">IF($B1459="","",INDEX(Course!$B$2:$B$19,MATCH($B1459,Course!$A$2:$A$19,0)))</f>
        <v/>
      </c>
      <c r="N1459" s="17" t="str">
        <f aca="false">IF($C1459="","",IF($C1459="H",0,IF($C1459="G",INDEX(Baseline!$I$3:$I$102,MIN(MAX(ROUND($D1459,0),1),100)),IF($C1459="T",IF($M1459=3,INDEX(Baseline!$B$3:$B$122,MATCH(MIN(MAX(ROUND(($D1459)/5,0)*5,5),600),Baseline!$A$3:$A$122,0))-Inputs!$B$9,INDEX(Course!$N$2:$N$19,MATCH($B1459,Course!$A$2:$A$19,0))),INDEX(Baseline!$B$3:$E$122,MATCH(MIN(MAX(ROUND(($D1459)/5,0)*5,5),600),Baseline!$A$3:$A$122,0),MATCH($C1459,Baseline!$B$2:$E$2,0))))))</f>
        <v/>
      </c>
      <c r="O1459" s="17" t="str">
        <f aca="false">IF($C1459="","",IF($E1459="H",0,IF($E1459="G",INDEX(Baseline!$I$3:$I$102,MIN(MAX(ROUND($F1459,0),1),100)),IF($E1459="T",IF($M1459=3,INDEX(Baseline!$B$3:$B$122,MATCH(MIN(MAX(ROUND(($F1459)/5,0)*5,5),600),Baseline!$A$3:$A$122,0))-Inputs!$B$9,INDEX(Course!$N$2:$N$19,MATCH($B1459,Course!$A$2:$A$19,0))),INDEX(Baseline!$B$3:$E$122,MATCH(MIN(MAX(ROUND(($F1459)/5,0)*5,5),600),Baseline!$A$3:$A$122,0),MATCH($E1459,Baseline!$B$2:$E$2,0))))))</f>
        <v/>
      </c>
      <c r="P1459" s="17" t="str">
        <f aca="false">IF($B1459="","",INDEX(Course!$N$2:$N$19,MATCH($B1459,Course!$A$2:$A$19,0)))</f>
        <v/>
      </c>
      <c r="Q1459" s="17" t="str">
        <f aca="false">IF($B1459="","",INDEX(Course!$P$2:$P$19,MATCH($B1459,Course!$A$2:$A$19,0)))</f>
        <v/>
      </c>
      <c r="R1459" s="17" t="str">
        <f aca="false">IF($C1459="","",IF(OR($C1459="G",$C1459="H"),0,IF($C1459="T",1,MIN(1,MAX(0,($N1459-Inputs!$B$8)/MAX($P1459-Inputs!$B$8,0.01))))))</f>
        <v/>
      </c>
      <c r="S1459" s="17" t="str">
        <f aca="false">IF($C1459="","",IF(OR($E1459="G",$E1459="H"),0,IF($E1459="T",1,MIN(1,MAX(0,($O1459-Inputs!$B$8)/MAX($P1459-Inputs!$B$8,0.01))))))</f>
        <v/>
      </c>
    </row>
    <row r="1460" customFormat="false" ht="15" hidden="false" customHeight="false" outlineLevel="0" collapsed="false">
      <c r="I1460" s="7" t="str">
        <f aca="false">IF($C1460="","",IF($C1460="G","PUTT",IF(AND($C1460="T",$M1460&gt;3),"OTT",IF($D1460&lt;=30,"ARG","APP"))))</f>
        <v/>
      </c>
      <c r="J1460" s="17" t="str">
        <f aca="false">IF($C1460="","",$N1460+$Q1460*$R1460)</f>
        <v/>
      </c>
      <c r="K1460" s="17" t="str">
        <f aca="false">IF($C1460="","",$O1460+$Q1460*$S1460)</f>
        <v/>
      </c>
      <c r="L1460" s="17" t="str">
        <f aca="false">IF($C1460="","",$J1460-$K1460-1-N($G1460))</f>
        <v/>
      </c>
      <c r="M1460" s="7" t="str">
        <f aca="false">IF($B1460="","",INDEX(Course!$B$2:$B$19,MATCH($B1460,Course!$A$2:$A$19,0)))</f>
        <v/>
      </c>
      <c r="N1460" s="17" t="str">
        <f aca="false">IF($C1460="","",IF($C1460="H",0,IF($C1460="G",INDEX(Baseline!$I$3:$I$102,MIN(MAX(ROUND($D1460,0),1),100)),IF($C1460="T",IF($M1460=3,INDEX(Baseline!$B$3:$B$122,MATCH(MIN(MAX(ROUND(($D1460)/5,0)*5,5),600),Baseline!$A$3:$A$122,0))-Inputs!$B$9,INDEX(Course!$N$2:$N$19,MATCH($B1460,Course!$A$2:$A$19,0))),INDEX(Baseline!$B$3:$E$122,MATCH(MIN(MAX(ROUND(($D1460)/5,0)*5,5),600),Baseline!$A$3:$A$122,0),MATCH($C1460,Baseline!$B$2:$E$2,0))))))</f>
        <v/>
      </c>
      <c r="O1460" s="17" t="str">
        <f aca="false">IF($C1460="","",IF($E1460="H",0,IF($E1460="G",INDEX(Baseline!$I$3:$I$102,MIN(MAX(ROUND($F1460,0),1),100)),IF($E1460="T",IF($M1460=3,INDEX(Baseline!$B$3:$B$122,MATCH(MIN(MAX(ROUND(($F1460)/5,0)*5,5),600),Baseline!$A$3:$A$122,0))-Inputs!$B$9,INDEX(Course!$N$2:$N$19,MATCH($B1460,Course!$A$2:$A$19,0))),INDEX(Baseline!$B$3:$E$122,MATCH(MIN(MAX(ROUND(($F1460)/5,0)*5,5),600),Baseline!$A$3:$A$122,0),MATCH($E1460,Baseline!$B$2:$E$2,0))))))</f>
        <v/>
      </c>
      <c r="P1460" s="17" t="str">
        <f aca="false">IF($B1460="","",INDEX(Course!$N$2:$N$19,MATCH($B1460,Course!$A$2:$A$19,0)))</f>
        <v/>
      </c>
      <c r="Q1460" s="17" t="str">
        <f aca="false">IF($B1460="","",INDEX(Course!$P$2:$P$19,MATCH($B1460,Course!$A$2:$A$19,0)))</f>
        <v/>
      </c>
      <c r="R1460" s="17" t="str">
        <f aca="false">IF($C1460="","",IF(OR($C1460="G",$C1460="H"),0,IF($C1460="T",1,MIN(1,MAX(0,($N1460-Inputs!$B$8)/MAX($P1460-Inputs!$B$8,0.01))))))</f>
        <v/>
      </c>
      <c r="S1460" s="17" t="str">
        <f aca="false">IF($C1460="","",IF(OR($E1460="G",$E1460="H"),0,IF($E1460="T",1,MIN(1,MAX(0,($O1460-Inputs!$B$8)/MAX($P1460-Inputs!$B$8,0.01))))))</f>
        <v/>
      </c>
    </row>
    <row r="1461" customFormat="false" ht="15" hidden="false" customHeight="false" outlineLevel="0" collapsed="false">
      <c r="I1461" s="7" t="str">
        <f aca="false">IF($C1461="","",IF($C1461="G","PUTT",IF(AND($C1461="T",$M1461&gt;3),"OTT",IF($D1461&lt;=30,"ARG","APP"))))</f>
        <v/>
      </c>
      <c r="J1461" s="17" t="str">
        <f aca="false">IF($C1461="","",$N1461+$Q1461*$R1461)</f>
        <v/>
      </c>
      <c r="K1461" s="17" t="str">
        <f aca="false">IF($C1461="","",$O1461+$Q1461*$S1461)</f>
        <v/>
      </c>
      <c r="L1461" s="17" t="str">
        <f aca="false">IF($C1461="","",$J1461-$K1461-1-N($G1461))</f>
        <v/>
      </c>
      <c r="M1461" s="7" t="str">
        <f aca="false">IF($B1461="","",INDEX(Course!$B$2:$B$19,MATCH($B1461,Course!$A$2:$A$19,0)))</f>
        <v/>
      </c>
      <c r="N1461" s="17" t="str">
        <f aca="false">IF($C1461="","",IF($C1461="H",0,IF($C1461="G",INDEX(Baseline!$I$3:$I$102,MIN(MAX(ROUND($D1461,0),1),100)),IF($C1461="T",IF($M1461=3,INDEX(Baseline!$B$3:$B$122,MATCH(MIN(MAX(ROUND(($D1461)/5,0)*5,5),600),Baseline!$A$3:$A$122,0))-Inputs!$B$9,INDEX(Course!$N$2:$N$19,MATCH($B1461,Course!$A$2:$A$19,0))),INDEX(Baseline!$B$3:$E$122,MATCH(MIN(MAX(ROUND(($D1461)/5,0)*5,5),600),Baseline!$A$3:$A$122,0),MATCH($C1461,Baseline!$B$2:$E$2,0))))))</f>
        <v/>
      </c>
      <c r="O1461" s="17" t="str">
        <f aca="false">IF($C1461="","",IF($E1461="H",0,IF($E1461="G",INDEX(Baseline!$I$3:$I$102,MIN(MAX(ROUND($F1461,0),1),100)),IF($E1461="T",IF($M1461=3,INDEX(Baseline!$B$3:$B$122,MATCH(MIN(MAX(ROUND(($F1461)/5,0)*5,5),600),Baseline!$A$3:$A$122,0))-Inputs!$B$9,INDEX(Course!$N$2:$N$19,MATCH($B1461,Course!$A$2:$A$19,0))),INDEX(Baseline!$B$3:$E$122,MATCH(MIN(MAX(ROUND(($F1461)/5,0)*5,5),600),Baseline!$A$3:$A$122,0),MATCH($E1461,Baseline!$B$2:$E$2,0))))))</f>
        <v/>
      </c>
      <c r="P1461" s="17" t="str">
        <f aca="false">IF($B1461="","",INDEX(Course!$N$2:$N$19,MATCH($B1461,Course!$A$2:$A$19,0)))</f>
        <v/>
      </c>
      <c r="Q1461" s="17" t="str">
        <f aca="false">IF($B1461="","",INDEX(Course!$P$2:$P$19,MATCH($B1461,Course!$A$2:$A$19,0)))</f>
        <v/>
      </c>
      <c r="R1461" s="17" t="str">
        <f aca="false">IF($C1461="","",IF(OR($C1461="G",$C1461="H"),0,IF($C1461="T",1,MIN(1,MAX(0,($N1461-Inputs!$B$8)/MAX($P1461-Inputs!$B$8,0.01))))))</f>
        <v/>
      </c>
      <c r="S1461" s="17" t="str">
        <f aca="false">IF($C1461="","",IF(OR($E1461="G",$E1461="H"),0,IF($E1461="T",1,MIN(1,MAX(0,($O1461-Inputs!$B$8)/MAX($P1461-Inputs!$B$8,0.01))))))</f>
        <v/>
      </c>
    </row>
    <row r="1462" customFormat="false" ht="15" hidden="false" customHeight="false" outlineLevel="0" collapsed="false">
      <c r="I1462" s="7" t="str">
        <f aca="false">IF($C1462="","",IF($C1462="G","PUTT",IF(AND($C1462="T",$M1462&gt;3),"OTT",IF($D1462&lt;=30,"ARG","APP"))))</f>
        <v/>
      </c>
      <c r="J1462" s="17" t="str">
        <f aca="false">IF($C1462="","",$N1462+$Q1462*$R1462)</f>
        <v/>
      </c>
      <c r="K1462" s="17" t="str">
        <f aca="false">IF($C1462="","",$O1462+$Q1462*$S1462)</f>
        <v/>
      </c>
      <c r="L1462" s="17" t="str">
        <f aca="false">IF($C1462="","",$J1462-$K1462-1-N($G1462))</f>
        <v/>
      </c>
      <c r="M1462" s="7" t="str">
        <f aca="false">IF($B1462="","",INDEX(Course!$B$2:$B$19,MATCH($B1462,Course!$A$2:$A$19,0)))</f>
        <v/>
      </c>
      <c r="N1462" s="17" t="str">
        <f aca="false">IF($C1462="","",IF($C1462="H",0,IF($C1462="G",INDEX(Baseline!$I$3:$I$102,MIN(MAX(ROUND($D1462,0),1),100)),IF($C1462="T",IF($M1462=3,INDEX(Baseline!$B$3:$B$122,MATCH(MIN(MAX(ROUND(($D1462)/5,0)*5,5),600),Baseline!$A$3:$A$122,0))-Inputs!$B$9,INDEX(Course!$N$2:$N$19,MATCH($B1462,Course!$A$2:$A$19,0))),INDEX(Baseline!$B$3:$E$122,MATCH(MIN(MAX(ROUND(($D1462)/5,0)*5,5),600),Baseline!$A$3:$A$122,0),MATCH($C1462,Baseline!$B$2:$E$2,0))))))</f>
        <v/>
      </c>
      <c r="O1462" s="17" t="str">
        <f aca="false">IF($C1462="","",IF($E1462="H",0,IF($E1462="G",INDEX(Baseline!$I$3:$I$102,MIN(MAX(ROUND($F1462,0),1),100)),IF($E1462="T",IF($M1462=3,INDEX(Baseline!$B$3:$B$122,MATCH(MIN(MAX(ROUND(($F1462)/5,0)*5,5),600),Baseline!$A$3:$A$122,0))-Inputs!$B$9,INDEX(Course!$N$2:$N$19,MATCH($B1462,Course!$A$2:$A$19,0))),INDEX(Baseline!$B$3:$E$122,MATCH(MIN(MAX(ROUND(($F1462)/5,0)*5,5),600),Baseline!$A$3:$A$122,0),MATCH($E1462,Baseline!$B$2:$E$2,0))))))</f>
        <v/>
      </c>
      <c r="P1462" s="17" t="str">
        <f aca="false">IF($B1462="","",INDEX(Course!$N$2:$N$19,MATCH($B1462,Course!$A$2:$A$19,0)))</f>
        <v/>
      </c>
      <c r="Q1462" s="17" t="str">
        <f aca="false">IF($B1462="","",INDEX(Course!$P$2:$P$19,MATCH($B1462,Course!$A$2:$A$19,0)))</f>
        <v/>
      </c>
      <c r="R1462" s="17" t="str">
        <f aca="false">IF($C1462="","",IF(OR($C1462="G",$C1462="H"),0,IF($C1462="T",1,MIN(1,MAX(0,($N1462-Inputs!$B$8)/MAX($P1462-Inputs!$B$8,0.01))))))</f>
        <v/>
      </c>
      <c r="S1462" s="17" t="str">
        <f aca="false">IF($C1462="","",IF(OR($E1462="G",$E1462="H"),0,IF($E1462="T",1,MIN(1,MAX(0,($O1462-Inputs!$B$8)/MAX($P1462-Inputs!$B$8,0.01))))))</f>
        <v/>
      </c>
    </row>
    <row r="1463" customFormat="false" ht="15" hidden="false" customHeight="false" outlineLevel="0" collapsed="false">
      <c r="I1463" s="7" t="str">
        <f aca="false">IF($C1463="","",IF($C1463="G","PUTT",IF(AND($C1463="T",$M1463&gt;3),"OTT",IF($D1463&lt;=30,"ARG","APP"))))</f>
        <v/>
      </c>
      <c r="J1463" s="17" t="str">
        <f aca="false">IF($C1463="","",$N1463+$Q1463*$R1463)</f>
        <v/>
      </c>
      <c r="K1463" s="17" t="str">
        <f aca="false">IF($C1463="","",$O1463+$Q1463*$S1463)</f>
        <v/>
      </c>
      <c r="L1463" s="17" t="str">
        <f aca="false">IF($C1463="","",$J1463-$K1463-1-N($G1463))</f>
        <v/>
      </c>
      <c r="M1463" s="7" t="str">
        <f aca="false">IF($B1463="","",INDEX(Course!$B$2:$B$19,MATCH($B1463,Course!$A$2:$A$19,0)))</f>
        <v/>
      </c>
      <c r="N1463" s="17" t="str">
        <f aca="false">IF($C1463="","",IF($C1463="H",0,IF($C1463="G",INDEX(Baseline!$I$3:$I$102,MIN(MAX(ROUND($D1463,0),1),100)),IF($C1463="T",IF($M1463=3,INDEX(Baseline!$B$3:$B$122,MATCH(MIN(MAX(ROUND(($D1463)/5,0)*5,5),600),Baseline!$A$3:$A$122,0))-Inputs!$B$9,INDEX(Course!$N$2:$N$19,MATCH($B1463,Course!$A$2:$A$19,0))),INDEX(Baseline!$B$3:$E$122,MATCH(MIN(MAX(ROUND(($D1463)/5,0)*5,5),600),Baseline!$A$3:$A$122,0),MATCH($C1463,Baseline!$B$2:$E$2,0))))))</f>
        <v/>
      </c>
      <c r="O1463" s="17" t="str">
        <f aca="false">IF($C1463="","",IF($E1463="H",0,IF($E1463="G",INDEX(Baseline!$I$3:$I$102,MIN(MAX(ROUND($F1463,0),1),100)),IF($E1463="T",IF($M1463=3,INDEX(Baseline!$B$3:$B$122,MATCH(MIN(MAX(ROUND(($F1463)/5,0)*5,5),600),Baseline!$A$3:$A$122,0))-Inputs!$B$9,INDEX(Course!$N$2:$N$19,MATCH($B1463,Course!$A$2:$A$19,0))),INDEX(Baseline!$B$3:$E$122,MATCH(MIN(MAX(ROUND(($F1463)/5,0)*5,5),600),Baseline!$A$3:$A$122,0),MATCH($E1463,Baseline!$B$2:$E$2,0))))))</f>
        <v/>
      </c>
      <c r="P1463" s="17" t="str">
        <f aca="false">IF($B1463="","",INDEX(Course!$N$2:$N$19,MATCH($B1463,Course!$A$2:$A$19,0)))</f>
        <v/>
      </c>
      <c r="Q1463" s="17" t="str">
        <f aca="false">IF($B1463="","",INDEX(Course!$P$2:$P$19,MATCH($B1463,Course!$A$2:$A$19,0)))</f>
        <v/>
      </c>
      <c r="R1463" s="17" t="str">
        <f aca="false">IF($C1463="","",IF(OR($C1463="G",$C1463="H"),0,IF($C1463="T",1,MIN(1,MAX(0,($N1463-Inputs!$B$8)/MAX($P1463-Inputs!$B$8,0.01))))))</f>
        <v/>
      </c>
      <c r="S1463" s="17" t="str">
        <f aca="false">IF($C1463="","",IF(OR($E1463="G",$E1463="H"),0,IF($E1463="T",1,MIN(1,MAX(0,($O1463-Inputs!$B$8)/MAX($P1463-Inputs!$B$8,0.01))))))</f>
        <v/>
      </c>
    </row>
    <row r="1464" customFormat="false" ht="15" hidden="false" customHeight="false" outlineLevel="0" collapsed="false">
      <c r="I1464" s="7" t="str">
        <f aca="false">IF($C1464="","",IF($C1464="G","PUTT",IF(AND($C1464="T",$M1464&gt;3),"OTT",IF($D1464&lt;=30,"ARG","APP"))))</f>
        <v/>
      </c>
      <c r="J1464" s="17" t="str">
        <f aca="false">IF($C1464="","",$N1464+$Q1464*$R1464)</f>
        <v/>
      </c>
      <c r="K1464" s="17" t="str">
        <f aca="false">IF($C1464="","",$O1464+$Q1464*$S1464)</f>
        <v/>
      </c>
      <c r="L1464" s="17" t="str">
        <f aca="false">IF($C1464="","",$J1464-$K1464-1-N($G1464))</f>
        <v/>
      </c>
      <c r="M1464" s="7" t="str">
        <f aca="false">IF($B1464="","",INDEX(Course!$B$2:$B$19,MATCH($B1464,Course!$A$2:$A$19,0)))</f>
        <v/>
      </c>
      <c r="N1464" s="17" t="str">
        <f aca="false">IF($C1464="","",IF($C1464="H",0,IF($C1464="G",INDEX(Baseline!$I$3:$I$102,MIN(MAX(ROUND($D1464,0),1),100)),IF($C1464="T",IF($M1464=3,INDEX(Baseline!$B$3:$B$122,MATCH(MIN(MAX(ROUND(($D1464)/5,0)*5,5),600),Baseline!$A$3:$A$122,0))-Inputs!$B$9,INDEX(Course!$N$2:$N$19,MATCH($B1464,Course!$A$2:$A$19,0))),INDEX(Baseline!$B$3:$E$122,MATCH(MIN(MAX(ROUND(($D1464)/5,0)*5,5),600),Baseline!$A$3:$A$122,0),MATCH($C1464,Baseline!$B$2:$E$2,0))))))</f>
        <v/>
      </c>
      <c r="O1464" s="17" t="str">
        <f aca="false">IF($C1464="","",IF($E1464="H",0,IF($E1464="G",INDEX(Baseline!$I$3:$I$102,MIN(MAX(ROUND($F1464,0),1),100)),IF($E1464="T",IF($M1464=3,INDEX(Baseline!$B$3:$B$122,MATCH(MIN(MAX(ROUND(($F1464)/5,0)*5,5),600),Baseline!$A$3:$A$122,0))-Inputs!$B$9,INDEX(Course!$N$2:$N$19,MATCH($B1464,Course!$A$2:$A$19,0))),INDEX(Baseline!$B$3:$E$122,MATCH(MIN(MAX(ROUND(($F1464)/5,0)*5,5),600),Baseline!$A$3:$A$122,0),MATCH($E1464,Baseline!$B$2:$E$2,0))))))</f>
        <v/>
      </c>
      <c r="P1464" s="17" t="str">
        <f aca="false">IF($B1464="","",INDEX(Course!$N$2:$N$19,MATCH($B1464,Course!$A$2:$A$19,0)))</f>
        <v/>
      </c>
      <c r="Q1464" s="17" t="str">
        <f aca="false">IF($B1464="","",INDEX(Course!$P$2:$P$19,MATCH($B1464,Course!$A$2:$A$19,0)))</f>
        <v/>
      </c>
      <c r="R1464" s="17" t="str">
        <f aca="false">IF($C1464="","",IF(OR($C1464="G",$C1464="H"),0,IF($C1464="T",1,MIN(1,MAX(0,($N1464-Inputs!$B$8)/MAX($P1464-Inputs!$B$8,0.01))))))</f>
        <v/>
      </c>
      <c r="S1464" s="17" t="str">
        <f aca="false">IF($C1464="","",IF(OR($E1464="G",$E1464="H"),0,IF($E1464="T",1,MIN(1,MAX(0,($O1464-Inputs!$B$8)/MAX($P1464-Inputs!$B$8,0.01))))))</f>
        <v/>
      </c>
    </row>
    <row r="1465" customFormat="false" ht="15" hidden="false" customHeight="false" outlineLevel="0" collapsed="false">
      <c r="I1465" s="7" t="str">
        <f aca="false">IF($C1465="","",IF($C1465="G","PUTT",IF(AND($C1465="T",$M1465&gt;3),"OTT",IF($D1465&lt;=30,"ARG","APP"))))</f>
        <v/>
      </c>
      <c r="J1465" s="17" t="str">
        <f aca="false">IF($C1465="","",$N1465+$Q1465*$R1465)</f>
        <v/>
      </c>
      <c r="K1465" s="17" t="str">
        <f aca="false">IF($C1465="","",$O1465+$Q1465*$S1465)</f>
        <v/>
      </c>
      <c r="L1465" s="17" t="str">
        <f aca="false">IF($C1465="","",$J1465-$K1465-1-N($G1465))</f>
        <v/>
      </c>
      <c r="M1465" s="7" t="str">
        <f aca="false">IF($B1465="","",INDEX(Course!$B$2:$B$19,MATCH($B1465,Course!$A$2:$A$19,0)))</f>
        <v/>
      </c>
      <c r="N1465" s="17" t="str">
        <f aca="false">IF($C1465="","",IF($C1465="H",0,IF($C1465="G",INDEX(Baseline!$I$3:$I$102,MIN(MAX(ROUND($D1465,0),1),100)),IF($C1465="T",IF($M1465=3,INDEX(Baseline!$B$3:$B$122,MATCH(MIN(MAX(ROUND(($D1465)/5,0)*5,5),600),Baseline!$A$3:$A$122,0))-Inputs!$B$9,INDEX(Course!$N$2:$N$19,MATCH($B1465,Course!$A$2:$A$19,0))),INDEX(Baseline!$B$3:$E$122,MATCH(MIN(MAX(ROUND(($D1465)/5,0)*5,5),600),Baseline!$A$3:$A$122,0),MATCH($C1465,Baseline!$B$2:$E$2,0))))))</f>
        <v/>
      </c>
      <c r="O1465" s="17" t="str">
        <f aca="false">IF($C1465="","",IF($E1465="H",0,IF($E1465="G",INDEX(Baseline!$I$3:$I$102,MIN(MAX(ROUND($F1465,0),1),100)),IF($E1465="T",IF($M1465=3,INDEX(Baseline!$B$3:$B$122,MATCH(MIN(MAX(ROUND(($F1465)/5,0)*5,5),600),Baseline!$A$3:$A$122,0))-Inputs!$B$9,INDEX(Course!$N$2:$N$19,MATCH($B1465,Course!$A$2:$A$19,0))),INDEX(Baseline!$B$3:$E$122,MATCH(MIN(MAX(ROUND(($F1465)/5,0)*5,5),600),Baseline!$A$3:$A$122,0),MATCH($E1465,Baseline!$B$2:$E$2,0))))))</f>
        <v/>
      </c>
      <c r="P1465" s="17" t="str">
        <f aca="false">IF($B1465="","",INDEX(Course!$N$2:$N$19,MATCH($B1465,Course!$A$2:$A$19,0)))</f>
        <v/>
      </c>
      <c r="Q1465" s="17" t="str">
        <f aca="false">IF($B1465="","",INDEX(Course!$P$2:$P$19,MATCH($B1465,Course!$A$2:$A$19,0)))</f>
        <v/>
      </c>
      <c r="R1465" s="17" t="str">
        <f aca="false">IF($C1465="","",IF(OR($C1465="G",$C1465="H"),0,IF($C1465="T",1,MIN(1,MAX(0,($N1465-Inputs!$B$8)/MAX($P1465-Inputs!$B$8,0.01))))))</f>
        <v/>
      </c>
      <c r="S1465" s="17" t="str">
        <f aca="false">IF($C1465="","",IF(OR($E1465="G",$E1465="H"),0,IF($E1465="T",1,MIN(1,MAX(0,($O1465-Inputs!$B$8)/MAX($P1465-Inputs!$B$8,0.01))))))</f>
        <v/>
      </c>
    </row>
    <row r="1466" customFormat="false" ht="15" hidden="false" customHeight="false" outlineLevel="0" collapsed="false">
      <c r="I1466" s="7" t="str">
        <f aca="false">IF($C1466="","",IF($C1466="G","PUTT",IF(AND($C1466="T",$M1466&gt;3),"OTT",IF($D1466&lt;=30,"ARG","APP"))))</f>
        <v/>
      </c>
      <c r="J1466" s="17" t="str">
        <f aca="false">IF($C1466="","",$N1466+$Q1466*$R1466)</f>
        <v/>
      </c>
      <c r="K1466" s="17" t="str">
        <f aca="false">IF($C1466="","",$O1466+$Q1466*$S1466)</f>
        <v/>
      </c>
      <c r="L1466" s="17" t="str">
        <f aca="false">IF($C1466="","",$J1466-$K1466-1-N($G1466))</f>
        <v/>
      </c>
      <c r="M1466" s="7" t="str">
        <f aca="false">IF($B1466="","",INDEX(Course!$B$2:$B$19,MATCH($B1466,Course!$A$2:$A$19,0)))</f>
        <v/>
      </c>
      <c r="N1466" s="17" t="str">
        <f aca="false">IF($C1466="","",IF($C1466="H",0,IF($C1466="G",INDEX(Baseline!$I$3:$I$102,MIN(MAX(ROUND($D1466,0),1),100)),IF($C1466="T",IF($M1466=3,INDEX(Baseline!$B$3:$B$122,MATCH(MIN(MAX(ROUND(($D1466)/5,0)*5,5),600),Baseline!$A$3:$A$122,0))-Inputs!$B$9,INDEX(Course!$N$2:$N$19,MATCH($B1466,Course!$A$2:$A$19,0))),INDEX(Baseline!$B$3:$E$122,MATCH(MIN(MAX(ROUND(($D1466)/5,0)*5,5),600),Baseline!$A$3:$A$122,0),MATCH($C1466,Baseline!$B$2:$E$2,0))))))</f>
        <v/>
      </c>
      <c r="O1466" s="17" t="str">
        <f aca="false">IF($C1466="","",IF($E1466="H",0,IF($E1466="G",INDEX(Baseline!$I$3:$I$102,MIN(MAX(ROUND($F1466,0),1),100)),IF($E1466="T",IF($M1466=3,INDEX(Baseline!$B$3:$B$122,MATCH(MIN(MAX(ROUND(($F1466)/5,0)*5,5),600),Baseline!$A$3:$A$122,0))-Inputs!$B$9,INDEX(Course!$N$2:$N$19,MATCH($B1466,Course!$A$2:$A$19,0))),INDEX(Baseline!$B$3:$E$122,MATCH(MIN(MAX(ROUND(($F1466)/5,0)*5,5),600),Baseline!$A$3:$A$122,0),MATCH($E1466,Baseline!$B$2:$E$2,0))))))</f>
        <v/>
      </c>
      <c r="P1466" s="17" t="str">
        <f aca="false">IF($B1466="","",INDEX(Course!$N$2:$N$19,MATCH($B1466,Course!$A$2:$A$19,0)))</f>
        <v/>
      </c>
      <c r="Q1466" s="17" t="str">
        <f aca="false">IF($B1466="","",INDEX(Course!$P$2:$P$19,MATCH($B1466,Course!$A$2:$A$19,0)))</f>
        <v/>
      </c>
      <c r="R1466" s="17" t="str">
        <f aca="false">IF($C1466="","",IF(OR($C1466="G",$C1466="H"),0,IF($C1466="T",1,MIN(1,MAX(0,($N1466-Inputs!$B$8)/MAX($P1466-Inputs!$B$8,0.01))))))</f>
        <v/>
      </c>
      <c r="S1466" s="17" t="str">
        <f aca="false">IF($C1466="","",IF(OR($E1466="G",$E1466="H"),0,IF($E1466="T",1,MIN(1,MAX(0,($O1466-Inputs!$B$8)/MAX($P1466-Inputs!$B$8,0.01))))))</f>
        <v/>
      </c>
    </row>
    <row r="1467" customFormat="false" ht="15" hidden="false" customHeight="false" outlineLevel="0" collapsed="false">
      <c r="I1467" s="7" t="str">
        <f aca="false">IF($C1467="","",IF($C1467="G","PUTT",IF(AND($C1467="T",$M1467&gt;3),"OTT",IF($D1467&lt;=30,"ARG","APP"))))</f>
        <v/>
      </c>
      <c r="J1467" s="17" t="str">
        <f aca="false">IF($C1467="","",$N1467+$Q1467*$R1467)</f>
        <v/>
      </c>
      <c r="K1467" s="17" t="str">
        <f aca="false">IF($C1467="","",$O1467+$Q1467*$S1467)</f>
        <v/>
      </c>
      <c r="L1467" s="17" t="str">
        <f aca="false">IF($C1467="","",$J1467-$K1467-1-N($G1467))</f>
        <v/>
      </c>
      <c r="M1467" s="7" t="str">
        <f aca="false">IF($B1467="","",INDEX(Course!$B$2:$B$19,MATCH($B1467,Course!$A$2:$A$19,0)))</f>
        <v/>
      </c>
      <c r="N1467" s="17" t="str">
        <f aca="false">IF($C1467="","",IF($C1467="H",0,IF($C1467="G",INDEX(Baseline!$I$3:$I$102,MIN(MAX(ROUND($D1467,0),1),100)),IF($C1467="T",IF($M1467=3,INDEX(Baseline!$B$3:$B$122,MATCH(MIN(MAX(ROUND(($D1467)/5,0)*5,5),600),Baseline!$A$3:$A$122,0))-Inputs!$B$9,INDEX(Course!$N$2:$N$19,MATCH($B1467,Course!$A$2:$A$19,0))),INDEX(Baseline!$B$3:$E$122,MATCH(MIN(MAX(ROUND(($D1467)/5,0)*5,5),600),Baseline!$A$3:$A$122,0),MATCH($C1467,Baseline!$B$2:$E$2,0))))))</f>
        <v/>
      </c>
      <c r="O1467" s="17" t="str">
        <f aca="false">IF($C1467="","",IF($E1467="H",0,IF($E1467="G",INDEX(Baseline!$I$3:$I$102,MIN(MAX(ROUND($F1467,0),1),100)),IF($E1467="T",IF($M1467=3,INDEX(Baseline!$B$3:$B$122,MATCH(MIN(MAX(ROUND(($F1467)/5,0)*5,5),600),Baseline!$A$3:$A$122,0))-Inputs!$B$9,INDEX(Course!$N$2:$N$19,MATCH($B1467,Course!$A$2:$A$19,0))),INDEX(Baseline!$B$3:$E$122,MATCH(MIN(MAX(ROUND(($F1467)/5,0)*5,5),600),Baseline!$A$3:$A$122,0),MATCH($E1467,Baseline!$B$2:$E$2,0))))))</f>
        <v/>
      </c>
      <c r="P1467" s="17" t="str">
        <f aca="false">IF($B1467="","",INDEX(Course!$N$2:$N$19,MATCH($B1467,Course!$A$2:$A$19,0)))</f>
        <v/>
      </c>
      <c r="Q1467" s="17" t="str">
        <f aca="false">IF($B1467="","",INDEX(Course!$P$2:$P$19,MATCH($B1467,Course!$A$2:$A$19,0)))</f>
        <v/>
      </c>
      <c r="R1467" s="17" t="str">
        <f aca="false">IF($C1467="","",IF(OR($C1467="G",$C1467="H"),0,IF($C1467="T",1,MIN(1,MAX(0,($N1467-Inputs!$B$8)/MAX($P1467-Inputs!$B$8,0.01))))))</f>
        <v/>
      </c>
      <c r="S1467" s="17" t="str">
        <f aca="false">IF($C1467="","",IF(OR($E1467="G",$E1467="H"),0,IF($E1467="T",1,MIN(1,MAX(0,($O1467-Inputs!$B$8)/MAX($P1467-Inputs!$B$8,0.01))))))</f>
        <v/>
      </c>
    </row>
    <row r="1468" customFormat="false" ht="15" hidden="false" customHeight="false" outlineLevel="0" collapsed="false">
      <c r="I1468" s="7" t="str">
        <f aca="false">IF($C1468="","",IF($C1468="G","PUTT",IF(AND($C1468="T",$M1468&gt;3),"OTT",IF($D1468&lt;=30,"ARG","APP"))))</f>
        <v/>
      </c>
      <c r="J1468" s="17" t="str">
        <f aca="false">IF($C1468="","",$N1468+$Q1468*$R1468)</f>
        <v/>
      </c>
      <c r="K1468" s="17" t="str">
        <f aca="false">IF($C1468="","",$O1468+$Q1468*$S1468)</f>
        <v/>
      </c>
      <c r="L1468" s="17" t="str">
        <f aca="false">IF($C1468="","",$J1468-$K1468-1-N($G1468))</f>
        <v/>
      </c>
      <c r="M1468" s="7" t="str">
        <f aca="false">IF($B1468="","",INDEX(Course!$B$2:$B$19,MATCH($B1468,Course!$A$2:$A$19,0)))</f>
        <v/>
      </c>
      <c r="N1468" s="17" t="str">
        <f aca="false">IF($C1468="","",IF($C1468="H",0,IF($C1468="G",INDEX(Baseline!$I$3:$I$102,MIN(MAX(ROUND($D1468,0),1),100)),IF($C1468="T",IF($M1468=3,INDEX(Baseline!$B$3:$B$122,MATCH(MIN(MAX(ROUND(($D1468)/5,0)*5,5),600),Baseline!$A$3:$A$122,0))-Inputs!$B$9,INDEX(Course!$N$2:$N$19,MATCH($B1468,Course!$A$2:$A$19,0))),INDEX(Baseline!$B$3:$E$122,MATCH(MIN(MAX(ROUND(($D1468)/5,0)*5,5),600),Baseline!$A$3:$A$122,0),MATCH($C1468,Baseline!$B$2:$E$2,0))))))</f>
        <v/>
      </c>
      <c r="O1468" s="17" t="str">
        <f aca="false">IF($C1468="","",IF($E1468="H",0,IF($E1468="G",INDEX(Baseline!$I$3:$I$102,MIN(MAX(ROUND($F1468,0),1),100)),IF($E1468="T",IF($M1468=3,INDEX(Baseline!$B$3:$B$122,MATCH(MIN(MAX(ROUND(($F1468)/5,0)*5,5),600),Baseline!$A$3:$A$122,0))-Inputs!$B$9,INDEX(Course!$N$2:$N$19,MATCH($B1468,Course!$A$2:$A$19,0))),INDEX(Baseline!$B$3:$E$122,MATCH(MIN(MAX(ROUND(($F1468)/5,0)*5,5),600),Baseline!$A$3:$A$122,0),MATCH($E1468,Baseline!$B$2:$E$2,0))))))</f>
        <v/>
      </c>
      <c r="P1468" s="17" t="str">
        <f aca="false">IF($B1468="","",INDEX(Course!$N$2:$N$19,MATCH($B1468,Course!$A$2:$A$19,0)))</f>
        <v/>
      </c>
      <c r="Q1468" s="17" t="str">
        <f aca="false">IF($B1468="","",INDEX(Course!$P$2:$P$19,MATCH($B1468,Course!$A$2:$A$19,0)))</f>
        <v/>
      </c>
      <c r="R1468" s="17" t="str">
        <f aca="false">IF($C1468="","",IF(OR($C1468="G",$C1468="H"),0,IF($C1468="T",1,MIN(1,MAX(0,($N1468-Inputs!$B$8)/MAX($P1468-Inputs!$B$8,0.01))))))</f>
        <v/>
      </c>
      <c r="S1468" s="17" t="str">
        <f aca="false">IF($C1468="","",IF(OR($E1468="G",$E1468="H"),0,IF($E1468="T",1,MIN(1,MAX(0,($O1468-Inputs!$B$8)/MAX($P1468-Inputs!$B$8,0.01))))))</f>
        <v/>
      </c>
    </row>
    <row r="1469" customFormat="false" ht="15" hidden="false" customHeight="false" outlineLevel="0" collapsed="false">
      <c r="I1469" s="7" t="str">
        <f aca="false">IF($C1469="","",IF($C1469="G","PUTT",IF(AND($C1469="T",$M1469&gt;3),"OTT",IF($D1469&lt;=30,"ARG","APP"))))</f>
        <v/>
      </c>
      <c r="J1469" s="17" t="str">
        <f aca="false">IF($C1469="","",$N1469+$Q1469*$R1469)</f>
        <v/>
      </c>
      <c r="K1469" s="17" t="str">
        <f aca="false">IF($C1469="","",$O1469+$Q1469*$S1469)</f>
        <v/>
      </c>
      <c r="L1469" s="17" t="str">
        <f aca="false">IF($C1469="","",$J1469-$K1469-1-N($G1469))</f>
        <v/>
      </c>
      <c r="M1469" s="7" t="str">
        <f aca="false">IF($B1469="","",INDEX(Course!$B$2:$B$19,MATCH($B1469,Course!$A$2:$A$19,0)))</f>
        <v/>
      </c>
      <c r="N1469" s="17" t="str">
        <f aca="false">IF($C1469="","",IF($C1469="H",0,IF($C1469="G",INDEX(Baseline!$I$3:$I$102,MIN(MAX(ROUND($D1469,0),1),100)),IF($C1469="T",IF($M1469=3,INDEX(Baseline!$B$3:$B$122,MATCH(MIN(MAX(ROUND(($D1469)/5,0)*5,5),600),Baseline!$A$3:$A$122,0))-Inputs!$B$9,INDEX(Course!$N$2:$N$19,MATCH($B1469,Course!$A$2:$A$19,0))),INDEX(Baseline!$B$3:$E$122,MATCH(MIN(MAX(ROUND(($D1469)/5,0)*5,5),600),Baseline!$A$3:$A$122,0),MATCH($C1469,Baseline!$B$2:$E$2,0))))))</f>
        <v/>
      </c>
      <c r="O1469" s="17" t="str">
        <f aca="false">IF($C1469="","",IF($E1469="H",0,IF($E1469="G",INDEX(Baseline!$I$3:$I$102,MIN(MAX(ROUND($F1469,0),1),100)),IF($E1469="T",IF($M1469=3,INDEX(Baseline!$B$3:$B$122,MATCH(MIN(MAX(ROUND(($F1469)/5,0)*5,5),600),Baseline!$A$3:$A$122,0))-Inputs!$B$9,INDEX(Course!$N$2:$N$19,MATCH($B1469,Course!$A$2:$A$19,0))),INDEX(Baseline!$B$3:$E$122,MATCH(MIN(MAX(ROUND(($F1469)/5,0)*5,5),600),Baseline!$A$3:$A$122,0),MATCH($E1469,Baseline!$B$2:$E$2,0))))))</f>
        <v/>
      </c>
      <c r="P1469" s="17" t="str">
        <f aca="false">IF($B1469="","",INDEX(Course!$N$2:$N$19,MATCH($B1469,Course!$A$2:$A$19,0)))</f>
        <v/>
      </c>
      <c r="Q1469" s="17" t="str">
        <f aca="false">IF($B1469="","",INDEX(Course!$P$2:$P$19,MATCH($B1469,Course!$A$2:$A$19,0)))</f>
        <v/>
      </c>
      <c r="R1469" s="17" t="str">
        <f aca="false">IF($C1469="","",IF(OR($C1469="G",$C1469="H"),0,IF($C1469="T",1,MIN(1,MAX(0,($N1469-Inputs!$B$8)/MAX($P1469-Inputs!$B$8,0.01))))))</f>
        <v/>
      </c>
      <c r="S1469" s="17" t="str">
        <f aca="false">IF($C1469="","",IF(OR($E1469="G",$E1469="H"),0,IF($E1469="T",1,MIN(1,MAX(0,($O1469-Inputs!$B$8)/MAX($P1469-Inputs!$B$8,0.01))))))</f>
        <v/>
      </c>
    </row>
    <row r="1470" customFormat="false" ht="15" hidden="false" customHeight="false" outlineLevel="0" collapsed="false">
      <c r="I1470" s="7" t="str">
        <f aca="false">IF($C1470="","",IF($C1470="G","PUTT",IF(AND($C1470="T",$M1470&gt;3),"OTT",IF($D1470&lt;=30,"ARG","APP"))))</f>
        <v/>
      </c>
      <c r="J1470" s="17" t="str">
        <f aca="false">IF($C1470="","",$N1470+$Q1470*$R1470)</f>
        <v/>
      </c>
      <c r="K1470" s="17" t="str">
        <f aca="false">IF($C1470="","",$O1470+$Q1470*$S1470)</f>
        <v/>
      </c>
      <c r="L1470" s="17" t="str">
        <f aca="false">IF($C1470="","",$J1470-$K1470-1-N($G1470))</f>
        <v/>
      </c>
      <c r="M1470" s="7" t="str">
        <f aca="false">IF($B1470="","",INDEX(Course!$B$2:$B$19,MATCH($B1470,Course!$A$2:$A$19,0)))</f>
        <v/>
      </c>
      <c r="N1470" s="17" t="str">
        <f aca="false">IF($C1470="","",IF($C1470="H",0,IF($C1470="G",INDEX(Baseline!$I$3:$I$102,MIN(MAX(ROUND($D1470,0),1),100)),IF($C1470="T",IF($M1470=3,INDEX(Baseline!$B$3:$B$122,MATCH(MIN(MAX(ROUND(($D1470)/5,0)*5,5),600),Baseline!$A$3:$A$122,0))-Inputs!$B$9,INDEX(Course!$N$2:$N$19,MATCH($B1470,Course!$A$2:$A$19,0))),INDEX(Baseline!$B$3:$E$122,MATCH(MIN(MAX(ROUND(($D1470)/5,0)*5,5),600),Baseline!$A$3:$A$122,0),MATCH($C1470,Baseline!$B$2:$E$2,0))))))</f>
        <v/>
      </c>
      <c r="O1470" s="17" t="str">
        <f aca="false">IF($C1470="","",IF($E1470="H",0,IF($E1470="G",INDEX(Baseline!$I$3:$I$102,MIN(MAX(ROUND($F1470,0),1),100)),IF($E1470="T",IF($M1470=3,INDEX(Baseline!$B$3:$B$122,MATCH(MIN(MAX(ROUND(($F1470)/5,0)*5,5),600),Baseline!$A$3:$A$122,0))-Inputs!$B$9,INDEX(Course!$N$2:$N$19,MATCH($B1470,Course!$A$2:$A$19,0))),INDEX(Baseline!$B$3:$E$122,MATCH(MIN(MAX(ROUND(($F1470)/5,0)*5,5),600),Baseline!$A$3:$A$122,0),MATCH($E1470,Baseline!$B$2:$E$2,0))))))</f>
        <v/>
      </c>
      <c r="P1470" s="17" t="str">
        <f aca="false">IF($B1470="","",INDEX(Course!$N$2:$N$19,MATCH($B1470,Course!$A$2:$A$19,0)))</f>
        <v/>
      </c>
      <c r="Q1470" s="17" t="str">
        <f aca="false">IF($B1470="","",INDEX(Course!$P$2:$P$19,MATCH($B1470,Course!$A$2:$A$19,0)))</f>
        <v/>
      </c>
      <c r="R1470" s="17" t="str">
        <f aca="false">IF($C1470="","",IF(OR($C1470="G",$C1470="H"),0,IF($C1470="T",1,MIN(1,MAX(0,($N1470-Inputs!$B$8)/MAX($P1470-Inputs!$B$8,0.01))))))</f>
        <v/>
      </c>
      <c r="S1470" s="17" t="str">
        <f aca="false">IF($C1470="","",IF(OR($E1470="G",$E1470="H"),0,IF($E1470="T",1,MIN(1,MAX(0,($O1470-Inputs!$B$8)/MAX($P1470-Inputs!$B$8,0.01))))))</f>
        <v/>
      </c>
    </row>
    <row r="1471" customFormat="false" ht="15" hidden="false" customHeight="false" outlineLevel="0" collapsed="false">
      <c r="I1471" s="7" t="str">
        <f aca="false">IF($C1471="","",IF($C1471="G","PUTT",IF(AND($C1471="T",$M1471&gt;3),"OTT",IF($D1471&lt;=30,"ARG","APP"))))</f>
        <v/>
      </c>
      <c r="J1471" s="17" t="str">
        <f aca="false">IF($C1471="","",$N1471+$Q1471*$R1471)</f>
        <v/>
      </c>
      <c r="K1471" s="17" t="str">
        <f aca="false">IF($C1471="","",$O1471+$Q1471*$S1471)</f>
        <v/>
      </c>
      <c r="L1471" s="17" t="str">
        <f aca="false">IF($C1471="","",$J1471-$K1471-1-N($G1471))</f>
        <v/>
      </c>
      <c r="M1471" s="7" t="str">
        <f aca="false">IF($B1471="","",INDEX(Course!$B$2:$B$19,MATCH($B1471,Course!$A$2:$A$19,0)))</f>
        <v/>
      </c>
      <c r="N1471" s="17" t="str">
        <f aca="false">IF($C1471="","",IF($C1471="H",0,IF($C1471="G",INDEX(Baseline!$I$3:$I$102,MIN(MAX(ROUND($D1471,0),1),100)),IF($C1471="T",IF($M1471=3,INDEX(Baseline!$B$3:$B$122,MATCH(MIN(MAX(ROUND(($D1471)/5,0)*5,5),600),Baseline!$A$3:$A$122,0))-Inputs!$B$9,INDEX(Course!$N$2:$N$19,MATCH($B1471,Course!$A$2:$A$19,0))),INDEX(Baseline!$B$3:$E$122,MATCH(MIN(MAX(ROUND(($D1471)/5,0)*5,5),600),Baseline!$A$3:$A$122,0),MATCH($C1471,Baseline!$B$2:$E$2,0))))))</f>
        <v/>
      </c>
      <c r="O1471" s="17" t="str">
        <f aca="false">IF($C1471="","",IF($E1471="H",0,IF($E1471="G",INDEX(Baseline!$I$3:$I$102,MIN(MAX(ROUND($F1471,0),1),100)),IF($E1471="T",IF($M1471=3,INDEX(Baseline!$B$3:$B$122,MATCH(MIN(MAX(ROUND(($F1471)/5,0)*5,5),600),Baseline!$A$3:$A$122,0))-Inputs!$B$9,INDEX(Course!$N$2:$N$19,MATCH($B1471,Course!$A$2:$A$19,0))),INDEX(Baseline!$B$3:$E$122,MATCH(MIN(MAX(ROUND(($F1471)/5,0)*5,5),600),Baseline!$A$3:$A$122,0),MATCH($E1471,Baseline!$B$2:$E$2,0))))))</f>
        <v/>
      </c>
      <c r="P1471" s="17" t="str">
        <f aca="false">IF($B1471="","",INDEX(Course!$N$2:$N$19,MATCH($B1471,Course!$A$2:$A$19,0)))</f>
        <v/>
      </c>
      <c r="Q1471" s="17" t="str">
        <f aca="false">IF($B1471="","",INDEX(Course!$P$2:$P$19,MATCH($B1471,Course!$A$2:$A$19,0)))</f>
        <v/>
      </c>
      <c r="R1471" s="17" t="str">
        <f aca="false">IF($C1471="","",IF(OR($C1471="G",$C1471="H"),0,IF($C1471="T",1,MIN(1,MAX(0,($N1471-Inputs!$B$8)/MAX($P1471-Inputs!$B$8,0.01))))))</f>
        <v/>
      </c>
      <c r="S1471" s="17" t="str">
        <f aca="false">IF($C1471="","",IF(OR($E1471="G",$E1471="H"),0,IF($E1471="T",1,MIN(1,MAX(0,($O1471-Inputs!$B$8)/MAX($P1471-Inputs!$B$8,0.01))))))</f>
        <v/>
      </c>
    </row>
    <row r="1472" customFormat="false" ht="15" hidden="false" customHeight="false" outlineLevel="0" collapsed="false">
      <c r="I1472" s="7" t="str">
        <f aca="false">IF($C1472="","",IF($C1472="G","PUTT",IF(AND($C1472="T",$M1472&gt;3),"OTT",IF($D1472&lt;=30,"ARG","APP"))))</f>
        <v/>
      </c>
      <c r="J1472" s="17" t="str">
        <f aca="false">IF($C1472="","",$N1472+$Q1472*$R1472)</f>
        <v/>
      </c>
      <c r="K1472" s="17" t="str">
        <f aca="false">IF($C1472="","",$O1472+$Q1472*$S1472)</f>
        <v/>
      </c>
      <c r="L1472" s="17" t="str">
        <f aca="false">IF($C1472="","",$J1472-$K1472-1-N($G1472))</f>
        <v/>
      </c>
      <c r="M1472" s="7" t="str">
        <f aca="false">IF($B1472="","",INDEX(Course!$B$2:$B$19,MATCH($B1472,Course!$A$2:$A$19,0)))</f>
        <v/>
      </c>
      <c r="N1472" s="17" t="str">
        <f aca="false">IF($C1472="","",IF($C1472="H",0,IF($C1472="G",INDEX(Baseline!$I$3:$I$102,MIN(MAX(ROUND($D1472,0),1),100)),IF($C1472="T",IF($M1472=3,INDEX(Baseline!$B$3:$B$122,MATCH(MIN(MAX(ROUND(($D1472)/5,0)*5,5),600),Baseline!$A$3:$A$122,0))-Inputs!$B$9,INDEX(Course!$N$2:$N$19,MATCH($B1472,Course!$A$2:$A$19,0))),INDEX(Baseline!$B$3:$E$122,MATCH(MIN(MAX(ROUND(($D1472)/5,0)*5,5),600),Baseline!$A$3:$A$122,0),MATCH($C1472,Baseline!$B$2:$E$2,0))))))</f>
        <v/>
      </c>
      <c r="O1472" s="17" t="str">
        <f aca="false">IF($C1472="","",IF($E1472="H",0,IF($E1472="G",INDEX(Baseline!$I$3:$I$102,MIN(MAX(ROUND($F1472,0),1),100)),IF($E1472="T",IF($M1472=3,INDEX(Baseline!$B$3:$B$122,MATCH(MIN(MAX(ROUND(($F1472)/5,0)*5,5),600),Baseline!$A$3:$A$122,0))-Inputs!$B$9,INDEX(Course!$N$2:$N$19,MATCH($B1472,Course!$A$2:$A$19,0))),INDEX(Baseline!$B$3:$E$122,MATCH(MIN(MAX(ROUND(($F1472)/5,0)*5,5),600),Baseline!$A$3:$A$122,0),MATCH($E1472,Baseline!$B$2:$E$2,0))))))</f>
        <v/>
      </c>
      <c r="P1472" s="17" t="str">
        <f aca="false">IF($B1472="","",INDEX(Course!$N$2:$N$19,MATCH($B1472,Course!$A$2:$A$19,0)))</f>
        <v/>
      </c>
      <c r="Q1472" s="17" t="str">
        <f aca="false">IF($B1472="","",INDEX(Course!$P$2:$P$19,MATCH($B1472,Course!$A$2:$A$19,0)))</f>
        <v/>
      </c>
      <c r="R1472" s="17" t="str">
        <f aca="false">IF($C1472="","",IF(OR($C1472="G",$C1472="H"),0,IF($C1472="T",1,MIN(1,MAX(0,($N1472-Inputs!$B$8)/MAX($P1472-Inputs!$B$8,0.01))))))</f>
        <v/>
      </c>
      <c r="S1472" s="17" t="str">
        <f aca="false">IF($C1472="","",IF(OR($E1472="G",$E1472="H"),0,IF($E1472="T",1,MIN(1,MAX(0,($O1472-Inputs!$B$8)/MAX($P1472-Inputs!$B$8,0.01))))))</f>
        <v/>
      </c>
    </row>
    <row r="1473" customFormat="false" ht="15" hidden="false" customHeight="false" outlineLevel="0" collapsed="false">
      <c r="I1473" s="7" t="str">
        <f aca="false">IF($C1473="","",IF($C1473="G","PUTT",IF(AND($C1473="T",$M1473&gt;3),"OTT",IF($D1473&lt;=30,"ARG","APP"))))</f>
        <v/>
      </c>
      <c r="J1473" s="17" t="str">
        <f aca="false">IF($C1473="","",$N1473+$Q1473*$R1473)</f>
        <v/>
      </c>
      <c r="K1473" s="17" t="str">
        <f aca="false">IF($C1473="","",$O1473+$Q1473*$S1473)</f>
        <v/>
      </c>
      <c r="L1473" s="17" t="str">
        <f aca="false">IF($C1473="","",$J1473-$K1473-1-N($G1473))</f>
        <v/>
      </c>
      <c r="M1473" s="7" t="str">
        <f aca="false">IF($B1473="","",INDEX(Course!$B$2:$B$19,MATCH($B1473,Course!$A$2:$A$19,0)))</f>
        <v/>
      </c>
      <c r="N1473" s="17" t="str">
        <f aca="false">IF($C1473="","",IF($C1473="H",0,IF($C1473="G",INDEX(Baseline!$I$3:$I$102,MIN(MAX(ROUND($D1473,0),1),100)),IF($C1473="T",IF($M1473=3,INDEX(Baseline!$B$3:$B$122,MATCH(MIN(MAX(ROUND(($D1473)/5,0)*5,5),600),Baseline!$A$3:$A$122,0))-Inputs!$B$9,INDEX(Course!$N$2:$N$19,MATCH($B1473,Course!$A$2:$A$19,0))),INDEX(Baseline!$B$3:$E$122,MATCH(MIN(MAX(ROUND(($D1473)/5,0)*5,5),600),Baseline!$A$3:$A$122,0),MATCH($C1473,Baseline!$B$2:$E$2,0))))))</f>
        <v/>
      </c>
      <c r="O1473" s="17" t="str">
        <f aca="false">IF($C1473="","",IF($E1473="H",0,IF($E1473="G",INDEX(Baseline!$I$3:$I$102,MIN(MAX(ROUND($F1473,0),1),100)),IF($E1473="T",IF($M1473=3,INDEX(Baseline!$B$3:$B$122,MATCH(MIN(MAX(ROUND(($F1473)/5,0)*5,5),600),Baseline!$A$3:$A$122,0))-Inputs!$B$9,INDEX(Course!$N$2:$N$19,MATCH($B1473,Course!$A$2:$A$19,0))),INDEX(Baseline!$B$3:$E$122,MATCH(MIN(MAX(ROUND(($F1473)/5,0)*5,5),600),Baseline!$A$3:$A$122,0),MATCH($E1473,Baseline!$B$2:$E$2,0))))))</f>
        <v/>
      </c>
      <c r="P1473" s="17" t="str">
        <f aca="false">IF($B1473="","",INDEX(Course!$N$2:$N$19,MATCH($B1473,Course!$A$2:$A$19,0)))</f>
        <v/>
      </c>
      <c r="Q1473" s="17" t="str">
        <f aca="false">IF($B1473="","",INDEX(Course!$P$2:$P$19,MATCH($B1473,Course!$A$2:$A$19,0)))</f>
        <v/>
      </c>
      <c r="R1473" s="17" t="str">
        <f aca="false">IF($C1473="","",IF(OR($C1473="G",$C1473="H"),0,IF($C1473="T",1,MIN(1,MAX(0,($N1473-Inputs!$B$8)/MAX($P1473-Inputs!$B$8,0.01))))))</f>
        <v/>
      </c>
      <c r="S1473" s="17" t="str">
        <f aca="false">IF($C1473="","",IF(OR($E1473="G",$E1473="H"),0,IF($E1473="T",1,MIN(1,MAX(0,($O1473-Inputs!$B$8)/MAX($P1473-Inputs!$B$8,0.01))))))</f>
        <v/>
      </c>
    </row>
    <row r="1474" customFormat="false" ht="15" hidden="false" customHeight="false" outlineLevel="0" collapsed="false">
      <c r="I1474" s="7" t="str">
        <f aca="false">IF($C1474="","",IF($C1474="G","PUTT",IF(AND($C1474="T",$M1474&gt;3),"OTT",IF($D1474&lt;=30,"ARG","APP"))))</f>
        <v/>
      </c>
      <c r="J1474" s="17" t="str">
        <f aca="false">IF($C1474="","",$N1474+$Q1474*$R1474)</f>
        <v/>
      </c>
      <c r="K1474" s="17" t="str">
        <f aca="false">IF($C1474="","",$O1474+$Q1474*$S1474)</f>
        <v/>
      </c>
      <c r="L1474" s="17" t="str">
        <f aca="false">IF($C1474="","",$J1474-$K1474-1-N($G1474))</f>
        <v/>
      </c>
      <c r="M1474" s="7" t="str">
        <f aca="false">IF($B1474="","",INDEX(Course!$B$2:$B$19,MATCH($B1474,Course!$A$2:$A$19,0)))</f>
        <v/>
      </c>
      <c r="N1474" s="17" t="str">
        <f aca="false">IF($C1474="","",IF($C1474="H",0,IF($C1474="G",INDEX(Baseline!$I$3:$I$102,MIN(MAX(ROUND($D1474,0),1),100)),IF($C1474="T",IF($M1474=3,INDEX(Baseline!$B$3:$B$122,MATCH(MIN(MAX(ROUND(($D1474)/5,0)*5,5),600),Baseline!$A$3:$A$122,0))-Inputs!$B$9,INDEX(Course!$N$2:$N$19,MATCH($B1474,Course!$A$2:$A$19,0))),INDEX(Baseline!$B$3:$E$122,MATCH(MIN(MAX(ROUND(($D1474)/5,0)*5,5),600),Baseline!$A$3:$A$122,0),MATCH($C1474,Baseline!$B$2:$E$2,0))))))</f>
        <v/>
      </c>
      <c r="O1474" s="17" t="str">
        <f aca="false">IF($C1474="","",IF($E1474="H",0,IF($E1474="G",INDEX(Baseline!$I$3:$I$102,MIN(MAX(ROUND($F1474,0),1),100)),IF($E1474="T",IF($M1474=3,INDEX(Baseline!$B$3:$B$122,MATCH(MIN(MAX(ROUND(($F1474)/5,0)*5,5),600),Baseline!$A$3:$A$122,0))-Inputs!$B$9,INDEX(Course!$N$2:$N$19,MATCH($B1474,Course!$A$2:$A$19,0))),INDEX(Baseline!$B$3:$E$122,MATCH(MIN(MAX(ROUND(($F1474)/5,0)*5,5),600),Baseline!$A$3:$A$122,0),MATCH($E1474,Baseline!$B$2:$E$2,0))))))</f>
        <v/>
      </c>
      <c r="P1474" s="17" t="str">
        <f aca="false">IF($B1474="","",INDEX(Course!$N$2:$N$19,MATCH($B1474,Course!$A$2:$A$19,0)))</f>
        <v/>
      </c>
      <c r="Q1474" s="17" t="str">
        <f aca="false">IF($B1474="","",INDEX(Course!$P$2:$P$19,MATCH($B1474,Course!$A$2:$A$19,0)))</f>
        <v/>
      </c>
      <c r="R1474" s="17" t="str">
        <f aca="false">IF($C1474="","",IF(OR($C1474="G",$C1474="H"),0,IF($C1474="T",1,MIN(1,MAX(0,($N1474-Inputs!$B$8)/MAX($P1474-Inputs!$B$8,0.01))))))</f>
        <v/>
      </c>
      <c r="S1474" s="17" t="str">
        <f aca="false">IF($C1474="","",IF(OR($E1474="G",$E1474="H"),0,IF($E1474="T",1,MIN(1,MAX(0,($O1474-Inputs!$B$8)/MAX($P1474-Inputs!$B$8,0.01))))))</f>
        <v/>
      </c>
    </row>
    <row r="1475" customFormat="false" ht="15" hidden="false" customHeight="false" outlineLevel="0" collapsed="false">
      <c r="I1475" s="7" t="str">
        <f aca="false">IF($C1475="","",IF($C1475="G","PUTT",IF(AND($C1475="T",$M1475&gt;3),"OTT",IF($D1475&lt;=30,"ARG","APP"))))</f>
        <v/>
      </c>
      <c r="J1475" s="17" t="str">
        <f aca="false">IF($C1475="","",$N1475+$Q1475*$R1475)</f>
        <v/>
      </c>
      <c r="K1475" s="17" t="str">
        <f aca="false">IF($C1475="","",$O1475+$Q1475*$S1475)</f>
        <v/>
      </c>
      <c r="L1475" s="17" t="str">
        <f aca="false">IF($C1475="","",$J1475-$K1475-1-N($G1475))</f>
        <v/>
      </c>
      <c r="M1475" s="7" t="str">
        <f aca="false">IF($B1475="","",INDEX(Course!$B$2:$B$19,MATCH($B1475,Course!$A$2:$A$19,0)))</f>
        <v/>
      </c>
      <c r="N1475" s="17" t="str">
        <f aca="false">IF($C1475="","",IF($C1475="H",0,IF($C1475="G",INDEX(Baseline!$I$3:$I$102,MIN(MAX(ROUND($D1475,0),1),100)),IF($C1475="T",IF($M1475=3,INDEX(Baseline!$B$3:$B$122,MATCH(MIN(MAX(ROUND(($D1475)/5,0)*5,5),600),Baseline!$A$3:$A$122,0))-Inputs!$B$9,INDEX(Course!$N$2:$N$19,MATCH($B1475,Course!$A$2:$A$19,0))),INDEX(Baseline!$B$3:$E$122,MATCH(MIN(MAX(ROUND(($D1475)/5,0)*5,5),600),Baseline!$A$3:$A$122,0),MATCH($C1475,Baseline!$B$2:$E$2,0))))))</f>
        <v/>
      </c>
      <c r="O1475" s="17" t="str">
        <f aca="false">IF($C1475="","",IF($E1475="H",0,IF($E1475="G",INDEX(Baseline!$I$3:$I$102,MIN(MAX(ROUND($F1475,0),1),100)),IF($E1475="T",IF($M1475=3,INDEX(Baseline!$B$3:$B$122,MATCH(MIN(MAX(ROUND(($F1475)/5,0)*5,5),600),Baseline!$A$3:$A$122,0))-Inputs!$B$9,INDEX(Course!$N$2:$N$19,MATCH($B1475,Course!$A$2:$A$19,0))),INDEX(Baseline!$B$3:$E$122,MATCH(MIN(MAX(ROUND(($F1475)/5,0)*5,5),600),Baseline!$A$3:$A$122,0),MATCH($E1475,Baseline!$B$2:$E$2,0))))))</f>
        <v/>
      </c>
      <c r="P1475" s="17" t="str">
        <f aca="false">IF($B1475="","",INDEX(Course!$N$2:$N$19,MATCH($B1475,Course!$A$2:$A$19,0)))</f>
        <v/>
      </c>
      <c r="Q1475" s="17" t="str">
        <f aca="false">IF($B1475="","",INDEX(Course!$P$2:$P$19,MATCH($B1475,Course!$A$2:$A$19,0)))</f>
        <v/>
      </c>
      <c r="R1475" s="17" t="str">
        <f aca="false">IF($C1475="","",IF(OR($C1475="G",$C1475="H"),0,IF($C1475="T",1,MIN(1,MAX(0,($N1475-Inputs!$B$8)/MAX($P1475-Inputs!$B$8,0.01))))))</f>
        <v/>
      </c>
      <c r="S1475" s="17" t="str">
        <f aca="false">IF($C1475="","",IF(OR($E1475="G",$E1475="H"),0,IF($E1475="T",1,MIN(1,MAX(0,($O1475-Inputs!$B$8)/MAX($P1475-Inputs!$B$8,0.01))))))</f>
        <v/>
      </c>
    </row>
    <row r="1476" customFormat="false" ht="15" hidden="false" customHeight="false" outlineLevel="0" collapsed="false">
      <c r="I1476" s="7" t="str">
        <f aca="false">IF($C1476="","",IF($C1476="G","PUTT",IF(AND($C1476="T",$M1476&gt;3),"OTT",IF($D1476&lt;=30,"ARG","APP"))))</f>
        <v/>
      </c>
      <c r="J1476" s="17" t="str">
        <f aca="false">IF($C1476="","",$N1476+$Q1476*$R1476)</f>
        <v/>
      </c>
      <c r="K1476" s="17" t="str">
        <f aca="false">IF($C1476="","",$O1476+$Q1476*$S1476)</f>
        <v/>
      </c>
      <c r="L1476" s="17" t="str">
        <f aca="false">IF($C1476="","",$J1476-$K1476-1-N($G1476))</f>
        <v/>
      </c>
      <c r="M1476" s="7" t="str">
        <f aca="false">IF($B1476="","",INDEX(Course!$B$2:$B$19,MATCH($B1476,Course!$A$2:$A$19,0)))</f>
        <v/>
      </c>
      <c r="N1476" s="17" t="str">
        <f aca="false">IF($C1476="","",IF($C1476="H",0,IF($C1476="G",INDEX(Baseline!$I$3:$I$102,MIN(MAX(ROUND($D1476,0),1),100)),IF($C1476="T",IF($M1476=3,INDEX(Baseline!$B$3:$B$122,MATCH(MIN(MAX(ROUND(($D1476)/5,0)*5,5),600),Baseline!$A$3:$A$122,0))-Inputs!$B$9,INDEX(Course!$N$2:$N$19,MATCH($B1476,Course!$A$2:$A$19,0))),INDEX(Baseline!$B$3:$E$122,MATCH(MIN(MAX(ROUND(($D1476)/5,0)*5,5),600),Baseline!$A$3:$A$122,0),MATCH($C1476,Baseline!$B$2:$E$2,0))))))</f>
        <v/>
      </c>
      <c r="O1476" s="17" t="str">
        <f aca="false">IF($C1476="","",IF($E1476="H",0,IF($E1476="G",INDEX(Baseline!$I$3:$I$102,MIN(MAX(ROUND($F1476,0),1),100)),IF($E1476="T",IF($M1476=3,INDEX(Baseline!$B$3:$B$122,MATCH(MIN(MAX(ROUND(($F1476)/5,0)*5,5),600),Baseline!$A$3:$A$122,0))-Inputs!$B$9,INDEX(Course!$N$2:$N$19,MATCH($B1476,Course!$A$2:$A$19,0))),INDEX(Baseline!$B$3:$E$122,MATCH(MIN(MAX(ROUND(($F1476)/5,0)*5,5),600),Baseline!$A$3:$A$122,0),MATCH($E1476,Baseline!$B$2:$E$2,0))))))</f>
        <v/>
      </c>
      <c r="P1476" s="17" t="str">
        <f aca="false">IF($B1476="","",INDEX(Course!$N$2:$N$19,MATCH($B1476,Course!$A$2:$A$19,0)))</f>
        <v/>
      </c>
      <c r="Q1476" s="17" t="str">
        <f aca="false">IF($B1476="","",INDEX(Course!$P$2:$P$19,MATCH($B1476,Course!$A$2:$A$19,0)))</f>
        <v/>
      </c>
      <c r="R1476" s="17" t="str">
        <f aca="false">IF($C1476="","",IF(OR($C1476="G",$C1476="H"),0,IF($C1476="T",1,MIN(1,MAX(0,($N1476-Inputs!$B$8)/MAX($P1476-Inputs!$B$8,0.01))))))</f>
        <v/>
      </c>
      <c r="S1476" s="17" t="str">
        <f aca="false">IF($C1476="","",IF(OR($E1476="G",$E1476="H"),0,IF($E1476="T",1,MIN(1,MAX(0,($O1476-Inputs!$B$8)/MAX($P1476-Inputs!$B$8,0.01))))))</f>
        <v/>
      </c>
    </row>
    <row r="1477" customFormat="false" ht="15" hidden="false" customHeight="false" outlineLevel="0" collapsed="false">
      <c r="I1477" s="7" t="str">
        <f aca="false">IF($C1477="","",IF($C1477="G","PUTT",IF(AND($C1477="T",$M1477&gt;3),"OTT",IF($D1477&lt;=30,"ARG","APP"))))</f>
        <v/>
      </c>
      <c r="J1477" s="17" t="str">
        <f aca="false">IF($C1477="","",$N1477+$Q1477*$R1477)</f>
        <v/>
      </c>
      <c r="K1477" s="17" t="str">
        <f aca="false">IF($C1477="","",$O1477+$Q1477*$S1477)</f>
        <v/>
      </c>
      <c r="L1477" s="17" t="str">
        <f aca="false">IF($C1477="","",$J1477-$K1477-1-N($G1477))</f>
        <v/>
      </c>
      <c r="M1477" s="7" t="str">
        <f aca="false">IF($B1477="","",INDEX(Course!$B$2:$B$19,MATCH($B1477,Course!$A$2:$A$19,0)))</f>
        <v/>
      </c>
      <c r="N1477" s="17" t="str">
        <f aca="false">IF($C1477="","",IF($C1477="H",0,IF($C1477="G",INDEX(Baseline!$I$3:$I$102,MIN(MAX(ROUND($D1477,0),1),100)),IF($C1477="T",IF($M1477=3,INDEX(Baseline!$B$3:$B$122,MATCH(MIN(MAX(ROUND(($D1477)/5,0)*5,5),600),Baseline!$A$3:$A$122,0))-Inputs!$B$9,INDEX(Course!$N$2:$N$19,MATCH($B1477,Course!$A$2:$A$19,0))),INDEX(Baseline!$B$3:$E$122,MATCH(MIN(MAX(ROUND(($D1477)/5,0)*5,5),600),Baseline!$A$3:$A$122,0),MATCH($C1477,Baseline!$B$2:$E$2,0))))))</f>
        <v/>
      </c>
      <c r="O1477" s="17" t="str">
        <f aca="false">IF($C1477="","",IF($E1477="H",0,IF($E1477="G",INDEX(Baseline!$I$3:$I$102,MIN(MAX(ROUND($F1477,0),1),100)),IF($E1477="T",IF($M1477=3,INDEX(Baseline!$B$3:$B$122,MATCH(MIN(MAX(ROUND(($F1477)/5,0)*5,5),600),Baseline!$A$3:$A$122,0))-Inputs!$B$9,INDEX(Course!$N$2:$N$19,MATCH($B1477,Course!$A$2:$A$19,0))),INDEX(Baseline!$B$3:$E$122,MATCH(MIN(MAX(ROUND(($F1477)/5,0)*5,5),600),Baseline!$A$3:$A$122,0),MATCH($E1477,Baseline!$B$2:$E$2,0))))))</f>
        <v/>
      </c>
      <c r="P1477" s="17" t="str">
        <f aca="false">IF($B1477="","",INDEX(Course!$N$2:$N$19,MATCH($B1477,Course!$A$2:$A$19,0)))</f>
        <v/>
      </c>
      <c r="Q1477" s="17" t="str">
        <f aca="false">IF($B1477="","",INDEX(Course!$P$2:$P$19,MATCH($B1477,Course!$A$2:$A$19,0)))</f>
        <v/>
      </c>
      <c r="R1477" s="17" t="str">
        <f aca="false">IF($C1477="","",IF(OR($C1477="G",$C1477="H"),0,IF($C1477="T",1,MIN(1,MAX(0,($N1477-Inputs!$B$8)/MAX($P1477-Inputs!$B$8,0.01))))))</f>
        <v/>
      </c>
      <c r="S1477" s="17" t="str">
        <f aca="false">IF($C1477="","",IF(OR($E1477="G",$E1477="H"),0,IF($E1477="T",1,MIN(1,MAX(0,($O1477-Inputs!$B$8)/MAX($P1477-Inputs!$B$8,0.01))))))</f>
        <v/>
      </c>
    </row>
    <row r="1478" customFormat="false" ht="15" hidden="false" customHeight="false" outlineLevel="0" collapsed="false">
      <c r="I1478" s="7" t="str">
        <f aca="false">IF($C1478="","",IF($C1478="G","PUTT",IF(AND($C1478="T",$M1478&gt;3),"OTT",IF($D1478&lt;=30,"ARG","APP"))))</f>
        <v/>
      </c>
      <c r="J1478" s="17" t="str">
        <f aca="false">IF($C1478="","",$N1478+$Q1478*$R1478)</f>
        <v/>
      </c>
      <c r="K1478" s="17" t="str">
        <f aca="false">IF($C1478="","",$O1478+$Q1478*$S1478)</f>
        <v/>
      </c>
      <c r="L1478" s="17" t="str">
        <f aca="false">IF($C1478="","",$J1478-$K1478-1-N($G1478))</f>
        <v/>
      </c>
      <c r="M1478" s="7" t="str">
        <f aca="false">IF($B1478="","",INDEX(Course!$B$2:$B$19,MATCH($B1478,Course!$A$2:$A$19,0)))</f>
        <v/>
      </c>
      <c r="N1478" s="17" t="str">
        <f aca="false">IF($C1478="","",IF($C1478="H",0,IF($C1478="G",INDEX(Baseline!$I$3:$I$102,MIN(MAX(ROUND($D1478,0),1),100)),IF($C1478="T",IF($M1478=3,INDEX(Baseline!$B$3:$B$122,MATCH(MIN(MAX(ROUND(($D1478)/5,0)*5,5),600),Baseline!$A$3:$A$122,0))-Inputs!$B$9,INDEX(Course!$N$2:$N$19,MATCH($B1478,Course!$A$2:$A$19,0))),INDEX(Baseline!$B$3:$E$122,MATCH(MIN(MAX(ROUND(($D1478)/5,0)*5,5),600),Baseline!$A$3:$A$122,0),MATCH($C1478,Baseline!$B$2:$E$2,0))))))</f>
        <v/>
      </c>
      <c r="O1478" s="17" t="str">
        <f aca="false">IF($C1478="","",IF($E1478="H",0,IF($E1478="G",INDEX(Baseline!$I$3:$I$102,MIN(MAX(ROUND($F1478,0),1),100)),IF($E1478="T",IF($M1478=3,INDEX(Baseline!$B$3:$B$122,MATCH(MIN(MAX(ROUND(($F1478)/5,0)*5,5),600),Baseline!$A$3:$A$122,0))-Inputs!$B$9,INDEX(Course!$N$2:$N$19,MATCH($B1478,Course!$A$2:$A$19,0))),INDEX(Baseline!$B$3:$E$122,MATCH(MIN(MAX(ROUND(($F1478)/5,0)*5,5),600),Baseline!$A$3:$A$122,0),MATCH($E1478,Baseline!$B$2:$E$2,0))))))</f>
        <v/>
      </c>
      <c r="P1478" s="17" t="str">
        <f aca="false">IF($B1478="","",INDEX(Course!$N$2:$N$19,MATCH($B1478,Course!$A$2:$A$19,0)))</f>
        <v/>
      </c>
      <c r="Q1478" s="17" t="str">
        <f aca="false">IF($B1478="","",INDEX(Course!$P$2:$P$19,MATCH($B1478,Course!$A$2:$A$19,0)))</f>
        <v/>
      </c>
      <c r="R1478" s="17" t="str">
        <f aca="false">IF($C1478="","",IF(OR($C1478="G",$C1478="H"),0,IF($C1478="T",1,MIN(1,MAX(0,($N1478-Inputs!$B$8)/MAX($P1478-Inputs!$B$8,0.01))))))</f>
        <v/>
      </c>
      <c r="S1478" s="17" t="str">
        <f aca="false">IF($C1478="","",IF(OR($E1478="G",$E1478="H"),0,IF($E1478="T",1,MIN(1,MAX(0,($O1478-Inputs!$B$8)/MAX($P1478-Inputs!$B$8,0.01))))))</f>
        <v/>
      </c>
    </row>
    <row r="1479" customFormat="false" ht="15" hidden="false" customHeight="false" outlineLevel="0" collapsed="false">
      <c r="I1479" s="7" t="str">
        <f aca="false">IF($C1479="","",IF($C1479="G","PUTT",IF(AND($C1479="T",$M1479&gt;3),"OTT",IF($D1479&lt;=30,"ARG","APP"))))</f>
        <v/>
      </c>
      <c r="J1479" s="17" t="str">
        <f aca="false">IF($C1479="","",$N1479+$Q1479*$R1479)</f>
        <v/>
      </c>
      <c r="K1479" s="17" t="str">
        <f aca="false">IF($C1479="","",$O1479+$Q1479*$S1479)</f>
        <v/>
      </c>
      <c r="L1479" s="17" t="str">
        <f aca="false">IF($C1479="","",$J1479-$K1479-1-N($G1479))</f>
        <v/>
      </c>
      <c r="M1479" s="7" t="str">
        <f aca="false">IF($B1479="","",INDEX(Course!$B$2:$B$19,MATCH($B1479,Course!$A$2:$A$19,0)))</f>
        <v/>
      </c>
      <c r="N1479" s="17" t="str">
        <f aca="false">IF($C1479="","",IF($C1479="H",0,IF($C1479="G",INDEX(Baseline!$I$3:$I$102,MIN(MAX(ROUND($D1479,0),1),100)),IF($C1479="T",IF($M1479=3,INDEX(Baseline!$B$3:$B$122,MATCH(MIN(MAX(ROUND(($D1479)/5,0)*5,5),600),Baseline!$A$3:$A$122,0))-Inputs!$B$9,INDEX(Course!$N$2:$N$19,MATCH($B1479,Course!$A$2:$A$19,0))),INDEX(Baseline!$B$3:$E$122,MATCH(MIN(MAX(ROUND(($D1479)/5,0)*5,5),600),Baseline!$A$3:$A$122,0),MATCH($C1479,Baseline!$B$2:$E$2,0))))))</f>
        <v/>
      </c>
      <c r="O1479" s="17" t="str">
        <f aca="false">IF($C1479="","",IF($E1479="H",0,IF($E1479="G",INDEX(Baseline!$I$3:$I$102,MIN(MAX(ROUND($F1479,0),1),100)),IF($E1479="T",IF($M1479=3,INDEX(Baseline!$B$3:$B$122,MATCH(MIN(MAX(ROUND(($F1479)/5,0)*5,5),600),Baseline!$A$3:$A$122,0))-Inputs!$B$9,INDEX(Course!$N$2:$N$19,MATCH($B1479,Course!$A$2:$A$19,0))),INDEX(Baseline!$B$3:$E$122,MATCH(MIN(MAX(ROUND(($F1479)/5,0)*5,5),600),Baseline!$A$3:$A$122,0),MATCH($E1479,Baseline!$B$2:$E$2,0))))))</f>
        <v/>
      </c>
      <c r="P1479" s="17" t="str">
        <f aca="false">IF($B1479="","",INDEX(Course!$N$2:$N$19,MATCH($B1479,Course!$A$2:$A$19,0)))</f>
        <v/>
      </c>
      <c r="Q1479" s="17" t="str">
        <f aca="false">IF($B1479="","",INDEX(Course!$P$2:$P$19,MATCH($B1479,Course!$A$2:$A$19,0)))</f>
        <v/>
      </c>
      <c r="R1479" s="17" t="str">
        <f aca="false">IF($C1479="","",IF(OR($C1479="G",$C1479="H"),0,IF($C1479="T",1,MIN(1,MAX(0,($N1479-Inputs!$B$8)/MAX($P1479-Inputs!$B$8,0.01))))))</f>
        <v/>
      </c>
      <c r="S1479" s="17" t="str">
        <f aca="false">IF($C1479="","",IF(OR($E1479="G",$E1479="H"),0,IF($E1479="T",1,MIN(1,MAX(0,($O1479-Inputs!$B$8)/MAX($P1479-Inputs!$B$8,0.01))))))</f>
        <v/>
      </c>
    </row>
    <row r="1480" customFormat="false" ht="15" hidden="false" customHeight="false" outlineLevel="0" collapsed="false">
      <c r="I1480" s="7" t="str">
        <f aca="false">IF($C1480="","",IF($C1480="G","PUTT",IF(AND($C1480="T",$M1480&gt;3),"OTT",IF($D1480&lt;=30,"ARG","APP"))))</f>
        <v/>
      </c>
      <c r="J1480" s="17" t="str">
        <f aca="false">IF($C1480="","",$N1480+$Q1480*$R1480)</f>
        <v/>
      </c>
      <c r="K1480" s="17" t="str">
        <f aca="false">IF($C1480="","",$O1480+$Q1480*$S1480)</f>
        <v/>
      </c>
      <c r="L1480" s="17" t="str">
        <f aca="false">IF($C1480="","",$J1480-$K1480-1-N($G1480))</f>
        <v/>
      </c>
      <c r="M1480" s="7" t="str">
        <f aca="false">IF($B1480="","",INDEX(Course!$B$2:$B$19,MATCH($B1480,Course!$A$2:$A$19,0)))</f>
        <v/>
      </c>
      <c r="N1480" s="17" t="str">
        <f aca="false">IF($C1480="","",IF($C1480="H",0,IF($C1480="G",INDEX(Baseline!$I$3:$I$102,MIN(MAX(ROUND($D1480,0),1),100)),IF($C1480="T",IF($M1480=3,INDEX(Baseline!$B$3:$B$122,MATCH(MIN(MAX(ROUND(($D1480)/5,0)*5,5),600),Baseline!$A$3:$A$122,0))-Inputs!$B$9,INDEX(Course!$N$2:$N$19,MATCH($B1480,Course!$A$2:$A$19,0))),INDEX(Baseline!$B$3:$E$122,MATCH(MIN(MAX(ROUND(($D1480)/5,0)*5,5),600),Baseline!$A$3:$A$122,0),MATCH($C1480,Baseline!$B$2:$E$2,0))))))</f>
        <v/>
      </c>
      <c r="O1480" s="17" t="str">
        <f aca="false">IF($C1480="","",IF($E1480="H",0,IF($E1480="G",INDEX(Baseline!$I$3:$I$102,MIN(MAX(ROUND($F1480,0),1),100)),IF($E1480="T",IF($M1480=3,INDEX(Baseline!$B$3:$B$122,MATCH(MIN(MAX(ROUND(($F1480)/5,0)*5,5),600),Baseline!$A$3:$A$122,0))-Inputs!$B$9,INDEX(Course!$N$2:$N$19,MATCH($B1480,Course!$A$2:$A$19,0))),INDEX(Baseline!$B$3:$E$122,MATCH(MIN(MAX(ROUND(($F1480)/5,0)*5,5),600),Baseline!$A$3:$A$122,0),MATCH($E1480,Baseline!$B$2:$E$2,0))))))</f>
        <v/>
      </c>
      <c r="P1480" s="17" t="str">
        <f aca="false">IF($B1480="","",INDEX(Course!$N$2:$N$19,MATCH($B1480,Course!$A$2:$A$19,0)))</f>
        <v/>
      </c>
      <c r="Q1480" s="17" t="str">
        <f aca="false">IF($B1480="","",INDEX(Course!$P$2:$P$19,MATCH($B1480,Course!$A$2:$A$19,0)))</f>
        <v/>
      </c>
      <c r="R1480" s="17" t="str">
        <f aca="false">IF($C1480="","",IF(OR($C1480="G",$C1480="H"),0,IF($C1480="T",1,MIN(1,MAX(0,($N1480-Inputs!$B$8)/MAX($P1480-Inputs!$B$8,0.01))))))</f>
        <v/>
      </c>
      <c r="S1480" s="17" t="str">
        <f aca="false">IF($C1480="","",IF(OR($E1480="G",$E1480="H"),0,IF($E1480="T",1,MIN(1,MAX(0,($O1480-Inputs!$B$8)/MAX($P1480-Inputs!$B$8,0.01))))))</f>
        <v/>
      </c>
    </row>
    <row r="1481" customFormat="false" ht="15" hidden="false" customHeight="false" outlineLevel="0" collapsed="false">
      <c r="I1481" s="7" t="str">
        <f aca="false">IF($C1481="","",IF($C1481="G","PUTT",IF(AND($C1481="T",$M1481&gt;3),"OTT",IF($D1481&lt;=30,"ARG","APP"))))</f>
        <v/>
      </c>
      <c r="J1481" s="17" t="str">
        <f aca="false">IF($C1481="","",$N1481+$Q1481*$R1481)</f>
        <v/>
      </c>
      <c r="K1481" s="17" t="str">
        <f aca="false">IF($C1481="","",$O1481+$Q1481*$S1481)</f>
        <v/>
      </c>
      <c r="L1481" s="17" t="str">
        <f aca="false">IF($C1481="","",$J1481-$K1481-1-N($G1481))</f>
        <v/>
      </c>
      <c r="M1481" s="7" t="str">
        <f aca="false">IF($B1481="","",INDEX(Course!$B$2:$B$19,MATCH($B1481,Course!$A$2:$A$19,0)))</f>
        <v/>
      </c>
      <c r="N1481" s="17" t="str">
        <f aca="false">IF($C1481="","",IF($C1481="H",0,IF($C1481="G",INDEX(Baseline!$I$3:$I$102,MIN(MAX(ROUND($D1481,0),1),100)),IF($C1481="T",IF($M1481=3,INDEX(Baseline!$B$3:$B$122,MATCH(MIN(MAX(ROUND(($D1481)/5,0)*5,5),600),Baseline!$A$3:$A$122,0))-Inputs!$B$9,INDEX(Course!$N$2:$N$19,MATCH($B1481,Course!$A$2:$A$19,0))),INDEX(Baseline!$B$3:$E$122,MATCH(MIN(MAX(ROUND(($D1481)/5,0)*5,5),600),Baseline!$A$3:$A$122,0),MATCH($C1481,Baseline!$B$2:$E$2,0))))))</f>
        <v/>
      </c>
      <c r="O1481" s="17" t="str">
        <f aca="false">IF($C1481="","",IF($E1481="H",0,IF($E1481="G",INDEX(Baseline!$I$3:$I$102,MIN(MAX(ROUND($F1481,0),1),100)),IF($E1481="T",IF($M1481=3,INDEX(Baseline!$B$3:$B$122,MATCH(MIN(MAX(ROUND(($F1481)/5,0)*5,5),600),Baseline!$A$3:$A$122,0))-Inputs!$B$9,INDEX(Course!$N$2:$N$19,MATCH($B1481,Course!$A$2:$A$19,0))),INDEX(Baseline!$B$3:$E$122,MATCH(MIN(MAX(ROUND(($F1481)/5,0)*5,5),600),Baseline!$A$3:$A$122,0),MATCH($E1481,Baseline!$B$2:$E$2,0))))))</f>
        <v/>
      </c>
      <c r="P1481" s="17" t="str">
        <f aca="false">IF($B1481="","",INDEX(Course!$N$2:$N$19,MATCH($B1481,Course!$A$2:$A$19,0)))</f>
        <v/>
      </c>
      <c r="Q1481" s="17" t="str">
        <f aca="false">IF($B1481="","",INDEX(Course!$P$2:$P$19,MATCH($B1481,Course!$A$2:$A$19,0)))</f>
        <v/>
      </c>
      <c r="R1481" s="17" t="str">
        <f aca="false">IF($C1481="","",IF(OR($C1481="G",$C1481="H"),0,IF($C1481="T",1,MIN(1,MAX(0,($N1481-Inputs!$B$8)/MAX($P1481-Inputs!$B$8,0.01))))))</f>
        <v/>
      </c>
      <c r="S1481" s="17" t="str">
        <f aca="false">IF($C1481="","",IF(OR($E1481="G",$E1481="H"),0,IF($E1481="T",1,MIN(1,MAX(0,($O1481-Inputs!$B$8)/MAX($P1481-Inputs!$B$8,0.01))))))</f>
        <v/>
      </c>
    </row>
    <row r="1482" customFormat="false" ht="15" hidden="false" customHeight="false" outlineLevel="0" collapsed="false">
      <c r="I1482" s="7" t="str">
        <f aca="false">IF($C1482="","",IF($C1482="G","PUTT",IF(AND($C1482="T",$M1482&gt;3),"OTT",IF($D1482&lt;=30,"ARG","APP"))))</f>
        <v/>
      </c>
      <c r="J1482" s="17" t="str">
        <f aca="false">IF($C1482="","",$N1482+$Q1482*$R1482)</f>
        <v/>
      </c>
      <c r="K1482" s="17" t="str">
        <f aca="false">IF($C1482="","",$O1482+$Q1482*$S1482)</f>
        <v/>
      </c>
      <c r="L1482" s="17" t="str">
        <f aca="false">IF($C1482="","",$J1482-$K1482-1-N($G1482))</f>
        <v/>
      </c>
      <c r="M1482" s="7" t="str">
        <f aca="false">IF($B1482="","",INDEX(Course!$B$2:$B$19,MATCH($B1482,Course!$A$2:$A$19,0)))</f>
        <v/>
      </c>
      <c r="N1482" s="17" t="str">
        <f aca="false">IF($C1482="","",IF($C1482="H",0,IF($C1482="G",INDEX(Baseline!$I$3:$I$102,MIN(MAX(ROUND($D1482,0),1),100)),IF($C1482="T",IF($M1482=3,INDEX(Baseline!$B$3:$B$122,MATCH(MIN(MAX(ROUND(($D1482)/5,0)*5,5),600),Baseline!$A$3:$A$122,0))-Inputs!$B$9,INDEX(Course!$N$2:$N$19,MATCH($B1482,Course!$A$2:$A$19,0))),INDEX(Baseline!$B$3:$E$122,MATCH(MIN(MAX(ROUND(($D1482)/5,0)*5,5),600),Baseline!$A$3:$A$122,0),MATCH($C1482,Baseline!$B$2:$E$2,0))))))</f>
        <v/>
      </c>
      <c r="O1482" s="17" t="str">
        <f aca="false">IF($C1482="","",IF($E1482="H",0,IF($E1482="G",INDEX(Baseline!$I$3:$I$102,MIN(MAX(ROUND($F1482,0),1),100)),IF($E1482="T",IF($M1482=3,INDEX(Baseline!$B$3:$B$122,MATCH(MIN(MAX(ROUND(($F1482)/5,0)*5,5),600),Baseline!$A$3:$A$122,0))-Inputs!$B$9,INDEX(Course!$N$2:$N$19,MATCH($B1482,Course!$A$2:$A$19,0))),INDEX(Baseline!$B$3:$E$122,MATCH(MIN(MAX(ROUND(($F1482)/5,0)*5,5),600),Baseline!$A$3:$A$122,0),MATCH($E1482,Baseline!$B$2:$E$2,0))))))</f>
        <v/>
      </c>
      <c r="P1482" s="17" t="str">
        <f aca="false">IF($B1482="","",INDEX(Course!$N$2:$N$19,MATCH($B1482,Course!$A$2:$A$19,0)))</f>
        <v/>
      </c>
      <c r="Q1482" s="17" t="str">
        <f aca="false">IF($B1482="","",INDEX(Course!$P$2:$P$19,MATCH($B1482,Course!$A$2:$A$19,0)))</f>
        <v/>
      </c>
      <c r="R1482" s="17" t="str">
        <f aca="false">IF($C1482="","",IF(OR($C1482="G",$C1482="H"),0,IF($C1482="T",1,MIN(1,MAX(0,($N1482-Inputs!$B$8)/MAX($P1482-Inputs!$B$8,0.01))))))</f>
        <v/>
      </c>
      <c r="S1482" s="17" t="str">
        <f aca="false">IF($C1482="","",IF(OR($E1482="G",$E1482="H"),0,IF($E1482="T",1,MIN(1,MAX(0,($O1482-Inputs!$B$8)/MAX($P1482-Inputs!$B$8,0.01))))))</f>
        <v/>
      </c>
    </row>
    <row r="1483" customFormat="false" ht="15" hidden="false" customHeight="false" outlineLevel="0" collapsed="false">
      <c r="I1483" s="7" t="str">
        <f aca="false">IF($C1483="","",IF($C1483="G","PUTT",IF(AND($C1483="T",$M1483&gt;3),"OTT",IF($D1483&lt;=30,"ARG","APP"))))</f>
        <v/>
      </c>
      <c r="J1483" s="17" t="str">
        <f aca="false">IF($C1483="","",$N1483+$Q1483*$R1483)</f>
        <v/>
      </c>
      <c r="K1483" s="17" t="str">
        <f aca="false">IF($C1483="","",$O1483+$Q1483*$S1483)</f>
        <v/>
      </c>
      <c r="L1483" s="17" t="str">
        <f aca="false">IF($C1483="","",$J1483-$K1483-1-N($G1483))</f>
        <v/>
      </c>
      <c r="M1483" s="7" t="str">
        <f aca="false">IF($B1483="","",INDEX(Course!$B$2:$B$19,MATCH($B1483,Course!$A$2:$A$19,0)))</f>
        <v/>
      </c>
      <c r="N1483" s="17" t="str">
        <f aca="false">IF($C1483="","",IF($C1483="H",0,IF($C1483="G",INDEX(Baseline!$I$3:$I$102,MIN(MAX(ROUND($D1483,0),1),100)),IF($C1483="T",IF($M1483=3,INDEX(Baseline!$B$3:$B$122,MATCH(MIN(MAX(ROUND(($D1483)/5,0)*5,5),600),Baseline!$A$3:$A$122,0))-Inputs!$B$9,INDEX(Course!$N$2:$N$19,MATCH($B1483,Course!$A$2:$A$19,0))),INDEX(Baseline!$B$3:$E$122,MATCH(MIN(MAX(ROUND(($D1483)/5,0)*5,5),600),Baseline!$A$3:$A$122,0),MATCH($C1483,Baseline!$B$2:$E$2,0))))))</f>
        <v/>
      </c>
      <c r="O1483" s="17" t="str">
        <f aca="false">IF($C1483="","",IF($E1483="H",0,IF($E1483="G",INDEX(Baseline!$I$3:$I$102,MIN(MAX(ROUND($F1483,0),1),100)),IF($E1483="T",IF($M1483=3,INDEX(Baseline!$B$3:$B$122,MATCH(MIN(MAX(ROUND(($F1483)/5,0)*5,5),600),Baseline!$A$3:$A$122,0))-Inputs!$B$9,INDEX(Course!$N$2:$N$19,MATCH($B1483,Course!$A$2:$A$19,0))),INDEX(Baseline!$B$3:$E$122,MATCH(MIN(MAX(ROUND(($F1483)/5,0)*5,5),600),Baseline!$A$3:$A$122,0),MATCH($E1483,Baseline!$B$2:$E$2,0))))))</f>
        <v/>
      </c>
      <c r="P1483" s="17" t="str">
        <f aca="false">IF($B1483="","",INDEX(Course!$N$2:$N$19,MATCH($B1483,Course!$A$2:$A$19,0)))</f>
        <v/>
      </c>
      <c r="Q1483" s="17" t="str">
        <f aca="false">IF($B1483="","",INDEX(Course!$P$2:$P$19,MATCH($B1483,Course!$A$2:$A$19,0)))</f>
        <v/>
      </c>
      <c r="R1483" s="17" t="str">
        <f aca="false">IF($C1483="","",IF(OR($C1483="G",$C1483="H"),0,IF($C1483="T",1,MIN(1,MAX(0,($N1483-Inputs!$B$8)/MAX($P1483-Inputs!$B$8,0.01))))))</f>
        <v/>
      </c>
      <c r="S1483" s="17" t="str">
        <f aca="false">IF($C1483="","",IF(OR($E1483="G",$E1483="H"),0,IF($E1483="T",1,MIN(1,MAX(0,($O1483-Inputs!$B$8)/MAX($P1483-Inputs!$B$8,0.01))))))</f>
        <v/>
      </c>
    </row>
    <row r="1484" customFormat="false" ht="15" hidden="false" customHeight="false" outlineLevel="0" collapsed="false">
      <c r="I1484" s="7" t="str">
        <f aca="false">IF($C1484="","",IF($C1484="G","PUTT",IF(AND($C1484="T",$M1484&gt;3),"OTT",IF($D1484&lt;=30,"ARG","APP"))))</f>
        <v/>
      </c>
      <c r="J1484" s="17" t="str">
        <f aca="false">IF($C1484="","",$N1484+$Q1484*$R1484)</f>
        <v/>
      </c>
      <c r="K1484" s="17" t="str">
        <f aca="false">IF($C1484="","",$O1484+$Q1484*$S1484)</f>
        <v/>
      </c>
      <c r="L1484" s="17" t="str">
        <f aca="false">IF($C1484="","",$J1484-$K1484-1-N($G1484))</f>
        <v/>
      </c>
      <c r="M1484" s="7" t="str">
        <f aca="false">IF($B1484="","",INDEX(Course!$B$2:$B$19,MATCH($B1484,Course!$A$2:$A$19,0)))</f>
        <v/>
      </c>
      <c r="N1484" s="17" t="str">
        <f aca="false">IF($C1484="","",IF($C1484="H",0,IF($C1484="G",INDEX(Baseline!$I$3:$I$102,MIN(MAX(ROUND($D1484,0),1),100)),IF($C1484="T",IF($M1484=3,INDEX(Baseline!$B$3:$B$122,MATCH(MIN(MAX(ROUND(($D1484)/5,0)*5,5),600),Baseline!$A$3:$A$122,0))-Inputs!$B$9,INDEX(Course!$N$2:$N$19,MATCH($B1484,Course!$A$2:$A$19,0))),INDEX(Baseline!$B$3:$E$122,MATCH(MIN(MAX(ROUND(($D1484)/5,0)*5,5),600),Baseline!$A$3:$A$122,0),MATCH($C1484,Baseline!$B$2:$E$2,0))))))</f>
        <v/>
      </c>
      <c r="O1484" s="17" t="str">
        <f aca="false">IF($C1484="","",IF($E1484="H",0,IF($E1484="G",INDEX(Baseline!$I$3:$I$102,MIN(MAX(ROUND($F1484,0),1),100)),IF($E1484="T",IF($M1484=3,INDEX(Baseline!$B$3:$B$122,MATCH(MIN(MAX(ROUND(($F1484)/5,0)*5,5),600),Baseline!$A$3:$A$122,0))-Inputs!$B$9,INDEX(Course!$N$2:$N$19,MATCH($B1484,Course!$A$2:$A$19,0))),INDEX(Baseline!$B$3:$E$122,MATCH(MIN(MAX(ROUND(($F1484)/5,0)*5,5),600),Baseline!$A$3:$A$122,0),MATCH($E1484,Baseline!$B$2:$E$2,0))))))</f>
        <v/>
      </c>
      <c r="P1484" s="17" t="str">
        <f aca="false">IF($B1484="","",INDEX(Course!$N$2:$N$19,MATCH($B1484,Course!$A$2:$A$19,0)))</f>
        <v/>
      </c>
      <c r="Q1484" s="17" t="str">
        <f aca="false">IF($B1484="","",INDEX(Course!$P$2:$P$19,MATCH($B1484,Course!$A$2:$A$19,0)))</f>
        <v/>
      </c>
      <c r="R1484" s="17" t="str">
        <f aca="false">IF($C1484="","",IF(OR($C1484="G",$C1484="H"),0,IF($C1484="T",1,MIN(1,MAX(0,($N1484-Inputs!$B$8)/MAX($P1484-Inputs!$B$8,0.01))))))</f>
        <v/>
      </c>
      <c r="S1484" s="17" t="str">
        <f aca="false">IF($C1484="","",IF(OR($E1484="G",$E1484="H"),0,IF($E1484="T",1,MIN(1,MAX(0,($O1484-Inputs!$B$8)/MAX($P1484-Inputs!$B$8,0.01))))))</f>
        <v/>
      </c>
    </row>
    <row r="1485" customFormat="false" ht="15" hidden="false" customHeight="false" outlineLevel="0" collapsed="false">
      <c r="I1485" s="7" t="str">
        <f aca="false">IF($C1485="","",IF($C1485="G","PUTT",IF(AND($C1485="T",$M1485&gt;3),"OTT",IF($D1485&lt;=30,"ARG","APP"))))</f>
        <v/>
      </c>
      <c r="J1485" s="17" t="str">
        <f aca="false">IF($C1485="","",$N1485+$Q1485*$R1485)</f>
        <v/>
      </c>
      <c r="K1485" s="17" t="str">
        <f aca="false">IF($C1485="","",$O1485+$Q1485*$S1485)</f>
        <v/>
      </c>
      <c r="L1485" s="17" t="str">
        <f aca="false">IF($C1485="","",$J1485-$K1485-1-N($G1485))</f>
        <v/>
      </c>
      <c r="M1485" s="7" t="str">
        <f aca="false">IF($B1485="","",INDEX(Course!$B$2:$B$19,MATCH($B1485,Course!$A$2:$A$19,0)))</f>
        <v/>
      </c>
      <c r="N1485" s="17" t="str">
        <f aca="false">IF($C1485="","",IF($C1485="H",0,IF($C1485="G",INDEX(Baseline!$I$3:$I$102,MIN(MAX(ROUND($D1485,0),1),100)),IF($C1485="T",IF($M1485=3,INDEX(Baseline!$B$3:$B$122,MATCH(MIN(MAX(ROUND(($D1485)/5,0)*5,5),600),Baseline!$A$3:$A$122,0))-Inputs!$B$9,INDEX(Course!$N$2:$N$19,MATCH($B1485,Course!$A$2:$A$19,0))),INDEX(Baseline!$B$3:$E$122,MATCH(MIN(MAX(ROUND(($D1485)/5,0)*5,5),600),Baseline!$A$3:$A$122,0),MATCH($C1485,Baseline!$B$2:$E$2,0))))))</f>
        <v/>
      </c>
      <c r="O1485" s="17" t="str">
        <f aca="false">IF($C1485="","",IF($E1485="H",0,IF($E1485="G",INDEX(Baseline!$I$3:$I$102,MIN(MAX(ROUND($F1485,0),1),100)),IF($E1485="T",IF($M1485=3,INDEX(Baseline!$B$3:$B$122,MATCH(MIN(MAX(ROUND(($F1485)/5,0)*5,5),600),Baseline!$A$3:$A$122,0))-Inputs!$B$9,INDEX(Course!$N$2:$N$19,MATCH($B1485,Course!$A$2:$A$19,0))),INDEX(Baseline!$B$3:$E$122,MATCH(MIN(MAX(ROUND(($F1485)/5,0)*5,5),600),Baseline!$A$3:$A$122,0),MATCH($E1485,Baseline!$B$2:$E$2,0))))))</f>
        <v/>
      </c>
      <c r="P1485" s="17" t="str">
        <f aca="false">IF($B1485="","",INDEX(Course!$N$2:$N$19,MATCH($B1485,Course!$A$2:$A$19,0)))</f>
        <v/>
      </c>
      <c r="Q1485" s="17" t="str">
        <f aca="false">IF($B1485="","",INDEX(Course!$P$2:$P$19,MATCH($B1485,Course!$A$2:$A$19,0)))</f>
        <v/>
      </c>
      <c r="R1485" s="17" t="str">
        <f aca="false">IF($C1485="","",IF(OR($C1485="G",$C1485="H"),0,IF($C1485="T",1,MIN(1,MAX(0,($N1485-Inputs!$B$8)/MAX($P1485-Inputs!$B$8,0.01))))))</f>
        <v/>
      </c>
      <c r="S1485" s="17" t="str">
        <f aca="false">IF($C1485="","",IF(OR($E1485="G",$E1485="H"),0,IF($E1485="T",1,MIN(1,MAX(0,($O1485-Inputs!$B$8)/MAX($P1485-Inputs!$B$8,0.01))))))</f>
        <v/>
      </c>
    </row>
    <row r="1486" customFormat="false" ht="15" hidden="false" customHeight="false" outlineLevel="0" collapsed="false">
      <c r="I1486" s="7" t="str">
        <f aca="false">IF($C1486="","",IF($C1486="G","PUTT",IF(AND($C1486="T",$M1486&gt;3),"OTT",IF($D1486&lt;=30,"ARG","APP"))))</f>
        <v/>
      </c>
      <c r="J1486" s="17" t="str">
        <f aca="false">IF($C1486="","",$N1486+$Q1486*$R1486)</f>
        <v/>
      </c>
      <c r="K1486" s="17" t="str">
        <f aca="false">IF($C1486="","",$O1486+$Q1486*$S1486)</f>
        <v/>
      </c>
      <c r="L1486" s="17" t="str">
        <f aca="false">IF($C1486="","",$J1486-$K1486-1-N($G1486))</f>
        <v/>
      </c>
      <c r="M1486" s="7" t="str">
        <f aca="false">IF($B1486="","",INDEX(Course!$B$2:$B$19,MATCH($B1486,Course!$A$2:$A$19,0)))</f>
        <v/>
      </c>
      <c r="N1486" s="17" t="str">
        <f aca="false">IF($C1486="","",IF($C1486="H",0,IF($C1486="G",INDEX(Baseline!$I$3:$I$102,MIN(MAX(ROUND($D1486,0),1),100)),IF($C1486="T",IF($M1486=3,INDEX(Baseline!$B$3:$B$122,MATCH(MIN(MAX(ROUND(($D1486)/5,0)*5,5),600),Baseline!$A$3:$A$122,0))-Inputs!$B$9,INDEX(Course!$N$2:$N$19,MATCH($B1486,Course!$A$2:$A$19,0))),INDEX(Baseline!$B$3:$E$122,MATCH(MIN(MAX(ROUND(($D1486)/5,0)*5,5),600),Baseline!$A$3:$A$122,0),MATCH($C1486,Baseline!$B$2:$E$2,0))))))</f>
        <v/>
      </c>
      <c r="O1486" s="17" t="str">
        <f aca="false">IF($C1486="","",IF($E1486="H",0,IF($E1486="G",INDEX(Baseline!$I$3:$I$102,MIN(MAX(ROUND($F1486,0),1),100)),IF($E1486="T",IF($M1486=3,INDEX(Baseline!$B$3:$B$122,MATCH(MIN(MAX(ROUND(($F1486)/5,0)*5,5),600),Baseline!$A$3:$A$122,0))-Inputs!$B$9,INDEX(Course!$N$2:$N$19,MATCH($B1486,Course!$A$2:$A$19,0))),INDEX(Baseline!$B$3:$E$122,MATCH(MIN(MAX(ROUND(($F1486)/5,0)*5,5),600),Baseline!$A$3:$A$122,0),MATCH($E1486,Baseline!$B$2:$E$2,0))))))</f>
        <v/>
      </c>
      <c r="P1486" s="17" t="str">
        <f aca="false">IF($B1486="","",INDEX(Course!$N$2:$N$19,MATCH($B1486,Course!$A$2:$A$19,0)))</f>
        <v/>
      </c>
      <c r="Q1486" s="17" t="str">
        <f aca="false">IF($B1486="","",INDEX(Course!$P$2:$P$19,MATCH($B1486,Course!$A$2:$A$19,0)))</f>
        <v/>
      </c>
      <c r="R1486" s="17" t="str">
        <f aca="false">IF($C1486="","",IF(OR($C1486="G",$C1486="H"),0,IF($C1486="T",1,MIN(1,MAX(0,($N1486-Inputs!$B$8)/MAX($P1486-Inputs!$B$8,0.01))))))</f>
        <v/>
      </c>
      <c r="S1486" s="17" t="str">
        <f aca="false">IF($C1486="","",IF(OR($E1486="G",$E1486="H"),0,IF($E1486="T",1,MIN(1,MAX(0,($O1486-Inputs!$B$8)/MAX($P1486-Inputs!$B$8,0.01))))))</f>
        <v/>
      </c>
    </row>
    <row r="1487" customFormat="false" ht="15" hidden="false" customHeight="false" outlineLevel="0" collapsed="false">
      <c r="I1487" s="7" t="str">
        <f aca="false">IF($C1487="","",IF($C1487="G","PUTT",IF(AND($C1487="T",$M1487&gt;3),"OTT",IF($D1487&lt;=30,"ARG","APP"))))</f>
        <v/>
      </c>
      <c r="J1487" s="17" t="str">
        <f aca="false">IF($C1487="","",$N1487+$Q1487*$R1487)</f>
        <v/>
      </c>
      <c r="K1487" s="17" t="str">
        <f aca="false">IF($C1487="","",$O1487+$Q1487*$S1487)</f>
        <v/>
      </c>
      <c r="L1487" s="17" t="str">
        <f aca="false">IF($C1487="","",$J1487-$K1487-1-N($G1487))</f>
        <v/>
      </c>
      <c r="M1487" s="7" t="str">
        <f aca="false">IF($B1487="","",INDEX(Course!$B$2:$B$19,MATCH($B1487,Course!$A$2:$A$19,0)))</f>
        <v/>
      </c>
      <c r="N1487" s="17" t="str">
        <f aca="false">IF($C1487="","",IF($C1487="H",0,IF($C1487="G",INDEX(Baseline!$I$3:$I$102,MIN(MAX(ROUND($D1487,0),1),100)),IF($C1487="T",IF($M1487=3,INDEX(Baseline!$B$3:$B$122,MATCH(MIN(MAX(ROUND(($D1487)/5,0)*5,5),600),Baseline!$A$3:$A$122,0))-Inputs!$B$9,INDEX(Course!$N$2:$N$19,MATCH($B1487,Course!$A$2:$A$19,0))),INDEX(Baseline!$B$3:$E$122,MATCH(MIN(MAX(ROUND(($D1487)/5,0)*5,5),600),Baseline!$A$3:$A$122,0),MATCH($C1487,Baseline!$B$2:$E$2,0))))))</f>
        <v/>
      </c>
      <c r="O1487" s="17" t="str">
        <f aca="false">IF($C1487="","",IF($E1487="H",0,IF($E1487="G",INDEX(Baseline!$I$3:$I$102,MIN(MAX(ROUND($F1487,0),1),100)),IF($E1487="T",IF($M1487=3,INDEX(Baseline!$B$3:$B$122,MATCH(MIN(MAX(ROUND(($F1487)/5,0)*5,5),600),Baseline!$A$3:$A$122,0))-Inputs!$B$9,INDEX(Course!$N$2:$N$19,MATCH($B1487,Course!$A$2:$A$19,0))),INDEX(Baseline!$B$3:$E$122,MATCH(MIN(MAX(ROUND(($F1487)/5,0)*5,5),600),Baseline!$A$3:$A$122,0),MATCH($E1487,Baseline!$B$2:$E$2,0))))))</f>
        <v/>
      </c>
      <c r="P1487" s="17" t="str">
        <f aca="false">IF($B1487="","",INDEX(Course!$N$2:$N$19,MATCH($B1487,Course!$A$2:$A$19,0)))</f>
        <v/>
      </c>
      <c r="Q1487" s="17" t="str">
        <f aca="false">IF($B1487="","",INDEX(Course!$P$2:$P$19,MATCH($B1487,Course!$A$2:$A$19,0)))</f>
        <v/>
      </c>
      <c r="R1487" s="17" t="str">
        <f aca="false">IF($C1487="","",IF(OR($C1487="G",$C1487="H"),0,IF($C1487="T",1,MIN(1,MAX(0,($N1487-Inputs!$B$8)/MAX($P1487-Inputs!$B$8,0.01))))))</f>
        <v/>
      </c>
      <c r="S1487" s="17" t="str">
        <f aca="false">IF($C1487="","",IF(OR($E1487="G",$E1487="H"),0,IF($E1487="T",1,MIN(1,MAX(0,($O1487-Inputs!$B$8)/MAX($P1487-Inputs!$B$8,0.01))))))</f>
        <v/>
      </c>
    </row>
    <row r="1488" customFormat="false" ht="15" hidden="false" customHeight="false" outlineLevel="0" collapsed="false">
      <c r="I1488" s="7" t="str">
        <f aca="false">IF($C1488="","",IF($C1488="G","PUTT",IF(AND($C1488="T",$M1488&gt;3),"OTT",IF($D1488&lt;=30,"ARG","APP"))))</f>
        <v/>
      </c>
      <c r="J1488" s="17" t="str">
        <f aca="false">IF($C1488="","",$N1488+$Q1488*$R1488)</f>
        <v/>
      </c>
      <c r="K1488" s="17" t="str">
        <f aca="false">IF($C1488="","",$O1488+$Q1488*$S1488)</f>
        <v/>
      </c>
      <c r="L1488" s="17" t="str">
        <f aca="false">IF($C1488="","",$J1488-$K1488-1-N($G1488))</f>
        <v/>
      </c>
      <c r="M1488" s="7" t="str">
        <f aca="false">IF($B1488="","",INDEX(Course!$B$2:$B$19,MATCH($B1488,Course!$A$2:$A$19,0)))</f>
        <v/>
      </c>
      <c r="N1488" s="17" t="str">
        <f aca="false">IF($C1488="","",IF($C1488="H",0,IF($C1488="G",INDEX(Baseline!$I$3:$I$102,MIN(MAX(ROUND($D1488,0),1),100)),IF($C1488="T",IF($M1488=3,INDEX(Baseline!$B$3:$B$122,MATCH(MIN(MAX(ROUND(($D1488)/5,0)*5,5),600),Baseline!$A$3:$A$122,0))-Inputs!$B$9,INDEX(Course!$N$2:$N$19,MATCH($B1488,Course!$A$2:$A$19,0))),INDEX(Baseline!$B$3:$E$122,MATCH(MIN(MAX(ROUND(($D1488)/5,0)*5,5),600),Baseline!$A$3:$A$122,0),MATCH($C1488,Baseline!$B$2:$E$2,0))))))</f>
        <v/>
      </c>
      <c r="O1488" s="17" t="str">
        <f aca="false">IF($C1488="","",IF($E1488="H",0,IF($E1488="G",INDEX(Baseline!$I$3:$I$102,MIN(MAX(ROUND($F1488,0),1),100)),IF($E1488="T",IF($M1488=3,INDEX(Baseline!$B$3:$B$122,MATCH(MIN(MAX(ROUND(($F1488)/5,0)*5,5),600),Baseline!$A$3:$A$122,0))-Inputs!$B$9,INDEX(Course!$N$2:$N$19,MATCH($B1488,Course!$A$2:$A$19,0))),INDEX(Baseline!$B$3:$E$122,MATCH(MIN(MAX(ROUND(($F1488)/5,0)*5,5),600),Baseline!$A$3:$A$122,0),MATCH($E1488,Baseline!$B$2:$E$2,0))))))</f>
        <v/>
      </c>
      <c r="P1488" s="17" t="str">
        <f aca="false">IF($B1488="","",INDEX(Course!$N$2:$N$19,MATCH($B1488,Course!$A$2:$A$19,0)))</f>
        <v/>
      </c>
      <c r="Q1488" s="17" t="str">
        <f aca="false">IF($B1488="","",INDEX(Course!$P$2:$P$19,MATCH($B1488,Course!$A$2:$A$19,0)))</f>
        <v/>
      </c>
      <c r="R1488" s="17" t="str">
        <f aca="false">IF($C1488="","",IF(OR($C1488="G",$C1488="H"),0,IF($C1488="T",1,MIN(1,MAX(0,($N1488-Inputs!$B$8)/MAX($P1488-Inputs!$B$8,0.01))))))</f>
        <v/>
      </c>
      <c r="S1488" s="17" t="str">
        <f aca="false">IF($C1488="","",IF(OR($E1488="G",$E1488="H"),0,IF($E1488="T",1,MIN(1,MAX(0,($O1488-Inputs!$B$8)/MAX($P1488-Inputs!$B$8,0.01))))))</f>
        <v/>
      </c>
    </row>
    <row r="1489" customFormat="false" ht="15" hidden="false" customHeight="false" outlineLevel="0" collapsed="false">
      <c r="I1489" s="7" t="str">
        <f aca="false">IF($C1489="","",IF($C1489="G","PUTT",IF(AND($C1489="T",$M1489&gt;3),"OTT",IF($D1489&lt;=30,"ARG","APP"))))</f>
        <v/>
      </c>
      <c r="J1489" s="17" t="str">
        <f aca="false">IF($C1489="","",$N1489+$Q1489*$R1489)</f>
        <v/>
      </c>
      <c r="K1489" s="17" t="str">
        <f aca="false">IF($C1489="","",$O1489+$Q1489*$S1489)</f>
        <v/>
      </c>
      <c r="L1489" s="17" t="str">
        <f aca="false">IF($C1489="","",$J1489-$K1489-1-N($G1489))</f>
        <v/>
      </c>
      <c r="M1489" s="7" t="str">
        <f aca="false">IF($B1489="","",INDEX(Course!$B$2:$B$19,MATCH($B1489,Course!$A$2:$A$19,0)))</f>
        <v/>
      </c>
      <c r="N1489" s="17" t="str">
        <f aca="false">IF($C1489="","",IF($C1489="H",0,IF($C1489="G",INDEX(Baseline!$I$3:$I$102,MIN(MAX(ROUND($D1489,0),1),100)),IF($C1489="T",IF($M1489=3,INDEX(Baseline!$B$3:$B$122,MATCH(MIN(MAX(ROUND(($D1489)/5,0)*5,5),600),Baseline!$A$3:$A$122,0))-Inputs!$B$9,INDEX(Course!$N$2:$N$19,MATCH($B1489,Course!$A$2:$A$19,0))),INDEX(Baseline!$B$3:$E$122,MATCH(MIN(MAX(ROUND(($D1489)/5,0)*5,5),600),Baseline!$A$3:$A$122,0),MATCH($C1489,Baseline!$B$2:$E$2,0))))))</f>
        <v/>
      </c>
      <c r="O1489" s="17" t="str">
        <f aca="false">IF($C1489="","",IF($E1489="H",0,IF($E1489="G",INDEX(Baseline!$I$3:$I$102,MIN(MAX(ROUND($F1489,0),1),100)),IF($E1489="T",IF($M1489=3,INDEX(Baseline!$B$3:$B$122,MATCH(MIN(MAX(ROUND(($F1489)/5,0)*5,5),600),Baseline!$A$3:$A$122,0))-Inputs!$B$9,INDEX(Course!$N$2:$N$19,MATCH($B1489,Course!$A$2:$A$19,0))),INDEX(Baseline!$B$3:$E$122,MATCH(MIN(MAX(ROUND(($F1489)/5,0)*5,5),600),Baseline!$A$3:$A$122,0),MATCH($E1489,Baseline!$B$2:$E$2,0))))))</f>
        <v/>
      </c>
      <c r="P1489" s="17" t="str">
        <f aca="false">IF($B1489="","",INDEX(Course!$N$2:$N$19,MATCH($B1489,Course!$A$2:$A$19,0)))</f>
        <v/>
      </c>
      <c r="Q1489" s="17" t="str">
        <f aca="false">IF($B1489="","",INDEX(Course!$P$2:$P$19,MATCH($B1489,Course!$A$2:$A$19,0)))</f>
        <v/>
      </c>
      <c r="R1489" s="17" t="str">
        <f aca="false">IF($C1489="","",IF(OR($C1489="G",$C1489="H"),0,IF($C1489="T",1,MIN(1,MAX(0,($N1489-Inputs!$B$8)/MAX($P1489-Inputs!$B$8,0.01))))))</f>
        <v/>
      </c>
      <c r="S1489" s="17" t="str">
        <f aca="false">IF($C1489="","",IF(OR($E1489="G",$E1489="H"),0,IF($E1489="T",1,MIN(1,MAX(0,($O1489-Inputs!$B$8)/MAX($P1489-Inputs!$B$8,0.01))))))</f>
        <v/>
      </c>
    </row>
    <row r="1490" customFormat="false" ht="15" hidden="false" customHeight="false" outlineLevel="0" collapsed="false">
      <c r="I1490" s="7" t="str">
        <f aca="false">IF($C1490="","",IF($C1490="G","PUTT",IF(AND($C1490="T",$M1490&gt;3),"OTT",IF($D1490&lt;=30,"ARG","APP"))))</f>
        <v/>
      </c>
      <c r="J1490" s="17" t="str">
        <f aca="false">IF($C1490="","",$N1490+$Q1490*$R1490)</f>
        <v/>
      </c>
      <c r="K1490" s="17" t="str">
        <f aca="false">IF($C1490="","",$O1490+$Q1490*$S1490)</f>
        <v/>
      </c>
      <c r="L1490" s="17" t="str">
        <f aca="false">IF($C1490="","",$J1490-$K1490-1-N($G1490))</f>
        <v/>
      </c>
      <c r="M1490" s="7" t="str">
        <f aca="false">IF($B1490="","",INDEX(Course!$B$2:$B$19,MATCH($B1490,Course!$A$2:$A$19,0)))</f>
        <v/>
      </c>
      <c r="N1490" s="17" t="str">
        <f aca="false">IF($C1490="","",IF($C1490="H",0,IF($C1490="G",INDEX(Baseline!$I$3:$I$102,MIN(MAX(ROUND($D1490,0),1),100)),IF($C1490="T",IF($M1490=3,INDEX(Baseline!$B$3:$B$122,MATCH(MIN(MAX(ROUND(($D1490)/5,0)*5,5),600),Baseline!$A$3:$A$122,0))-Inputs!$B$9,INDEX(Course!$N$2:$N$19,MATCH($B1490,Course!$A$2:$A$19,0))),INDEX(Baseline!$B$3:$E$122,MATCH(MIN(MAX(ROUND(($D1490)/5,0)*5,5),600),Baseline!$A$3:$A$122,0),MATCH($C1490,Baseline!$B$2:$E$2,0))))))</f>
        <v/>
      </c>
      <c r="O1490" s="17" t="str">
        <f aca="false">IF($C1490="","",IF($E1490="H",0,IF($E1490="G",INDEX(Baseline!$I$3:$I$102,MIN(MAX(ROUND($F1490,0),1),100)),IF($E1490="T",IF($M1490=3,INDEX(Baseline!$B$3:$B$122,MATCH(MIN(MAX(ROUND(($F1490)/5,0)*5,5),600),Baseline!$A$3:$A$122,0))-Inputs!$B$9,INDEX(Course!$N$2:$N$19,MATCH($B1490,Course!$A$2:$A$19,0))),INDEX(Baseline!$B$3:$E$122,MATCH(MIN(MAX(ROUND(($F1490)/5,0)*5,5),600),Baseline!$A$3:$A$122,0),MATCH($E1490,Baseline!$B$2:$E$2,0))))))</f>
        <v/>
      </c>
      <c r="P1490" s="17" t="str">
        <f aca="false">IF($B1490="","",INDEX(Course!$N$2:$N$19,MATCH($B1490,Course!$A$2:$A$19,0)))</f>
        <v/>
      </c>
      <c r="Q1490" s="17" t="str">
        <f aca="false">IF($B1490="","",INDEX(Course!$P$2:$P$19,MATCH($B1490,Course!$A$2:$A$19,0)))</f>
        <v/>
      </c>
      <c r="R1490" s="17" t="str">
        <f aca="false">IF($C1490="","",IF(OR($C1490="G",$C1490="H"),0,IF($C1490="T",1,MIN(1,MAX(0,($N1490-Inputs!$B$8)/MAX($P1490-Inputs!$B$8,0.01))))))</f>
        <v/>
      </c>
      <c r="S1490" s="17" t="str">
        <f aca="false">IF($C1490="","",IF(OR($E1490="G",$E1490="H"),0,IF($E1490="T",1,MIN(1,MAX(0,($O1490-Inputs!$B$8)/MAX($P1490-Inputs!$B$8,0.01))))))</f>
        <v/>
      </c>
    </row>
    <row r="1491" customFormat="false" ht="15" hidden="false" customHeight="false" outlineLevel="0" collapsed="false">
      <c r="I1491" s="7" t="str">
        <f aca="false">IF($C1491="","",IF($C1491="G","PUTT",IF(AND($C1491="T",$M1491&gt;3),"OTT",IF($D1491&lt;=30,"ARG","APP"))))</f>
        <v/>
      </c>
      <c r="J1491" s="17" t="str">
        <f aca="false">IF($C1491="","",$N1491+$Q1491*$R1491)</f>
        <v/>
      </c>
      <c r="K1491" s="17" t="str">
        <f aca="false">IF($C1491="","",$O1491+$Q1491*$S1491)</f>
        <v/>
      </c>
      <c r="L1491" s="17" t="str">
        <f aca="false">IF($C1491="","",$J1491-$K1491-1-N($G1491))</f>
        <v/>
      </c>
      <c r="M1491" s="7" t="str">
        <f aca="false">IF($B1491="","",INDEX(Course!$B$2:$B$19,MATCH($B1491,Course!$A$2:$A$19,0)))</f>
        <v/>
      </c>
      <c r="N1491" s="17" t="str">
        <f aca="false">IF($C1491="","",IF($C1491="H",0,IF($C1491="G",INDEX(Baseline!$I$3:$I$102,MIN(MAX(ROUND($D1491,0),1),100)),IF($C1491="T",IF($M1491=3,INDEX(Baseline!$B$3:$B$122,MATCH(MIN(MAX(ROUND(($D1491)/5,0)*5,5),600),Baseline!$A$3:$A$122,0))-Inputs!$B$9,INDEX(Course!$N$2:$N$19,MATCH($B1491,Course!$A$2:$A$19,0))),INDEX(Baseline!$B$3:$E$122,MATCH(MIN(MAX(ROUND(($D1491)/5,0)*5,5),600),Baseline!$A$3:$A$122,0),MATCH($C1491,Baseline!$B$2:$E$2,0))))))</f>
        <v/>
      </c>
      <c r="O1491" s="17" t="str">
        <f aca="false">IF($C1491="","",IF($E1491="H",0,IF($E1491="G",INDEX(Baseline!$I$3:$I$102,MIN(MAX(ROUND($F1491,0),1),100)),IF($E1491="T",IF($M1491=3,INDEX(Baseline!$B$3:$B$122,MATCH(MIN(MAX(ROUND(($F1491)/5,0)*5,5),600),Baseline!$A$3:$A$122,0))-Inputs!$B$9,INDEX(Course!$N$2:$N$19,MATCH($B1491,Course!$A$2:$A$19,0))),INDEX(Baseline!$B$3:$E$122,MATCH(MIN(MAX(ROUND(($F1491)/5,0)*5,5),600),Baseline!$A$3:$A$122,0),MATCH($E1491,Baseline!$B$2:$E$2,0))))))</f>
        <v/>
      </c>
      <c r="P1491" s="17" t="str">
        <f aca="false">IF($B1491="","",INDEX(Course!$N$2:$N$19,MATCH($B1491,Course!$A$2:$A$19,0)))</f>
        <v/>
      </c>
      <c r="Q1491" s="17" t="str">
        <f aca="false">IF($B1491="","",INDEX(Course!$P$2:$P$19,MATCH($B1491,Course!$A$2:$A$19,0)))</f>
        <v/>
      </c>
      <c r="R1491" s="17" t="str">
        <f aca="false">IF($C1491="","",IF(OR($C1491="G",$C1491="H"),0,IF($C1491="T",1,MIN(1,MAX(0,($N1491-Inputs!$B$8)/MAX($P1491-Inputs!$B$8,0.01))))))</f>
        <v/>
      </c>
      <c r="S1491" s="17" t="str">
        <f aca="false">IF($C1491="","",IF(OR($E1491="G",$E1491="H"),0,IF($E1491="T",1,MIN(1,MAX(0,($O1491-Inputs!$B$8)/MAX($P1491-Inputs!$B$8,0.01))))))</f>
        <v/>
      </c>
    </row>
    <row r="1492" customFormat="false" ht="15" hidden="false" customHeight="false" outlineLevel="0" collapsed="false">
      <c r="I1492" s="7" t="str">
        <f aca="false">IF($C1492="","",IF($C1492="G","PUTT",IF(AND($C1492="T",$M1492&gt;3),"OTT",IF($D1492&lt;=30,"ARG","APP"))))</f>
        <v/>
      </c>
      <c r="J1492" s="17" t="str">
        <f aca="false">IF($C1492="","",$N1492+$Q1492*$R1492)</f>
        <v/>
      </c>
      <c r="K1492" s="17" t="str">
        <f aca="false">IF($C1492="","",$O1492+$Q1492*$S1492)</f>
        <v/>
      </c>
      <c r="L1492" s="17" t="str">
        <f aca="false">IF($C1492="","",$J1492-$K1492-1-N($G1492))</f>
        <v/>
      </c>
      <c r="M1492" s="7" t="str">
        <f aca="false">IF($B1492="","",INDEX(Course!$B$2:$B$19,MATCH($B1492,Course!$A$2:$A$19,0)))</f>
        <v/>
      </c>
      <c r="N1492" s="17" t="str">
        <f aca="false">IF($C1492="","",IF($C1492="H",0,IF($C1492="G",INDEX(Baseline!$I$3:$I$102,MIN(MAX(ROUND($D1492,0),1),100)),IF($C1492="T",IF($M1492=3,INDEX(Baseline!$B$3:$B$122,MATCH(MIN(MAX(ROUND(($D1492)/5,0)*5,5),600),Baseline!$A$3:$A$122,0))-Inputs!$B$9,INDEX(Course!$N$2:$N$19,MATCH($B1492,Course!$A$2:$A$19,0))),INDEX(Baseline!$B$3:$E$122,MATCH(MIN(MAX(ROUND(($D1492)/5,0)*5,5),600),Baseline!$A$3:$A$122,0),MATCH($C1492,Baseline!$B$2:$E$2,0))))))</f>
        <v/>
      </c>
      <c r="O1492" s="17" t="str">
        <f aca="false">IF($C1492="","",IF($E1492="H",0,IF($E1492="G",INDEX(Baseline!$I$3:$I$102,MIN(MAX(ROUND($F1492,0),1),100)),IF($E1492="T",IF($M1492=3,INDEX(Baseline!$B$3:$B$122,MATCH(MIN(MAX(ROUND(($F1492)/5,0)*5,5),600),Baseline!$A$3:$A$122,0))-Inputs!$B$9,INDEX(Course!$N$2:$N$19,MATCH($B1492,Course!$A$2:$A$19,0))),INDEX(Baseline!$B$3:$E$122,MATCH(MIN(MAX(ROUND(($F1492)/5,0)*5,5),600),Baseline!$A$3:$A$122,0),MATCH($E1492,Baseline!$B$2:$E$2,0))))))</f>
        <v/>
      </c>
      <c r="P1492" s="17" t="str">
        <f aca="false">IF($B1492="","",INDEX(Course!$N$2:$N$19,MATCH($B1492,Course!$A$2:$A$19,0)))</f>
        <v/>
      </c>
      <c r="Q1492" s="17" t="str">
        <f aca="false">IF($B1492="","",INDEX(Course!$P$2:$P$19,MATCH($B1492,Course!$A$2:$A$19,0)))</f>
        <v/>
      </c>
      <c r="R1492" s="17" t="str">
        <f aca="false">IF($C1492="","",IF(OR($C1492="G",$C1492="H"),0,IF($C1492="T",1,MIN(1,MAX(0,($N1492-Inputs!$B$8)/MAX($P1492-Inputs!$B$8,0.01))))))</f>
        <v/>
      </c>
      <c r="S1492" s="17" t="str">
        <f aca="false">IF($C1492="","",IF(OR($E1492="G",$E1492="H"),0,IF($E1492="T",1,MIN(1,MAX(0,($O1492-Inputs!$B$8)/MAX($P1492-Inputs!$B$8,0.01))))))</f>
        <v/>
      </c>
    </row>
    <row r="1493" customFormat="false" ht="15" hidden="false" customHeight="false" outlineLevel="0" collapsed="false">
      <c r="I1493" s="7" t="str">
        <f aca="false">IF($C1493="","",IF($C1493="G","PUTT",IF(AND($C1493="T",$M1493&gt;3),"OTT",IF($D1493&lt;=30,"ARG","APP"))))</f>
        <v/>
      </c>
      <c r="J1493" s="17" t="str">
        <f aca="false">IF($C1493="","",$N1493+$Q1493*$R1493)</f>
        <v/>
      </c>
      <c r="K1493" s="17" t="str">
        <f aca="false">IF($C1493="","",$O1493+$Q1493*$S1493)</f>
        <v/>
      </c>
      <c r="L1493" s="17" t="str">
        <f aca="false">IF($C1493="","",$J1493-$K1493-1-N($G1493))</f>
        <v/>
      </c>
      <c r="M1493" s="7" t="str">
        <f aca="false">IF($B1493="","",INDEX(Course!$B$2:$B$19,MATCH($B1493,Course!$A$2:$A$19,0)))</f>
        <v/>
      </c>
      <c r="N1493" s="17" t="str">
        <f aca="false">IF($C1493="","",IF($C1493="H",0,IF($C1493="G",INDEX(Baseline!$I$3:$I$102,MIN(MAX(ROUND($D1493,0),1),100)),IF($C1493="T",IF($M1493=3,INDEX(Baseline!$B$3:$B$122,MATCH(MIN(MAX(ROUND(($D1493)/5,0)*5,5),600),Baseline!$A$3:$A$122,0))-Inputs!$B$9,INDEX(Course!$N$2:$N$19,MATCH($B1493,Course!$A$2:$A$19,0))),INDEX(Baseline!$B$3:$E$122,MATCH(MIN(MAX(ROUND(($D1493)/5,0)*5,5),600),Baseline!$A$3:$A$122,0),MATCH($C1493,Baseline!$B$2:$E$2,0))))))</f>
        <v/>
      </c>
      <c r="O1493" s="17" t="str">
        <f aca="false">IF($C1493="","",IF($E1493="H",0,IF($E1493="G",INDEX(Baseline!$I$3:$I$102,MIN(MAX(ROUND($F1493,0),1),100)),IF($E1493="T",IF($M1493=3,INDEX(Baseline!$B$3:$B$122,MATCH(MIN(MAX(ROUND(($F1493)/5,0)*5,5),600),Baseline!$A$3:$A$122,0))-Inputs!$B$9,INDEX(Course!$N$2:$N$19,MATCH($B1493,Course!$A$2:$A$19,0))),INDEX(Baseline!$B$3:$E$122,MATCH(MIN(MAX(ROUND(($F1493)/5,0)*5,5),600),Baseline!$A$3:$A$122,0),MATCH($E1493,Baseline!$B$2:$E$2,0))))))</f>
        <v/>
      </c>
      <c r="P1493" s="17" t="str">
        <f aca="false">IF($B1493="","",INDEX(Course!$N$2:$N$19,MATCH($B1493,Course!$A$2:$A$19,0)))</f>
        <v/>
      </c>
      <c r="Q1493" s="17" t="str">
        <f aca="false">IF($B1493="","",INDEX(Course!$P$2:$P$19,MATCH($B1493,Course!$A$2:$A$19,0)))</f>
        <v/>
      </c>
      <c r="R1493" s="17" t="str">
        <f aca="false">IF($C1493="","",IF(OR($C1493="G",$C1493="H"),0,IF($C1493="T",1,MIN(1,MAX(0,($N1493-Inputs!$B$8)/MAX($P1493-Inputs!$B$8,0.01))))))</f>
        <v/>
      </c>
      <c r="S1493" s="17" t="str">
        <f aca="false">IF($C1493="","",IF(OR($E1493="G",$E1493="H"),0,IF($E1493="T",1,MIN(1,MAX(0,($O1493-Inputs!$B$8)/MAX($P1493-Inputs!$B$8,0.01))))))</f>
        <v/>
      </c>
    </row>
    <row r="1494" customFormat="false" ht="15" hidden="false" customHeight="false" outlineLevel="0" collapsed="false">
      <c r="I1494" s="7" t="str">
        <f aca="false">IF($C1494="","",IF($C1494="G","PUTT",IF(AND($C1494="T",$M1494&gt;3),"OTT",IF($D1494&lt;=30,"ARG","APP"))))</f>
        <v/>
      </c>
      <c r="J1494" s="17" t="str">
        <f aca="false">IF($C1494="","",$N1494+$Q1494*$R1494)</f>
        <v/>
      </c>
      <c r="K1494" s="17" t="str">
        <f aca="false">IF($C1494="","",$O1494+$Q1494*$S1494)</f>
        <v/>
      </c>
      <c r="L1494" s="17" t="str">
        <f aca="false">IF($C1494="","",$J1494-$K1494-1-N($G1494))</f>
        <v/>
      </c>
      <c r="M1494" s="7" t="str">
        <f aca="false">IF($B1494="","",INDEX(Course!$B$2:$B$19,MATCH($B1494,Course!$A$2:$A$19,0)))</f>
        <v/>
      </c>
      <c r="N1494" s="17" t="str">
        <f aca="false">IF($C1494="","",IF($C1494="H",0,IF($C1494="G",INDEX(Baseline!$I$3:$I$102,MIN(MAX(ROUND($D1494,0),1),100)),IF($C1494="T",IF($M1494=3,INDEX(Baseline!$B$3:$B$122,MATCH(MIN(MAX(ROUND(($D1494)/5,0)*5,5),600),Baseline!$A$3:$A$122,0))-Inputs!$B$9,INDEX(Course!$N$2:$N$19,MATCH($B1494,Course!$A$2:$A$19,0))),INDEX(Baseline!$B$3:$E$122,MATCH(MIN(MAX(ROUND(($D1494)/5,0)*5,5),600),Baseline!$A$3:$A$122,0),MATCH($C1494,Baseline!$B$2:$E$2,0))))))</f>
        <v/>
      </c>
      <c r="O1494" s="17" t="str">
        <f aca="false">IF($C1494="","",IF($E1494="H",0,IF($E1494="G",INDEX(Baseline!$I$3:$I$102,MIN(MAX(ROUND($F1494,0),1),100)),IF($E1494="T",IF($M1494=3,INDEX(Baseline!$B$3:$B$122,MATCH(MIN(MAX(ROUND(($F1494)/5,0)*5,5),600),Baseline!$A$3:$A$122,0))-Inputs!$B$9,INDEX(Course!$N$2:$N$19,MATCH($B1494,Course!$A$2:$A$19,0))),INDEX(Baseline!$B$3:$E$122,MATCH(MIN(MAX(ROUND(($F1494)/5,0)*5,5),600),Baseline!$A$3:$A$122,0),MATCH($E1494,Baseline!$B$2:$E$2,0))))))</f>
        <v/>
      </c>
      <c r="P1494" s="17" t="str">
        <f aca="false">IF($B1494="","",INDEX(Course!$N$2:$N$19,MATCH($B1494,Course!$A$2:$A$19,0)))</f>
        <v/>
      </c>
      <c r="Q1494" s="17" t="str">
        <f aca="false">IF($B1494="","",INDEX(Course!$P$2:$P$19,MATCH($B1494,Course!$A$2:$A$19,0)))</f>
        <v/>
      </c>
      <c r="R1494" s="17" t="str">
        <f aca="false">IF($C1494="","",IF(OR($C1494="G",$C1494="H"),0,IF($C1494="T",1,MIN(1,MAX(0,($N1494-Inputs!$B$8)/MAX($P1494-Inputs!$B$8,0.01))))))</f>
        <v/>
      </c>
      <c r="S1494" s="17" t="str">
        <f aca="false">IF($C1494="","",IF(OR($E1494="G",$E1494="H"),0,IF($E1494="T",1,MIN(1,MAX(0,($O1494-Inputs!$B$8)/MAX($P1494-Inputs!$B$8,0.01))))))</f>
        <v/>
      </c>
    </row>
    <row r="1495" customFormat="false" ht="15" hidden="false" customHeight="false" outlineLevel="0" collapsed="false">
      <c r="I1495" s="7" t="str">
        <f aca="false">IF($C1495="","",IF($C1495="G","PUTT",IF(AND($C1495="T",$M1495&gt;3),"OTT",IF($D1495&lt;=30,"ARG","APP"))))</f>
        <v/>
      </c>
      <c r="J1495" s="17" t="str">
        <f aca="false">IF($C1495="","",$N1495+$Q1495*$R1495)</f>
        <v/>
      </c>
      <c r="K1495" s="17" t="str">
        <f aca="false">IF($C1495="","",$O1495+$Q1495*$S1495)</f>
        <v/>
      </c>
      <c r="L1495" s="17" t="str">
        <f aca="false">IF($C1495="","",$J1495-$K1495-1-N($G1495))</f>
        <v/>
      </c>
      <c r="M1495" s="7" t="str">
        <f aca="false">IF($B1495="","",INDEX(Course!$B$2:$B$19,MATCH($B1495,Course!$A$2:$A$19,0)))</f>
        <v/>
      </c>
      <c r="N1495" s="17" t="str">
        <f aca="false">IF($C1495="","",IF($C1495="H",0,IF($C1495="G",INDEX(Baseline!$I$3:$I$102,MIN(MAX(ROUND($D1495,0),1),100)),IF($C1495="T",IF($M1495=3,INDEX(Baseline!$B$3:$B$122,MATCH(MIN(MAX(ROUND(($D1495)/5,0)*5,5),600),Baseline!$A$3:$A$122,0))-Inputs!$B$9,INDEX(Course!$N$2:$N$19,MATCH($B1495,Course!$A$2:$A$19,0))),INDEX(Baseline!$B$3:$E$122,MATCH(MIN(MAX(ROUND(($D1495)/5,0)*5,5),600),Baseline!$A$3:$A$122,0),MATCH($C1495,Baseline!$B$2:$E$2,0))))))</f>
        <v/>
      </c>
      <c r="O1495" s="17" t="str">
        <f aca="false">IF($C1495="","",IF($E1495="H",0,IF($E1495="G",INDEX(Baseline!$I$3:$I$102,MIN(MAX(ROUND($F1495,0),1),100)),IF($E1495="T",IF($M1495=3,INDEX(Baseline!$B$3:$B$122,MATCH(MIN(MAX(ROUND(($F1495)/5,0)*5,5),600),Baseline!$A$3:$A$122,0))-Inputs!$B$9,INDEX(Course!$N$2:$N$19,MATCH($B1495,Course!$A$2:$A$19,0))),INDEX(Baseline!$B$3:$E$122,MATCH(MIN(MAX(ROUND(($F1495)/5,0)*5,5),600),Baseline!$A$3:$A$122,0),MATCH($E1495,Baseline!$B$2:$E$2,0))))))</f>
        <v/>
      </c>
      <c r="P1495" s="17" t="str">
        <f aca="false">IF($B1495="","",INDEX(Course!$N$2:$N$19,MATCH($B1495,Course!$A$2:$A$19,0)))</f>
        <v/>
      </c>
      <c r="Q1495" s="17" t="str">
        <f aca="false">IF($B1495="","",INDEX(Course!$P$2:$P$19,MATCH($B1495,Course!$A$2:$A$19,0)))</f>
        <v/>
      </c>
      <c r="R1495" s="17" t="str">
        <f aca="false">IF($C1495="","",IF(OR($C1495="G",$C1495="H"),0,IF($C1495="T",1,MIN(1,MAX(0,($N1495-Inputs!$B$8)/MAX($P1495-Inputs!$B$8,0.01))))))</f>
        <v/>
      </c>
      <c r="S1495" s="17" t="str">
        <f aca="false">IF($C1495="","",IF(OR($E1495="G",$E1495="H"),0,IF($E1495="T",1,MIN(1,MAX(0,($O1495-Inputs!$B$8)/MAX($P1495-Inputs!$B$8,0.01))))))</f>
        <v/>
      </c>
    </row>
    <row r="1496" customFormat="false" ht="15" hidden="false" customHeight="false" outlineLevel="0" collapsed="false">
      <c r="I1496" s="7" t="str">
        <f aca="false">IF($C1496="","",IF($C1496="G","PUTT",IF(AND($C1496="T",$M1496&gt;3),"OTT",IF($D1496&lt;=30,"ARG","APP"))))</f>
        <v/>
      </c>
      <c r="J1496" s="17" t="str">
        <f aca="false">IF($C1496="","",$N1496+$Q1496*$R1496)</f>
        <v/>
      </c>
      <c r="K1496" s="17" t="str">
        <f aca="false">IF($C1496="","",$O1496+$Q1496*$S1496)</f>
        <v/>
      </c>
      <c r="L1496" s="17" t="str">
        <f aca="false">IF($C1496="","",$J1496-$K1496-1-N($G1496))</f>
        <v/>
      </c>
      <c r="M1496" s="7" t="str">
        <f aca="false">IF($B1496="","",INDEX(Course!$B$2:$B$19,MATCH($B1496,Course!$A$2:$A$19,0)))</f>
        <v/>
      </c>
      <c r="N1496" s="17" t="str">
        <f aca="false">IF($C1496="","",IF($C1496="H",0,IF($C1496="G",INDEX(Baseline!$I$3:$I$102,MIN(MAX(ROUND($D1496,0),1),100)),IF($C1496="T",IF($M1496=3,INDEX(Baseline!$B$3:$B$122,MATCH(MIN(MAX(ROUND(($D1496)/5,0)*5,5),600),Baseline!$A$3:$A$122,0))-Inputs!$B$9,INDEX(Course!$N$2:$N$19,MATCH($B1496,Course!$A$2:$A$19,0))),INDEX(Baseline!$B$3:$E$122,MATCH(MIN(MAX(ROUND(($D1496)/5,0)*5,5),600),Baseline!$A$3:$A$122,0),MATCH($C1496,Baseline!$B$2:$E$2,0))))))</f>
        <v/>
      </c>
      <c r="O1496" s="17" t="str">
        <f aca="false">IF($C1496="","",IF($E1496="H",0,IF($E1496="G",INDEX(Baseline!$I$3:$I$102,MIN(MAX(ROUND($F1496,0),1),100)),IF($E1496="T",IF($M1496=3,INDEX(Baseline!$B$3:$B$122,MATCH(MIN(MAX(ROUND(($F1496)/5,0)*5,5),600),Baseline!$A$3:$A$122,0))-Inputs!$B$9,INDEX(Course!$N$2:$N$19,MATCH($B1496,Course!$A$2:$A$19,0))),INDEX(Baseline!$B$3:$E$122,MATCH(MIN(MAX(ROUND(($F1496)/5,0)*5,5),600),Baseline!$A$3:$A$122,0),MATCH($E1496,Baseline!$B$2:$E$2,0))))))</f>
        <v/>
      </c>
      <c r="P1496" s="17" t="str">
        <f aca="false">IF($B1496="","",INDEX(Course!$N$2:$N$19,MATCH($B1496,Course!$A$2:$A$19,0)))</f>
        <v/>
      </c>
      <c r="Q1496" s="17" t="str">
        <f aca="false">IF($B1496="","",INDEX(Course!$P$2:$P$19,MATCH($B1496,Course!$A$2:$A$19,0)))</f>
        <v/>
      </c>
      <c r="R1496" s="17" t="str">
        <f aca="false">IF($C1496="","",IF(OR($C1496="G",$C1496="H"),0,IF($C1496="T",1,MIN(1,MAX(0,($N1496-Inputs!$B$8)/MAX($P1496-Inputs!$B$8,0.01))))))</f>
        <v/>
      </c>
      <c r="S1496" s="17" t="str">
        <f aca="false">IF($C1496="","",IF(OR($E1496="G",$E1496="H"),0,IF($E1496="T",1,MIN(1,MAX(0,($O1496-Inputs!$B$8)/MAX($P1496-Inputs!$B$8,0.01))))))</f>
        <v/>
      </c>
    </row>
    <row r="1497" customFormat="false" ht="15" hidden="false" customHeight="false" outlineLevel="0" collapsed="false">
      <c r="I1497" s="7" t="str">
        <f aca="false">IF($C1497="","",IF($C1497="G","PUTT",IF(AND($C1497="T",$M1497&gt;3),"OTT",IF($D1497&lt;=30,"ARG","APP"))))</f>
        <v/>
      </c>
      <c r="J1497" s="17" t="str">
        <f aca="false">IF($C1497="","",$N1497+$Q1497*$R1497)</f>
        <v/>
      </c>
      <c r="K1497" s="17" t="str">
        <f aca="false">IF($C1497="","",$O1497+$Q1497*$S1497)</f>
        <v/>
      </c>
      <c r="L1497" s="17" t="str">
        <f aca="false">IF($C1497="","",$J1497-$K1497-1-N($G1497))</f>
        <v/>
      </c>
      <c r="M1497" s="7" t="str">
        <f aca="false">IF($B1497="","",INDEX(Course!$B$2:$B$19,MATCH($B1497,Course!$A$2:$A$19,0)))</f>
        <v/>
      </c>
      <c r="N1497" s="17" t="str">
        <f aca="false">IF($C1497="","",IF($C1497="H",0,IF($C1497="G",INDEX(Baseline!$I$3:$I$102,MIN(MAX(ROUND($D1497,0),1),100)),IF($C1497="T",IF($M1497=3,INDEX(Baseline!$B$3:$B$122,MATCH(MIN(MAX(ROUND(($D1497)/5,0)*5,5),600),Baseline!$A$3:$A$122,0))-Inputs!$B$9,INDEX(Course!$N$2:$N$19,MATCH($B1497,Course!$A$2:$A$19,0))),INDEX(Baseline!$B$3:$E$122,MATCH(MIN(MAX(ROUND(($D1497)/5,0)*5,5),600),Baseline!$A$3:$A$122,0),MATCH($C1497,Baseline!$B$2:$E$2,0))))))</f>
        <v/>
      </c>
      <c r="O1497" s="17" t="str">
        <f aca="false">IF($C1497="","",IF($E1497="H",0,IF($E1497="G",INDEX(Baseline!$I$3:$I$102,MIN(MAX(ROUND($F1497,0),1),100)),IF($E1497="T",IF($M1497=3,INDEX(Baseline!$B$3:$B$122,MATCH(MIN(MAX(ROUND(($F1497)/5,0)*5,5),600),Baseline!$A$3:$A$122,0))-Inputs!$B$9,INDEX(Course!$N$2:$N$19,MATCH($B1497,Course!$A$2:$A$19,0))),INDEX(Baseline!$B$3:$E$122,MATCH(MIN(MAX(ROUND(($F1497)/5,0)*5,5),600),Baseline!$A$3:$A$122,0),MATCH($E1497,Baseline!$B$2:$E$2,0))))))</f>
        <v/>
      </c>
      <c r="P1497" s="17" t="str">
        <f aca="false">IF($B1497="","",INDEX(Course!$N$2:$N$19,MATCH($B1497,Course!$A$2:$A$19,0)))</f>
        <v/>
      </c>
      <c r="Q1497" s="17" t="str">
        <f aca="false">IF($B1497="","",INDEX(Course!$P$2:$P$19,MATCH($B1497,Course!$A$2:$A$19,0)))</f>
        <v/>
      </c>
      <c r="R1497" s="17" t="str">
        <f aca="false">IF($C1497="","",IF(OR($C1497="G",$C1497="H"),0,IF($C1497="T",1,MIN(1,MAX(0,($N1497-Inputs!$B$8)/MAX($P1497-Inputs!$B$8,0.01))))))</f>
        <v/>
      </c>
      <c r="S1497" s="17" t="str">
        <f aca="false">IF($C1497="","",IF(OR($E1497="G",$E1497="H"),0,IF($E1497="T",1,MIN(1,MAX(0,($O1497-Inputs!$B$8)/MAX($P1497-Inputs!$B$8,0.01))))))</f>
        <v/>
      </c>
    </row>
    <row r="1498" customFormat="false" ht="15" hidden="false" customHeight="false" outlineLevel="0" collapsed="false">
      <c r="I1498" s="7" t="str">
        <f aca="false">IF($C1498="","",IF($C1498="G","PUTT",IF(AND($C1498="T",$M1498&gt;3),"OTT",IF($D1498&lt;=30,"ARG","APP"))))</f>
        <v/>
      </c>
      <c r="J1498" s="17" t="str">
        <f aca="false">IF($C1498="","",$N1498+$Q1498*$R1498)</f>
        <v/>
      </c>
      <c r="K1498" s="17" t="str">
        <f aca="false">IF($C1498="","",$O1498+$Q1498*$S1498)</f>
        <v/>
      </c>
      <c r="L1498" s="17" t="str">
        <f aca="false">IF($C1498="","",$J1498-$K1498-1-N($G1498))</f>
        <v/>
      </c>
      <c r="M1498" s="7" t="str">
        <f aca="false">IF($B1498="","",INDEX(Course!$B$2:$B$19,MATCH($B1498,Course!$A$2:$A$19,0)))</f>
        <v/>
      </c>
      <c r="N1498" s="17" t="str">
        <f aca="false">IF($C1498="","",IF($C1498="H",0,IF($C1498="G",INDEX(Baseline!$I$3:$I$102,MIN(MAX(ROUND($D1498,0),1),100)),IF($C1498="T",IF($M1498=3,INDEX(Baseline!$B$3:$B$122,MATCH(MIN(MAX(ROUND(($D1498)/5,0)*5,5),600),Baseline!$A$3:$A$122,0))-Inputs!$B$9,INDEX(Course!$N$2:$N$19,MATCH($B1498,Course!$A$2:$A$19,0))),INDEX(Baseline!$B$3:$E$122,MATCH(MIN(MAX(ROUND(($D1498)/5,0)*5,5),600),Baseline!$A$3:$A$122,0),MATCH($C1498,Baseline!$B$2:$E$2,0))))))</f>
        <v/>
      </c>
      <c r="O1498" s="17" t="str">
        <f aca="false">IF($C1498="","",IF($E1498="H",0,IF($E1498="G",INDEX(Baseline!$I$3:$I$102,MIN(MAX(ROUND($F1498,0),1),100)),IF($E1498="T",IF($M1498=3,INDEX(Baseline!$B$3:$B$122,MATCH(MIN(MAX(ROUND(($F1498)/5,0)*5,5),600),Baseline!$A$3:$A$122,0))-Inputs!$B$9,INDEX(Course!$N$2:$N$19,MATCH($B1498,Course!$A$2:$A$19,0))),INDEX(Baseline!$B$3:$E$122,MATCH(MIN(MAX(ROUND(($F1498)/5,0)*5,5),600),Baseline!$A$3:$A$122,0),MATCH($E1498,Baseline!$B$2:$E$2,0))))))</f>
        <v/>
      </c>
      <c r="P1498" s="17" t="str">
        <f aca="false">IF($B1498="","",INDEX(Course!$N$2:$N$19,MATCH($B1498,Course!$A$2:$A$19,0)))</f>
        <v/>
      </c>
      <c r="Q1498" s="17" t="str">
        <f aca="false">IF($B1498="","",INDEX(Course!$P$2:$P$19,MATCH($B1498,Course!$A$2:$A$19,0)))</f>
        <v/>
      </c>
      <c r="R1498" s="17" t="str">
        <f aca="false">IF($C1498="","",IF(OR($C1498="G",$C1498="H"),0,IF($C1498="T",1,MIN(1,MAX(0,($N1498-Inputs!$B$8)/MAX($P1498-Inputs!$B$8,0.01))))))</f>
        <v/>
      </c>
      <c r="S1498" s="17" t="str">
        <f aca="false">IF($C1498="","",IF(OR($E1498="G",$E1498="H"),0,IF($E1498="T",1,MIN(1,MAX(0,($O1498-Inputs!$B$8)/MAX($P1498-Inputs!$B$8,0.01))))))</f>
        <v/>
      </c>
    </row>
    <row r="1499" customFormat="false" ht="15" hidden="false" customHeight="false" outlineLevel="0" collapsed="false">
      <c r="I1499" s="7" t="str">
        <f aca="false">IF($C1499="","",IF($C1499="G","PUTT",IF(AND($C1499="T",$M1499&gt;3),"OTT",IF($D1499&lt;=30,"ARG","APP"))))</f>
        <v/>
      </c>
      <c r="J1499" s="17" t="str">
        <f aca="false">IF($C1499="","",$N1499+$Q1499*$R1499)</f>
        <v/>
      </c>
      <c r="K1499" s="17" t="str">
        <f aca="false">IF($C1499="","",$O1499+$Q1499*$S1499)</f>
        <v/>
      </c>
      <c r="L1499" s="17" t="str">
        <f aca="false">IF($C1499="","",$J1499-$K1499-1-N($G1499))</f>
        <v/>
      </c>
      <c r="M1499" s="7" t="str">
        <f aca="false">IF($B1499="","",INDEX(Course!$B$2:$B$19,MATCH($B1499,Course!$A$2:$A$19,0)))</f>
        <v/>
      </c>
      <c r="N1499" s="17" t="str">
        <f aca="false">IF($C1499="","",IF($C1499="H",0,IF($C1499="G",INDEX(Baseline!$I$3:$I$102,MIN(MAX(ROUND($D1499,0),1),100)),IF($C1499="T",IF($M1499=3,INDEX(Baseline!$B$3:$B$122,MATCH(MIN(MAX(ROUND(($D1499)/5,0)*5,5),600),Baseline!$A$3:$A$122,0))-Inputs!$B$9,INDEX(Course!$N$2:$N$19,MATCH($B1499,Course!$A$2:$A$19,0))),INDEX(Baseline!$B$3:$E$122,MATCH(MIN(MAX(ROUND(($D1499)/5,0)*5,5),600),Baseline!$A$3:$A$122,0),MATCH($C1499,Baseline!$B$2:$E$2,0))))))</f>
        <v/>
      </c>
      <c r="O1499" s="17" t="str">
        <f aca="false">IF($C1499="","",IF($E1499="H",0,IF($E1499="G",INDEX(Baseline!$I$3:$I$102,MIN(MAX(ROUND($F1499,0),1),100)),IF($E1499="T",IF($M1499=3,INDEX(Baseline!$B$3:$B$122,MATCH(MIN(MAX(ROUND(($F1499)/5,0)*5,5),600),Baseline!$A$3:$A$122,0))-Inputs!$B$9,INDEX(Course!$N$2:$N$19,MATCH($B1499,Course!$A$2:$A$19,0))),INDEX(Baseline!$B$3:$E$122,MATCH(MIN(MAX(ROUND(($F1499)/5,0)*5,5),600),Baseline!$A$3:$A$122,0),MATCH($E1499,Baseline!$B$2:$E$2,0))))))</f>
        <v/>
      </c>
      <c r="P1499" s="17" t="str">
        <f aca="false">IF($B1499="","",INDEX(Course!$N$2:$N$19,MATCH($B1499,Course!$A$2:$A$19,0)))</f>
        <v/>
      </c>
      <c r="Q1499" s="17" t="str">
        <f aca="false">IF($B1499="","",INDEX(Course!$P$2:$P$19,MATCH($B1499,Course!$A$2:$A$19,0)))</f>
        <v/>
      </c>
      <c r="R1499" s="17" t="str">
        <f aca="false">IF($C1499="","",IF(OR($C1499="G",$C1499="H"),0,IF($C1499="T",1,MIN(1,MAX(0,($N1499-Inputs!$B$8)/MAX($P1499-Inputs!$B$8,0.01))))))</f>
        <v/>
      </c>
      <c r="S1499" s="17" t="str">
        <f aca="false">IF($C1499="","",IF(OR($E1499="G",$E1499="H"),0,IF($E1499="T",1,MIN(1,MAX(0,($O1499-Inputs!$B$8)/MAX($P1499-Inputs!$B$8,0.01))))))</f>
        <v/>
      </c>
    </row>
    <row r="1500" customFormat="false" ht="15" hidden="false" customHeight="false" outlineLevel="0" collapsed="false">
      <c r="I1500" s="7" t="str">
        <f aca="false">IF($C1500="","",IF($C1500="G","PUTT",IF(AND($C1500="T",$M1500&gt;3),"OTT",IF($D1500&lt;=30,"ARG","APP"))))</f>
        <v/>
      </c>
      <c r="J1500" s="17" t="str">
        <f aca="false">IF($C1500="","",$N1500+$Q1500*$R1500)</f>
        <v/>
      </c>
      <c r="K1500" s="17" t="str">
        <f aca="false">IF($C1500="","",$O1500+$Q1500*$S1500)</f>
        <v/>
      </c>
      <c r="L1500" s="17" t="str">
        <f aca="false">IF($C1500="","",$J1500-$K1500-1-N($G1500))</f>
        <v/>
      </c>
      <c r="M1500" s="7" t="str">
        <f aca="false">IF($B1500="","",INDEX(Course!$B$2:$B$19,MATCH($B1500,Course!$A$2:$A$19,0)))</f>
        <v/>
      </c>
      <c r="N1500" s="17" t="str">
        <f aca="false">IF($C1500="","",IF($C1500="H",0,IF($C1500="G",INDEX(Baseline!$I$3:$I$102,MIN(MAX(ROUND($D1500,0),1),100)),IF($C1500="T",IF($M1500=3,INDEX(Baseline!$B$3:$B$122,MATCH(MIN(MAX(ROUND(($D1500)/5,0)*5,5),600),Baseline!$A$3:$A$122,0))-Inputs!$B$9,INDEX(Course!$N$2:$N$19,MATCH($B1500,Course!$A$2:$A$19,0))),INDEX(Baseline!$B$3:$E$122,MATCH(MIN(MAX(ROUND(($D1500)/5,0)*5,5),600),Baseline!$A$3:$A$122,0),MATCH($C1500,Baseline!$B$2:$E$2,0))))))</f>
        <v/>
      </c>
      <c r="O1500" s="17" t="str">
        <f aca="false">IF($C1500="","",IF($E1500="H",0,IF($E1500="G",INDEX(Baseline!$I$3:$I$102,MIN(MAX(ROUND($F1500,0),1),100)),IF($E1500="T",IF($M1500=3,INDEX(Baseline!$B$3:$B$122,MATCH(MIN(MAX(ROUND(($F1500)/5,0)*5,5),600),Baseline!$A$3:$A$122,0))-Inputs!$B$9,INDEX(Course!$N$2:$N$19,MATCH($B1500,Course!$A$2:$A$19,0))),INDEX(Baseline!$B$3:$E$122,MATCH(MIN(MAX(ROUND(($F1500)/5,0)*5,5),600),Baseline!$A$3:$A$122,0),MATCH($E1500,Baseline!$B$2:$E$2,0))))))</f>
        <v/>
      </c>
      <c r="P1500" s="17" t="str">
        <f aca="false">IF($B1500="","",INDEX(Course!$N$2:$N$19,MATCH($B1500,Course!$A$2:$A$19,0)))</f>
        <v/>
      </c>
      <c r="Q1500" s="17" t="str">
        <f aca="false">IF($B1500="","",INDEX(Course!$P$2:$P$19,MATCH($B1500,Course!$A$2:$A$19,0)))</f>
        <v/>
      </c>
      <c r="R1500" s="17" t="str">
        <f aca="false">IF($C1500="","",IF(OR($C1500="G",$C1500="H"),0,IF($C1500="T",1,MIN(1,MAX(0,($N1500-Inputs!$B$8)/MAX($P1500-Inputs!$B$8,0.01))))))</f>
        <v/>
      </c>
      <c r="S1500" s="17" t="str">
        <f aca="false">IF($C1500="","",IF(OR($E1500="G",$E1500="H"),0,IF($E1500="T",1,MIN(1,MAX(0,($O1500-Inputs!$B$8)/MAX($P1500-Inputs!$B$8,0.01))))))</f>
        <v/>
      </c>
    </row>
    <row r="1501" customFormat="false" ht="15" hidden="false" customHeight="false" outlineLevel="0" collapsed="false">
      <c r="I1501" s="7" t="str">
        <f aca="false">IF($C1501="","",IF($C1501="G","PUTT",IF(AND($C1501="T",$M1501&gt;3),"OTT",IF($D1501&lt;=30,"ARG","APP"))))</f>
        <v/>
      </c>
      <c r="J1501" s="17" t="str">
        <f aca="false">IF($C1501="","",$N1501+$Q1501*$R1501)</f>
        <v/>
      </c>
      <c r="K1501" s="17" t="str">
        <f aca="false">IF($C1501="","",$O1501+$Q1501*$S1501)</f>
        <v/>
      </c>
      <c r="L1501" s="17" t="str">
        <f aca="false">IF($C1501="","",$J1501-$K1501-1-N($G1501))</f>
        <v/>
      </c>
      <c r="M1501" s="7" t="str">
        <f aca="false">IF($B1501="","",INDEX(Course!$B$2:$B$19,MATCH($B1501,Course!$A$2:$A$19,0)))</f>
        <v/>
      </c>
      <c r="N1501" s="17" t="str">
        <f aca="false">IF($C1501="","",IF($C1501="H",0,IF($C1501="G",INDEX(Baseline!$I$3:$I$102,MIN(MAX(ROUND($D1501,0),1),100)),IF($C1501="T",IF($M1501=3,INDEX(Baseline!$B$3:$B$122,MATCH(MIN(MAX(ROUND(($D1501)/5,0)*5,5),600),Baseline!$A$3:$A$122,0))-Inputs!$B$9,INDEX(Course!$N$2:$N$19,MATCH($B1501,Course!$A$2:$A$19,0))),INDEX(Baseline!$B$3:$E$122,MATCH(MIN(MAX(ROUND(($D1501)/5,0)*5,5),600),Baseline!$A$3:$A$122,0),MATCH($C1501,Baseline!$B$2:$E$2,0))))))</f>
        <v/>
      </c>
      <c r="O1501" s="17" t="str">
        <f aca="false">IF($C1501="","",IF($E1501="H",0,IF($E1501="G",INDEX(Baseline!$I$3:$I$102,MIN(MAX(ROUND($F1501,0),1),100)),IF($E1501="T",IF($M1501=3,INDEX(Baseline!$B$3:$B$122,MATCH(MIN(MAX(ROUND(($F1501)/5,0)*5,5),600),Baseline!$A$3:$A$122,0))-Inputs!$B$9,INDEX(Course!$N$2:$N$19,MATCH($B1501,Course!$A$2:$A$19,0))),INDEX(Baseline!$B$3:$E$122,MATCH(MIN(MAX(ROUND(($F1501)/5,0)*5,5),600),Baseline!$A$3:$A$122,0),MATCH($E1501,Baseline!$B$2:$E$2,0))))))</f>
        <v/>
      </c>
      <c r="P1501" s="17" t="str">
        <f aca="false">IF($B1501="","",INDEX(Course!$N$2:$N$19,MATCH($B1501,Course!$A$2:$A$19,0)))</f>
        <v/>
      </c>
      <c r="Q1501" s="17" t="str">
        <f aca="false">IF($B1501="","",INDEX(Course!$P$2:$P$19,MATCH($B1501,Course!$A$2:$A$19,0)))</f>
        <v/>
      </c>
      <c r="R1501" s="17" t="str">
        <f aca="false">IF($C1501="","",IF(OR($C1501="G",$C1501="H"),0,IF($C1501="T",1,MIN(1,MAX(0,($N1501-Inputs!$B$8)/MAX($P1501-Inputs!$B$8,0.01))))))</f>
        <v/>
      </c>
      <c r="S1501" s="17" t="str">
        <f aca="false">IF($C1501="","",IF(OR($E1501="G",$E1501="H"),0,IF($E1501="T",1,MIN(1,MAX(0,($O1501-Inputs!$B$8)/MAX($P1501-Inputs!$B$8,0.01))))))</f>
        <v/>
      </c>
    </row>
  </sheetData>
  <dataValidations count="2">
    <dataValidation allowBlank="true" errorStyle="stop" operator="between" showDropDown="false" showErrorMessage="false" showInputMessage="false" sqref="C2:C1501" type="list">
      <formula1>"T,F,R,S,X,G"</formula1>
      <formula2>0</formula2>
    </dataValidation>
    <dataValidation allowBlank="true" errorStyle="stop" operator="between" showDropDown="false" showErrorMessage="false" showInputMessage="false" sqref="E2:E1501" type="list">
      <formula1>"F,R,S,X,G,H"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8"/>
    <col collapsed="false" customWidth="true" hidden="false" outlineLevel="0" max="7" min="4" style="0" width="9"/>
    <col collapsed="false" customWidth="true" hidden="false" outlineLevel="0" max="8" min="8" style="0" width="10"/>
    <col collapsed="false" customWidth="true" hidden="false" outlineLevel="0" max="9" min="9" style="0" width="16"/>
  </cols>
  <sheetData>
    <row r="1" customFormat="false" ht="30" hidden="false" customHeight="true" outlineLevel="0" collapsed="false">
      <c r="A1" s="5" t="s">
        <v>160</v>
      </c>
      <c r="B1" s="5" t="s">
        <v>183</v>
      </c>
      <c r="C1" s="5" t="s">
        <v>184</v>
      </c>
      <c r="D1" s="5" t="s">
        <v>185</v>
      </c>
      <c r="E1" s="5" t="s">
        <v>186</v>
      </c>
      <c r="F1" s="5" t="s">
        <v>187</v>
      </c>
      <c r="G1" s="5" t="s">
        <v>188</v>
      </c>
      <c r="H1" s="5" t="s">
        <v>189</v>
      </c>
      <c r="I1" s="5" t="s">
        <v>190</v>
      </c>
    </row>
    <row r="2" customFormat="false" ht="15" hidden="false" customHeight="false" outlineLevel="0" collapsed="false">
      <c r="A2" s="8" t="s">
        <v>177</v>
      </c>
      <c r="B2" s="7" t="n">
        <f aca="false">IF($A2="","",SUMPRODUCT(('Shot Log'!$A$2:$A$1501=$A2)*('Shot Log'!$E$2:$E$1501="H")))</f>
        <v>2</v>
      </c>
      <c r="C2" s="7" t="n">
        <f aca="false">IF($A2="","",COUNTIFS('Shot Log'!$A$2:$A$1501,$A2,'Shot Log'!$C$2:$C$1501,"&lt;&gt;")+SUMIFS('Shot Log'!$G$2:$G$1501,'Shot Log'!$A$2:$A$1501,$A2))</f>
        <v>6</v>
      </c>
      <c r="D2" s="23" t="n">
        <f aca="false">IF($A2="","",SUMIFS('Shot Log'!$L$2:$L$1501,'Shot Log'!$A$2:$A$1501,$A2,'Shot Log'!$I$2:$I$1501,"OTT"))</f>
        <v>0.458311270797312</v>
      </c>
      <c r="E2" s="23" t="n">
        <f aca="false">IF($A2="","",SUMIFS('Shot Log'!$L$2:$L$1501,'Shot Log'!$A$2:$A$1501,$A2,'Shot Log'!$I$2:$I$1501,"APP"))</f>
        <v>0.170711479430451</v>
      </c>
      <c r="F2" s="23" t="n">
        <f aca="false">IF($A2="","",SUMIFS('Shot Log'!$L$2:$L$1501,'Shot Log'!$A$2:$A$1501,$A2,'Shot Log'!$I$2:$I$1501,"ARG"))</f>
        <v>0</v>
      </c>
      <c r="G2" s="23" t="n">
        <f aca="false">IF($A2="","",SUMIFS('Shot Log'!$L$2:$L$1501,'Shot Log'!$A$2:$A$1501,$A2,'Shot Log'!$I$2:$I$1501,"PUTT"))</f>
        <v>0.9454</v>
      </c>
      <c r="H2" s="23" t="n">
        <f aca="false">IF($A2="","",SUM(D2:G2))</f>
        <v>1.57442275022776</v>
      </c>
      <c r="I2" s="23" t="str">
        <f aca="false">IF($A2="","",IF(B2=18,Course!$B$23-C2,"n/a"))</f>
        <v>n/a</v>
      </c>
    </row>
    <row r="3" customFormat="false" ht="15" hidden="false" customHeight="false" outlineLevel="0" collapsed="false">
      <c r="A3" s="24"/>
      <c r="B3" s="7" t="str">
        <f aca="false">IF($A3="","",SUMPRODUCT(('Shot Log'!$A$2:$A$1501=$A3)*('Shot Log'!$E$2:$E$1501="H")))</f>
        <v/>
      </c>
      <c r="C3" s="7" t="str">
        <f aca="false">IF($A3="","",COUNTIFS('Shot Log'!$A$2:$A$1501,$A3,'Shot Log'!$C$2:$C$1501,"&lt;&gt;")+SUMIFS('Shot Log'!$G$2:$G$1501,'Shot Log'!$A$2:$A$1501,$A3))</f>
        <v/>
      </c>
      <c r="D3" s="23" t="str">
        <f aca="false">IF($A3="","",SUMIFS('Shot Log'!$L$2:$L$1501,'Shot Log'!$A$2:$A$1501,$A3,'Shot Log'!$I$2:$I$1501,"OTT"))</f>
        <v/>
      </c>
      <c r="E3" s="23" t="str">
        <f aca="false">IF($A3="","",SUMIFS('Shot Log'!$L$2:$L$1501,'Shot Log'!$A$2:$A$1501,$A3,'Shot Log'!$I$2:$I$1501,"APP"))</f>
        <v/>
      </c>
      <c r="F3" s="23" t="str">
        <f aca="false">IF($A3="","",SUMIFS('Shot Log'!$L$2:$L$1501,'Shot Log'!$A$2:$A$1501,$A3,'Shot Log'!$I$2:$I$1501,"ARG"))</f>
        <v/>
      </c>
      <c r="G3" s="23" t="str">
        <f aca="false">IF($A3="","",SUMIFS('Shot Log'!$L$2:$L$1501,'Shot Log'!$A$2:$A$1501,$A3,'Shot Log'!$I$2:$I$1501,"PUTT"))</f>
        <v/>
      </c>
      <c r="H3" s="23" t="str">
        <f aca="false">IF($A3="","",SUM(D3:G3))</f>
        <v/>
      </c>
      <c r="I3" s="23" t="str">
        <f aca="false">IF($A3="","",IF(B3=18,Course!$B$23-C3,"n/a"))</f>
        <v/>
      </c>
    </row>
    <row r="4" customFormat="false" ht="15" hidden="false" customHeight="false" outlineLevel="0" collapsed="false">
      <c r="A4" s="24"/>
      <c r="B4" s="7" t="str">
        <f aca="false">IF($A4="","",SUMPRODUCT(('Shot Log'!$A$2:$A$1501=$A4)*('Shot Log'!$E$2:$E$1501="H")))</f>
        <v/>
      </c>
      <c r="C4" s="7" t="str">
        <f aca="false">IF($A4="","",COUNTIFS('Shot Log'!$A$2:$A$1501,$A4,'Shot Log'!$C$2:$C$1501,"&lt;&gt;")+SUMIFS('Shot Log'!$G$2:$G$1501,'Shot Log'!$A$2:$A$1501,$A4))</f>
        <v/>
      </c>
      <c r="D4" s="23" t="str">
        <f aca="false">IF($A4="","",SUMIFS('Shot Log'!$L$2:$L$1501,'Shot Log'!$A$2:$A$1501,$A4,'Shot Log'!$I$2:$I$1501,"OTT"))</f>
        <v/>
      </c>
      <c r="E4" s="23" t="str">
        <f aca="false">IF($A4="","",SUMIFS('Shot Log'!$L$2:$L$1501,'Shot Log'!$A$2:$A$1501,$A4,'Shot Log'!$I$2:$I$1501,"APP"))</f>
        <v/>
      </c>
      <c r="F4" s="23" t="str">
        <f aca="false">IF($A4="","",SUMIFS('Shot Log'!$L$2:$L$1501,'Shot Log'!$A$2:$A$1501,$A4,'Shot Log'!$I$2:$I$1501,"ARG"))</f>
        <v/>
      </c>
      <c r="G4" s="23" t="str">
        <f aca="false">IF($A4="","",SUMIFS('Shot Log'!$L$2:$L$1501,'Shot Log'!$A$2:$A$1501,$A4,'Shot Log'!$I$2:$I$1501,"PUTT"))</f>
        <v/>
      </c>
      <c r="H4" s="23" t="str">
        <f aca="false">IF($A4="","",SUM(D4:G4))</f>
        <v/>
      </c>
      <c r="I4" s="23" t="str">
        <f aca="false">IF($A4="","",IF(B4=18,Course!$B$23-C4,"n/a"))</f>
        <v/>
      </c>
    </row>
    <row r="5" customFormat="false" ht="15" hidden="false" customHeight="false" outlineLevel="0" collapsed="false">
      <c r="A5" s="24"/>
      <c r="B5" s="7" t="str">
        <f aca="false">IF($A5="","",SUMPRODUCT(('Shot Log'!$A$2:$A$1501=$A5)*('Shot Log'!$E$2:$E$1501="H")))</f>
        <v/>
      </c>
      <c r="C5" s="7" t="str">
        <f aca="false">IF($A5="","",COUNTIFS('Shot Log'!$A$2:$A$1501,$A5,'Shot Log'!$C$2:$C$1501,"&lt;&gt;")+SUMIFS('Shot Log'!$G$2:$G$1501,'Shot Log'!$A$2:$A$1501,$A5))</f>
        <v/>
      </c>
      <c r="D5" s="23" t="str">
        <f aca="false">IF($A5="","",SUMIFS('Shot Log'!$L$2:$L$1501,'Shot Log'!$A$2:$A$1501,$A5,'Shot Log'!$I$2:$I$1501,"OTT"))</f>
        <v/>
      </c>
      <c r="E5" s="23" t="str">
        <f aca="false">IF($A5="","",SUMIFS('Shot Log'!$L$2:$L$1501,'Shot Log'!$A$2:$A$1501,$A5,'Shot Log'!$I$2:$I$1501,"APP"))</f>
        <v/>
      </c>
      <c r="F5" s="23" t="str">
        <f aca="false">IF($A5="","",SUMIFS('Shot Log'!$L$2:$L$1501,'Shot Log'!$A$2:$A$1501,$A5,'Shot Log'!$I$2:$I$1501,"ARG"))</f>
        <v/>
      </c>
      <c r="G5" s="23" t="str">
        <f aca="false">IF($A5="","",SUMIFS('Shot Log'!$L$2:$L$1501,'Shot Log'!$A$2:$A$1501,$A5,'Shot Log'!$I$2:$I$1501,"PUTT"))</f>
        <v/>
      </c>
      <c r="H5" s="23" t="str">
        <f aca="false">IF($A5="","",SUM(D5:G5))</f>
        <v/>
      </c>
      <c r="I5" s="23" t="str">
        <f aca="false">IF($A5="","",IF(B5=18,Course!$B$23-C5,"n/a"))</f>
        <v/>
      </c>
    </row>
    <row r="6" customFormat="false" ht="15" hidden="false" customHeight="false" outlineLevel="0" collapsed="false">
      <c r="A6" s="24"/>
      <c r="B6" s="7" t="str">
        <f aca="false">IF($A6="","",SUMPRODUCT(('Shot Log'!$A$2:$A$1501=$A6)*('Shot Log'!$E$2:$E$1501="H")))</f>
        <v/>
      </c>
      <c r="C6" s="7" t="str">
        <f aca="false">IF($A6="","",COUNTIFS('Shot Log'!$A$2:$A$1501,$A6,'Shot Log'!$C$2:$C$1501,"&lt;&gt;")+SUMIFS('Shot Log'!$G$2:$G$1501,'Shot Log'!$A$2:$A$1501,$A6))</f>
        <v/>
      </c>
      <c r="D6" s="23" t="str">
        <f aca="false">IF($A6="","",SUMIFS('Shot Log'!$L$2:$L$1501,'Shot Log'!$A$2:$A$1501,$A6,'Shot Log'!$I$2:$I$1501,"OTT"))</f>
        <v/>
      </c>
      <c r="E6" s="23" t="str">
        <f aca="false">IF($A6="","",SUMIFS('Shot Log'!$L$2:$L$1501,'Shot Log'!$A$2:$A$1501,$A6,'Shot Log'!$I$2:$I$1501,"APP"))</f>
        <v/>
      </c>
      <c r="F6" s="23" t="str">
        <f aca="false">IF($A6="","",SUMIFS('Shot Log'!$L$2:$L$1501,'Shot Log'!$A$2:$A$1501,$A6,'Shot Log'!$I$2:$I$1501,"ARG"))</f>
        <v/>
      </c>
      <c r="G6" s="23" t="str">
        <f aca="false">IF($A6="","",SUMIFS('Shot Log'!$L$2:$L$1501,'Shot Log'!$A$2:$A$1501,$A6,'Shot Log'!$I$2:$I$1501,"PUTT"))</f>
        <v/>
      </c>
      <c r="H6" s="23" t="str">
        <f aca="false">IF($A6="","",SUM(D6:G6))</f>
        <v/>
      </c>
      <c r="I6" s="23" t="str">
        <f aca="false">IF($A6="","",IF(B6=18,Course!$B$23-C6,"n/a"))</f>
        <v/>
      </c>
    </row>
    <row r="7" customFormat="false" ht="15" hidden="false" customHeight="false" outlineLevel="0" collapsed="false">
      <c r="A7" s="24"/>
      <c r="B7" s="7" t="str">
        <f aca="false">IF($A7="","",SUMPRODUCT(('Shot Log'!$A$2:$A$1501=$A7)*('Shot Log'!$E$2:$E$1501="H")))</f>
        <v/>
      </c>
      <c r="C7" s="7" t="str">
        <f aca="false">IF($A7="","",COUNTIFS('Shot Log'!$A$2:$A$1501,$A7,'Shot Log'!$C$2:$C$1501,"&lt;&gt;")+SUMIFS('Shot Log'!$G$2:$G$1501,'Shot Log'!$A$2:$A$1501,$A7))</f>
        <v/>
      </c>
      <c r="D7" s="23" t="str">
        <f aca="false">IF($A7="","",SUMIFS('Shot Log'!$L$2:$L$1501,'Shot Log'!$A$2:$A$1501,$A7,'Shot Log'!$I$2:$I$1501,"OTT"))</f>
        <v/>
      </c>
      <c r="E7" s="23" t="str">
        <f aca="false">IF($A7="","",SUMIFS('Shot Log'!$L$2:$L$1501,'Shot Log'!$A$2:$A$1501,$A7,'Shot Log'!$I$2:$I$1501,"APP"))</f>
        <v/>
      </c>
      <c r="F7" s="23" t="str">
        <f aca="false">IF($A7="","",SUMIFS('Shot Log'!$L$2:$L$1501,'Shot Log'!$A$2:$A$1501,$A7,'Shot Log'!$I$2:$I$1501,"ARG"))</f>
        <v/>
      </c>
      <c r="G7" s="23" t="str">
        <f aca="false">IF($A7="","",SUMIFS('Shot Log'!$L$2:$L$1501,'Shot Log'!$A$2:$A$1501,$A7,'Shot Log'!$I$2:$I$1501,"PUTT"))</f>
        <v/>
      </c>
      <c r="H7" s="23" t="str">
        <f aca="false">IF($A7="","",SUM(D7:G7))</f>
        <v/>
      </c>
      <c r="I7" s="23" t="str">
        <f aca="false">IF($A7="","",IF(B7=18,Course!$B$23-C7,"n/a"))</f>
        <v/>
      </c>
    </row>
    <row r="8" customFormat="false" ht="15" hidden="false" customHeight="false" outlineLevel="0" collapsed="false">
      <c r="A8" s="24"/>
      <c r="B8" s="7" t="str">
        <f aca="false">IF($A8="","",SUMPRODUCT(('Shot Log'!$A$2:$A$1501=$A8)*('Shot Log'!$E$2:$E$1501="H")))</f>
        <v/>
      </c>
      <c r="C8" s="7" t="str">
        <f aca="false">IF($A8="","",COUNTIFS('Shot Log'!$A$2:$A$1501,$A8,'Shot Log'!$C$2:$C$1501,"&lt;&gt;")+SUMIFS('Shot Log'!$G$2:$G$1501,'Shot Log'!$A$2:$A$1501,$A8))</f>
        <v/>
      </c>
      <c r="D8" s="23" t="str">
        <f aca="false">IF($A8="","",SUMIFS('Shot Log'!$L$2:$L$1501,'Shot Log'!$A$2:$A$1501,$A8,'Shot Log'!$I$2:$I$1501,"OTT"))</f>
        <v/>
      </c>
      <c r="E8" s="23" t="str">
        <f aca="false">IF($A8="","",SUMIFS('Shot Log'!$L$2:$L$1501,'Shot Log'!$A$2:$A$1501,$A8,'Shot Log'!$I$2:$I$1501,"APP"))</f>
        <v/>
      </c>
      <c r="F8" s="23" t="str">
        <f aca="false">IF($A8="","",SUMIFS('Shot Log'!$L$2:$L$1501,'Shot Log'!$A$2:$A$1501,$A8,'Shot Log'!$I$2:$I$1501,"ARG"))</f>
        <v/>
      </c>
      <c r="G8" s="23" t="str">
        <f aca="false">IF($A8="","",SUMIFS('Shot Log'!$L$2:$L$1501,'Shot Log'!$A$2:$A$1501,$A8,'Shot Log'!$I$2:$I$1501,"PUTT"))</f>
        <v/>
      </c>
      <c r="H8" s="23" t="str">
        <f aca="false">IF($A8="","",SUM(D8:G8))</f>
        <v/>
      </c>
      <c r="I8" s="23" t="str">
        <f aca="false">IF($A8="","",IF(B8=18,Course!$B$23-C8,"n/a"))</f>
        <v/>
      </c>
    </row>
    <row r="9" customFormat="false" ht="15" hidden="false" customHeight="false" outlineLevel="0" collapsed="false">
      <c r="A9" s="24"/>
      <c r="B9" s="7" t="str">
        <f aca="false">IF($A9="","",SUMPRODUCT(('Shot Log'!$A$2:$A$1501=$A9)*('Shot Log'!$E$2:$E$1501="H")))</f>
        <v/>
      </c>
      <c r="C9" s="7" t="str">
        <f aca="false">IF($A9="","",COUNTIFS('Shot Log'!$A$2:$A$1501,$A9,'Shot Log'!$C$2:$C$1501,"&lt;&gt;")+SUMIFS('Shot Log'!$G$2:$G$1501,'Shot Log'!$A$2:$A$1501,$A9))</f>
        <v/>
      </c>
      <c r="D9" s="23" t="str">
        <f aca="false">IF($A9="","",SUMIFS('Shot Log'!$L$2:$L$1501,'Shot Log'!$A$2:$A$1501,$A9,'Shot Log'!$I$2:$I$1501,"OTT"))</f>
        <v/>
      </c>
      <c r="E9" s="23" t="str">
        <f aca="false">IF($A9="","",SUMIFS('Shot Log'!$L$2:$L$1501,'Shot Log'!$A$2:$A$1501,$A9,'Shot Log'!$I$2:$I$1501,"APP"))</f>
        <v/>
      </c>
      <c r="F9" s="23" t="str">
        <f aca="false">IF($A9="","",SUMIFS('Shot Log'!$L$2:$L$1501,'Shot Log'!$A$2:$A$1501,$A9,'Shot Log'!$I$2:$I$1501,"ARG"))</f>
        <v/>
      </c>
      <c r="G9" s="23" t="str">
        <f aca="false">IF($A9="","",SUMIFS('Shot Log'!$L$2:$L$1501,'Shot Log'!$A$2:$A$1501,$A9,'Shot Log'!$I$2:$I$1501,"PUTT"))</f>
        <v/>
      </c>
      <c r="H9" s="23" t="str">
        <f aca="false">IF($A9="","",SUM(D9:G9))</f>
        <v/>
      </c>
      <c r="I9" s="23" t="str">
        <f aca="false">IF($A9="","",IF(B9=18,Course!$B$23-C9,"n/a"))</f>
        <v/>
      </c>
    </row>
    <row r="10" customFormat="false" ht="15" hidden="false" customHeight="false" outlineLevel="0" collapsed="false">
      <c r="A10" s="24"/>
      <c r="B10" s="7" t="str">
        <f aca="false">IF($A10="","",SUMPRODUCT(('Shot Log'!$A$2:$A$1501=$A10)*('Shot Log'!$E$2:$E$1501="H")))</f>
        <v/>
      </c>
      <c r="C10" s="7" t="str">
        <f aca="false">IF($A10="","",COUNTIFS('Shot Log'!$A$2:$A$1501,$A10,'Shot Log'!$C$2:$C$1501,"&lt;&gt;")+SUMIFS('Shot Log'!$G$2:$G$1501,'Shot Log'!$A$2:$A$1501,$A10))</f>
        <v/>
      </c>
      <c r="D10" s="23" t="str">
        <f aca="false">IF($A10="","",SUMIFS('Shot Log'!$L$2:$L$1501,'Shot Log'!$A$2:$A$1501,$A10,'Shot Log'!$I$2:$I$1501,"OTT"))</f>
        <v/>
      </c>
      <c r="E10" s="23" t="str">
        <f aca="false">IF($A10="","",SUMIFS('Shot Log'!$L$2:$L$1501,'Shot Log'!$A$2:$A$1501,$A10,'Shot Log'!$I$2:$I$1501,"APP"))</f>
        <v/>
      </c>
      <c r="F10" s="23" t="str">
        <f aca="false">IF($A10="","",SUMIFS('Shot Log'!$L$2:$L$1501,'Shot Log'!$A$2:$A$1501,$A10,'Shot Log'!$I$2:$I$1501,"ARG"))</f>
        <v/>
      </c>
      <c r="G10" s="23" t="str">
        <f aca="false">IF($A10="","",SUMIFS('Shot Log'!$L$2:$L$1501,'Shot Log'!$A$2:$A$1501,$A10,'Shot Log'!$I$2:$I$1501,"PUTT"))</f>
        <v/>
      </c>
      <c r="H10" s="23" t="str">
        <f aca="false">IF($A10="","",SUM(D10:G10))</f>
        <v/>
      </c>
      <c r="I10" s="23" t="str">
        <f aca="false">IF($A10="","",IF(B10=18,Course!$B$23-C10,"n/a"))</f>
        <v/>
      </c>
    </row>
    <row r="11" customFormat="false" ht="15" hidden="false" customHeight="false" outlineLevel="0" collapsed="false">
      <c r="A11" s="24"/>
      <c r="B11" s="7" t="str">
        <f aca="false">IF($A11="","",SUMPRODUCT(('Shot Log'!$A$2:$A$1501=$A11)*('Shot Log'!$E$2:$E$1501="H")))</f>
        <v/>
      </c>
      <c r="C11" s="7" t="str">
        <f aca="false">IF($A11="","",COUNTIFS('Shot Log'!$A$2:$A$1501,$A11,'Shot Log'!$C$2:$C$1501,"&lt;&gt;")+SUMIFS('Shot Log'!$G$2:$G$1501,'Shot Log'!$A$2:$A$1501,$A11))</f>
        <v/>
      </c>
      <c r="D11" s="23" t="str">
        <f aca="false">IF($A11="","",SUMIFS('Shot Log'!$L$2:$L$1501,'Shot Log'!$A$2:$A$1501,$A11,'Shot Log'!$I$2:$I$1501,"OTT"))</f>
        <v/>
      </c>
      <c r="E11" s="23" t="str">
        <f aca="false">IF($A11="","",SUMIFS('Shot Log'!$L$2:$L$1501,'Shot Log'!$A$2:$A$1501,$A11,'Shot Log'!$I$2:$I$1501,"APP"))</f>
        <v/>
      </c>
      <c r="F11" s="23" t="str">
        <f aca="false">IF($A11="","",SUMIFS('Shot Log'!$L$2:$L$1501,'Shot Log'!$A$2:$A$1501,$A11,'Shot Log'!$I$2:$I$1501,"ARG"))</f>
        <v/>
      </c>
      <c r="G11" s="23" t="str">
        <f aca="false">IF($A11="","",SUMIFS('Shot Log'!$L$2:$L$1501,'Shot Log'!$A$2:$A$1501,$A11,'Shot Log'!$I$2:$I$1501,"PUTT"))</f>
        <v/>
      </c>
      <c r="H11" s="23" t="str">
        <f aca="false">IF($A11="","",SUM(D11:G11))</f>
        <v/>
      </c>
      <c r="I11" s="23" t="str">
        <f aca="false">IF($A11="","",IF(B11=18,Course!$B$23-C11,"n/a"))</f>
        <v/>
      </c>
    </row>
    <row r="12" customFormat="false" ht="15" hidden="false" customHeight="false" outlineLevel="0" collapsed="false">
      <c r="A12" s="24"/>
      <c r="B12" s="7" t="str">
        <f aca="false">IF($A12="","",SUMPRODUCT(('Shot Log'!$A$2:$A$1501=$A12)*('Shot Log'!$E$2:$E$1501="H")))</f>
        <v/>
      </c>
      <c r="C12" s="7" t="str">
        <f aca="false">IF($A12="","",COUNTIFS('Shot Log'!$A$2:$A$1501,$A12,'Shot Log'!$C$2:$C$1501,"&lt;&gt;")+SUMIFS('Shot Log'!$G$2:$G$1501,'Shot Log'!$A$2:$A$1501,$A12))</f>
        <v/>
      </c>
      <c r="D12" s="23" t="str">
        <f aca="false">IF($A12="","",SUMIFS('Shot Log'!$L$2:$L$1501,'Shot Log'!$A$2:$A$1501,$A12,'Shot Log'!$I$2:$I$1501,"OTT"))</f>
        <v/>
      </c>
      <c r="E12" s="23" t="str">
        <f aca="false">IF($A12="","",SUMIFS('Shot Log'!$L$2:$L$1501,'Shot Log'!$A$2:$A$1501,$A12,'Shot Log'!$I$2:$I$1501,"APP"))</f>
        <v/>
      </c>
      <c r="F12" s="23" t="str">
        <f aca="false">IF($A12="","",SUMIFS('Shot Log'!$L$2:$L$1501,'Shot Log'!$A$2:$A$1501,$A12,'Shot Log'!$I$2:$I$1501,"ARG"))</f>
        <v/>
      </c>
      <c r="G12" s="23" t="str">
        <f aca="false">IF($A12="","",SUMIFS('Shot Log'!$L$2:$L$1501,'Shot Log'!$A$2:$A$1501,$A12,'Shot Log'!$I$2:$I$1501,"PUTT"))</f>
        <v/>
      </c>
      <c r="H12" s="23" t="str">
        <f aca="false">IF($A12="","",SUM(D12:G12))</f>
        <v/>
      </c>
      <c r="I12" s="23" t="str">
        <f aca="false">IF($A12="","",IF(B12=18,Course!$B$23-C12,"n/a"))</f>
        <v/>
      </c>
    </row>
    <row r="13" customFormat="false" ht="15" hidden="false" customHeight="false" outlineLevel="0" collapsed="false">
      <c r="A13" s="24"/>
      <c r="B13" s="7" t="str">
        <f aca="false">IF($A13="","",SUMPRODUCT(('Shot Log'!$A$2:$A$1501=$A13)*('Shot Log'!$E$2:$E$1501="H")))</f>
        <v/>
      </c>
      <c r="C13" s="7" t="str">
        <f aca="false">IF($A13="","",COUNTIFS('Shot Log'!$A$2:$A$1501,$A13,'Shot Log'!$C$2:$C$1501,"&lt;&gt;")+SUMIFS('Shot Log'!$G$2:$G$1501,'Shot Log'!$A$2:$A$1501,$A13))</f>
        <v/>
      </c>
      <c r="D13" s="23" t="str">
        <f aca="false">IF($A13="","",SUMIFS('Shot Log'!$L$2:$L$1501,'Shot Log'!$A$2:$A$1501,$A13,'Shot Log'!$I$2:$I$1501,"OTT"))</f>
        <v/>
      </c>
      <c r="E13" s="23" t="str">
        <f aca="false">IF($A13="","",SUMIFS('Shot Log'!$L$2:$L$1501,'Shot Log'!$A$2:$A$1501,$A13,'Shot Log'!$I$2:$I$1501,"APP"))</f>
        <v/>
      </c>
      <c r="F13" s="23" t="str">
        <f aca="false">IF($A13="","",SUMIFS('Shot Log'!$L$2:$L$1501,'Shot Log'!$A$2:$A$1501,$A13,'Shot Log'!$I$2:$I$1501,"ARG"))</f>
        <v/>
      </c>
      <c r="G13" s="23" t="str">
        <f aca="false">IF($A13="","",SUMIFS('Shot Log'!$L$2:$L$1501,'Shot Log'!$A$2:$A$1501,$A13,'Shot Log'!$I$2:$I$1501,"PUTT"))</f>
        <v/>
      </c>
      <c r="H13" s="23" t="str">
        <f aca="false">IF($A13="","",SUM(D13:G13))</f>
        <v/>
      </c>
      <c r="I13" s="23" t="str">
        <f aca="false">IF($A13="","",IF(B13=18,Course!$B$23-C13,"n/a"))</f>
        <v/>
      </c>
    </row>
    <row r="14" customFormat="false" ht="15" hidden="false" customHeight="false" outlineLevel="0" collapsed="false">
      <c r="A14" s="24"/>
      <c r="B14" s="7" t="str">
        <f aca="false">IF($A14="","",SUMPRODUCT(('Shot Log'!$A$2:$A$1501=$A14)*('Shot Log'!$E$2:$E$1501="H")))</f>
        <v/>
      </c>
      <c r="C14" s="7" t="str">
        <f aca="false">IF($A14="","",COUNTIFS('Shot Log'!$A$2:$A$1501,$A14,'Shot Log'!$C$2:$C$1501,"&lt;&gt;")+SUMIFS('Shot Log'!$G$2:$G$1501,'Shot Log'!$A$2:$A$1501,$A14))</f>
        <v/>
      </c>
      <c r="D14" s="23" t="str">
        <f aca="false">IF($A14="","",SUMIFS('Shot Log'!$L$2:$L$1501,'Shot Log'!$A$2:$A$1501,$A14,'Shot Log'!$I$2:$I$1501,"OTT"))</f>
        <v/>
      </c>
      <c r="E14" s="23" t="str">
        <f aca="false">IF($A14="","",SUMIFS('Shot Log'!$L$2:$L$1501,'Shot Log'!$A$2:$A$1501,$A14,'Shot Log'!$I$2:$I$1501,"APP"))</f>
        <v/>
      </c>
      <c r="F14" s="23" t="str">
        <f aca="false">IF($A14="","",SUMIFS('Shot Log'!$L$2:$L$1501,'Shot Log'!$A$2:$A$1501,$A14,'Shot Log'!$I$2:$I$1501,"ARG"))</f>
        <v/>
      </c>
      <c r="G14" s="23" t="str">
        <f aca="false">IF($A14="","",SUMIFS('Shot Log'!$L$2:$L$1501,'Shot Log'!$A$2:$A$1501,$A14,'Shot Log'!$I$2:$I$1501,"PUTT"))</f>
        <v/>
      </c>
      <c r="H14" s="23" t="str">
        <f aca="false">IF($A14="","",SUM(D14:G14))</f>
        <v/>
      </c>
      <c r="I14" s="23" t="str">
        <f aca="false">IF($A14="","",IF(B14=18,Course!$B$23-C14,"n/a"))</f>
        <v/>
      </c>
    </row>
    <row r="15" customFormat="false" ht="15" hidden="false" customHeight="false" outlineLevel="0" collapsed="false">
      <c r="A15" s="24"/>
      <c r="B15" s="7" t="str">
        <f aca="false">IF($A15="","",SUMPRODUCT(('Shot Log'!$A$2:$A$1501=$A15)*('Shot Log'!$E$2:$E$1501="H")))</f>
        <v/>
      </c>
      <c r="C15" s="7" t="str">
        <f aca="false">IF($A15="","",COUNTIFS('Shot Log'!$A$2:$A$1501,$A15,'Shot Log'!$C$2:$C$1501,"&lt;&gt;")+SUMIFS('Shot Log'!$G$2:$G$1501,'Shot Log'!$A$2:$A$1501,$A15))</f>
        <v/>
      </c>
      <c r="D15" s="23" t="str">
        <f aca="false">IF($A15="","",SUMIFS('Shot Log'!$L$2:$L$1501,'Shot Log'!$A$2:$A$1501,$A15,'Shot Log'!$I$2:$I$1501,"OTT"))</f>
        <v/>
      </c>
      <c r="E15" s="23" t="str">
        <f aca="false">IF($A15="","",SUMIFS('Shot Log'!$L$2:$L$1501,'Shot Log'!$A$2:$A$1501,$A15,'Shot Log'!$I$2:$I$1501,"APP"))</f>
        <v/>
      </c>
      <c r="F15" s="23" t="str">
        <f aca="false">IF($A15="","",SUMIFS('Shot Log'!$L$2:$L$1501,'Shot Log'!$A$2:$A$1501,$A15,'Shot Log'!$I$2:$I$1501,"ARG"))</f>
        <v/>
      </c>
      <c r="G15" s="23" t="str">
        <f aca="false">IF($A15="","",SUMIFS('Shot Log'!$L$2:$L$1501,'Shot Log'!$A$2:$A$1501,$A15,'Shot Log'!$I$2:$I$1501,"PUTT"))</f>
        <v/>
      </c>
      <c r="H15" s="23" t="str">
        <f aca="false">IF($A15="","",SUM(D15:G15))</f>
        <v/>
      </c>
      <c r="I15" s="23" t="str">
        <f aca="false">IF($A15="","",IF(B15=18,Course!$B$23-C15,"n/a"))</f>
        <v/>
      </c>
    </row>
    <row r="16" customFormat="false" ht="15" hidden="false" customHeight="false" outlineLevel="0" collapsed="false">
      <c r="A16" s="24"/>
      <c r="B16" s="7" t="str">
        <f aca="false">IF($A16="","",SUMPRODUCT(('Shot Log'!$A$2:$A$1501=$A16)*('Shot Log'!$E$2:$E$1501="H")))</f>
        <v/>
      </c>
      <c r="C16" s="7" t="str">
        <f aca="false">IF($A16="","",COUNTIFS('Shot Log'!$A$2:$A$1501,$A16,'Shot Log'!$C$2:$C$1501,"&lt;&gt;")+SUMIFS('Shot Log'!$G$2:$G$1501,'Shot Log'!$A$2:$A$1501,$A16))</f>
        <v/>
      </c>
      <c r="D16" s="23" t="str">
        <f aca="false">IF($A16="","",SUMIFS('Shot Log'!$L$2:$L$1501,'Shot Log'!$A$2:$A$1501,$A16,'Shot Log'!$I$2:$I$1501,"OTT"))</f>
        <v/>
      </c>
      <c r="E16" s="23" t="str">
        <f aca="false">IF($A16="","",SUMIFS('Shot Log'!$L$2:$L$1501,'Shot Log'!$A$2:$A$1501,$A16,'Shot Log'!$I$2:$I$1501,"APP"))</f>
        <v/>
      </c>
      <c r="F16" s="23" t="str">
        <f aca="false">IF($A16="","",SUMIFS('Shot Log'!$L$2:$L$1501,'Shot Log'!$A$2:$A$1501,$A16,'Shot Log'!$I$2:$I$1501,"ARG"))</f>
        <v/>
      </c>
      <c r="G16" s="23" t="str">
        <f aca="false">IF($A16="","",SUMIFS('Shot Log'!$L$2:$L$1501,'Shot Log'!$A$2:$A$1501,$A16,'Shot Log'!$I$2:$I$1501,"PUTT"))</f>
        <v/>
      </c>
      <c r="H16" s="23" t="str">
        <f aca="false">IF($A16="","",SUM(D16:G16))</f>
        <v/>
      </c>
      <c r="I16" s="23" t="str">
        <f aca="false">IF($A16="","",IF(B16=18,Course!$B$23-C16,"n/a"))</f>
        <v/>
      </c>
    </row>
    <row r="17" customFormat="false" ht="15" hidden="false" customHeight="false" outlineLevel="0" collapsed="false">
      <c r="A17" s="24"/>
      <c r="B17" s="7" t="str">
        <f aca="false">IF($A17="","",SUMPRODUCT(('Shot Log'!$A$2:$A$1501=$A17)*('Shot Log'!$E$2:$E$1501="H")))</f>
        <v/>
      </c>
      <c r="C17" s="7" t="str">
        <f aca="false">IF($A17="","",COUNTIFS('Shot Log'!$A$2:$A$1501,$A17,'Shot Log'!$C$2:$C$1501,"&lt;&gt;")+SUMIFS('Shot Log'!$G$2:$G$1501,'Shot Log'!$A$2:$A$1501,$A17))</f>
        <v/>
      </c>
      <c r="D17" s="23" t="str">
        <f aca="false">IF($A17="","",SUMIFS('Shot Log'!$L$2:$L$1501,'Shot Log'!$A$2:$A$1501,$A17,'Shot Log'!$I$2:$I$1501,"OTT"))</f>
        <v/>
      </c>
      <c r="E17" s="23" t="str">
        <f aca="false">IF($A17="","",SUMIFS('Shot Log'!$L$2:$L$1501,'Shot Log'!$A$2:$A$1501,$A17,'Shot Log'!$I$2:$I$1501,"APP"))</f>
        <v/>
      </c>
      <c r="F17" s="23" t="str">
        <f aca="false">IF($A17="","",SUMIFS('Shot Log'!$L$2:$L$1501,'Shot Log'!$A$2:$A$1501,$A17,'Shot Log'!$I$2:$I$1501,"ARG"))</f>
        <v/>
      </c>
      <c r="G17" s="23" t="str">
        <f aca="false">IF($A17="","",SUMIFS('Shot Log'!$L$2:$L$1501,'Shot Log'!$A$2:$A$1501,$A17,'Shot Log'!$I$2:$I$1501,"PUTT"))</f>
        <v/>
      </c>
      <c r="H17" s="23" t="str">
        <f aca="false">IF($A17="","",SUM(D17:G17))</f>
        <v/>
      </c>
      <c r="I17" s="23" t="str">
        <f aca="false">IF($A17="","",IF(B17=18,Course!$B$23-C17,"n/a"))</f>
        <v/>
      </c>
    </row>
    <row r="18" customFormat="false" ht="15" hidden="false" customHeight="false" outlineLevel="0" collapsed="false">
      <c r="A18" s="24"/>
      <c r="B18" s="7" t="str">
        <f aca="false">IF($A18="","",SUMPRODUCT(('Shot Log'!$A$2:$A$1501=$A18)*('Shot Log'!$E$2:$E$1501="H")))</f>
        <v/>
      </c>
      <c r="C18" s="7" t="str">
        <f aca="false">IF($A18="","",COUNTIFS('Shot Log'!$A$2:$A$1501,$A18,'Shot Log'!$C$2:$C$1501,"&lt;&gt;")+SUMIFS('Shot Log'!$G$2:$G$1501,'Shot Log'!$A$2:$A$1501,$A18))</f>
        <v/>
      </c>
      <c r="D18" s="23" t="str">
        <f aca="false">IF($A18="","",SUMIFS('Shot Log'!$L$2:$L$1501,'Shot Log'!$A$2:$A$1501,$A18,'Shot Log'!$I$2:$I$1501,"OTT"))</f>
        <v/>
      </c>
      <c r="E18" s="23" t="str">
        <f aca="false">IF($A18="","",SUMIFS('Shot Log'!$L$2:$L$1501,'Shot Log'!$A$2:$A$1501,$A18,'Shot Log'!$I$2:$I$1501,"APP"))</f>
        <v/>
      </c>
      <c r="F18" s="23" t="str">
        <f aca="false">IF($A18="","",SUMIFS('Shot Log'!$L$2:$L$1501,'Shot Log'!$A$2:$A$1501,$A18,'Shot Log'!$I$2:$I$1501,"ARG"))</f>
        <v/>
      </c>
      <c r="G18" s="23" t="str">
        <f aca="false">IF($A18="","",SUMIFS('Shot Log'!$L$2:$L$1501,'Shot Log'!$A$2:$A$1501,$A18,'Shot Log'!$I$2:$I$1501,"PUTT"))</f>
        <v/>
      </c>
      <c r="H18" s="23" t="str">
        <f aca="false">IF($A18="","",SUM(D18:G18))</f>
        <v/>
      </c>
      <c r="I18" s="23" t="str">
        <f aca="false">IF($A18="","",IF(B18=18,Course!$B$23-C18,"n/a"))</f>
        <v/>
      </c>
    </row>
    <row r="19" customFormat="false" ht="15" hidden="false" customHeight="false" outlineLevel="0" collapsed="false">
      <c r="A19" s="24"/>
      <c r="B19" s="7" t="str">
        <f aca="false">IF($A19="","",SUMPRODUCT(('Shot Log'!$A$2:$A$1501=$A19)*('Shot Log'!$E$2:$E$1501="H")))</f>
        <v/>
      </c>
      <c r="C19" s="7" t="str">
        <f aca="false">IF($A19="","",COUNTIFS('Shot Log'!$A$2:$A$1501,$A19,'Shot Log'!$C$2:$C$1501,"&lt;&gt;")+SUMIFS('Shot Log'!$G$2:$G$1501,'Shot Log'!$A$2:$A$1501,$A19))</f>
        <v/>
      </c>
      <c r="D19" s="23" t="str">
        <f aca="false">IF($A19="","",SUMIFS('Shot Log'!$L$2:$L$1501,'Shot Log'!$A$2:$A$1501,$A19,'Shot Log'!$I$2:$I$1501,"OTT"))</f>
        <v/>
      </c>
      <c r="E19" s="23" t="str">
        <f aca="false">IF($A19="","",SUMIFS('Shot Log'!$L$2:$L$1501,'Shot Log'!$A$2:$A$1501,$A19,'Shot Log'!$I$2:$I$1501,"APP"))</f>
        <v/>
      </c>
      <c r="F19" s="23" t="str">
        <f aca="false">IF($A19="","",SUMIFS('Shot Log'!$L$2:$L$1501,'Shot Log'!$A$2:$A$1501,$A19,'Shot Log'!$I$2:$I$1501,"ARG"))</f>
        <v/>
      </c>
      <c r="G19" s="23" t="str">
        <f aca="false">IF($A19="","",SUMIFS('Shot Log'!$L$2:$L$1501,'Shot Log'!$A$2:$A$1501,$A19,'Shot Log'!$I$2:$I$1501,"PUTT"))</f>
        <v/>
      </c>
      <c r="H19" s="23" t="str">
        <f aca="false">IF($A19="","",SUM(D19:G19))</f>
        <v/>
      </c>
      <c r="I19" s="23" t="str">
        <f aca="false">IF($A19="","",IF(B19=18,Course!$B$23-C19,"n/a"))</f>
        <v/>
      </c>
    </row>
    <row r="20" customFormat="false" ht="15" hidden="false" customHeight="false" outlineLevel="0" collapsed="false">
      <c r="A20" s="24"/>
      <c r="B20" s="7" t="str">
        <f aca="false">IF($A20="","",SUMPRODUCT(('Shot Log'!$A$2:$A$1501=$A20)*('Shot Log'!$E$2:$E$1501="H")))</f>
        <v/>
      </c>
      <c r="C20" s="7" t="str">
        <f aca="false">IF($A20="","",COUNTIFS('Shot Log'!$A$2:$A$1501,$A20,'Shot Log'!$C$2:$C$1501,"&lt;&gt;")+SUMIFS('Shot Log'!$G$2:$G$1501,'Shot Log'!$A$2:$A$1501,$A20))</f>
        <v/>
      </c>
      <c r="D20" s="23" t="str">
        <f aca="false">IF($A20="","",SUMIFS('Shot Log'!$L$2:$L$1501,'Shot Log'!$A$2:$A$1501,$A20,'Shot Log'!$I$2:$I$1501,"OTT"))</f>
        <v/>
      </c>
      <c r="E20" s="23" t="str">
        <f aca="false">IF($A20="","",SUMIFS('Shot Log'!$L$2:$L$1501,'Shot Log'!$A$2:$A$1501,$A20,'Shot Log'!$I$2:$I$1501,"APP"))</f>
        <v/>
      </c>
      <c r="F20" s="23" t="str">
        <f aca="false">IF($A20="","",SUMIFS('Shot Log'!$L$2:$L$1501,'Shot Log'!$A$2:$A$1501,$A20,'Shot Log'!$I$2:$I$1501,"ARG"))</f>
        <v/>
      </c>
      <c r="G20" s="23" t="str">
        <f aca="false">IF($A20="","",SUMIFS('Shot Log'!$L$2:$L$1501,'Shot Log'!$A$2:$A$1501,$A20,'Shot Log'!$I$2:$I$1501,"PUTT"))</f>
        <v/>
      </c>
      <c r="H20" s="23" t="str">
        <f aca="false">IF($A20="","",SUM(D20:G20))</f>
        <v/>
      </c>
      <c r="I20" s="23" t="str">
        <f aca="false">IF($A20="","",IF(B20=18,Course!$B$23-C20,"n/a"))</f>
        <v/>
      </c>
    </row>
    <row r="21" customFormat="false" ht="15" hidden="false" customHeight="false" outlineLevel="0" collapsed="false">
      <c r="A21" s="24"/>
      <c r="B21" s="7" t="str">
        <f aca="false">IF($A21="","",SUMPRODUCT(('Shot Log'!$A$2:$A$1501=$A21)*('Shot Log'!$E$2:$E$1501="H")))</f>
        <v/>
      </c>
      <c r="C21" s="7" t="str">
        <f aca="false">IF($A21="","",COUNTIFS('Shot Log'!$A$2:$A$1501,$A21,'Shot Log'!$C$2:$C$1501,"&lt;&gt;")+SUMIFS('Shot Log'!$G$2:$G$1501,'Shot Log'!$A$2:$A$1501,$A21))</f>
        <v/>
      </c>
      <c r="D21" s="23" t="str">
        <f aca="false">IF($A21="","",SUMIFS('Shot Log'!$L$2:$L$1501,'Shot Log'!$A$2:$A$1501,$A21,'Shot Log'!$I$2:$I$1501,"OTT"))</f>
        <v/>
      </c>
      <c r="E21" s="23" t="str">
        <f aca="false">IF($A21="","",SUMIFS('Shot Log'!$L$2:$L$1501,'Shot Log'!$A$2:$A$1501,$A21,'Shot Log'!$I$2:$I$1501,"APP"))</f>
        <v/>
      </c>
      <c r="F21" s="23" t="str">
        <f aca="false">IF($A21="","",SUMIFS('Shot Log'!$L$2:$L$1501,'Shot Log'!$A$2:$A$1501,$A21,'Shot Log'!$I$2:$I$1501,"ARG"))</f>
        <v/>
      </c>
      <c r="G21" s="23" t="str">
        <f aca="false">IF($A21="","",SUMIFS('Shot Log'!$L$2:$L$1501,'Shot Log'!$A$2:$A$1501,$A21,'Shot Log'!$I$2:$I$1501,"PUTT"))</f>
        <v/>
      </c>
      <c r="H21" s="23" t="str">
        <f aca="false">IF($A21="","",SUM(D21:G21))</f>
        <v/>
      </c>
      <c r="I21" s="23" t="str">
        <f aca="false">IF($A21="","",IF(B21=18,Course!$B$23-C21,"n/a"))</f>
        <v/>
      </c>
    </row>
    <row r="22" customFormat="false" ht="15" hidden="false" customHeight="false" outlineLevel="0" collapsed="false">
      <c r="A22" s="24"/>
      <c r="B22" s="7" t="str">
        <f aca="false">IF($A22="","",SUMPRODUCT(('Shot Log'!$A$2:$A$1501=$A22)*('Shot Log'!$E$2:$E$1501="H")))</f>
        <v/>
      </c>
      <c r="C22" s="7" t="str">
        <f aca="false">IF($A22="","",COUNTIFS('Shot Log'!$A$2:$A$1501,$A22,'Shot Log'!$C$2:$C$1501,"&lt;&gt;")+SUMIFS('Shot Log'!$G$2:$G$1501,'Shot Log'!$A$2:$A$1501,$A22))</f>
        <v/>
      </c>
      <c r="D22" s="23" t="str">
        <f aca="false">IF($A22="","",SUMIFS('Shot Log'!$L$2:$L$1501,'Shot Log'!$A$2:$A$1501,$A22,'Shot Log'!$I$2:$I$1501,"OTT"))</f>
        <v/>
      </c>
      <c r="E22" s="23" t="str">
        <f aca="false">IF($A22="","",SUMIFS('Shot Log'!$L$2:$L$1501,'Shot Log'!$A$2:$A$1501,$A22,'Shot Log'!$I$2:$I$1501,"APP"))</f>
        <v/>
      </c>
      <c r="F22" s="23" t="str">
        <f aca="false">IF($A22="","",SUMIFS('Shot Log'!$L$2:$L$1501,'Shot Log'!$A$2:$A$1501,$A22,'Shot Log'!$I$2:$I$1501,"ARG"))</f>
        <v/>
      </c>
      <c r="G22" s="23" t="str">
        <f aca="false">IF($A22="","",SUMIFS('Shot Log'!$L$2:$L$1501,'Shot Log'!$A$2:$A$1501,$A22,'Shot Log'!$I$2:$I$1501,"PUTT"))</f>
        <v/>
      </c>
      <c r="H22" s="23" t="str">
        <f aca="false">IF($A22="","",SUM(D22:G22))</f>
        <v/>
      </c>
      <c r="I22" s="23" t="str">
        <f aca="false">IF($A22="","",IF(B22=18,Course!$B$23-C22,"n/a"))</f>
        <v/>
      </c>
    </row>
    <row r="23" customFormat="false" ht="15" hidden="false" customHeight="false" outlineLevel="0" collapsed="false">
      <c r="A23" s="24"/>
      <c r="B23" s="7" t="str">
        <f aca="false">IF($A23="","",SUMPRODUCT(('Shot Log'!$A$2:$A$1501=$A23)*('Shot Log'!$E$2:$E$1501="H")))</f>
        <v/>
      </c>
      <c r="C23" s="7" t="str">
        <f aca="false">IF($A23="","",COUNTIFS('Shot Log'!$A$2:$A$1501,$A23,'Shot Log'!$C$2:$C$1501,"&lt;&gt;")+SUMIFS('Shot Log'!$G$2:$G$1501,'Shot Log'!$A$2:$A$1501,$A23))</f>
        <v/>
      </c>
      <c r="D23" s="23" t="str">
        <f aca="false">IF($A23="","",SUMIFS('Shot Log'!$L$2:$L$1501,'Shot Log'!$A$2:$A$1501,$A23,'Shot Log'!$I$2:$I$1501,"OTT"))</f>
        <v/>
      </c>
      <c r="E23" s="23" t="str">
        <f aca="false">IF($A23="","",SUMIFS('Shot Log'!$L$2:$L$1501,'Shot Log'!$A$2:$A$1501,$A23,'Shot Log'!$I$2:$I$1501,"APP"))</f>
        <v/>
      </c>
      <c r="F23" s="23" t="str">
        <f aca="false">IF($A23="","",SUMIFS('Shot Log'!$L$2:$L$1501,'Shot Log'!$A$2:$A$1501,$A23,'Shot Log'!$I$2:$I$1501,"ARG"))</f>
        <v/>
      </c>
      <c r="G23" s="23" t="str">
        <f aca="false">IF($A23="","",SUMIFS('Shot Log'!$L$2:$L$1501,'Shot Log'!$A$2:$A$1501,$A23,'Shot Log'!$I$2:$I$1501,"PUTT"))</f>
        <v/>
      </c>
      <c r="H23" s="23" t="str">
        <f aca="false">IF($A23="","",SUM(D23:G23))</f>
        <v/>
      </c>
      <c r="I23" s="23" t="str">
        <f aca="false">IF($A23="","",IF(B23=18,Course!$B$23-C23,"n/a"))</f>
        <v/>
      </c>
    </row>
    <row r="24" customFormat="false" ht="15" hidden="false" customHeight="false" outlineLevel="0" collapsed="false">
      <c r="A24" s="24"/>
      <c r="B24" s="7" t="str">
        <f aca="false">IF($A24="","",SUMPRODUCT(('Shot Log'!$A$2:$A$1501=$A24)*('Shot Log'!$E$2:$E$1501="H")))</f>
        <v/>
      </c>
      <c r="C24" s="7" t="str">
        <f aca="false">IF($A24="","",COUNTIFS('Shot Log'!$A$2:$A$1501,$A24,'Shot Log'!$C$2:$C$1501,"&lt;&gt;")+SUMIFS('Shot Log'!$G$2:$G$1501,'Shot Log'!$A$2:$A$1501,$A24))</f>
        <v/>
      </c>
      <c r="D24" s="23" t="str">
        <f aca="false">IF($A24="","",SUMIFS('Shot Log'!$L$2:$L$1501,'Shot Log'!$A$2:$A$1501,$A24,'Shot Log'!$I$2:$I$1501,"OTT"))</f>
        <v/>
      </c>
      <c r="E24" s="23" t="str">
        <f aca="false">IF($A24="","",SUMIFS('Shot Log'!$L$2:$L$1501,'Shot Log'!$A$2:$A$1501,$A24,'Shot Log'!$I$2:$I$1501,"APP"))</f>
        <v/>
      </c>
      <c r="F24" s="23" t="str">
        <f aca="false">IF($A24="","",SUMIFS('Shot Log'!$L$2:$L$1501,'Shot Log'!$A$2:$A$1501,$A24,'Shot Log'!$I$2:$I$1501,"ARG"))</f>
        <v/>
      </c>
      <c r="G24" s="23" t="str">
        <f aca="false">IF($A24="","",SUMIFS('Shot Log'!$L$2:$L$1501,'Shot Log'!$A$2:$A$1501,$A24,'Shot Log'!$I$2:$I$1501,"PUTT"))</f>
        <v/>
      </c>
      <c r="H24" s="23" t="str">
        <f aca="false">IF($A24="","",SUM(D24:G24))</f>
        <v/>
      </c>
      <c r="I24" s="23" t="str">
        <f aca="false">IF($A24="","",IF(B24=18,Course!$B$23-C24,"n/a"))</f>
        <v/>
      </c>
    </row>
    <row r="25" customFormat="false" ht="15" hidden="false" customHeight="false" outlineLevel="0" collapsed="false">
      <c r="A25" s="24"/>
      <c r="B25" s="7" t="str">
        <f aca="false">IF($A25="","",SUMPRODUCT(('Shot Log'!$A$2:$A$1501=$A25)*('Shot Log'!$E$2:$E$1501="H")))</f>
        <v/>
      </c>
      <c r="C25" s="7" t="str">
        <f aca="false">IF($A25="","",COUNTIFS('Shot Log'!$A$2:$A$1501,$A25,'Shot Log'!$C$2:$C$1501,"&lt;&gt;")+SUMIFS('Shot Log'!$G$2:$G$1501,'Shot Log'!$A$2:$A$1501,$A25))</f>
        <v/>
      </c>
      <c r="D25" s="23" t="str">
        <f aca="false">IF($A25="","",SUMIFS('Shot Log'!$L$2:$L$1501,'Shot Log'!$A$2:$A$1501,$A25,'Shot Log'!$I$2:$I$1501,"OTT"))</f>
        <v/>
      </c>
      <c r="E25" s="23" t="str">
        <f aca="false">IF($A25="","",SUMIFS('Shot Log'!$L$2:$L$1501,'Shot Log'!$A$2:$A$1501,$A25,'Shot Log'!$I$2:$I$1501,"APP"))</f>
        <v/>
      </c>
      <c r="F25" s="23" t="str">
        <f aca="false">IF($A25="","",SUMIFS('Shot Log'!$L$2:$L$1501,'Shot Log'!$A$2:$A$1501,$A25,'Shot Log'!$I$2:$I$1501,"ARG"))</f>
        <v/>
      </c>
      <c r="G25" s="23" t="str">
        <f aca="false">IF($A25="","",SUMIFS('Shot Log'!$L$2:$L$1501,'Shot Log'!$A$2:$A$1501,$A25,'Shot Log'!$I$2:$I$1501,"PUTT"))</f>
        <v/>
      </c>
      <c r="H25" s="23" t="str">
        <f aca="false">IF($A25="","",SUM(D25:G25))</f>
        <v/>
      </c>
      <c r="I25" s="23" t="str">
        <f aca="false">IF($A25="","",IF(B25=18,Course!$B$23-C25,"n/a"))</f>
        <v/>
      </c>
    </row>
    <row r="26" customFormat="false" ht="15" hidden="false" customHeight="false" outlineLevel="0" collapsed="false">
      <c r="A26" s="24"/>
      <c r="B26" s="7" t="str">
        <f aca="false">IF($A26="","",SUMPRODUCT(('Shot Log'!$A$2:$A$1501=$A26)*('Shot Log'!$E$2:$E$1501="H")))</f>
        <v/>
      </c>
      <c r="C26" s="7" t="str">
        <f aca="false">IF($A26="","",COUNTIFS('Shot Log'!$A$2:$A$1501,$A26,'Shot Log'!$C$2:$C$1501,"&lt;&gt;")+SUMIFS('Shot Log'!$G$2:$G$1501,'Shot Log'!$A$2:$A$1501,$A26))</f>
        <v/>
      </c>
      <c r="D26" s="23" t="str">
        <f aca="false">IF($A26="","",SUMIFS('Shot Log'!$L$2:$L$1501,'Shot Log'!$A$2:$A$1501,$A26,'Shot Log'!$I$2:$I$1501,"OTT"))</f>
        <v/>
      </c>
      <c r="E26" s="23" t="str">
        <f aca="false">IF($A26="","",SUMIFS('Shot Log'!$L$2:$L$1501,'Shot Log'!$A$2:$A$1501,$A26,'Shot Log'!$I$2:$I$1501,"APP"))</f>
        <v/>
      </c>
      <c r="F26" s="23" t="str">
        <f aca="false">IF($A26="","",SUMIFS('Shot Log'!$L$2:$L$1501,'Shot Log'!$A$2:$A$1501,$A26,'Shot Log'!$I$2:$I$1501,"ARG"))</f>
        <v/>
      </c>
      <c r="G26" s="23" t="str">
        <f aca="false">IF($A26="","",SUMIFS('Shot Log'!$L$2:$L$1501,'Shot Log'!$A$2:$A$1501,$A26,'Shot Log'!$I$2:$I$1501,"PUTT"))</f>
        <v/>
      </c>
      <c r="H26" s="23" t="str">
        <f aca="false">IF($A26="","",SUM(D26:G26))</f>
        <v/>
      </c>
      <c r="I26" s="23" t="str">
        <f aca="false">IF($A26="","",IF(B26=18,Course!$B$23-C26,"n/a"))</f>
        <v/>
      </c>
    </row>
    <row r="27" customFormat="false" ht="15" hidden="false" customHeight="false" outlineLevel="0" collapsed="false">
      <c r="A27" s="24"/>
      <c r="B27" s="7" t="str">
        <f aca="false">IF($A27="","",SUMPRODUCT(('Shot Log'!$A$2:$A$1501=$A27)*('Shot Log'!$E$2:$E$1501="H")))</f>
        <v/>
      </c>
      <c r="C27" s="7" t="str">
        <f aca="false">IF($A27="","",COUNTIFS('Shot Log'!$A$2:$A$1501,$A27,'Shot Log'!$C$2:$C$1501,"&lt;&gt;")+SUMIFS('Shot Log'!$G$2:$G$1501,'Shot Log'!$A$2:$A$1501,$A27))</f>
        <v/>
      </c>
      <c r="D27" s="23" t="str">
        <f aca="false">IF($A27="","",SUMIFS('Shot Log'!$L$2:$L$1501,'Shot Log'!$A$2:$A$1501,$A27,'Shot Log'!$I$2:$I$1501,"OTT"))</f>
        <v/>
      </c>
      <c r="E27" s="23" t="str">
        <f aca="false">IF($A27="","",SUMIFS('Shot Log'!$L$2:$L$1501,'Shot Log'!$A$2:$A$1501,$A27,'Shot Log'!$I$2:$I$1501,"APP"))</f>
        <v/>
      </c>
      <c r="F27" s="23" t="str">
        <f aca="false">IF($A27="","",SUMIFS('Shot Log'!$L$2:$L$1501,'Shot Log'!$A$2:$A$1501,$A27,'Shot Log'!$I$2:$I$1501,"ARG"))</f>
        <v/>
      </c>
      <c r="G27" s="23" t="str">
        <f aca="false">IF($A27="","",SUMIFS('Shot Log'!$L$2:$L$1501,'Shot Log'!$A$2:$A$1501,$A27,'Shot Log'!$I$2:$I$1501,"PUTT"))</f>
        <v/>
      </c>
      <c r="H27" s="23" t="str">
        <f aca="false">IF($A27="","",SUM(D27:G27))</f>
        <v/>
      </c>
      <c r="I27" s="23" t="str">
        <f aca="false">IF($A27="","",IF(B27=18,Course!$B$23-C27,"n/a"))</f>
        <v/>
      </c>
    </row>
    <row r="28" customFormat="false" ht="15" hidden="false" customHeight="false" outlineLevel="0" collapsed="false">
      <c r="A28" s="24"/>
      <c r="B28" s="7" t="str">
        <f aca="false">IF($A28="","",SUMPRODUCT(('Shot Log'!$A$2:$A$1501=$A28)*('Shot Log'!$E$2:$E$1501="H")))</f>
        <v/>
      </c>
      <c r="C28" s="7" t="str">
        <f aca="false">IF($A28="","",COUNTIFS('Shot Log'!$A$2:$A$1501,$A28,'Shot Log'!$C$2:$C$1501,"&lt;&gt;")+SUMIFS('Shot Log'!$G$2:$G$1501,'Shot Log'!$A$2:$A$1501,$A28))</f>
        <v/>
      </c>
      <c r="D28" s="23" t="str">
        <f aca="false">IF($A28="","",SUMIFS('Shot Log'!$L$2:$L$1501,'Shot Log'!$A$2:$A$1501,$A28,'Shot Log'!$I$2:$I$1501,"OTT"))</f>
        <v/>
      </c>
      <c r="E28" s="23" t="str">
        <f aca="false">IF($A28="","",SUMIFS('Shot Log'!$L$2:$L$1501,'Shot Log'!$A$2:$A$1501,$A28,'Shot Log'!$I$2:$I$1501,"APP"))</f>
        <v/>
      </c>
      <c r="F28" s="23" t="str">
        <f aca="false">IF($A28="","",SUMIFS('Shot Log'!$L$2:$L$1501,'Shot Log'!$A$2:$A$1501,$A28,'Shot Log'!$I$2:$I$1501,"ARG"))</f>
        <v/>
      </c>
      <c r="G28" s="23" t="str">
        <f aca="false">IF($A28="","",SUMIFS('Shot Log'!$L$2:$L$1501,'Shot Log'!$A$2:$A$1501,$A28,'Shot Log'!$I$2:$I$1501,"PUTT"))</f>
        <v/>
      </c>
      <c r="H28" s="23" t="str">
        <f aca="false">IF($A28="","",SUM(D28:G28))</f>
        <v/>
      </c>
      <c r="I28" s="23" t="str">
        <f aca="false">IF($A28="","",IF(B28=18,Course!$B$23-C28,"n/a"))</f>
        <v/>
      </c>
    </row>
    <row r="29" customFormat="false" ht="15" hidden="false" customHeight="false" outlineLevel="0" collapsed="false">
      <c r="A29" s="24"/>
      <c r="B29" s="7" t="str">
        <f aca="false">IF($A29="","",SUMPRODUCT(('Shot Log'!$A$2:$A$1501=$A29)*('Shot Log'!$E$2:$E$1501="H")))</f>
        <v/>
      </c>
      <c r="C29" s="7" t="str">
        <f aca="false">IF($A29="","",COUNTIFS('Shot Log'!$A$2:$A$1501,$A29,'Shot Log'!$C$2:$C$1501,"&lt;&gt;")+SUMIFS('Shot Log'!$G$2:$G$1501,'Shot Log'!$A$2:$A$1501,$A29))</f>
        <v/>
      </c>
      <c r="D29" s="23" t="str">
        <f aca="false">IF($A29="","",SUMIFS('Shot Log'!$L$2:$L$1501,'Shot Log'!$A$2:$A$1501,$A29,'Shot Log'!$I$2:$I$1501,"OTT"))</f>
        <v/>
      </c>
      <c r="E29" s="23" t="str">
        <f aca="false">IF($A29="","",SUMIFS('Shot Log'!$L$2:$L$1501,'Shot Log'!$A$2:$A$1501,$A29,'Shot Log'!$I$2:$I$1501,"APP"))</f>
        <v/>
      </c>
      <c r="F29" s="23" t="str">
        <f aca="false">IF($A29="","",SUMIFS('Shot Log'!$L$2:$L$1501,'Shot Log'!$A$2:$A$1501,$A29,'Shot Log'!$I$2:$I$1501,"ARG"))</f>
        <v/>
      </c>
      <c r="G29" s="23" t="str">
        <f aca="false">IF($A29="","",SUMIFS('Shot Log'!$L$2:$L$1501,'Shot Log'!$A$2:$A$1501,$A29,'Shot Log'!$I$2:$I$1501,"PUTT"))</f>
        <v/>
      </c>
      <c r="H29" s="23" t="str">
        <f aca="false">IF($A29="","",SUM(D29:G29))</f>
        <v/>
      </c>
      <c r="I29" s="23" t="str">
        <f aca="false">IF($A29="","",IF(B29=18,Course!$B$23-C29,"n/a"))</f>
        <v/>
      </c>
    </row>
    <row r="30" customFormat="false" ht="15" hidden="false" customHeight="false" outlineLevel="0" collapsed="false">
      <c r="A30" s="24"/>
      <c r="B30" s="7" t="str">
        <f aca="false">IF($A30="","",SUMPRODUCT(('Shot Log'!$A$2:$A$1501=$A30)*('Shot Log'!$E$2:$E$1501="H")))</f>
        <v/>
      </c>
      <c r="C30" s="7" t="str">
        <f aca="false">IF($A30="","",COUNTIFS('Shot Log'!$A$2:$A$1501,$A30,'Shot Log'!$C$2:$C$1501,"&lt;&gt;")+SUMIFS('Shot Log'!$G$2:$G$1501,'Shot Log'!$A$2:$A$1501,$A30))</f>
        <v/>
      </c>
      <c r="D30" s="23" t="str">
        <f aca="false">IF($A30="","",SUMIFS('Shot Log'!$L$2:$L$1501,'Shot Log'!$A$2:$A$1501,$A30,'Shot Log'!$I$2:$I$1501,"OTT"))</f>
        <v/>
      </c>
      <c r="E30" s="23" t="str">
        <f aca="false">IF($A30="","",SUMIFS('Shot Log'!$L$2:$L$1501,'Shot Log'!$A$2:$A$1501,$A30,'Shot Log'!$I$2:$I$1501,"APP"))</f>
        <v/>
      </c>
      <c r="F30" s="23" t="str">
        <f aca="false">IF($A30="","",SUMIFS('Shot Log'!$L$2:$L$1501,'Shot Log'!$A$2:$A$1501,$A30,'Shot Log'!$I$2:$I$1501,"ARG"))</f>
        <v/>
      </c>
      <c r="G30" s="23" t="str">
        <f aca="false">IF($A30="","",SUMIFS('Shot Log'!$L$2:$L$1501,'Shot Log'!$A$2:$A$1501,$A30,'Shot Log'!$I$2:$I$1501,"PUTT"))</f>
        <v/>
      </c>
      <c r="H30" s="23" t="str">
        <f aca="false">IF($A30="","",SUM(D30:G30))</f>
        <v/>
      </c>
      <c r="I30" s="23" t="str">
        <f aca="false">IF($A30="","",IF(B30=18,Course!$B$23-C30,"n/a"))</f>
        <v/>
      </c>
    </row>
    <row r="31" customFormat="false" ht="15" hidden="false" customHeight="false" outlineLevel="0" collapsed="false">
      <c r="A31" s="24"/>
      <c r="B31" s="7" t="str">
        <f aca="false">IF($A31="","",SUMPRODUCT(('Shot Log'!$A$2:$A$1501=$A31)*('Shot Log'!$E$2:$E$1501="H")))</f>
        <v/>
      </c>
      <c r="C31" s="7" t="str">
        <f aca="false">IF($A31="","",COUNTIFS('Shot Log'!$A$2:$A$1501,$A31,'Shot Log'!$C$2:$C$1501,"&lt;&gt;")+SUMIFS('Shot Log'!$G$2:$G$1501,'Shot Log'!$A$2:$A$1501,$A31))</f>
        <v/>
      </c>
      <c r="D31" s="23" t="str">
        <f aca="false">IF($A31="","",SUMIFS('Shot Log'!$L$2:$L$1501,'Shot Log'!$A$2:$A$1501,$A31,'Shot Log'!$I$2:$I$1501,"OTT"))</f>
        <v/>
      </c>
      <c r="E31" s="23" t="str">
        <f aca="false">IF($A31="","",SUMIFS('Shot Log'!$L$2:$L$1501,'Shot Log'!$A$2:$A$1501,$A31,'Shot Log'!$I$2:$I$1501,"APP"))</f>
        <v/>
      </c>
      <c r="F31" s="23" t="str">
        <f aca="false">IF($A31="","",SUMIFS('Shot Log'!$L$2:$L$1501,'Shot Log'!$A$2:$A$1501,$A31,'Shot Log'!$I$2:$I$1501,"ARG"))</f>
        <v/>
      </c>
      <c r="G31" s="23" t="str">
        <f aca="false">IF($A31="","",SUMIFS('Shot Log'!$L$2:$L$1501,'Shot Log'!$A$2:$A$1501,$A31,'Shot Log'!$I$2:$I$1501,"PUTT"))</f>
        <v/>
      </c>
      <c r="H31" s="23" t="str">
        <f aca="false">IF($A31="","",SUM(D31:G31))</f>
        <v/>
      </c>
      <c r="I31" s="23" t="str">
        <f aca="false">IF($A31="","",IF(B31=18,Course!$B$23-C31,"n/a"))</f>
        <v/>
      </c>
    </row>
    <row r="32" customFormat="false" ht="15" hidden="false" customHeight="false" outlineLevel="0" collapsed="false">
      <c r="A32" s="24"/>
      <c r="B32" s="7" t="str">
        <f aca="false">IF($A32="","",SUMPRODUCT(('Shot Log'!$A$2:$A$1501=$A32)*('Shot Log'!$E$2:$E$1501="H")))</f>
        <v/>
      </c>
      <c r="C32" s="7" t="str">
        <f aca="false">IF($A32="","",COUNTIFS('Shot Log'!$A$2:$A$1501,$A32,'Shot Log'!$C$2:$C$1501,"&lt;&gt;")+SUMIFS('Shot Log'!$G$2:$G$1501,'Shot Log'!$A$2:$A$1501,$A32))</f>
        <v/>
      </c>
      <c r="D32" s="23" t="str">
        <f aca="false">IF($A32="","",SUMIFS('Shot Log'!$L$2:$L$1501,'Shot Log'!$A$2:$A$1501,$A32,'Shot Log'!$I$2:$I$1501,"OTT"))</f>
        <v/>
      </c>
      <c r="E32" s="23" t="str">
        <f aca="false">IF($A32="","",SUMIFS('Shot Log'!$L$2:$L$1501,'Shot Log'!$A$2:$A$1501,$A32,'Shot Log'!$I$2:$I$1501,"APP"))</f>
        <v/>
      </c>
      <c r="F32" s="23" t="str">
        <f aca="false">IF($A32="","",SUMIFS('Shot Log'!$L$2:$L$1501,'Shot Log'!$A$2:$A$1501,$A32,'Shot Log'!$I$2:$I$1501,"ARG"))</f>
        <v/>
      </c>
      <c r="G32" s="23" t="str">
        <f aca="false">IF($A32="","",SUMIFS('Shot Log'!$L$2:$L$1501,'Shot Log'!$A$2:$A$1501,$A32,'Shot Log'!$I$2:$I$1501,"PUTT"))</f>
        <v/>
      </c>
      <c r="H32" s="23" t="str">
        <f aca="false">IF($A32="","",SUM(D32:G32))</f>
        <v/>
      </c>
      <c r="I32" s="23" t="str">
        <f aca="false">IF($A32="","",IF(B32=18,Course!$B$23-C32,"n/a"))</f>
        <v/>
      </c>
    </row>
    <row r="33" customFormat="false" ht="15" hidden="false" customHeight="false" outlineLevel="0" collapsed="false">
      <c r="A33" s="24"/>
      <c r="B33" s="7" t="str">
        <f aca="false">IF($A33="","",SUMPRODUCT(('Shot Log'!$A$2:$A$1501=$A33)*('Shot Log'!$E$2:$E$1501="H")))</f>
        <v/>
      </c>
      <c r="C33" s="7" t="str">
        <f aca="false">IF($A33="","",COUNTIFS('Shot Log'!$A$2:$A$1501,$A33,'Shot Log'!$C$2:$C$1501,"&lt;&gt;")+SUMIFS('Shot Log'!$G$2:$G$1501,'Shot Log'!$A$2:$A$1501,$A33))</f>
        <v/>
      </c>
      <c r="D33" s="23" t="str">
        <f aca="false">IF($A33="","",SUMIFS('Shot Log'!$L$2:$L$1501,'Shot Log'!$A$2:$A$1501,$A33,'Shot Log'!$I$2:$I$1501,"OTT"))</f>
        <v/>
      </c>
      <c r="E33" s="23" t="str">
        <f aca="false">IF($A33="","",SUMIFS('Shot Log'!$L$2:$L$1501,'Shot Log'!$A$2:$A$1501,$A33,'Shot Log'!$I$2:$I$1501,"APP"))</f>
        <v/>
      </c>
      <c r="F33" s="23" t="str">
        <f aca="false">IF($A33="","",SUMIFS('Shot Log'!$L$2:$L$1501,'Shot Log'!$A$2:$A$1501,$A33,'Shot Log'!$I$2:$I$1501,"ARG"))</f>
        <v/>
      </c>
      <c r="G33" s="23" t="str">
        <f aca="false">IF($A33="","",SUMIFS('Shot Log'!$L$2:$L$1501,'Shot Log'!$A$2:$A$1501,$A33,'Shot Log'!$I$2:$I$1501,"PUTT"))</f>
        <v/>
      </c>
      <c r="H33" s="23" t="str">
        <f aca="false">IF($A33="","",SUM(D33:G33))</f>
        <v/>
      </c>
      <c r="I33" s="23" t="str">
        <f aca="false">IF($A33="","",IF(B33=18,Course!$B$23-C33,"n/a"))</f>
        <v/>
      </c>
    </row>
    <row r="34" customFormat="false" ht="15" hidden="false" customHeight="false" outlineLevel="0" collapsed="false">
      <c r="A34" s="24"/>
      <c r="B34" s="7" t="str">
        <f aca="false">IF($A34="","",SUMPRODUCT(('Shot Log'!$A$2:$A$1501=$A34)*('Shot Log'!$E$2:$E$1501="H")))</f>
        <v/>
      </c>
      <c r="C34" s="7" t="str">
        <f aca="false">IF($A34="","",COUNTIFS('Shot Log'!$A$2:$A$1501,$A34,'Shot Log'!$C$2:$C$1501,"&lt;&gt;")+SUMIFS('Shot Log'!$G$2:$G$1501,'Shot Log'!$A$2:$A$1501,$A34))</f>
        <v/>
      </c>
      <c r="D34" s="23" t="str">
        <f aca="false">IF($A34="","",SUMIFS('Shot Log'!$L$2:$L$1501,'Shot Log'!$A$2:$A$1501,$A34,'Shot Log'!$I$2:$I$1501,"OTT"))</f>
        <v/>
      </c>
      <c r="E34" s="23" t="str">
        <f aca="false">IF($A34="","",SUMIFS('Shot Log'!$L$2:$L$1501,'Shot Log'!$A$2:$A$1501,$A34,'Shot Log'!$I$2:$I$1501,"APP"))</f>
        <v/>
      </c>
      <c r="F34" s="23" t="str">
        <f aca="false">IF($A34="","",SUMIFS('Shot Log'!$L$2:$L$1501,'Shot Log'!$A$2:$A$1501,$A34,'Shot Log'!$I$2:$I$1501,"ARG"))</f>
        <v/>
      </c>
      <c r="G34" s="23" t="str">
        <f aca="false">IF($A34="","",SUMIFS('Shot Log'!$L$2:$L$1501,'Shot Log'!$A$2:$A$1501,$A34,'Shot Log'!$I$2:$I$1501,"PUTT"))</f>
        <v/>
      </c>
      <c r="H34" s="23" t="str">
        <f aca="false">IF($A34="","",SUM(D34:G34))</f>
        <v/>
      </c>
      <c r="I34" s="23" t="str">
        <f aca="false">IF($A34="","",IF(B34=18,Course!$B$23-C34,"n/a"))</f>
        <v/>
      </c>
    </row>
    <row r="35" customFormat="false" ht="15" hidden="false" customHeight="false" outlineLevel="0" collapsed="false">
      <c r="A35" s="24"/>
      <c r="B35" s="7" t="str">
        <f aca="false">IF($A35="","",SUMPRODUCT(('Shot Log'!$A$2:$A$1501=$A35)*('Shot Log'!$E$2:$E$1501="H")))</f>
        <v/>
      </c>
      <c r="C35" s="7" t="str">
        <f aca="false">IF($A35="","",COUNTIFS('Shot Log'!$A$2:$A$1501,$A35,'Shot Log'!$C$2:$C$1501,"&lt;&gt;")+SUMIFS('Shot Log'!$G$2:$G$1501,'Shot Log'!$A$2:$A$1501,$A35))</f>
        <v/>
      </c>
      <c r="D35" s="23" t="str">
        <f aca="false">IF($A35="","",SUMIFS('Shot Log'!$L$2:$L$1501,'Shot Log'!$A$2:$A$1501,$A35,'Shot Log'!$I$2:$I$1501,"OTT"))</f>
        <v/>
      </c>
      <c r="E35" s="23" t="str">
        <f aca="false">IF($A35="","",SUMIFS('Shot Log'!$L$2:$L$1501,'Shot Log'!$A$2:$A$1501,$A35,'Shot Log'!$I$2:$I$1501,"APP"))</f>
        <v/>
      </c>
      <c r="F35" s="23" t="str">
        <f aca="false">IF($A35="","",SUMIFS('Shot Log'!$L$2:$L$1501,'Shot Log'!$A$2:$A$1501,$A35,'Shot Log'!$I$2:$I$1501,"ARG"))</f>
        <v/>
      </c>
      <c r="G35" s="23" t="str">
        <f aca="false">IF($A35="","",SUMIFS('Shot Log'!$L$2:$L$1501,'Shot Log'!$A$2:$A$1501,$A35,'Shot Log'!$I$2:$I$1501,"PUTT"))</f>
        <v/>
      </c>
      <c r="H35" s="23" t="str">
        <f aca="false">IF($A35="","",SUM(D35:G35))</f>
        <v/>
      </c>
      <c r="I35" s="23" t="str">
        <f aca="false">IF($A35="","",IF(B35=18,Course!$B$23-C35,"n/a"))</f>
        <v/>
      </c>
    </row>
    <row r="36" customFormat="false" ht="15" hidden="false" customHeight="false" outlineLevel="0" collapsed="false">
      <c r="A36" s="24"/>
      <c r="B36" s="7" t="str">
        <f aca="false">IF($A36="","",SUMPRODUCT(('Shot Log'!$A$2:$A$1501=$A36)*('Shot Log'!$E$2:$E$1501="H")))</f>
        <v/>
      </c>
      <c r="C36" s="7" t="str">
        <f aca="false">IF($A36="","",COUNTIFS('Shot Log'!$A$2:$A$1501,$A36,'Shot Log'!$C$2:$C$1501,"&lt;&gt;")+SUMIFS('Shot Log'!$G$2:$G$1501,'Shot Log'!$A$2:$A$1501,$A36))</f>
        <v/>
      </c>
      <c r="D36" s="23" t="str">
        <f aca="false">IF($A36="","",SUMIFS('Shot Log'!$L$2:$L$1501,'Shot Log'!$A$2:$A$1501,$A36,'Shot Log'!$I$2:$I$1501,"OTT"))</f>
        <v/>
      </c>
      <c r="E36" s="23" t="str">
        <f aca="false">IF($A36="","",SUMIFS('Shot Log'!$L$2:$L$1501,'Shot Log'!$A$2:$A$1501,$A36,'Shot Log'!$I$2:$I$1501,"APP"))</f>
        <v/>
      </c>
      <c r="F36" s="23" t="str">
        <f aca="false">IF($A36="","",SUMIFS('Shot Log'!$L$2:$L$1501,'Shot Log'!$A$2:$A$1501,$A36,'Shot Log'!$I$2:$I$1501,"ARG"))</f>
        <v/>
      </c>
      <c r="G36" s="23" t="str">
        <f aca="false">IF($A36="","",SUMIFS('Shot Log'!$L$2:$L$1501,'Shot Log'!$A$2:$A$1501,$A36,'Shot Log'!$I$2:$I$1501,"PUTT"))</f>
        <v/>
      </c>
      <c r="H36" s="23" t="str">
        <f aca="false">IF($A36="","",SUM(D36:G36))</f>
        <v/>
      </c>
      <c r="I36" s="23" t="str">
        <f aca="false">IF($A36="","",IF(B36=18,Course!$B$23-C36,"n/a"))</f>
        <v/>
      </c>
    </row>
    <row r="37" customFormat="false" ht="15" hidden="false" customHeight="false" outlineLevel="0" collapsed="false">
      <c r="A37" s="24"/>
      <c r="B37" s="7" t="str">
        <f aca="false">IF($A37="","",SUMPRODUCT(('Shot Log'!$A$2:$A$1501=$A37)*('Shot Log'!$E$2:$E$1501="H")))</f>
        <v/>
      </c>
      <c r="C37" s="7" t="str">
        <f aca="false">IF($A37="","",COUNTIFS('Shot Log'!$A$2:$A$1501,$A37,'Shot Log'!$C$2:$C$1501,"&lt;&gt;")+SUMIFS('Shot Log'!$G$2:$G$1501,'Shot Log'!$A$2:$A$1501,$A37))</f>
        <v/>
      </c>
      <c r="D37" s="23" t="str">
        <f aca="false">IF($A37="","",SUMIFS('Shot Log'!$L$2:$L$1501,'Shot Log'!$A$2:$A$1501,$A37,'Shot Log'!$I$2:$I$1501,"OTT"))</f>
        <v/>
      </c>
      <c r="E37" s="23" t="str">
        <f aca="false">IF($A37="","",SUMIFS('Shot Log'!$L$2:$L$1501,'Shot Log'!$A$2:$A$1501,$A37,'Shot Log'!$I$2:$I$1501,"APP"))</f>
        <v/>
      </c>
      <c r="F37" s="23" t="str">
        <f aca="false">IF($A37="","",SUMIFS('Shot Log'!$L$2:$L$1501,'Shot Log'!$A$2:$A$1501,$A37,'Shot Log'!$I$2:$I$1501,"ARG"))</f>
        <v/>
      </c>
      <c r="G37" s="23" t="str">
        <f aca="false">IF($A37="","",SUMIFS('Shot Log'!$L$2:$L$1501,'Shot Log'!$A$2:$A$1501,$A37,'Shot Log'!$I$2:$I$1501,"PUTT"))</f>
        <v/>
      </c>
      <c r="H37" s="23" t="str">
        <f aca="false">IF($A37="","",SUM(D37:G37))</f>
        <v/>
      </c>
      <c r="I37" s="23" t="str">
        <f aca="false">IF($A37="","",IF(B37=18,Course!$B$23-C37,"n/a"))</f>
        <v/>
      </c>
    </row>
    <row r="38" customFormat="false" ht="15" hidden="false" customHeight="false" outlineLevel="0" collapsed="false">
      <c r="A38" s="24"/>
      <c r="B38" s="7" t="str">
        <f aca="false">IF($A38="","",SUMPRODUCT(('Shot Log'!$A$2:$A$1501=$A38)*('Shot Log'!$E$2:$E$1501="H")))</f>
        <v/>
      </c>
      <c r="C38" s="7" t="str">
        <f aca="false">IF($A38="","",COUNTIFS('Shot Log'!$A$2:$A$1501,$A38,'Shot Log'!$C$2:$C$1501,"&lt;&gt;")+SUMIFS('Shot Log'!$G$2:$G$1501,'Shot Log'!$A$2:$A$1501,$A38))</f>
        <v/>
      </c>
      <c r="D38" s="23" t="str">
        <f aca="false">IF($A38="","",SUMIFS('Shot Log'!$L$2:$L$1501,'Shot Log'!$A$2:$A$1501,$A38,'Shot Log'!$I$2:$I$1501,"OTT"))</f>
        <v/>
      </c>
      <c r="E38" s="23" t="str">
        <f aca="false">IF($A38="","",SUMIFS('Shot Log'!$L$2:$L$1501,'Shot Log'!$A$2:$A$1501,$A38,'Shot Log'!$I$2:$I$1501,"APP"))</f>
        <v/>
      </c>
      <c r="F38" s="23" t="str">
        <f aca="false">IF($A38="","",SUMIFS('Shot Log'!$L$2:$L$1501,'Shot Log'!$A$2:$A$1501,$A38,'Shot Log'!$I$2:$I$1501,"ARG"))</f>
        <v/>
      </c>
      <c r="G38" s="23" t="str">
        <f aca="false">IF($A38="","",SUMIFS('Shot Log'!$L$2:$L$1501,'Shot Log'!$A$2:$A$1501,$A38,'Shot Log'!$I$2:$I$1501,"PUTT"))</f>
        <v/>
      </c>
      <c r="H38" s="23" t="str">
        <f aca="false">IF($A38="","",SUM(D38:G38))</f>
        <v/>
      </c>
      <c r="I38" s="23" t="str">
        <f aca="false">IF($A38="","",IF(B38=18,Course!$B$23-C38,"n/a"))</f>
        <v/>
      </c>
    </row>
    <row r="39" customFormat="false" ht="15" hidden="false" customHeight="false" outlineLevel="0" collapsed="false">
      <c r="A39" s="24"/>
      <c r="B39" s="7" t="str">
        <f aca="false">IF($A39="","",SUMPRODUCT(('Shot Log'!$A$2:$A$1501=$A39)*('Shot Log'!$E$2:$E$1501="H")))</f>
        <v/>
      </c>
      <c r="C39" s="7" t="str">
        <f aca="false">IF($A39="","",COUNTIFS('Shot Log'!$A$2:$A$1501,$A39,'Shot Log'!$C$2:$C$1501,"&lt;&gt;")+SUMIFS('Shot Log'!$G$2:$G$1501,'Shot Log'!$A$2:$A$1501,$A39))</f>
        <v/>
      </c>
      <c r="D39" s="23" t="str">
        <f aca="false">IF($A39="","",SUMIFS('Shot Log'!$L$2:$L$1501,'Shot Log'!$A$2:$A$1501,$A39,'Shot Log'!$I$2:$I$1501,"OTT"))</f>
        <v/>
      </c>
      <c r="E39" s="23" t="str">
        <f aca="false">IF($A39="","",SUMIFS('Shot Log'!$L$2:$L$1501,'Shot Log'!$A$2:$A$1501,$A39,'Shot Log'!$I$2:$I$1501,"APP"))</f>
        <v/>
      </c>
      <c r="F39" s="23" t="str">
        <f aca="false">IF($A39="","",SUMIFS('Shot Log'!$L$2:$L$1501,'Shot Log'!$A$2:$A$1501,$A39,'Shot Log'!$I$2:$I$1501,"ARG"))</f>
        <v/>
      </c>
      <c r="G39" s="23" t="str">
        <f aca="false">IF($A39="","",SUMIFS('Shot Log'!$L$2:$L$1501,'Shot Log'!$A$2:$A$1501,$A39,'Shot Log'!$I$2:$I$1501,"PUTT"))</f>
        <v/>
      </c>
      <c r="H39" s="23" t="str">
        <f aca="false">IF($A39="","",SUM(D39:G39))</f>
        <v/>
      </c>
      <c r="I39" s="23" t="str">
        <f aca="false">IF($A39="","",IF(B39=18,Course!$B$23-C39,"n/a"))</f>
        <v/>
      </c>
    </row>
    <row r="40" customFormat="false" ht="15" hidden="false" customHeight="false" outlineLevel="0" collapsed="false">
      <c r="A40" s="24"/>
      <c r="B40" s="7" t="str">
        <f aca="false">IF($A40="","",SUMPRODUCT(('Shot Log'!$A$2:$A$1501=$A40)*('Shot Log'!$E$2:$E$1501="H")))</f>
        <v/>
      </c>
      <c r="C40" s="7" t="str">
        <f aca="false">IF($A40="","",COUNTIFS('Shot Log'!$A$2:$A$1501,$A40,'Shot Log'!$C$2:$C$1501,"&lt;&gt;")+SUMIFS('Shot Log'!$G$2:$G$1501,'Shot Log'!$A$2:$A$1501,$A40))</f>
        <v/>
      </c>
      <c r="D40" s="23" t="str">
        <f aca="false">IF($A40="","",SUMIFS('Shot Log'!$L$2:$L$1501,'Shot Log'!$A$2:$A$1501,$A40,'Shot Log'!$I$2:$I$1501,"OTT"))</f>
        <v/>
      </c>
      <c r="E40" s="23" t="str">
        <f aca="false">IF($A40="","",SUMIFS('Shot Log'!$L$2:$L$1501,'Shot Log'!$A$2:$A$1501,$A40,'Shot Log'!$I$2:$I$1501,"APP"))</f>
        <v/>
      </c>
      <c r="F40" s="23" t="str">
        <f aca="false">IF($A40="","",SUMIFS('Shot Log'!$L$2:$L$1501,'Shot Log'!$A$2:$A$1501,$A40,'Shot Log'!$I$2:$I$1501,"ARG"))</f>
        <v/>
      </c>
      <c r="G40" s="23" t="str">
        <f aca="false">IF($A40="","",SUMIFS('Shot Log'!$L$2:$L$1501,'Shot Log'!$A$2:$A$1501,$A40,'Shot Log'!$I$2:$I$1501,"PUTT"))</f>
        <v/>
      </c>
      <c r="H40" s="23" t="str">
        <f aca="false">IF($A40="","",SUM(D40:G40))</f>
        <v/>
      </c>
      <c r="I40" s="23" t="str">
        <f aca="false">IF($A40="","",IF(B40=18,Course!$B$23-C40,"n/a"))</f>
        <v/>
      </c>
    </row>
    <row r="41" customFormat="false" ht="15" hidden="false" customHeight="false" outlineLevel="0" collapsed="false">
      <c r="A41" s="24"/>
      <c r="B41" s="7" t="str">
        <f aca="false">IF($A41="","",SUMPRODUCT(('Shot Log'!$A$2:$A$1501=$A41)*('Shot Log'!$E$2:$E$1501="H")))</f>
        <v/>
      </c>
      <c r="C41" s="7" t="str">
        <f aca="false">IF($A41="","",COUNTIFS('Shot Log'!$A$2:$A$1501,$A41,'Shot Log'!$C$2:$C$1501,"&lt;&gt;")+SUMIFS('Shot Log'!$G$2:$G$1501,'Shot Log'!$A$2:$A$1501,$A41))</f>
        <v/>
      </c>
      <c r="D41" s="23" t="str">
        <f aca="false">IF($A41="","",SUMIFS('Shot Log'!$L$2:$L$1501,'Shot Log'!$A$2:$A$1501,$A41,'Shot Log'!$I$2:$I$1501,"OTT"))</f>
        <v/>
      </c>
      <c r="E41" s="23" t="str">
        <f aca="false">IF($A41="","",SUMIFS('Shot Log'!$L$2:$L$1501,'Shot Log'!$A$2:$A$1501,$A41,'Shot Log'!$I$2:$I$1501,"APP"))</f>
        <v/>
      </c>
      <c r="F41" s="23" t="str">
        <f aca="false">IF($A41="","",SUMIFS('Shot Log'!$L$2:$L$1501,'Shot Log'!$A$2:$A$1501,$A41,'Shot Log'!$I$2:$I$1501,"ARG"))</f>
        <v/>
      </c>
      <c r="G41" s="23" t="str">
        <f aca="false">IF($A41="","",SUMIFS('Shot Log'!$L$2:$L$1501,'Shot Log'!$A$2:$A$1501,$A41,'Shot Log'!$I$2:$I$1501,"PUTT"))</f>
        <v/>
      </c>
      <c r="H41" s="23" t="str">
        <f aca="false">IF($A41="","",SUM(D41:G41))</f>
        <v/>
      </c>
      <c r="I41" s="23" t="str">
        <f aca="false">IF($A41="","",IF(B41=18,Course!$B$23-C41,"n/a"))</f>
        <v/>
      </c>
    </row>
    <row r="42" customFormat="false" ht="15" hidden="false" customHeight="false" outlineLevel="0" collapsed="false">
      <c r="A42" s="24"/>
      <c r="B42" s="7" t="str">
        <f aca="false">IF($A42="","",SUMPRODUCT(('Shot Log'!$A$2:$A$1501=$A42)*('Shot Log'!$E$2:$E$1501="H")))</f>
        <v/>
      </c>
      <c r="C42" s="7" t="str">
        <f aca="false">IF($A42="","",COUNTIFS('Shot Log'!$A$2:$A$1501,$A42,'Shot Log'!$C$2:$C$1501,"&lt;&gt;")+SUMIFS('Shot Log'!$G$2:$G$1501,'Shot Log'!$A$2:$A$1501,$A42))</f>
        <v/>
      </c>
      <c r="D42" s="23" t="str">
        <f aca="false">IF($A42="","",SUMIFS('Shot Log'!$L$2:$L$1501,'Shot Log'!$A$2:$A$1501,$A42,'Shot Log'!$I$2:$I$1501,"OTT"))</f>
        <v/>
      </c>
      <c r="E42" s="23" t="str">
        <f aca="false">IF($A42="","",SUMIFS('Shot Log'!$L$2:$L$1501,'Shot Log'!$A$2:$A$1501,$A42,'Shot Log'!$I$2:$I$1501,"APP"))</f>
        <v/>
      </c>
      <c r="F42" s="23" t="str">
        <f aca="false">IF($A42="","",SUMIFS('Shot Log'!$L$2:$L$1501,'Shot Log'!$A$2:$A$1501,$A42,'Shot Log'!$I$2:$I$1501,"ARG"))</f>
        <v/>
      </c>
      <c r="G42" s="23" t="str">
        <f aca="false">IF($A42="","",SUMIFS('Shot Log'!$L$2:$L$1501,'Shot Log'!$A$2:$A$1501,$A42,'Shot Log'!$I$2:$I$1501,"PUTT"))</f>
        <v/>
      </c>
      <c r="H42" s="23" t="str">
        <f aca="false">IF($A42="","",SUM(D42:G42))</f>
        <v/>
      </c>
      <c r="I42" s="23" t="str">
        <f aca="false">IF($A42="","",IF(B42=18,Course!$B$23-C42,"n/a"))</f>
        <v/>
      </c>
    </row>
    <row r="43" customFormat="false" ht="15" hidden="false" customHeight="false" outlineLevel="0" collapsed="false">
      <c r="A43" s="24"/>
      <c r="B43" s="7" t="str">
        <f aca="false">IF($A43="","",SUMPRODUCT(('Shot Log'!$A$2:$A$1501=$A43)*('Shot Log'!$E$2:$E$1501="H")))</f>
        <v/>
      </c>
      <c r="C43" s="7" t="str">
        <f aca="false">IF($A43="","",COUNTIFS('Shot Log'!$A$2:$A$1501,$A43,'Shot Log'!$C$2:$C$1501,"&lt;&gt;")+SUMIFS('Shot Log'!$G$2:$G$1501,'Shot Log'!$A$2:$A$1501,$A43))</f>
        <v/>
      </c>
      <c r="D43" s="23" t="str">
        <f aca="false">IF($A43="","",SUMIFS('Shot Log'!$L$2:$L$1501,'Shot Log'!$A$2:$A$1501,$A43,'Shot Log'!$I$2:$I$1501,"OTT"))</f>
        <v/>
      </c>
      <c r="E43" s="23" t="str">
        <f aca="false">IF($A43="","",SUMIFS('Shot Log'!$L$2:$L$1501,'Shot Log'!$A$2:$A$1501,$A43,'Shot Log'!$I$2:$I$1501,"APP"))</f>
        <v/>
      </c>
      <c r="F43" s="23" t="str">
        <f aca="false">IF($A43="","",SUMIFS('Shot Log'!$L$2:$L$1501,'Shot Log'!$A$2:$A$1501,$A43,'Shot Log'!$I$2:$I$1501,"ARG"))</f>
        <v/>
      </c>
      <c r="G43" s="23" t="str">
        <f aca="false">IF($A43="","",SUMIFS('Shot Log'!$L$2:$L$1501,'Shot Log'!$A$2:$A$1501,$A43,'Shot Log'!$I$2:$I$1501,"PUTT"))</f>
        <v/>
      </c>
      <c r="H43" s="23" t="str">
        <f aca="false">IF($A43="","",SUM(D43:G43))</f>
        <v/>
      </c>
      <c r="I43" s="23" t="str">
        <f aca="false">IF($A43="","",IF(B43=18,Course!$B$23-C43,"n/a"))</f>
        <v/>
      </c>
    </row>
    <row r="44" customFormat="false" ht="15" hidden="false" customHeight="false" outlineLevel="0" collapsed="false">
      <c r="A44" s="24"/>
      <c r="B44" s="7" t="str">
        <f aca="false">IF($A44="","",SUMPRODUCT(('Shot Log'!$A$2:$A$1501=$A44)*('Shot Log'!$E$2:$E$1501="H")))</f>
        <v/>
      </c>
      <c r="C44" s="7" t="str">
        <f aca="false">IF($A44="","",COUNTIFS('Shot Log'!$A$2:$A$1501,$A44,'Shot Log'!$C$2:$C$1501,"&lt;&gt;")+SUMIFS('Shot Log'!$G$2:$G$1501,'Shot Log'!$A$2:$A$1501,$A44))</f>
        <v/>
      </c>
      <c r="D44" s="23" t="str">
        <f aca="false">IF($A44="","",SUMIFS('Shot Log'!$L$2:$L$1501,'Shot Log'!$A$2:$A$1501,$A44,'Shot Log'!$I$2:$I$1501,"OTT"))</f>
        <v/>
      </c>
      <c r="E44" s="23" t="str">
        <f aca="false">IF($A44="","",SUMIFS('Shot Log'!$L$2:$L$1501,'Shot Log'!$A$2:$A$1501,$A44,'Shot Log'!$I$2:$I$1501,"APP"))</f>
        <v/>
      </c>
      <c r="F44" s="23" t="str">
        <f aca="false">IF($A44="","",SUMIFS('Shot Log'!$L$2:$L$1501,'Shot Log'!$A$2:$A$1501,$A44,'Shot Log'!$I$2:$I$1501,"ARG"))</f>
        <v/>
      </c>
      <c r="G44" s="23" t="str">
        <f aca="false">IF($A44="","",SUMIFS('Shot Log'!$L$2:$L$1501,'Shot Log'!$A$2:$A$1501,$A44,'Shot Log'!$I$2:$I$1501,"PUTT"))</f>
        <v/>
      </c>
      <c r="H44" s="23" t="str">
        <f aca="false">IF($A44="","",SUM(D44:G44))</f>
        <v/>
      </c>
      <c r="I44" s="23" t="str">
        <f aca="false">IF($A44="","",IF(B44=18,Course!$B$23-C44,"n/a"))</f>
        <v/>
      </c>
    </row>
    <row r="45" customFormat="false" ht="15" hidden="false" customHeight="false" outlineLevel="0" collapsed="false">
      <c r="A45" s="24"/>
      <c r="B45" s="7" t="str">
        <f aca="false">IF($A45="","",SUMPRODUCT(('Shot Log'!$A$2:$A$1501=$A45)*('Shot Log'!$E$2:$E$1501="H")))</f>
        <v/>
      </c>
      <c r="C45" s="7" t="str">
        <f aca="false">IF($A45="","",COUNTIFS('Shot Log'!$A$2:$A$1501,$A45,'Shot Log'!$C$2:$C$1501,"&lt;&gt;")+SUMIFS('Shot Log'!$G$2:$G$1501,'Shot Log'!$A$2:$A$1501,$A45))</f>
        <v/>
      </c>
      <c r="D45" s="23" t="str">
        <f aca="false">IF($A45="","",SUMIFS('Shot Log'!$L$2:$L$1501,'Shot Log'!$A$2:$A$1501,$A45,'Shot Log'!$I$2:$I$1501,"OTT"))</f>
        <v/>
      </c>
      <c r="E45" s="23" t="str">
        <f aca="false">IF($A45="","",SUMIFS('Shot Log'!$L$2:$L$1501,'Shot Log'!$A$2:$A$1501,$A45,'Shot Log'!$I$2:$I$1501,"APP"))</f>
        <v/>
      </c>
      <c r="F45" s="23" t="str">
        <f aca="false">IF($A45="","",SUMIFS('Shot Log'!$L$2:$L$1501,'Shot Log'!$A$2:$A$1501,$A45,'Shot Log'!$I$2:$I$1501,"ARG"))</f>
        <v/>
      </c>
      <c r="G45" s="23" t="str">
        <f aca="false">IF($A45="","",SUMIFS('Shot Log'!$L$2:$L$1501,'Shot Log'!$A$2:$A$1501,$A45,'Shot Log'!$I$2:$I$1501,"PUTT"))</f>
        <v/>
      </c>
      <c r="H45" s="23" t="str">
        <f aca="false">IF($A45="","",SUM(D45:G45))</f>
        <v/>
      </c>
      <c r="I45" s="23" t="str">
        <f aca="false">IF($A45="","",IF(B45=18,Course!$B$23-C45,"n/a"))</f>
        <v/>
      </c>
    </row>
    <row r="46" customFormat="false" ht="15" hidden="false" customHeight="false" outlineLevel="0" collapsed="false">
      <c r="A46" s="24"/>
      <c r="B46" s="7" t="str">
        <f aca="false">IF($A46="","",SUMPRODUCT(('Shot Log'!$A$2:$A$1501=$A46)*('Shot Log'!$E$2:$E$1501="H")))</f>
        <v/>
      </c>
      <c r="C46" s="7" t="str">
        <f aca="false">IF($A46="","",COUNTIFS('Shot Log'!$A$2:$A$1501,$A46,'Shot Log'!$C$2:$C$1501,"&lt;&gt;")+SUMIFS('Shot Log'!$G$2:$G$1501,'Shot Log'!$A$2:$A$1501,$A46))</f>
        <v/>
      </c>
      <c r="D46" s="23" t="str">
        <f aca="false">IF($A46="","",SUMIFS('Shot Log'!$L$2:$L$1501,'Shot Log'!$A$2:$A$1501,$A46,'Shot Log'!$I$2:$I$1501,"OTT"))</f>
        <v/>
      </c>
      <c r="E46" s="23" t="str">
        <f aca="false">IF($A46="","",SUMIFS('Shot Log'!$L$2:$L$1501,'Shot Log'!$A$2:$A$1501,$A46,'Shot Log'!$I$2:$I$1501,"APP"))</f>
        <v/>
      </c>
      <c r="F46" s="23" t="str">
        <f aca="false">IF($A46="","",SUMIFS('Shot Log'!$L$2:$L$1501,'Shot Log'!$A$2:$A$1501,$A46,'Shot Log'!$I$2:$I$1501,"ARG"))</f>
        <v/>
      </c>
      <c r="G46" s="23" t="str">
        <f aca="false">IF($A46="","",SUMIFS('Shot Log'!$L$2:$L$1501,'Shot Log'!$A$2:$A$1501,$A46,'Shot Log'!$I$2:$I$1501,"PUTT"))</f>
        <v/>
      </c>
      <c r="H46" s="23" t="str">
        <f aca="false">IF($A46="","",SUM(D46:G46))</f>
        <v/>
      </c>
      <c r="I46" s="23" t="str">
        <f aca="false">IF($A46="","",IF(B46=18,Course!$B$23-C46,"n/a"))</f>
        <v/>
      </c>
    </row>
    <row r="47" customFormat="false" ht="15" hidden="false" customHeight="false" outlineLevel="0" collapsed="false">
      <c r="A47" s="24"/>
      <c r="B47" s="7" t="str">
        <f aca="false">IF($A47="","",SUMPRODUCT(('Shot Log'!$A$2:$A$1501=$A47)*('Shot Log'!$E$2:$E$1501="H")))</f>
        <v/>
      </c>
      <c r="C47" s="7" t="str">
        <f aca="false">IF($A47="","",COUNTIFS('Shot Log'!$A$2:$A$1501,$A47,'Shot Log'!$C$2:$C$1501,"&lt;&gt;")+SUMIFS('Shot Log'!$G$2:$G$1501,'Shot Log'!$A$2:$A$1501,$A47))</f>
        <v/>
      </c>
      <c r="D47" s="23" t="str">
        <f aca="false">IF($A47="","",SUMIFS('Shot Log'!$L$2:$L$1501,'Shot Log'!$A$2:$A$1501,$A47,'Shot Log'!$I$2:$I$1501,"OTT"))</f>
        <v/>
      </c>
      <c r="E47" s="23" t="str">
        <f aca="false">IF($A47="","",SUMIFS('Shot Log'!$L$2:$L$1501,'Shot Log'!$A$2:$A$1501,$A47,'Shot Log'!$I$2:$I$1501,"APP"))</f>
        <v/>
      </c>
      <c r="F47" s="23" t="str">
        <f aca="false">IF($A47="","",SUMIFS('Shot Log'!$L$2:$L$1501,'Shot Log'!$A$2:$A$1501,$A47,'Shot Log'!$I$2:$I$1501,"ARG"))</f>
        <v/>
      </c>
      <c r="G47" s="23" t="str">
        <f aca="false">IF($A47="","",SUMIFS('Shot Log'!$L$2:$L$1501,'Shot Log'!$A$2:$A$1501,$A47,'Shot Log'!$I$2:$I$1501,"PUTT"))</f>
        <v/>
      </c>
      <c r="H47" s="23" t="str">
        <f aca="false">IF($A47="","",SUM(D47:G47))</f>
        <v/>
      </c>
      <c r="I47" s="23" t="str">
        <f aca="false">IF($A47="","",IF(B47=18,Course!$B$23-C47,"n/a"))</f>
        <v/>
      </c>
    </row>
    <row r="48" customFormat="false" ht="15" hidden="false" customHeight="false" outlineLevel="0" collapsed="false">
      <c r="A48" s="24"/>
      <c r="B48" s="7" t="str">
        <f aca="false">IF($A48="","",SUMPRODUCT(('Shot Log'!$A$2:$A$1501=$A48)*('Shot Log'!$E$2:$E$1501="H")))</f>
        <v/>
      </c>
      <c r="C48" s="7" t="str">
        <f aca="false">IF($A48="","",COUNTIFS('Shot Log'!$A$2:$A$1501,$A48,'Shot Log'!$C$2:$C$1501,"&lt;&gt;")+SUMIFS('Shot Log'!$G$2:$G$1501,'Shot Log'!$A$2:$A$1501,$A48))</f>
        <v/>
      </c>
      <c r="D48" s="23" t="str">
        <f aca="false">IF($A48="","",SUMIFS('Shot Log'!$L$2:$L$1501,'Shot Log'!$A$2:$A$1501,$A48,'Shot Log'!$I$2:$I$1501,"OTT"))</f>
        <v/>
      </c>
      <c r="E48" s="23" t="str">
        <f aca="false">IF($A48="","",SUMIFS('Shot Log'!$L$2:$L$1501,'Shot Log'!$A$2:$A$1501,$A48,'Shot Log'!$I$2:$I$1501,"APP"))</f>
        <v/>
      </c>
      <c r="F48" s="23" t="str">
        <f aca="false">IF($A48="","",SUMIFS('Shot Log'!$L$2:$L$1501,'Shot Log'!$A$2:$A$1501,$A48,'Shot Log'!$I$2:$I$1501,"ARG"))</f>
        <v/>
      </c>
      <c r="G48" s="23" t="str">
        <f aca="false">IF($A48="","",SUMIFS('Shot Log'!$L$2:$L$1501,'Shot Log'!$A$2:$A$1501,$A48,'Shot Log'!$I$2:$I$1501,"PUTT"))</f>
        <v/>
      </c>
      <c r="H48" s="23" t="str">
        <f aca="false">IF($A48="","",SUM(D48:G48))</f>
        <v/>
      </c>
      <c r="I48" s="23" t="str">
        <f aca="false">IF($A48="","",IF(B48=18,Course!$B$23-C48,"n/a"))</f>
        <v/>
      </c>
    </row>
    <row r="49" customFormat="false" ht="15" hidden="false" customHeight="false" outlineLevel="0" collapsed="false">
      <c r="A49" s="24"/>
      <c r="B49" s="7" t="str">
        <f aca="false">IF($A49="","",SUMPRODUCT(('Shot Log'!$A$2:$A$1501=$A49)*('Shot Log'!$E$2:$E$1501="H")))</f>
        <v/>
      </c>
      <c r="C49" s="7" t="str">
        <f aca="false">IF($A49="","",COUNTIFS('Shot Log'!$A$2:$A$1501,$A49,'Shot Log'!$C$2:$C$1501,"&lt;&gt;")+SUMIFS('Shot Log'!$G$2:$G$1501,'Shot Log'!$A$2:$A$1501,$A49))</f>
        <v/>
      </c>
      <c r="D49" s="23" t="str">
        <f aca="false">IF($A49="","",SUMIFS('Shot Log'!$L$2:$L$1501,'Shot Log'!$A$2:$A$1501,$A49,'Shot Log'!$I$2:$I$1501,"OTT"))</f>
        <v/>
      </c>
      <c r="E49" s="23" t="str">
        <f aca="false">IF($A49="","",SUMIFS('Shot Log'!$L$2:$L$1501,'Shot Log'!$A$2:$A$1501,$A49,'Shot Log'!$I$2:$I$1501,"APP"))</f>
        <v/>
      </c>
      <c r="F49" s="23" t="str">
        <f aca="false">IF($A49="","",SUMIFS('Shot Log'!$L$2:$L$1501,'Shot Log'!$A$2:$A$1501,$A49,'Shot Log'!$I$2:$I$1501,"ARG"))</f>
        <v/>
      </c>
      <c r="G49" s="23" t="str">
        <f aca="false">IF($A49="","",SUMIFS('Shot Log'!$L$2:$L$1501,'Shot Log'!$A$2:$A$1501,$A49,'Shot Log'!$I$2:$I$1501,"PUTT"))</f>
        <v/>
      </c>
      <c r="H49" s="23" t="str">
        <f aca="false">IF($A49="","",SUM(D49:G49))</f>
        <v/>
      </c>
      <c r="I49" s="23" t="str">
        <f aca="false">IF($A49="","",IF(B49=18,Course!$B$23-C49,"n/a"))</f>
        <v/>
      </c>
    </row>
    <row r="50" customFormat="false" ht="15" hidden="false" customHeight="false" outlineLevel="0" collapsed="false">
      <c r="A50" s="24"/>
      <c r="B50" s="7" t="str">
        <f aca="false">IF($A50="","",SUMPRODUCT(('Shot Log'!$A$2:$A$1501=$A50)*('Shot Log'!$E$2:$E$1501="H")))</f>
        <v/>
      </c>
      <c r="C50" s="7" t="str">
        <f aca="false">IF($A50="","",COUNTIFS('Shot Log'!$A$2:$A$1501,$A50,'Shot Log'!$C$2:$C$1501,"&lt;&gt;")+SUMIFS('Shot Log'!$G$2:$G$1501,'Shot Log'!$A$2:$A$1501,$A50))</f>
        <v/>
      </c>
      <c r="D50" s="23" t="str">
        <f aca="false">IF($A50="","",SUMIFS('Shot Log'!$L$2:$L$1501,'Shot Log'!$A$2:$A$1501,$A50,'Shot Log'!$I$2:$I$1501,"OTT"))</f>
        <v/>
      </c>
      <c r="E50" s="23" t="str">
        <f aca="false">IF($A50="","",SUMIFS('Shot Log'!$L$2:$L$1501,'Shot Log'!$A$2:$A$1501,$A50,'Shot Log'!$I$2:$I$1501,"APP"))</f>
        <v/>
      </c>
      <c r="F50" s="23" t="str">
        <f aca="false">IF($A50="","",SUMIFS('Shot Log'!$L$2:$L$1501,'Shot Log'!$A$2:$A$1501,$A50,'Shot Log'!$I$2:$I$1501,"ARG"))</f>
        <v/>
      </c>
      <c r="G50" s="23" t="str">
        <f aca="false">IF($A50="","",SUMIFS('Shot Log'!$L$2:$L$1501,'Shot Log'!$A$2:$A$1501,$A50,'Shot Log'!$I$2:$I$1501,"PUTT"))</f>
        <v/>
      </c>
      <c r="H50" s="23" t="str">
        <f aca="false">IF($A50="","",SUM(D50:G50))</f>
        <v/>
      </c>
      <c r="I50" s="23" t="str">
        <f aca="false">IF($A50="","",IF(B50=18,Course!$B$23-C50,"n/a"))</f>
        <v/>
      </c>
    </row>
    <row r="51" customFormat="false" ht="15" hidden="false" customHeight="false" outlineLevel="0" collapsed="false">
      <c r="A51" s="24"/>
      <c r="B51" s="7" t="str">
        <f aca="false">IF($A51="","",SUMPRODUCT(('Shot Log'!$A$2:$A$1501=$A51)*('Shot Log'!$E$2:$E$1501="H")))</f>
        <v/>
      </c>
      <c r="C51" s="7" t="str">
        <f aca="false">IF($A51="","",COUNTIFS('Shot Log'!$A$2:$A$1501,$A51,'Shot Log'!$C$2:$C$1501,"&lt;&gt;")+SUMIFS('Shot Log'!$G$2:$G$1501,'Shot Log'!$A$2:$A$1501,$A51))</f>
        <v/>
      </c>
      <c r="D51" s="23" t="str">
        <f aca="false">IF($A51="","",SUMIFS('Shot Log'!$L$2:$L$1501,'Shot Log'!$A$2:$A$1501,$A51,'Shot Log'!$I$2:$I$1501,"OTT"))</f>
        <v/>
      </c>
      <c r="E51" s="23" t="str">
        <f aca="false">IF($A51="","",SUMIFS('Shot Log'!$L$2:$L$1501,'Shot Log'!$A$2:$A$1501,$A51,'Shot Log'!$I$2:$I$1501,"APP"))</f>
        <v/>
      </c>
      <c r="F51" s="23" t="str">
        <f aca="false">IF($A51="","",SUMIFS('Shot Log'!$L$2:$L$1501,'Shot Log'!$A$2:$A$1501,$A51,'Shot Log'!$I$2:$I$1501,"ARG"))</f>
        <v/>
      </c>
      <c r="G51" s="23" t="str">
        <f aca="false">IF($A51="","",SUMIFS('Shot Log'!$L$2:$L$1501,'Shot Log'!$A$2:$A$1501,$A51,'Shot Log'!$I$2:$I$1501,"PUTT"))</f>
        <v/>
      </c>
      <c r="H51" s="23" t="str">
        <f aca="false">IF($A51="","",SUM(D51:G51))</f>
        <v/>
      </c>
      <c r="I51" s="23" t="str">
        <f aca="false">IF($A51="","",IF(B51=18,Course!$B$23-C51,"n/a"))</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9"/>
    <col collapsed="false" customWidth="true" hidden="false" outlineLevel="0" max="4" min="4" style="0" width="14"/>
    <col collapsed="false" customWidth="true" hidden="false" outlineLevel="0" max="5" min="5" style="0" width="20"/>
    <col collapsed="false" customWidth="true" hidden="false" outlineLevel="0" max="6" min="6" style="0" width="14"/>
  </cols>
  <sheetData>
    <row r="1" customFormat="false" ht="15" hidden="false" customHeight="false" outlineLevel="0" collapsed="false">
      <c r="A1" s="13" t="s">
        <v>191</v>
      </c>
    </row>
    <row r="3" customFormat="false" ht="26.85" hidden="false" customHeight="false" outlineLevel="0" collapsed="false">
      <c r="A3" s="5" t="s">
        <v>192</v>
      </c>
      <c r="B3" s="5" t="s">
        <v>193</v>
      </c>
      <c r="C3" s="5" t="s">
        <v>194</v>
      </c>
      <c r="D3" s="5" t="s">
        <v>195</v>
      </c>
      <c r="E3" s="5" t="s">
        <v>196</v>
      </c>
      <c r="F3" s="5" t="s">
        <v>197</v>
      </c>
    </row>
    <row r="4" customFormat="false" ht="15" hidden="false" customHeight="false" outlineLevel="0" collapsed="false">
      <c r="A4" s="7" t="s">
        <v>198</v>
      </c>
      <c r="B4" s="7" t="s">
        <v>129</v>
      </c>
      <c r="C4" s="7" t="n">
        <v>3</v>
      </c>
      <c r="D4" s="8" t="n">
        <v>1.04</v>
      </c>
      <c r="E4" s="17" t="n">
        <f aca="false">INDEX(Baseline!$I$3:$I$102,MIN(MAX(ROUND($C4,0),1),100))</f>
        <v>1.06</v>
      </c>
      <c r="F4" s="23" t="n">
        <f aca="false">E4-D4</f>
        <v>0.02</v>
      </c>
    </row>
    <row r="5" customFormat="false" ht="15" hidden="false" customHeight="false" outlineLevel="0" collapsed="false">
      <c r="A5" s="7" t="s">
        <v>198</v>
      </c>
      <c r="B5" s="7" t="s">
        <v>129</v>
      </c>
      <c r="C5" s="7" t="n">
        <v>6</v>
      </c>
      <c r="D5" s="8" t="n">
        <v>1.34</v>
      </c>
      <c r="E5" s="17" t="n">
        <f aca="false">INDEX(Baseline!$I$3:$I$102,MIN(MAX(ROUND($C5,0),1),100))</f>
        <v>1.383</v>
      </c>
      <c r="F5" s="23" t="n">
        <f aca="false">E5-D5</f>
        <v>0.0429999999999997</v>
      </c>
    </row>
    <row r="6" customFormat="false" ht="15" hidden="false" customHeight="false" outlineLevel="0" collapsed="false">
      <c r="A6" s="7" t="s">
        <v>198</v>
      </c>
      <c r="B6" s="7" t="s">
        <v>129</v>
      </c>
      <c r="C6" s="7" t="n">
        <v>10</v>
      </c>
      <c r="D6" s="8" t="n">
        <v>1.61</v>
      </c>
      <c r="E6" s="17" t="n">
        <f aca="false">INDEX(Baseline!$I$3:$I$102,MIN(MAX(ROUND($C6,0),1),100))</f>
        <v>1.652</v>
      </c>
      <c r="F6" s="23" t="n">
        <f aca="false">E6-D6</f>
        <v>0.042</v>
      </c>
    </row>
    <row r="7" customFormat="false" ht="15" hidden="false" customHeight="false" outlineLevel="0" collapsed="false">
      <c r="A7" s="7" t="s">
        <v>198</v>
      </c>
      <c r="B7" s="7" t="s">
        <v>129</v>
      </c>
      <c r="C7" s="7" t="n">
        <v>15</v>
      </c>
      <c r="D7" s="8" t="n">
        <v>1.78</v>
      </c>
      <c r="E7" s="17" t="n">
        <f aca="false">INDEX(Baseline!$I$3:$I$102,MIN(MAX(ROUND($C7,0),1),100))</f>
        <v>1.81</v>
      </c>
      <c r="F7" s="23" t="n">
        <f aca="false">E7-D7</f>
        <v>0.03</v>
      </c>
    </row>
    <row r="8" customFormat="false" ht="15" hidden="false" customHeight="false" outlineLevel="0" collapsed="false">
      <c r="A8" s="7" t="s">
        <v>198</v>
      </c>
      <c r="B8" s="7" t="s">
        <v>129</v>
      </c>
      <c r="C8" s="7" t="n">
        <v>20</v>
      </c>
      <c r="D8" s="8" t="n">
        <v>1.87</v>
      </c>
      <c r="E8" s="17" t="n">
        <f aca="false">INDEX(Baseline!$I$3:$I$102,MIN(MAX(ROUND($C8,0),1),100))</f>
        <v>1.916</v>
      </c>
      <c r="F8" s="23" t="n">
        <f aca="false">E8-D8</f>
        <v>0.0459999999999996</v>
      </c>
    </row>
    <row r="9" customFormat="false" ht="15" hidden="false" customHeight="false" outlineLevel="0" collapsed="false">
      <c r="A9" s="7" t="s">
        <v>198</v>
      </c>
      <c r="B9" s="7" t="s">
        <v>129</v>
      </c>
      <c r="C9" s="7" t="n">
        <v>30</v>
      </c>
      <c r="D9" s="8" t="n">
        <v>1.98</v>
      </c>
      <c r="E9" s="17" t="n">
        <f aca="false">INDEX(Baseline!$I$3:$I$102,MIN(MAX(ROUND($C9,0),1),100))</f>
        <v>2.068</v>
      </c>
      <c r="F9" s="23" t="n">
        <f aca="false">E9-D9</f>
        <v>0.0880000000000001</v>
      </c>
    </row>
    <row r="10" customFormat="false" ht="15" hidden="false" customHeight="false" outlineLevel="0" collapsed="false">
      <c r="A10" s="7" t="s">
        <v>198</v>
      </c>
      <c r="B10" s="7" t="s">
        <v>129</v>
      </c>
      <c r="C10" s="7" t="n">
        <v>40</v>
      </c>
      <c r="D10" s="8" t="n">
        <v>2.06</v>
      </c>
      <c r="E10" s="17" t="n">
        <f aca="false">INDEX(Baseline!$I$3:$I$102,MIN(MAX(ROUND($C10,0),1),100))</f>
        <v>2.17</v>
      </c>
      <c r="F10" s="23" t="n">
        <f aca="false">E10-D10</f>
        <v>0.11</v>
      </c>
    </row>
    <row r="11" customFormat="false" ht="15" hidden="false" customHeight="false" outlineLevel="0" collapsed="false">
      <c r="A11" s="7" t="s">
        <v>198</v>
      </c>
      <c r="B11" s="7" t="s">
        <v>129</v>
      </c>
      <c r="C11" s="7" t="n">
        <v>60</v>
      </c>
      <c r="D11" s="8" t="n">
        <v>2.21</v>
      </c>
      <c r="E11" s="17" t="n">
        <f aca="false">INDEX(Baseline!$I$3:$I$102,MIN(MAX(ROUND($C11,0),1),100))</f>
        <v>2.337</v>
      </c>
      <c r="F11" s="23" t="n">
        <f aca="false">E11-D11</f>
        <v>0.127</v>
      </c>
    </row>
    <row r="12" customFormat="false" ht="15" hidden="false" customHeight="false" outlineLevel="0" collapsed="false">
      <c r="A12" s="7" t="s">
        <v>199</v>
      </c>
      <c r="B12" s="7" t="s">
        <v>125</v>
      </c>
      <c r="C12" s="7" t="n">
        <v>10</v>
      </c>
      <c r="D12" s="8" t="n">
        <v>2.18</v>
      </c>
      <c r="E12" s="17" t="n">
        <f aca="false">INDEX(Baseline!$B$3:$E$122,MATCH(MIN(MAX(ROUND(($C12)/5,0)*5,5),600),Baseline!$A$3:$A$122,0),MATCH($B12,Baseline!$B$2:$E$2,0))</f>
        <v>2.3</v>
      </c>
      <c r="F12" s="23" t="n">
        <f aca="false">E12-D12</f>
        <v>0.12</v>
      </c>
    </row>
    <row r="13" customFormat="false" ht="15" hidden="false" customHeight="false" outlineLevel="0" collapsed="false">
      <c r="A13" s="7" t="s">
        <v>199</v>
      </c>
      <c r="B13" s="7" t="s">
        <v>125</v>
      </c>
      <c r="C13" s="7" t="n">
        <v>20</v>
      </c>
      <c r="D13" s="8" t="n">
        <v>2.4</v>
      </c>
      <c r="E13" s="17" t="n">
        <f aca="false">INDEX(Baseline!$B$3:$E$122,MATCH(MIN(MAX(ROUND(($C13)/5,0)*5,5),600),Baseline!$A$3:$A$122,0),MATCH($B13,Baseline!$B$2:$E$2,0))</f>
        <v>2.44</v>
      </c>
      <c r="F13" s="23" t="n">
        <f aca="false">E13-D13</f>
        <v>0.04</v>
      </c>
    </row>
    <row r="14" customFormat="false" ht="15" hidden="false" customHeight="false" outlineLevel="0" collapsed="false">
      <c r="A14" s="7" t="s">
        <v>199</v>
      </c>
      <c r="B14" s="7" t="s">
        <v>125</v>
      </c>
      <c r="C14" s="7" t="n">
        <v>30</v>
      </c>
      <c r="D14" s="8" t="n">
        <v>2.52</v>
      </c>
      <c r="E14" s="17" t="n">
        <f aca="false">INDEX(Baseline!$B$3:$E$122,MATCH(MIN(MAX(ROUND(($C14)/5,0)*5,5),600),Baseline!$A$3:$A$122,0),MATCH($B14,Baseline!$B$2:$E$2,0))</f>
        <v>2.58</v>
      </c>
      <c r="F14" s="23" t="n">
        <f aca="false">E14-D14</f>
        <v>0.0600000000000001</v>
      </c>
    </row>
    <row r="15" customFormat="false" ht="15" hidden="false" customHeight="false" outlineLevel="0" collapsed="false">
      <c r="A15" s="7" t="s">
        <v>200</v>
      </c>
      <c r="B15" s="7" t="s">
        <v>125</v>
      </c>
      <c r="C15" s="7" t="n">
        <v>50</v>
      </c>
      <c r="D15" s="8" t="n">
        <v>2.66</v>
      </c>
      <c r="E15" s="17" t="n">
        <f aca="false">INDEX(Baseline!$B$3:$E$122,MATCH(MIN(MAX(ROUND(($C15)/5,0)*5,5),600),Baseline!$A$3:$A$122,0),MATCH($B15,Baseline!$B$2:$E$2,0))</f>
        <v>2.8</v>
      </c>
      <c r="F15" s="23" t="n">
        <f aca="false">E15-D15</f>
        <v>0.14</v>
      </c>
    </row>
    <row r="16" customFormat="false" ht="15" hidden="false" customHeight="false" outlineLevel="0" collapsed="false">
      <c r="A16" s="7" t="s">
        <v>199</v>
      </c>
      <c r="B16" s="7" t="s">
        <v>126</v>
      </c>
      <c r="C16" s="7" t="n">
        <v>20</v>
      </c>
      <c r="D16" s="8" t="n">
        <v>2.59</v>
      </c>
      <c r="E16" s="17" t="n">
        <f aca="false">INDEX(Baseline!$B$3:$E$122,MATCH(MIN(MAX(ROUND(($C16)/5,0)*5,5),600),Baseline!$A$3:$A$122,0),MATCH($B16,Baseline!$B$2:$E$2,0))</f>
        <v>2.64</v>
      </c>
      <c r="F16" s="23" t="n">
        <f aca="false">E16-D16</f>
        <v>0.0500000000000003</v>
      </c>
    </row>
    <row r="17" customFormat="false" ht="15" hidden="false" customHeight="false" outlineLevel="0" collapsed="false">
      <c r="A17" s="7" t="s">
        <v>201</v>
      </c>
      <c r="B17" s="7" t="s">
        <v>127</v>
      </c>
      <c r="C17" s="7" t="n">
        <v>20</v>
      </c>
      <c r="D17" s="8" t="n">
        <v>2.53</v>
      </c>
      <c r="E17" s="17" t="n">
        <f aca="false">INDEX(Baseline!$B$3:$E$122,MATCH(MIN(MAX(ROUND(($C17)/5,0)*5,5),600),Baseline!$A$3:$A$122,0),MATCH($B17,Baseline!$B$2:$E$2,0))</f>
        <v>2.75</v>
      </c>
      <c r="F17" s="23" t="n">
        <f aca="false">E17-D17</f>
        <v>0.22</v>
      </c>
    </row>
    <row r="18" customFormat="false" ht="15" hidden="false" customHeight="false" outlineLevel="0" collapsed="false">
      <c r="A18" s="7" t="s">
        <v>202</v>
      </c>
      <c r="B18" s="7" t="s">
        <v>125</v>
      </c>
      <c r="C18" s="7" t="n">
        <v>100</v>
      </c>
      <c r="D18" s="8" t="n">
        <v>2.8</v>
      </c>
      <c r="E18" s="17" t="n">
        <f aca="false">INDEX(Baseline!$B$3:$E$122,MATCH(MIN(MAX(ROUND(($C18)/5,0)*5,5),600),Baseline!$A$3:$A$122,0),MATCH($B18,Baseline!$B$2:$E$2,0))</f>
        <v>3.0308</v>
      </c>
      <c r="F18" s="23" t="n">
        <f aca="false">E18-D18</f>
        <v>0.2308</v>
      </c>
    </row>
    <row r="19" customFormat="false" ht="15" hidden="false" customHeight="false" outlineLevel="0" collapsed="false">
      <c r="A19" s="7" t="s">
        <v>202</v>
      </c>
      <c r="B19" s="7" t="s">
        <v>125</v>
      </c>
      <c r="C19" s="7" t="n">
        <v>150</v>
      </c>
      <c r="D19" s="8" t="n">
        <v>2.95</v>
      </c>
      <c r="E19" s="17" t="n">
        <f aca="false">INDEX(Baseline!$B$3:$E$122,MATCH(MIN(MAX(ROUND(($C19)/5,0)*5,5),600),Baseline!$A$3:$A$122,0),MATCH($B19,Baseline!$B$2:$E$2,0))</f>
        <v>3.23271</v>
      </c>
      <c r="F19" s="23" t="n">
        <f aca="false">E19-D19</f>
        <v>0.28271</v>
      </c>
    </row>
    <row r="20" customFormat="false" ht="15" hidden="false" customHeight="false" outlineLevel="0" collapsed="false">
      <c r="A20" s="7" t="s">
        <v>202</v>
      </c>
      <c r="B20" s="7" t="s">
        <v>125</v>
      </c>
      <c r="C20" s="7" t="n">
        <v>200</v>
      </c>
      <c r="D20" s="8" t="n">
        <v>3.19</v>
      </c>
      <c r="E20" s="17" t="n">
        <f aca="false">INDEX(Baseline!$B$3:$E$122,MATCH(MIN(MAX(ROUND(($C20)/5,0)*5,5),600),Baseline!$A$3:$A$122,0),MATCH($B20,Baseline!$B$2:$E$2,0))</f>
        <v>3.466844</v>
      </c>
      <c r="F20" s="23" t="n">
        <f aca="false">E20-D20</f>
        <v>0.276844</v>
      </c>
    </row>
    <row r="21" customFormat="false" ht="15" hidden="false" customHeight="false" outlineLevel="0" collapsed="false">
      <c r="A21" s="7" t="s">
        <v>202</v>
      </c>
      <c r="B21" s="7" t="s">
        <v>125</v>
      </c>
      <c r="C21" s="7" t="n">
        <v>250</v>
      </c>
      <c r="D21" s="8" t="n">
        <v>3.52</v>
      </c>
      <c r="E21" s="17" t="n">
        <f aca="false">INDEX(Baseline!$B$3:$E$122,MATCH(MIN(MAX(ROUND(($C21)/5,0)*5,5),600),Baseline!$A$3:$A$122,0),MATCH($B21,Baseline!$B$2:$E$2,0))</f>
        <v>3.64</v>
      </c>
      <c r="F21" s="23" t="n">
        <f aca="false">E21-D21</f>
        <v>0.12</v>
      </c>
    </row>
    <row r="22" customFormat="false" ht="15" hidden="false" customHeight="false" outlineLevel="0" collapsed="false">
      <c r="A22" s="7" t="s">
        <v>203</v>
      </c>
      <c r="B22" s="7" t="s">
        <v>125</v>
      </c>
      <c r="C22" s="7" t="n">
        <v>300</v>
      </c>
      <c r="D22" s="8" t="n">
        <v>3.78</v>
      </c>
      <c r="E22" s="17" t="n">
        <f aca="false">INDEX(Baseline!$B$3:$E$122,MATCH(MIN(MAX(ROUND(($C22)/5,0)*5,5),600),Baseline!$A$3:$A$122,0),MATCH($B22,Baseline!$B$2:$E$2,0))</f>
        <v>3.992564608</v>
      </c>
      <c r="F22" s="23" t="n">
        <f aca="false">E22-D22</f>
        <v>0.212564608</v>
      </c>
    </row>
    <row r="23" customFormat="false" ht="15" hidden="false" customHeight="false" outlineLevel="0" collapsed="false">
      <c r="A23" s="7" t="s">
        <v>202</v>
      </c>
      <c r="B23" s="7" t="s">
        <v>126</v>
      </c>
      <c r="C23" s="7" t="n">
        <v>100</v>
      </c>
      <c r="D23" s="8" t="n">
        <v>3.02</v>
      </c>
      <c r="E23" s="17" t="n">
        <f aca="false">INDEX(Baseline!$B$3:$E$122,MATCH(MIN(MAX(ROUND(($C23)/5,0)*5,5),600),Baseline!$A$3:$A$122,0),MATCH($B23,Baseline!$B$2:$E$2,0))</f>
        <v>3.2048384</v>
      </c>
      <c r="F23" s="23" t="n">
        <f aca="false">E23-D23</f>
        <v>0.1848384</v>
      </c>
    </row>
    <row r="24" customFormat="false" ht="15" hidden="false" customHeight="false" outlineLevel="0" collapsed="false">
      <c r="A24" s="7" t="s">
        <v>202</v>
      </c>
      <c r="B24" s="7" t="s">
        <v>126</v>
      </c>
      <c r="C24" s="7" t="n">
        <v>150</v>
      </c>
      <c r="D24" s="8" t="n">
        <v>3.19</v>
      </c>
      <c r="E24" s="17" t="n">
        <f aca="false">INDEX(Baseline!$B$3:$E$122,MATCH(MIN(MAX(ROUND(($C24)/5,0)*5,5),600),Baseline!$A$3:$A$122,0),MATCH($B24,Baseline!$B$2:$E$2,0))</f>
        <v>3.396928</v>
      </c>
      <c r="F24" s="23" t="n">
        <f aca="false">E24-D24</f>
        <v>0.206928</v>
      </c>
    </row>
    <row r="25" customFormat="false" ht="15" hidden="false" customHeight="false" outlineLevel="0" collapsed="false">
      <c r="A25" s="7" t="s">
        <v>202</v>
      </c>
      <c r="B25" s="7" t="s">
        <v>126</v>
      </c>
      <c r="C25" s="7" t="n">
        <v>200</v>
      </c>
      <c r="D25" s="8" t="n">
        <v>3.42</v>
      </c>
      <c r="E25" s="17" t="n">
        <f aca="false">INDEX(Baseline!$B$3:$E$122,MATCH(MIN(MAX(ROUND(($C25)/5,0)*5,5),600),Baseline!$A$3:$A$122,0),MATCH($B25,Baseline!$B$2:$E$2,0))</f>
        <v>3.6130976</v>
      </c>
      <c r="F25" s="23" t="n">
        <f aca="false">E25-D25</f>
        <v>0.1930976</v>
      </c>
    </row>
    <row r="26" customFormat="false" ht="15" hidden="false" customHeight="false" outlineLevel="0" collapsed="false">
      <c r="A26" s="7" t="s">
        <v>204</v>
      </c>
      <c r="B26" s="7" t="s">
        <v>128</v>
      </c>
      <c r="C26" s="7" t="n">
        <v>150</v>
      </c>
      <c r="D26" s="8" t="n">
        <v>3.8</v>
      </c>
      <c r="E26" s="17" t="n">
        <f aca="false">INDEX(Baseline!$B$3:$E$122,MATCH(MIN(MAX(ROUND(($C26)/5,0)*5,5),600),Baseline!$A$3:$A$122,0),MATCH($B26,Baseline!$B$2:$E$2,0))</f>
        <v>3.98</v>
      </c>
      <c r="F26" s="23" t="n">
        <f aca="false">E26-D26</f>
        <v>0.180000000000001</v>
      </c>
    </row>
    <row r="29" customFormat="false" ht="15" hidden="false" customHeight="false" outlineLevel="0" collapsed="false">
      <c r="A29" s="9" t="s">
        <v>205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2026-10-27T18:13:15Z</dcterms:created>
  <dc:creator>openpyxl</dc:creator>
  <dc:description/>
  <dc:language>en-US</dc:language>
  <cp:lastModifiedBy/>
  <dcterms:modified xsi:type="dcterms:W3CDTF">2026-10-27T18:13:16Z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